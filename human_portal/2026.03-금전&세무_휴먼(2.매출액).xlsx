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휴먼채움\2026년 3월 20일 금전_amp_세무 파일_20260322081050\"/>
    </mc:Choice>
  </mc:AlternateContent>
  <xr:revisionPtr revIDLastSave="0" documentId="13_ncr:1_{0D07B57D-1C62-4B28-9A84-A6D2B12FC2F8}" xr6:coauthVersionLast="36" xr6:coauthVersionMax="36" xr10:uidLastSave="{00000000-0000-0000-0000-000000000000}"/>
  <bookViews>
    <workbookView xWindow="0" yWindow="0" windowWidth="28800" windowHeight="10740" tabRatio="951" xr2:uid="{00000000-000D-0000-FFFF-FFFF00000000}"/>
  </bookViews>
  <sheets>
    <sheet name="매출(휴먼)" sheetId="10" r:id="rId1"/>
  </sheets>
  <definedNames>
    <definedName name="_xlnm._FilterDatabase" localSheetId="0" hidden="1">'매출(휴먼)'!$A$3:$G$4265</definedName>
  </definedNames>
  <calcPr calcId="191029"/>
</workbook>
</file>

<file path=xl/calcChain.xml><?xml version="1.0" encoding="utf-8"?>
<calcChain xmlns="http://schemas.openxmlformats.org/spreadsheetml/2006/main">
  <c r="E4269" i="10" l="1"/>
  <c r="C4269" i="10" l="1"/>
  <c r="E4268" i="10" l="1"/>
  <c r="C4268" i="10" s="1"/>
  <c r="E4261" i="10" l="1"/>
  <c r="C4261" i="10" s="1"/>
  <c r="E4258" i="10" l="1"/>
  <c r="C4258" i="10" s="1"/>
  <c r="E4257" i="10"/>
  <c r="C4257" i="10" s="1"/>
  <c r="E4255" i="10" l="1"/>
  <c r="C4255" i="10" s="1"/>
  <c r="E4254" i="10" l="1"/>
  <c r="C4254" i="10" s="1"/>
  <c r="E4253" i="10"/>
  <c r="C4253" i="10" s="1"/>
  <c r="E4249" i="10" l="1"/>
  <c r="C4249" i="10" s="1"/>
  <c r="E4244" i="10"/>
  <c r="C4244" i="10" s="1"/>
  <c r="E4243" i="10"/>
  <c r="C4243" i="10" s="1"/>
  <c r="S1" i="10" l="1"/>
  <c r="R1" i="10"/>
  <c r="E4242" i="10" l="1"/>
  <c r="E4241" i="10"/>
  <c r="C4241" i="10" s="1"/>
  <c r="C4242" i="10" l="1"/>
  <c r="S2" i="10"/>
  <c r="E4235" i="10" l="1"/>
  <c r="C4235" i="10" s="1"/>
  <c r="E4234" i="10"/>
  <c r="C4234" i="10" s="1"/>
  <c r="E4233" i="10"/>
  <c r="C4233" i="10" s="1"/>
  <c r="K4382" i="10" l="1"/>
  <c r="J4382" i="10"/>
  <c r="I4382" i="10"/>
  <c r="K4370" i="10"/>
  <c r="J4370" i="10"/>
  <c r="I4370" i="10"/>
  <c r="K4358" i="10"/>
  <c r="J4358" i="10"/>
  <c r="I4358" i="10"/>
  <c r="K4346" i="10"/>
  <c r="J4346" i="10"/>
  <c r="I4346" i="10"/>
  <c r="K4334" i="10"/>
  <c r="J4334" i="10"/>
  <c r="I4334" i="10"/>
  <c r="K4322" i="10"/>
  <c r="J4322" i="10"/>
  <c r="I4322" i="10"/>
  <c r="K4310" i="10"/>
  <c r="J4310" i="10"/>
  <c r="I4310" i="10"/>
  <c r="K4298" i="10"/>
  <c r="J4298" i="10"/>
  <c r="I4298" i="10"/>
  <c r="K4286" i="10"/>
  <c r="J4286" i="10"/>
  <c r="I4286" i="10"/>
  <c r="K4274" i="10"/>
  <c r="J4274" i="10"/>
  <c r="I4274" i="10"/>
  <c r="K4261" i="10"/>
  <c r="J4261" i="10"/>
  <c r="I4261" i="10"/>
  <c r="K4249" i="10"/>
  <c r="J4249" i="10"/>
  <c r="I4249" i="10"/>
  <c r="C4230" i="10" l="1"/>
  <c r="C4229" i="10" l="1"/>
  <c r="E4223" i="10" l="1"/>
  <c r="C4223" i="10" s="1"/>
  <c r="E4222" i="10" l="1"/>
  <c r="C4222" i="10" s="1"/>
  <c r="E4216" i="10" l="1"/>
  <c r="C4216" i="10" s="1"/>
  <c r="E4215" i="10" l="1"/>
  <c r="C4215" i="10" s="1"/>
  <c r="C4206" i="10" l="1"/>
  <c r="C4212" i="10" l="1"/>
  <c r="C4211" i="10" l="1"/>
  <c r="C4157" i="10" l="1"/>
  <c r="C4158" i="10"/>
  <c r="C4159" i="10"/>
  <c r="E4124" i="10" l="1"/>
  <c r="C4124" i="10" l="1"/>
  <c r="C4072" i="10" l="1"/>
  <c r="C4063" i="10" l="1"/>
  <c r="K4097" i="10" l="1"/>
  <c r="J4097" i="10"/>
  <c r="I4097" i="10"/>
  <c r="K4055" i="10"/>
  <c r="J4055" i="10"/>
  <c r="I4055" i="10"/>
  <c r="J4005" i="10" l="1"/>
  <c r="J4017" i="10" l="1"/>
  <c r="J4015" i="10"/>
  <c r="J4011" i="10"/>
  <c r="E3989" i="10" l="1"/>
  <c r="R2" i="10" s="1"/>
  <c r="K4005" i="10" l="1"/>
  <c r="C3989" i="10"/>
  <c r="I4005" i="10" s="1"/>
  <c r="Q1" i="10" l="1"/>
  <c r="C3927" i="10" l="1"/>
  <c r="K4237" i="10" l="1"/>
  <c r="J4237" i="10"/>
  <c r="I4237" i="10"/>
  <c r="K4218" i="10"/>
  <c r="J4218" i="10"/>
  <c r="I4218" i="10"/>
  <c r="K4199" i="10"/>
  <c r="J4199" i="10"/>
  <c r="I4199" i="10"/>
  <c r="K4182" i="10"/>
  <c r="J4182" i="10"/>
  <c r="I4182" i="10"/>
  <c r="K4161" i="10"/>
  <c r="J4161" i="10"/>
  <c r="I4161" i="10"/>
  <c r="K4144" i="10"/>
  <c r="J4144" i="10"/>
  <c r="I4144" i="10"/>
  <c r="K4131" i="10"/>
  <c r="J4131" i="10"/>
  <c r="I4131" i="10"/>
  <c r="K4122" i="10"/>
  <c r="J4122" i="10"/>
  <c r="I4122" i="10"/>
  <c r="K4112" i="10"/>
  <c r="J4112" i="10"/>
  <c r="I4112" i="10"/>
  <c r="N4237" i="10" l="1"/>
  <c r="M4237" i="10"/>
  <c r="L4237" i="10"/>
  <c r="J3961" i="10" l="1"/>
  <c r="E3931" i="10" l="1"/>
  <c r="C3931" i="10" l="1"/>
  <c r="I3961" i="10" s="1"/>
  <c r="K3961" i="10"/>
  <c r="I3902" i="10" l="1"/>
  <c r="K3902" i="10" l="1"/>
  <c r="J3902" i="10"/>
  <c r="K3846" i="10" l="1"/>
  <c r="J3846" i="10"/>
  <c r="I3846" i="10"/>
  <c r="I3805" i="10" l="1"/>
  <c r="K3805" i="10"/>
  <c r="J3805" i="10"/>
  <c r="J3754" i="10" l="1"/>
  <c r="E3724" i="10" l="1"/>
  <c r="Q2" i="10" l="1"/>
  <c r="K3754" i="10"/>
  <c r="C3724" i="10"/>
  <c r="I3754" i="10" s="1"/>
  <c r="K3709" i="10" l="1"/>
  <c r="J3709" i="10"/>
  <c r="C3682" i="10"/>
  <c r="I3709" i="10" s="1"/>
  <c r="K3664" i="10" l="1"/>
  <c r="J3664" i="10"/>
  <c r="C3630" i="10" l="1"/>
  <c r="I3664" i="10" s="1"/>
  <c r="K3615" i="10" l="1"/>
  <c r="J3615" i="10"/>
  <c r="I3615" i="10"/>
  <c r="K3567" i="10" l="1"/>
  <c r="J3567" i="10"/>
  <c r="I3567" i="10"/>
  <c r="K3521" i="10" l="1"/>
  <c r="J3521" i="10"/>
  <c r="I3521" i="10"/>
  <c r="K3472" i="10" l="1"/>
  <c r="J3472" i="10"/>
  <c r="I3472" i="10"/>
  <c r="P1" i="10" l="1"/>
  <c r="O1" i="10"/>
  <c r="N1" i="10"/>
  <c r="M1" i="10"/>
  <c r="L1" i="10"/>
  <c r="K1" i="10"/>
  <c r="P2" i="10"/>
  <c r="O2" i="10"/>
  <c r="M2" i="10"/>
  <c r="L2" i="10"/>
  <c r="K2" i="10"/>
  <c r="J1" i="10"/>
  <c r="J2" i="10"/>
  <c r="K3426" i="10" l="1"/>
  <c r="J3426" i="10"/>
  <c r="C3388" i="10" l="1"/>
  <c r="I3426" i="10" s="1"/>
  <c r="K3373" i="10" l="1"/>
  <c r="J3373" i="10"/>
  <c r="I3373" i="10"/>
  <c r="K3315" i="10" l="1"/>
  <c r="J3315" i="10"/>
  <c r="I3315" i="10"/>
  <c r="I3265" i="10"/>
  <c r="K3265" i="10"/>
  <c r="J3265" i="10"/>
  <c r="K3213" i="10" l="1"/>
  <c r="J3213" i="10"/>
  <c r="C3181" i="10" l="1"/>
  <c r="I3213" i="10" s="1"/>
  <c r="K3163" i="10" l="1"/>
  <c r="J3163" i="10"/>
  <c r="I3163" i="10"/>
  <c r="K3111" i="10" l="1"/>
  <c r="J3111" i="10"/>
  <c r="I3111" i="10"/>
  <c r="K3054" i="10" l="1"/>
  <c r="J3054" i="10"/>
  <c r="I3054" i="10"/>
  <c r="K2988" i="10" l="1"/>
  <c r="J2988" i="10"/>
  <c r="C2962" i="10" l="1"/>
  <c r="I2988" i="10" s="1"/>
  <c r="K2938" i="10" l="1"/>
  <c r="J2938" i="10"/>
  <c r="C2904" i="10" l="1"/>
  <c r="I2938" i="10" s="1"/>
  <c r="I2888" i="10" l="1"/>
  <c r="J2888" i="10"/>
  <c r="K2888" i="10"/>
  <c r="K2836" i="10" l="1"/>
  <c r="J2836" i="10"/>
  <c r="I2836" i="10"/>
  <c r="K2784" i="10" l="1"/>
  <c r="J2784" i="10"/>
  <c r="I2784" i="10"/>
  <c r="K2711" i="10" l="1"/>
  <c r="J2711" i="10"/>
  <c r="C2677" i="10" l="1"/>
  <c r="C2675" i="10"/>
  <c r="I2711" i="10" l="1"/>
  <c r="K2651" i="10" l="1"/>
  <c r="J2651" i="10"/>
  <c r="C2620" i="10"/>
  <c r="C2614" i="10" l="1"/>
  <c r="I2651" i="10" s="1"/>
  <c r="K2591" i="10" l="1"/>
  <c r="J2591" i="10"/>
  <c r="I2591" i="10"/>
  <c r="K2530" i="10" l="1"/>
  <c r="J2530" i="10"/>
  <c r="C2499" i="10" l="1"/>
  <c r="I2530" i="10" s="1"/>
  <c r="K2470" i="10" l="1"/>
  <c r="J2470" i="10"/>
  <c r="I2470" i="10"/>
  <c r="K2406" i="10" l="1"/>
  <c r="J2406" i="10"/>
  <c r="I2406" i="10"/>
  <c r="J2356" i="10" l="1"/>
  <c r="K2356" i="10"/>
  <c r="I2356" i="10"/>
  <c r="J2306" i="10" l="1"/>
  <c r="K2306" i="10"/>
  <c r="I2306" i="10"/>
  <c r="K2263" i="10" l="1"/>
  <c r="J2263" i="10"/>
  <c r="I2263" i="10"/>
  <c r="K2223" i="10" l="1"/>
  <c r="J2223" i="10"/>
  <c r="I2223" i="10"/>
  <c r="I2184" i="10" l="1"/>
  <c r="K2184" i="10"/>
  <c r="J2184" i="10"/>
  <c r="K2150" i="10" l="1"/>
  <c r="J2150" i="10"/>
  <c r="I2150" i="10"/>
  <c r="J2068" i="10" l="1"/>
  <c r="E2066" i="10" l="1"/>
  <c r="N2" i="10" s="1"/>
  <c r="C2066" i="10" l="1"/>
  <c r="I2068" i="10" s="1"/>
  <c r="K2068" i="10"/>
  <c r="K2021" i="10" l="1"/>
  <c r="J2021" i="10"/>
  <c r="I2021" i="10"/>
  <c r="K1971" i="10" l="1"/>
  <c r="J1971" i="10"/>
  <c r="I1971" i="10"/>
  <c r="K1958" i="10" l="1"/>
  <c r="J1958" i="10"/>
  <c r="I1958" i="10"/>
  <c r="K1915" i="10" l="1"/>
  <c r="J1915" i="10"/>
  <c r="I1915" i="10"/>
  <c r="J1878" i="10" l="1"/>
  <c r="K1878" i="10"/>
  <c r="C1854" i="10" l="1"/>
  <c r="I1878" i="10" s="1"/>
  <c r="J1843" i="10"/>
  <c r="K1843" i="10"/>
  <c r="I1843" i="10"/>
  <c r="K1814" i="10"/>
  <c r="J1814" i="10"/>
  <c r="I1814" i="10"/>
  <c r="K1787" i="10"/>
  <c r="J1787" i="10"/>
  <c r="I1787" i="10"/>
  <c r="K1759" i="10"/>
  <c r="J1759" i="10"/>
  <c r="I1759" i="10"/>
  <c r="K1730" i="10"/>
  <c r="J1730" i="10"/>
  <c r="I1730" i="10"/>
  <c r="K1705" i="10"/>
  <c r="J1705" i="10"/>
  <c r="I1705" i="10"/>
  <c r="K1684" i="10"/>
  <c r="J1684" i="10"/>
  <c r="I1684" i="10"/>
  <c r="K1651" i="10"/>
  <c r="J1651" i="10"/>
  <c r="I1651" i="10"/>
  <c r="K1625" i="10"/>
  <c r="J1625" i="10"/>
  <c r="I1625" i="10"/>
  <c r="K1602" i="10"/>
  <c r="J1602" i="10"/>
  <c r="I1602" i="10"/>
  <c r="K1579" i="10"/>
  <c r="J1579" i="10"/>
  <c r="I1579" i="10"/>
  <c r="K1548" i="10"/>
  <c r="J1548" i="10"/>
  <c r="I1548" i="10"/>
  <c r="K1526" i="10"/>
  <c r="J1526" i="10"/>
  <c r="I1526" i="10"/>
  <c r="K1502" i="10"/>
  <c r="J1502" i="10"/>
  <c r="I1502" i="10"/>
  <c r="J1482" i="10"/>
  <c r="K1482" i="10"/>
  <c r="I1482" i="10"/>
  <c r="J1458" i="10"/>
  <c r="K1458" i="10"/>
  <c r="I1458" i="10"/>
  <c r="J1435" i="10"/>
  <c r="K1435" i="10"/>
  <c r="I1435" i="10"/>
  <c r="J1400" i="10"/>
  <c r="K1400" i="10"/>
  <c r="I1400" i="10"/>
  <c r="J1358" i="10"/>
  <c r="K1358" i="10"/>
  <c r="I1358" i="10"/>
  <c r="J1317" i="10"/>
  <c r="K1317" i="10"/>
  <c r="I1317" i="10"/>
  <c r="J1283" i="10"/>
  <c r="K1283" i="10"/>
  <c r="I1283" i="10"/>
  <c r="J1246" i="10"/>
  <c r="K1246" i="10"/>
  <c r="I1246" i="10"/>
  <c r="J1204" i="10"/>
  <c r="K1204" i="10"/>
  <c r="I1204" i="10"/>
  <c r="J1111" i="10"/>
  <c r="K1111" i="10"/>
  <c r="I1111" i="10"/>
  <c r="J1154" i="10"/>
  <c r="K1154" i="10"/>
  <c r="I1154" i="10"/>
  <c r="J1075" i="10"/>
  <c r="K1075" i="10"/>
  <c r="I1075" i="10"/>
  <c r="J1038" i="10"/>
  <c r="K1038" i="10"/>
  <c r="I1038" i="10"/>
  <c r="J992" i="10"/>
  <c r="K992" i="10"/>
  <c r="I992" i="10"/>
  <c r="J953" i="10"/>
  <c r="K953" i="10"/>
  <c r="I953" i="10"/>
  <c r="J931" i="10"/>
  <c r="K931" i="10"/>
  <c r="I931" i="10"/>
  <c r="J885" i="10"/>
  <c r="K885" i="10"/>
  <c r="I885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J21" i="10"/>
  <c r="K21" i="10"/>
  <c r="C24" i="10"/>
  <c r="C25" i="10"/>
  <c r="C26" i="10"/>
  <c r="C27" i="10"/>
  <c r="C28" i="10"/>
  <c r="C29" i="10"/>
  <c r="C30" i="10"/>
  <c r="C31" i="10"/>
  <c r="J32" i="10"/>
  <c r="K32" i="10"/>
  <c r="I38" i="10"/>
  <c r="J38" i="10"/>
  <c r="K38" i="10"/>
  <c r="I50" i="10"/>
  <c r="J50" i="10"/>
  <c r="K50" i="10"/>
  <c r="I83" i="10"/>
  <c r="J83" i="10"/>
  <c r="K83" i="10"/>
  <c r="I131" i="10"/>
  <c r="J131" i="10"/>
  <c r="K131" i="10"/>
  <c r="I190" i="10"/>
  <c r="J190" i="10"/>
  <c r="K190" i="10"/>
  <c r="I248" i="10"/>
  <c r="J248" i="10"/>
  <c r="K248" i="10"/>
  <c r="I314" i="10"/>
  <c r="J314" i="10"/>
  <c r="K314" i="10"/>
  <c r="I346" i="10"/>
  <c r="J346" i="10"/>
  <c r="K346" i="10"/>
  <c r="I391" i="10"/>
  <c r="J391" i="10"/>
  <c r="K391" i="10"/>
  <c r="I431" i="10"/>
  <c r="J431" i="10"/>
  <c r="K431" i="10"/>
  <c r="I493" i="10"/>
  <c r="J493" i="10"/>
  <c r="K493" i="10"/>
  <c r="I549" i="10"/>
  <c r="J549" i="10"/>
  <c r="K549" i="10"/>
  <c r="I604" i="10"/>
  <c r="J604" i="10"/>
  <c r="K604" i="10"/>
  <c r="I653" i="10"/>
  <c r="J653" i="10"/>
  <c r="K653" i="10"/>
  <c r="I712" i="10"/>
  <c r="J712" i="10"/>
  <c r="K712" i="10"/>
  <c r="I747" i="10"/>
  <c r="J747" i="10"/>
  <c r="K747" i="10"/>
  <c r="I783" i="10"/>
  <c r="J783" i="10"/>
  <c r="K783" i="10"/>
  <c r="I830" i="10"/>
  <c r="J830" i="10"/>
  <c r="K830" i="10"/>
  <c r="L1842" i="10" l="1"/>
  <c r="I32" i="10"/>
  <c r="I21" i="10"/>
</calcChain>
</file>

<file path=xl/sharedStrings.xml><?xml version="1.0" encoding="utf-8"?>
<sst xmlns="http://schemas.openxmlformats.org/spreadsheetml/2006/main" count="11414" uniqueCount="1327">
  <si>
    <t>(주)한성엠에스</t>
  </si>
  <si>
    <t>(주)후니드</t>
  </si>
  <si>
    <t>(주)두잉씨앤에스</t>
  </si>
  <si>
    <t>주식회사 휴먼엠에스</t>
  </si>
  <si>
    <t>작성일자</t>
  </si>
  <si>
    <t>상호</t>
  </si>
  <si>
    <t>합계금액</t>
  </si>
  <si>
    <t>공급가액</t>
  </si>
  <si>
    <t>세액</t>
  </si>
  <si>
    <t>2017-05-10</t>
  </si>
  <si>
    <t>(주)씨엔에스자산관리</t>
  </si>
  <si>
    <t>(송도 5/01~5/09)</t>
  </si>
  <si>
    <t>나비특수효과</t>
  </si>
  <si>
    <t>일용비</t>
  </si>
  <si>
    <t>2017-05-24</t>
  </si>
  <si>
    <t>미성엠프로 주식회사</t>
  </si>
  <si>
    <t>(시흥-5/20~5/21)</t>
  </si>
  <si>
    <t>파이널 스페셜 인펙트</t>
  </si>
  <si>
    <t>2017-05-25</t>
  </si>
  <si>
    <t>(송도-5/10~5/21)</t>
  </si>
  <si>
    <t>2017-04-30</t>
  </si>
  <si>
    <t>비고</t>
    <phoneticPr fontId="5" type="noConversion"/>
  </si>
  <si>
    <t>입금일</t>
    <phoneticPr fontId="5" type="noConversion"/>
  </si>
  <si>
    <t>2017-04-10</t>
  </si>
  <si>
    <t>시흥(4/2~4/6)</t>
  </si>
  <si>
    <t>취소전표</t>
    <phoneticPr fontId="5" type="noConversion"/>
  </si>
  <si>
    <t>(시흥-4/7~4/8)</t>
  </si>
  <si>
    <t>2017-04-05</t>
  </si>
  <si>
    <t/>
  </si>
  <si>
    <t>(시흥-4/2~4/6)</t>
  </si>
  <si>
    <t>2017-04-12</t>
  </si>
  <si>
    <t>시흥(4/09~4/10)</t>
  </si>
  <si>
    <t>2017-04-17</t>
  </si>
  <si>
    <t>(시흥-4/11~4/12)</t>
  </si>
  <si>
    <t>(시흥-4/13~4/14)</t>
  </si>
  <si>
    <t>2017-04-18</t>
  </si>
  <si>
    <t>(시흥-4/15~4/16)</t>
  </si>
  <si>
    <t>2017-04-20</t>
  </si>
  <si>
    <t>가오프로젝트(G.A.O PROJECT)</t>
  </si>
  <si>
    <t>2017-04-21</t>
  </si>
  <si>
    <t>주식회사 프레임컴퍼니</t>
  </si>
  <si>
    <t>2017-04-24</t>
  </si>
  <si>
    <t>(시흥-4/22~4/23)</t>
  </si>
  <si>
    <t>(시흥-4/17~4/21)</t>
  </si>
  <si>
    <t>4월</t>
    <phoneticPr fontId="5" type="noConversion"/>
  </si>
  <si>
    <t>(시흥-4/24~4/28)</t>
  </si>
  <si>
    <t>합계</t>
    <phoneticPr fontId="5" type="noConversion"/>
  </si>
  <si>
    <t>공급</t>
    <phoneticPr fontId="5" type="noConversion"/>
  </si>
  <si>
    <t>세액</t>
    <phoneticPr fontId="5" type="noConversion"/>
  </si>
  <si>
    <t>(시흥-4/29~4/30)</t>
  </si>
  <si>
    <t>2017-05-04</t>
  </si>
  <si>
    <t>(시흥-5/1~5/2)</t>
  </si>
  <si>
    <t>(시흥 5/01~5/02)</t>
  </si>
  <si>
    <t>2017-05-08</t>
  </si>
  <si>
    <t>(시흥-5/03~5/07)</t>
  </si>
  <si>
    <t>(시흥 5/08~5/09)</t>
  </si>
  <si>
    <t>2017-05-17</t>
  </si>
  <si>
    <t>(시흥-5/13~5/14)</t>
  </si>
  <si>
    <t>(시흥-5/10~5/12)</t>
  </si>
  <si>
    <t>(주)한성앰에스</t>
  </si>
  <si>
    <t>일용비(BM)</t>
  </si>
  <si>
    <t>일용비(머큐어호텔)</t>
  </si>
  <si>
    <t>일용비(티마크호텔)</t>
  </si>
  <si>
    <t>주식회사 엠엠에스컴퍼니</t>
  </si>
  <si>
    <t>일용비(코트야드호텔)</t>
  </si>
  <si>
    <t>일용비(JW메리어트호텔)</t>
  </si>
  <si>
    <t>일용비(조선호텔)</t>
  </si>
  <si>
    <t>일용비(강북삼성병원)</t>
  </si>
  <si>
    <t>일용비(예술의전당)</t>
  </si>
  <si>
    <t>일용비(강남세브란스병원)</t>
  </si>
  <si>
    <t>(주) 라이팅코리아</t>
  </si>
  <si>
    <t>일용비(삼성서울병원)</t>
  </si>
  <si>
    <t>일용비(센터마크호텔)</t>
  </si>
  <si>
    <t>일용비(분당서울대병원)</t>
  </si>
  <si>
    <t>일용비(칼호텔)</t>
  </si>
  <si>
    <t>일용비(센터마크)</t>
  </si>
  <si>
    <t>(시흥-5/27~5/28)</t>
  </si>
  <si>
    <t>5월</t>
    <phoneticPr fontId="5" type="noConversion"/>
  </si>
  <si>
    <t>일용비(서울삼성병원)</t>
  </si>
  <si>
    <t>주식회사 지엠엠</t>
  </si>
  <si>
    <t>리깅엑세스코리아</t>
  </si>
  <si>
    <t>6월</t>
    <phoneticPr fontId="5" type="noConversion"/>
  </si>
  <si>
    <t>(주) 에스에스엘</t>
  </si>
  <si>
    <t>2017-06-09</t>
  </si>
  <si>
    <t>인천-5/27~6/04</t>
  </si>
  <si>
    <t>(주)아트빈</t>
  </si>
  <si>
    <t>다토</t>
  </si>
  <si>
    <t>2017-06-26</t>
  </si>
  <si>
    <t>2017-06-04</t>
  </si>
  <si>
    <t>(시흥-6/03~6/04)</t>
  </si>
  <si>
    <t>2017-06-30</t>
  </si>
  <si>
    <t>주식회사 안성렌탈</t>
  </si>
  <si>
    <t>7월</t>
    <phoneticPr fontId="5" type="noConversion"/>
  </si>
  <si>
    <t>2017-07-12</t>
  </si>
  <si>
    <t>(6/10~7/02)</t>
  </si>
  <si>
    <t>2017-07-17</t>
  </si>
  <si>
    <t>(7/08~7/16)</t>
  </si>
  <si>
    <t>2017-07-24</t>
  </si>
  <si>
    <t>(7/22~7/23)</t>
  </si>
  <si>
    <t>2017-07-31</t>
  </si>
  <si>
    <t>(7/29~7/30)</t>
  </si>
  <si>
    <t>2017-07-01</t>
  </si>
  <si>
    <t>2017-08-08</t>
  </si>
  <si>
    <t>일용비(한진빌딩)</t>
  </si>
  <si>
    <t>2017-08-09</t>
  </si>
  <si>
    <t>일용비(jw메리어트호텔)</t>
  </si>
  <si>
    <t>2017-08-07</t>
  </si>
  <si>
    <t>8/06~8/06</t>
  </si>
  <si>
    <t>2017-08-16</t>
  </si>
  <si>
    <t>8/12~8/13</t>
  </si>
  <si>
    <t>2017-08-17</t>
  </si>
  <si>
    <t>5/27~6/04</t>
  </si>
  <si>
    <t>2017-08-18</t>
  </si>
  <si>
    <t>취소전표(7/1)</t>
    <phoneticPr fontId="4" type="noConversion"/>
  </si>
  <si>
    <t>2017-08-21</t>
  </si>
  <si>
    <t>2017-08-23</t>
  </si>
  <si>
    <t>8/19~8/20</t>
  </si>
  <si>
    <t>2017-08-24</t>
  </si>
  <si>
    <t>2017-08-28</t>
  </si>
  <si>
    <t>8/26~8/27</t>
  </si>
  <si>
    <t>씨제이이앤엠 주식회사</t>
  </si>
  <si>
    <t>워너원 쇼케이스(고척돔)</t>
  </si>
  <si>
    <t>2017-09-04</t>
  </si>
  <si>
    <t>2017-08-31</t>
  </si>
  <si>
    <t>2017-09-05</t>
  </si>
  <si>
    <t>9/02~9/03</t>
  </si>
  <si>
    <t>2017-09-06</t>
  </si>
  <si>
    <t>2017-09-11</t>
  </si>
  <si>
    <t>2017-09-12</t>
  </si>
  <si>
    <t>(주)알앤지서비스</t>
  </si>
  <si>
    <t>9/06~9/10</t>
  </si>
  <si>
    <t>2017-09-15</t>
  </si>
  <si>
    <t>9/2~9/10</t>
  </si>
  <si>
    <t>2017-09-18</t>
  </si>
  <si>
    <t>2017-09-19</t>
  </si>
  <si>
    <t>2017-09-20</t>
  </si>
  <si>
    <t>9/11~9/17</t>
  </si>
  <si>
    <t>88잔디마당</t>
  </si>
  <si>
    <t>2017-09-21</t>
  </si>
  <si>
    <t>2017-09-22</t>
  </si>
  <si>
    <t>2017-09-25</t>
  </si>
  <si>
    <t>2017-09-26</t>
  </si>
  <si>
    <t>일용비(노보텔)</t>
  </si>
  <si>
    <t>일용비(포포인츠호텔)</t>
  </si>
  <si>
    <t>2017-09-27</t>
  </si>
  <si>
    <t>2017-09-28</t>
  </si>
  <si>
    <t>일용비(자라섬)</t>
  </si>
  <si>
    <t>라이트스톰</t>
  </si>
  <si>
    <t>강원기업</t>
  </si>
  <si>
    <t>2017-09-29</t>
  </si>
  <si>
    <t>주식회사 열린</t>
  </si>
  <si>
    <t>2017-09-30</t>
  </si>
  <si>
    <t>(여의도 MEA메리어트호텔)</t>
  </si>
  <si>
    <t>2017-10-02</t>
  </si>
  <si>
    <t>(창원 종합운동장)</t>
  </si>
  <si>
    <t>(주)토탈코리아</t>
  </si>
  <si>
    <t>2017-10-10</t>
  </si>
  <si>
    <t>2017-10-13</t>
  </si>
  <si>
    <t>2017-10-16</t>
  </si>
  <si>
    <t>2017-10-17</t>
  </si>
  <si>
    <t>(9/16~10/01)</t>
  </si>
  <si>
    <t>2017-10-19</t>
  </si>
  <si>
    <t>일용비(뉴코아 부천점)</t>
  </si>
  <si>
    <t>2017-10-20</t>
  </si>
  <si>
    <t>(10/02~10/15)</t>
  </si>
  <si>
    <t>일용비(포시즌스호텔)</t>
  </si>
  <si>
    <t>(10/01~10/15-데일리)</t>
  </si>
  <si>
    <t>10/1~10/15 데일리</t>
  </si>
  <si>
    <t>일용비(롯데리조트 부여점)</t>
  </si>
  <si>
    <t>10/1~10/9</t>
  </si>
  <si>
    <t>10/01~10/15 룸메이드</t>
  </si>
  <si>
    <t>일용비(여의도MEA메리어트호텔)</t>
  </si>
  <si>
    <t>(10/01~10/15)</t>
  </si>
  <si>
    <t>취소전표</t>
    <phoneticPr fontId="4" type="noConversion"/>
  </si>
  <si>
    <t>2017-10-23</t>
  </si>
  <si>
    <t>2017-10-24</t>
  </si>
  <si>
    <t>일용비(뉴코아 아울렛 부천점)</t>
  </si>
  <si>
    <t>2017-10-27</t>
  </si>
  <si>
    <t>2017-10-30</t>
  </si>
  <si>
    <t>10/22~10/29</t>
  </si>
  <si>
    <t>2017-10-31</t>
  </si>
  <si>
    <t>일용비(롯데시그니엘서울)</t>
  </si>
  <si>
    <t>(주) 삼익</t>
  </si>
  <si>
    <t>2017-11-02</t>
  </si>
  <si>
    <t>일용비(코트야드)</t>
  </si>
  <si>
    <t>일용비(티마크)</t>
  </si>
  <si>
    <t>10/16~10/31 데일리</t>
  </si>
  <si>
    <t>10/16~10/31 룸메이드</t>
  </si>
  <si>
    <t>일용비(킨텍스)</t>
  </si>
  <si>
    <t>일용비(신촌세브란스병원)</t>
  </si>
  <si>
    <t>일용비(라마다 앙코르 해운대)</t>
  </si>
  <si>
    <t>2017-11-06</t>
  </si>
  <si>
    <t>2017-11-07</t>
  </si>
  <si>
    <t>일용비(시흥 아울렛)</t>
  </si>
  <si>
    <t>2017-11-13</t>
  </si>
  <si>
    <t>2017-11-14</t>
  </si>
  <si>
    <t>2017-11-15</t>
  </si>
  <si>
    <t>일용비(인터콘티넨탈호텔)</t>
  </si>
  <si>
    <t>2017-11-20</t>
  </si>
  <si>
    <t>일용비(CS프리미어호텔)</t>
  </si>
  <si>
    <t>2017-11-27</t>
  </si>
  <si>
    <t>2017-11-29</t>
  </si>
  <si>
    <t>일용비(인천공항)</t>
  </si>
  <si>
    <t>2017-11-30</t>
  </si>
  <si>
    <t>일용비(신라호텔-룸메이드)</t>
  </si>
  <si>
    <t>일용비(인터콘티낸탈호텔)</t>
  </si>
  <si>
    <t>2017-12-04</t>
  </si>
  <si>
    <t>일용비(광화문광장)</t>
  </si>
  <si>
    <t>2017-12-06</t>
  </si>
  <si>
    <t>일용비(콘래드호텔)</t>
  </si>
  <si>
    <t>2017-12-08</t>
  </si>
  <si>
    <t>2017-12-11</t>
  </si>
  <si>
    <t>2017-12-12</t>
  </si>
  <si>
    <t>2017-12-15</t>
  </si>
  <si>
    <t>2017-12-18</t>
  </si>
  <si>
    <t>2017-12-26</t>
  </si>
  <si>
    <t>2017-12-27</t>
  </si>
  <si>
    <t>2017-12-28</t>
  </si>
  <si>
    <t>일용비(아모레퍼시픽)</t>
  </si>
  <si>
    <t>2017-12-29</t>
  </si>
  <si>
    <t>2017-12-31</t>
  </si>
  <si>
    <t>서경실업</t>
  </si>
  <si>
    <t>일용비(메세나폴리스)</t>
  </si>
  <si>
    <t>2018-01-02</t>
  </si>
  <si>
    <t>일용비(벡스코)</t>
  </si>
  <si>
    <t>디오 라이트(DO LITE)</t>
  </si>
  <si>
    <t>2018-01-08</t>
  </si>
  <si>
    <t>2018-01-09</t>
  </si>
  <si>
    <t>2018-01-15</t>
  </si>
  <si>
    <t>2018-01-16</t>
  </si>
  <si>
    <t>2018-01-17</t>
  </si>
  <si>
    <t>2018-01-18</t>
  </si>
  <si>
    <t>일용비(영등포코트야드호텔)</t>
  </si>
  <si>
    <t>일용비(신라호텔)</t>
  </si>
  <si>
    <t>2018-01-19</t>
  </si>
  <si>
    <t>2018-01-22</t>
  </si>
  <si>
    <t>2018-01-23</t>
  </si>
  <si>
    <t>2018-01-25</t>
  </si>
  <si>
    <t>일용비(콘래드)</t>
  </si>
  <si>
    <t>2018-01-29</t>
  </si>
  <si>
    <t>2018-01-30</t>
  </si>
  <si>
    <t>일용비(포포인츠)</t>
  </si>
  <si>
    <t>2018-01-31</t>
  </si>
  <si>
    <t>일용비(메세나폴리스몰)</t>
  </si>
  <si>
    <t>일용비(MEA메리어트)</t>
  </si>
  <si>
    <t>일용비(영등포코트야드)</t>
  </si>
  <si>
    <t>2018-02-05</t>
  </si>
  <si>
    <t>2018-02-07</t>
  </si>
  <si>
    <t>2018-02-09</t>
  </si>
  <si>
    <t>(주) 잡플러스</t>
  </si>
  <si>
    <t>2018-02-13</t>
  </si>
  <si>
    <t>2018-02-12</t>
  </si>
  <si>
    <t>2018-02-15</t>
  </si>
  <si>
    <t>2018-02-19</t>
  </si>
  <si>
    <t>일용비(인터컨티넨탈)</t>
  </si>
  <si>
    <t>일용비(시그니엘)</t>
  </si>
  <si>
    <t>2018-02-21</t>
  </si>
  <si>
    <t>2018-02-22</t>
  </si>
  <si>
    <t>2018-02-26</t>
  </si>
  <si>
    <t>2월</t>
    <phoneticPr fontId="4" type="noConversion"/>
  </si>
  <si>
    <t>2018-02-28</t>
  </si>
  <si>
    <t>일용비(신촌세브란스)</t>
  </si>
  <si>
    <t>일용비(서울성모병원)</t>
  </si>
  <si>
    <t>일용비(롯데시그니엘)</t>
  </si>
  <si>
    <t>일용비(mea메리어트)</t>
  </si>
  <si>
    <t>일용비(롯데리조트속초)</t>
  </si>
  <si>
    <t>2018-03-05</t>
  </si>
  <si>
    <t>2018-03-07</t>
  </si>
  <si>
    <t>2018-03-12</t>
  </si>
  <si>
    <t>2018-03-13</t>
  </si>
  <si>
    <t>2018-03-14</t>
  </si>
  <si>
    <t>2018-03-01</t>
  </si>
  <si>
    <t>2018-03-15</t>
  </si>
  <si>
    <t>2018-03-19</t>
  </si>
  <si>
    <t>2018-03-20</t>
  </si>
  <si>
    <t>2018-03-21</t>
  </si>
  <si>
    <t>2018-03-26</t>
  </si>
  <si>
    <t>2018-03-28</t>
  </si>
  <si>
    <t>세액합계</t>
    <phoneticPr fontId="4" type="noConversion"/>
  </si>
  <si>
    <t>2018-03-31</t>
  </si>
  <si>
    <t>일용비(포시즌스)</t>
  </si>
  <si>
    <t>일용비(사그니엘)</t>
  </si>
  <si>
    <t>2018-04-02</t>
  </si>
  <si>
    <t>2018-04-04</t>
  </si>
  <si>
    <t>2018-04-09</t>
  </si>
  <si>
    <t>(주)스파이더</t>
  </si>
  <si>
    <t>2018-04-10</t>
  </si>
  <si>
    <t>2018-04-11</t>
  </si>
  <si>
    <t>2018-04-12</t>
  </si>
  <si>
    <t>2018-04-16</t>
  </si>
  <si>
    <t>일용비(MEA호텔)</t>
  </si>
  <si>
    <t>2018-04-24</t>
  </si>
  <si>
    <t>2018-04-25</t>
  </si>
  <si>
    <t>2018-04-26</t>
  </si>
  <si>
    <t>2018-04-30</t>
  </si>
  <si>
    <t>아트홀</t>
  </si>
  <si>
    <t>주식회사 만석푸드패밀리</t>
  </si>
  <si>
    <t>일용비(조선)</t>
  </si>
  <si>
    <t>일용비(신라)</t>
  </si>
  <si>
    <t>일용비(MEA)</t>
  </si>
  <si>
    <t>2018-05-08</t>
  </si>
  <si>
    <t>2018-05-15</t>
  </si>
  <si>
    <t>2018-05-31</t>
  </si>
  <si>
    <t>일용비(힐튼호텔)</t>
  </si>
  <si>
    <t>6월</t>
    <phoneticPr fontId="4" type="noConversion"/>
  </si>
  <si>
    <t>일용비(강남세브란스)</t>
  </si>
  <si>
    <t>일용비(롯데호텔)</t>
  </si>
  <si>
    <t>2018-06-15</t>
  </si>
  <si>
    <t>5월</t>
    <phoneticPr fontId="4" type="noConversion"/>
  </si>
  <si>
    <t>2018-06-27</t>
  </si>
  <si>
    <t>한국교육방송공사</t>
  </si>
  <si>
    <t>2018-06-30</t>
  </si>
  <si>
    <t>일용비(AK타워)</t>
  </si>
  <si>
    <t>일용비(파라다이스)</t>
  </si>
  <si>
    <t>2018-07-15</t>
  </si>
  <si>
    <t>일용비(하얏트)</t>
  </si>
  <si>
    <t>일용비(여의도MEA)</t>
  </si>
  <si>
    <t>2018-07-31</t>
  </si>
  <si>
    <t>만석장 인천공항점</t>
  </si>
  <si>
    <t>2018-08-02</t>
  </si>
  <si>
    <t>일용비(JW메리어트)</t>
  </si>
  <si>
    <t>라이트스케치</t>
  </si>
  <si>
    <t>2018-08-15</t>
  </si>
  <si>
    <t>2018-08-31</t>
  </si>
  <si>
    <t>(주)인터비즈시스템</t>
  </si>
  <si>
    <t>일용비(하얏트호텔)</t>
  </si>
  <si>
    <t>9월</t>
    <phoneticPr fontId="4" type="noConversion"/>
  </si>
  <si>
    <t>2018-09-04</t>
  </si>
  <si>
    <t>일용비(롯데리조트 속초)</t>
  </si>
  <si>
    <t>일용비(엔씨켐)</t>
  </si>
  <si>
    <t>엠씨피인터네셔널</t>
  </si>
  <si>
    <t>2018-09-17</t>
  </si>
  <si>
    <t>일용비(롯데리조트-속초)</t>
  </si>
  <si>
    <t>2018-09-15</t>
  </si>
  <si>
    <t>2018-09-30</t>
  </si>
  <si>
    <t>2018-10-15</t>
  </si>
  <si>
    <t>2018-10-08</t>
  </si>
  <si>
    <t>일용비(롯데)</t>
  </si>
  <si>
    <t>2018-10-31</t>
  </si>
  <si>
    <t>2018-11-15</t>
  </si>
  <si>
    <t>일용비(cj가구운반)</t>
  </si>
  <si>
    <t>일용비(잠실롯데면세점)</t>
  </si>
  <si>
    <t>일용비(여의도 MEA 호텔)</t>
  </si>
  <si>
    <t>2018-11-14</t>
  </si>
  <si>
    <t>(주) 한국에이브이</t>
  </si>
  <si>
    <t>2018-11-30</t>
  </si>
  <si>
    <t>일용비(아트파라디소)</t>
  </si>
  <si>
    <t>2018-12-01</t>
  </si>
  <si>
    <t>2018-12-14</t>
  </si>
  <si>
    <t>2018-12-15</t>
  </si>
  <si>
    <t>2018-12-20</t>
  </si>
  <si>
    <t>2018-12-31</t>
  </si>
  <si>
    <t>쇼매이드</t>
  </si>
  <si>
    <t>아이에스(IS)</t>
  </si>
  <si>
    <t>2019-01-10</t>
  </si>
  <si>
    <t>2019-01-15</t>
  </si>
  <si>
    <t>2019-01-24</t>
  </si>
  <si>
    <t>2019-01-30</t>
  </si>
  <si>
    <t>2019-01-31</t>
  </si>
  <si>
    <t>2019-02-08</t>
  </si>
  <si>
    <t>우지기업(주)</t>
  </si>
  <si>
    <t>2019-02-15</t>
  </si>
  <si>
    <t>식품안전정보원</t>
  </si>
  <si>
    <t>채용대행비</t>
  </si>
  <si>
    <t>2019-02-28</t>
  </si>
  <si>
    <t>주식회사 나우글로벌</t>
  </si>
  <si>
    <t>2019-03-15</t>
  </si>
  <si>
    <t>2019-03-25</t>
  </si>
  <si>
    <t>2019-03-31</t>
  </si>
  <si>
    <t>일용비(플라자호텔)</t>
  </si>
  <si>
    <t>2019-04-15</t>
  </si>
  <si>
    <t>일용비(플라자)</t>
  </si>
  <si>
    <t>외</t>
  </si>
  <si>
    <t>2019-04-30</t>
  </si>
  <si>
    <t>주식회사 엠씨피인터네셔널</t>
  </si>
  <si>
    <t>일용비(더플라자)</t>
  </si>
  <si>
    <t>2019-05-06</t>
  </si>
  <si>
    <t>2019-05-15</t>
  </si>
  <si>
    <t>일용비(잠실롯대면세점)</t>
  </si>
  <si>
    <t>2019-05-27</t>
  </si>
  <si>
    <t>2019-05-31</t>
  </si>
  <si>
    <t>일용비(위워크)</t>
  </si>
  <si>
    <t>2019-06-14</t>
  </si>
  <si>
    <t>2019-06-15</t>
  </si>
  <si>
    <t>2019-06-30</t>
  </si>
  <si>
    <t>지에스파크24(주)</t>
  </si>
  <si>
    <t>일용비(연세동문회관)</t>
  </si>
  <si>
    <t>일용비(연세의료원)</t>
  </si>
  <si>
    <t>2019-07-15</t>
  </si>
  <si>
    <t>2019-07-25</t>
  </si>
  <si>
    <t>2019-07-31</t>
  </si>
  <si>
    <t>2019-08-15</t>
  </si>
  <si>
    <t>2019-08-01</t>
  </si>
  <si>
    <t>27일~28일</t>
  </si>
  <si>
    <t>6일~21일</t>
  </si>
  <si>
    <t>2019-08-22</t>
  </si>
  <si>
    <t>2019-08-31</t>
  </si>
  <si>
    <t>일용비(파주신세계아울렛)</t>
  </si>
  <si>
    <t>2019-09-15</t>
  </si>
  <si>
    <t>일용비(노보텔동대문점)</t>
  </si>
  <si>
    <t>2019-09-30</t>
  </si>
  <si>
    <t>일용비(스타필드_카트)</t>
  </si>
  <si>
    <t>일용비(스타필드_주차)</t>
  </si>
  <si>
    <t>일용비(신세계아울렛)</t>
  </si>
  <si>
    <t>2019-10-15</t>
  </si>
  <si>
    <t>2019-10-30</t>
  </si>
  <si>
    <t>더파이로컴 THEPYROCOMM</t>
  </si>
  <si>
    <t>2019-10-31</t>
  </si>
  <si>
    <t>일용비(노보텔_동대문점)</t>
  </si>
  <si>
    <t>용역비</t>
  </si>
  <si>
    <t>2019-11-15</t>
  </si>
  <si>
    <t>(주) 신세계조선호텔</t>
  </si>
  <si>
    <t>(주) 비포스</t>
  </si>
  <si>
    <t>피아에스에프엑스</t>
  </si>
  <si>
    <t>2019-11-29</t>
  </si>
  <si>
    <t>2019-11-30</t>
  </si>
  <si>
    <t>2019-12-03</t>
  </si>
  <si>
    <t>2019-12-05</t>
  </si>
  <si>
    <t>정윤희</t>
  </si>
  <si>
    <t>곽노성</t>
  </si>
  <si>
    <t>2019-12-15</t>
  </si>
  <si>
    <t>일용비(마리나베이)</t>
  </si>
  <si>
    <t>2019-12-24</t>
  </si>
  <si>
    <t>2019-12-31</t>
  </si>
  <si>
    <t>일용비(오크우드)</t>
  </si>
  <si>
    <t>2020-01-15</t>
  </si>
  <si>
    <t>2020-01-20</t>
  </si>
  <si>
    <t>정흠제작</t>
  </si>
  <si>
    <t>2020-01-31</t>
  </si>
  <si>
    <t>에이치디씨아이서비스(주)</t>
  </si>
  <si>
    <t>체온측정</t>
  </si>
  <si>
    <t>(주)프로에스콤</t>
  </si>
  <si>
    <t>(주)삼구아이앤씨</t>
  </si>
  <si>
    <t>2020-02-10</t>
  </si>
  <si>
    <t>(주) 에스텍시스템</t>
  </si>
  <si>
    <t>2020-02-15</t>
  </si>
  <si>
    <t>주식회사 발렉스서비스</t>
  </si>
  <si>
    <t>2020-02-29</t>
  </si>
  <si>
    <t>일용비(용인동백세브란스)</t>
  </si>
  <si>
    <t>2020-03-02</t>
  </si>
  <si>
    <t>다토 DaTo</t>
  </si>
  <si>
    <t>2020-03-15</t>
  </si>
  <si>
    <t>2020-03-19</t>
  </si>
  <si>
    <t>2020-03-31</t>
  </si>
  <si>
    <t>일용비_켄싱턴호텔</t>
  </si>
  <si>
    <t>2020-04-17</t>
  </si>
  <si>
    <t>2020-04-15</t>
  </si>
  <si>
    <t>2021-06-15</t>
  </si>
  <si>
    <t>2021-05-31</t>
  </si>
  <si>
    <t>다토월드(DTS)</t>
  </si>
  <si>
    <t>2020-04-30</t>
  </si>
  <si>
    <t>2020-05-15</t>
  </si>
  <si>
    <t>2020-05-29</t>
  </si>
  <si>
    <t>2020-05-31</t>
  </si>
  <si>
    <t>일용비(오크우드호텔)</t>
  </si>
  <si>
    <t>일용비(카카오)</t>
  </si>
  <si>
    <t>일용비(소노벨)</t>
  </si>
  <si>
    <t>일용비(위워크-매장관리)</t>
  </si>
  <si>
    <t>일용비(위워크-발열)</t>
  </si>
  <si>
    <t>일용비(강남성모병원)</t>
  </si>
  <si>
    <t>일용비(연세의료원-발열체크)</t>
  </si>
  <si>
    <t>일용비(연세의료원-주차)</t>
  </si>
  <si>
    <t>일용비(용인세브란스-무인정산)</t>
  </si>
  <si>
    <t>일용비(용인세브란스-주차)</t>
  </si>
  <si>
    <t>5월</t>
    <phoneticPr fontId="4" type="noConversion"/>
  </si>
  <si>
    <t>2020-06-15</t>
  </si>
  <si>
    <t>2020-06-30</t>
  </si>
  <si>
    <t>2020-07-15</t>
  </si>
  <si>
    <t>2020-07-31</t>
  </si>
  <si>
    <t>서울특별시 상수도사업본부 뚝도아리수정수센터</t>
  </si>
  <si>
    <t>미라클미디어시스템</t>
  </si>
  <si>
    <t>일용비(위워크-발열체크)</t>
  </si>
  <si>
    <t>2020년 뚝도아리수정수센터 건축물 외벽청소 용역</t>
  </si>
  <si>
    <t>일용비(해인사)</t>
  </si>
  <si>
    <t>일용비(용인세브란스병원)</t>
  </si>
  <si>
    <t>일용비(롯데시티호텔)</t>
  </si>
  <si>
    <t>일용비(라이즈호텔)</t>
  </si>
  <si>
    <t>일용비(위워크-매장)</t>
  </si>
  <si>
    <t>일용비(연세의료원)_주차수신호</t>
    <phoneticPr fontId="4" type="noConversion"/>
  </si>
  <si>
    <t>일용비(연세의료원)_발열체크</t>
    <phoneticPr fontId="4" type="noConversion"/>
  </si>
  <si>
    <t>2020-08-15</t>
  </si>
  <si>
    <t>2020-08-31</t>
  </si>
  <si>
    <t>2020-09-15</t>
  </si>
  <si>
    <t>2020-09-30</t>
  </si>
  <si>
    <t>취소전표</t>
    <phoneticPr fontId="5" type="noConversion"/>
  </si>
  <si>
    <t>취소전표(7/1)</t>
    <phoneticPr fontId="4" type="noConversion"/>
  </si>
  <si>
    <t>8월</t>
    <phoneticPr fontId="5" type="noConversion"/>
  </si>
  <si>
    <t>합계</t>
    <phoneticPr fontId="5" type="noConversion"/>
  </si>
  <si>
    <t>공급</t>
    <phoneticPr fontId="5" type="noConversion"/>
  </si>
  <si>
    <t>일용비(포시즌스호텔 데일리)</t>
    <phoneticPr fontId="4" type="noConversion"/>
  </si>
  <si>
    <t>일용비(노보텔)9/25~30</t>
    <phoneticPr fontId="4" type="noConversion"/>
  </si>
  <si>
    <t>일용비(포시즌스호텔)데일리</t>
    <phoneticPr fontId="4" type="noConversion"/>
  </si>
  <si>
    <t>일용비(포시시즌호텔)룸메이트</t>
    <phoneticPr fontId="4" type="noConversion"/>
  </si>
  <si>
    <t>9월</t>
    <phoneticPr fontId="5" type="noConversion"/>
  </si>
  <si>
    <t>세액</t>
    <phoneticPr fontId="5" type="noConversion"/>
  </si>
  <si>
    <t>일요비(노보텔) 10/1~9</t>
    <phoneticPr fontId="4" type="noConversion"/>
  </si>
  <si>
    <t>취소전표</t>
    <phoneticPr fontId="4" type="noConversion"/>
  </si>
  <si>
    <t>10월</t>
    <phoneticPr fontId="5" type="noConversion"/>
  </si>
  <si>
    <t>일용비(노보텔) 10/23~10/29</t>
    <phoneticPr fontId="4" type="noConversion"/>
  </si>
  <si>
    <t>일용비(노보텔)10/30~11/05</t>
    <phoneticPr fontId="4" type="noConversion"/>
  </si>
  <si>
    <t>일용비(포시즌스호텔) 11/01~11/15-룸메이드</t>
    <phoneticPr fontId="4" type="noConversion"/>
  </si>
  <si>
    <t>일용비(포시즌스호텔) 11/01~11/15-데일리</t>
    <phoneticPr fontId="4" type="noConversion"/>
  </si>
  <si>
    <t>일용비(포시즌스호텔)11/16~11/30-데일리</t>
    <phoneticPr fontId="4" type="noConversion"/>
  </si>
  <si>
    <r>
      <rPr>
        <sz val="10"/>
        <color indexed="10"/>
        <rFont val="맑은 고딕"/>
        <family val="3"/>
        <charset val="129"/>
      </rPr>
      <t>일용비(포시즌스호텔)11/16~11/30-데일리</t>
    </r>
    <phoneticPr fontId="4" type="noConversion"/>
  </si>
  <si>
    <t>일용비(MEA메리어트호텔)11/16~11/30</t>
    <phoneticPr fontId="4" type="noConversion"/>
  </si>
  <si>
    <t>일용비(포시즌스호텔)11/16~11/30-룸메이드</t>
    <phoneticPr fontId="4" type="noConversion"/>
  </si>
  <si>
    <t>11월</t>
    <phoneticPr fontId="5" type="noConversion"/>
  </si>
  <si>
    <t>일용비(신라호텔)12/01~12/15-룸메이드</t>
    <phoneticPr fontId="4" type="noConversion"/>
  </si>
  <si>
    <t>일용비(포시즌스호텔)12/01~12/15-데일리</t>
    <phoneticPr fontId="4" type="noConversion"/>
  </si>
  <si>
    <t>일용비(포시즌스호텔)12/01~12/15-룸메이드</t>
    <phoneticPr fontId="4" type="noConversion"/>
  </si>
  <si>
    <r>
      <rPr>
        <sz val="10"/>
        <color indexed="10"/>
        <rFont val="맑은 고딕"/>
        <family val="3"/>
        <charset val="129"/>
      </rPr>
      <t>일용비(여의도 MEA메리어트호텔)12/01~12/15</t>
    </r>
    <phoneticPr fontId="4" type="noConversion"/>
  </si>
  <si>
    <t>일용비(포시즌스호텔)12/16~12/31-데일리</t>
    <phoneticPr fontId="4" type="noConversion"/>
  </si>
  <si>
    <t>일용비(신라호텔)12/16~12/31-더티</t>
    <phoneticPr fontId="4" type="noConversion"/>
  </si>
  <si>
    <t>12월</t>
    <phoneticPr fontId="5" type="noConversion"/>
  </si>
  <si>
    <t>일용비(메세나폴리스몰)1/8~14</t>
    <phoneticPr fontId="4" type="noConversion"/>
  </si>
  <si>
    <t>일용비(인천공항)1/8~14</t>
    <phoneticPr fontId="4" type="noConversion"/>
  </si>
  <si>
    <t>2018년 1월</t>
    <phoneticPr fontId="5" type="noConversion"/>
  </si>
  <si>
    <t>외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</si>
  <si>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</si>
  <si>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</si>
  <si>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</si>
  <si>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일용비(시그니엘)</t>
    <phoneticPr fontId="4" type="noConversion"/>
  </si>
  <si>
    <t>일용비(티마크)</t>
    <phoneticPr fontId="4" type="noConversion"/>
  </si>
  <si>
    <t>일용비(칼호텔)</t>
    <phoneticPr fontId="4" type="noConversion"/>
  </si>
  <si>
    <t>압류건</t>
    <phoneticPr fontId="4" type="noConversion"/>
  </si>
  <si>
    <t>5월</t>
    <phoneticPr fontId="4" type="noConversion"/>
  </si>
  <si>
    <t>6월</t>
    <phoneticPr fontId="4" type="noConversion"/>
  </si>
  <si>
    <t>일용비(노보텔)</t>
    <phoneticPr fontId="4" type="noConversion"/>
  </si>
  <si>
    <t>7월</t>
    <phoneticPr fontId="4" type="noConversion"/>
  </si>
  <si>
    <t>일용비(롯데리조트 속초)</t>
    <phoneticPr fontId="4" type="noConversion"/>
  </si>
  <si>
    <t>일용비(콘래드)</t>
    <phoneticPr fontId="4" type="noConversion"/>
  </si>
  <si>
    <t>8월</t>
    <phoneticPr fontId="4" type="noConversion"/>
  </si>
  <si>
    <t>9월</t>
    <phoneticPr fontId="4" type="noConversion"/>
  </si>
  <si>
    <t>일용비(창원)</t>
    <phoneticPr fontId="4" type="noConversion"/>
  </si>
  <si>
    <t>일용비(창원 종합운동장)</t>
    <phoneticPr fontId="4" type="noConversion"/>
  </si>
  <si>
    <r>
      <t>일용비</t>
    </r>
    <r>
      <rPr>
        <sz val="10"/>
        <rFont val="Arial"/>
        <family val="2"/>
      </rPr>
      <t/>
    </r>
    <phoneticPr fontId="4" type="noConversion"/>
  </si>
  <si>
    <t>10월</t>
    <phoneticPr fontId="4" type="noConversion"/>
  </si>
  <si>
    <t>11월</t>
    <phoneticPr fontId="4" type="noConversion"/>
  </si>
  <si>
    <t>외(600만)</t>
    <phoneticPr fontId="4" type="noConversion"/>
  </si>
  <si>
    <t>외-1,650,000원</t>
    <phoneticPr fontId="4" type="noConversion"/>
  </si>
  <si>
    <t>일용비(포시즌스)</t>
    <phoneticPr fontId="4" type="noConversion"/>
  </si>
  <si>
    <t>외-7,480,000</t>
    <phoneticPr fontId="4" type="noConversion"/>
  </si>
  <si>
    <t>외-2,770,000</t>
    <phoneticPr fontId="4" type="noConversion"/>
  </si>
  <si>
    <t>12월</t>
    <phoneticPr fontId="4" type="noConversion"/>
  </si>
  <si>
    <t>외-4,275,000</t>
    <phoneticPr fontId="4" type="noConversion"/>
  </si>
  <si>
    <t>1월</t>
    <phoneticPr fontId="4" type="noConversion"/>
  </si>
  <si>
    <t>4/1, 5/2</t>
    <phoneticPr fontId="4" type="noConversion"/>
  </si>
  <si>
    <t>취소전표</t>
    <phoneticPr fontId="4" type="noConversion"/>
  </si>
  <si>
    <t>취소전표</t>
    <phoneticPr fontId="4" type="noConversion"/>
  </si>
  <si>
    <t>일용비(연세의료원)</t>
    <phoneticPr fontId="4" type="noConversion"/>
  </si>
  <si>
    <t>주차수신호</t>
    <phoneticPr fontId="4" type="noConversion"/>
  </si>
  <si>
    <t>2020년 1월</t>
    <phoneticPr fontId="4" type="noConversion"/>
  </si>
  <si>
    <t>일용비(연세의료원)주차수신호</t>
    <phoneticPr fontId="4" type="noConversion"/>
  </si>
  <si>
    <r>
      <rPr>
        <sz val="10"/>
        <color indexed="10"/>
        <rFont val="맑은 고딕"/>
        <family val="3"/>
        <charset val="129"/>
      </rPr>
      <t>일용비_켄싱턴호텔</t>
    </r>
    <phoneticPr fontId="4" type="noConversion"/>
  </si>
  <si>
    <t>2월분 취소처리</t>
    <phoneticPr fontId="4" type="noConversion"/>
  </si>
  <si>
    <t>일용비(용인동백세브란스)_무인정산기</t>
    <phoneticPr fontId="4" type="noConversion"/>
  </si>
  <si>
    <t>일용비(용인동백세브란스)_주차수신호</t>
    <phoneticPr fontId="4" type="noConversion"/>
  </si>
  <si>
    <t>일용비(연세의료원)_체온측정</t>
    <phoneticPr fontId="4" type="noConversion"/>
  </si>
  <si>
    <t>일용비(연세의료원)_주차수신호</t>
    <phoneticPr fontId="4" type="noConversion"/>
  </si>
  <si>
    <t>3월분 취소처리</t>
    <phoneticPr fontId="4" type="noConversion"/>
  </si>
  <si>
    <t>일용비(용인동백세브란스병원)_주차수신호</t>
    <phoneticPr fontId="4" type="noConversion"/>
  </si>
  <si>
    <t>일용비(용인동백세브란스병원)_무인정산기</t>
    <phoneticPr fontId="4" type="noConversion"/>
  </si>
  <si>
    <t>일용비(위워크)_발열체크</t>
    <phoneticPr fontId="4" type="noConversion"/>
  </si>
  <si>
    <t>일용비(위워크)_매장관리</t>
    <phoneticPr fontId="4" type="noConversion"/>
  </si>
  <si>
    <t>일용비(연세의료원)_발열체크</t>
    <phoneticPr fontId="4" type="noConversion"/>
  </si>
  <si>
    <t>일용비(용인세브란스병원)_주차수신호</t>
    <phoneticPr fontId="4" type="noConversion"/>
  </si>
  <si>
    <t>일용비(용인세브란스병원)_무인정산기</t>
    <phoneticPr fontId="4" type="noConversion"/>
  </si>
  <si>
    <t>일용비(포시즌스호텔 룸메이트)</t>
    <phoneticPr fontId="4" type="noConversion"/>
  </si>
  <si>
    <t>일용비(코트야드)</t>
    <phoneticPr fontId="4" type="noConversion"/>
  </si>
  <si>
    <t>일용비(연세의료원)체온측정</t>
    <phoneticPr fontId="4" type="noConversion"/>
  </si>
  <si>
    <r>
      <rPr>
        <sz val="10"/>
        <color indexed="10"/>
        <rFont val="맑은 고딕"/>
        <family val="3"/>
        <charset val="129"/>
      </rPr>
      <t>일용비(연세의료원)주차수신호</t>
    </r>
    <phoneticPr fontId="4" type="noConversion"/>
  </si>
  <si>
    <t>일용비(여의도메리어트)</t>
  </si>
  <si>
    <t>일용비(광교코트야드)</t>
  </si>
  <si>
    <t>일용비(연세의료원-발열)</t>
  </si>
  <si>
    <t>일용비(영등포코드야드)</t>
  </si>
  <si>
    <t>일용비(영종도 파라다이스호텔)</t>
  </si>
  <si>
    <t>위워크(매장관리)</t>
  </si>
  <si>
    <t>일용비(용인세브란스병원)-무인정산기</t>
    <phoneticPr fontId="4" type="noConversion"/>
  </si>
  <si>
    <t>8월</t>
    <phoneticPr fontId="4" type="noConversion"/>
  </si>
  <si>
    <t>9월</t>
    <phoneticPr fontId="4" type="noConversion"/>
  </si>
  <si>
    <t>2020-10-15</t>
  </si>
  <si>
    <t>2020-10-31</t>
  </si>
  <si>
    <t>일용비(연세 동문회관)_주차수신호</t>
    <phoneticPr fontId="4" type="noConversion"/>
  </si>
  <si>
    <t>일용비(연세의료원)-발열체크</t>
    <phoneticPr fontId="4" type="noConversion"/>
  </si>
  <si>
    <t>일용비(연세의료원)-주차수신호</t>
    <phoneticPr fontId="4" type="noConversion"/>
  </si>
  <si>
    <t>10월</t>
    <phoneticPr fontId="4" type="noConversion"/>
  </si>
  <si>
    <t>2020-11-15</t>
  </si>
  <si>
    <t>2020-11-30</t>
  </si>
  <si>
    <t>일용비(글래드호텔)</t>
  </si>
  <si>
    <t>일용비(인터컨티넨탈 호텔)</t>
  </si>
  <si>
    <t>일용비(영종도 파라다이스)</t>
  </si>
  <si>
    <t>일용비(연세의료원)-동문회관</t>
    <phoneticPr fontId="4" type="noConversion"/>
  </si>
  <si>
    <t>11월</t>
    <phoneticPr fontId="4" type="noConversion"/>
  </si>
  <si>
    <t>2020-12-01</t>
  </si>
  <si>
    <t>2020-12-10</t>
  </si>
  <si>
    <t>2020-12-15</t>
  </si>
  <si>
    <t>2020-12-16</t>
  </si>
  <si>
    <t>2020-12-31</t>
  </si>
  <si>
    <t>애드 컴퍼니</t>
  </si>
  <si>
    <t>더셀채원병원</t>
  </si>
  <si>
    <t>서울더가까이치과의원</t>
  </si>
  <si>
    <t>일용비(건물외벽청소)</t>
  </si>
  <si>
    <t>일용비(인터컨티낸탈호텔)</t>
  </si>
  <si>
    <t>일용비(EZ빌딩)</t>
  </si>
  <si>
    <t>일용비(JW 메리어트호텔)</t>
  </si>
  <si>
    <t>일용비(영종도파라다이스호텔)</t>
  </si>
  <si>
    <t>일용비(인터컨티넨탈호텔)</t>
  </si>
  <si>
    <t>일용비(EZ빌딩-카카오)</t>
  </si>
  <si>
    <t>12월</t>
    <phoneticPr fontId="4" type="noConversion"/>
  </si>
  <si>
    <t>2021-01-15</t>
  </si>
  <si>
    <t>2021-01-31</t>
  </si>
  <si>
    <t>일용비(더현대서울)</t>
  </si>
  <si>
    <t>일용비(패스트파이브)</t>
  </si>
  <si>
    <t>일용비(인터컨티낸탈)</t>
  </si>
  <si>
    <t>1월</t>
    <phoneticPr fontId="4" type="noConversion"/>
  </si>
  <si>
    <t>2021-02-15</t>
  </si>
  <si>
    <t>2021-02-28</t>
  </si>
  <si>
    <t>일용비(페어몬트호텔)</t>
  </si>
  <si>
    <t>일용비(동문회관)</t>
  </si>
  <si>
    <t>2월</t>
    <phoneticPr fontId="4" type="noConversion"/>
  </si>
  <si>
    <t>2021-03-15</t>
  </si>
  <si>
    <t>2021-03-31</t>
  </si>
  <si>
    <t>3월</t>
    <phoneticPr fontId="4" type="noConversion"/>
  </si>
  <si>
    <t>2021-04-15</t>
  </si>
  <si>
    <t>2021-04-30</t>
  </si>
  <si>
    <t>4월</t>
    <phoneticPr fontId="4" type="noConversion"/>
  </si>
  <si>
    <t>2021-05-05</t>
  </si>
  <si>
    <t>(주)한국에스웨이</t>
  </si>
  <si>
    <t>일용비(파라다이스시티호텔)</t>
  </si>
  <si>
    <t>2021-05-15</t>
  </si>
  <si>
    <t>일용비(더현대서울-고객지원)</t>
  </si>
  <si>
    <t>취소전표</t>
    <phoneticPr fontId="4" type="noConversion"/>
  </si>
  <si>
    <t>2017년</t>
    <phoneticPr fontId="4" type="noConversion"/>
  </si>
  <si>
    <t>2018년</t>
    <phoneticPr fontId="4" type="noConversion"/>
  </si>
  <si>
    <t>2019년</t>
    <phoneticPr fontId="4" type="noConversion"/>
  </si>
  <si>
    <t>2020년</t>
    <phoneticPr fontId="4" type="noConversion"/>
  </si>
  <si>
    <t>2021년</t>
    <phoneticPr fontId="4" type="noConversion"/>
  </si>
  <si>
    <t>4건합산입금</t>
    <phoneticPr fontId="4" type="noConversion"/>
  </si>
  <si>
    <t>2건합산입금6454800</t>
    <phoneticPr fontId="4" type="noConversion"/>
  </si>
  <si>
    <t>4월~6월 세액</t>
    <phoneticPr fontId="4" type="noConversion"/>
  </si>
  <si>
    <t>일용비(그래비티 판교)</t>
  </si>
  <si>
    <t>일용비(프레이저플레이스)</t>
  </si>
  <si>
    <t>일용비(센터필드)</t>
  </si>
  <si>
    <t>2021-06-25</t>
  </si>
  <si>
    <t>주식회사 서비스랩</t>
  </si>
  <si>
    <t>2021-06-30</t>
  </si>
  <si>
    <t>일용비(더현대서울-스마일헬퍼)</t>
  </si>
  <si>
    <t>일용비(파라다이스호텔)</t>
  </si>
  <si>
    <t>테라스테이지</t>
    <phoneticPr fontId="4" type="noConversion"/>
  </si>
  <si>
    <t>서비스랩</t>
  </si>
  <si>
    <t>일용비(프레이저)</t>
  </si>
  <si>
    <t>구매대행(주차용품)</t>
  </si>
  <si>
    <t>일용비(임페리얼팰리스)</t>
  </si>
  <si>
    <t>일용비(힐튼호텔 소공)</t>
  </si>
  <si>
    <t>일용비(영등포 코트야드 호텔)</t>
  </si>
  <si>
    <t>8월</t>
    <phoneticPr fontId="4" type="noConversion"/>
  </si>
  <si>
    <t>일용비(영등포 코트야드 호텔)</t>
    <phoneticPr fontId="4" type="noConversion"/>
  </si>
  <si>
    <t>일용비(더현대서울)</t>
    <phoneticPr fontId="4" type="noConversion"/>
  </si>
  <si>
    <t>일용비(더현대서울-스마일헬퍼)</t>
    <phoneticPr fontId="4" type="noConversion"/>
  </si>
  <si>
    <t>일용비(위워크-매장관리)</t>
    <phoneticPr fontId="4" type="noConversion"/>
  </si>
  <si>
    <t>일용비(위워크-발열체크)</t>
    <phoneticPr fontId="4" type="noConversion"/>
  </si>
  <si>
    <t>일용비(패스트파이브)</t>
    <phoneticPr fontId="4" type="noConversion"/>
  </si>
  <si>
    <t>일용비(하얏트)</t>
    <phoneticPr fontId="4" type="noConversion"/>
  </si>
  <si>
    <t>일용비(인터컨티넨탈호텔)</t>
    <phoneticPr fontId="4" type="noConversion"/>
  </si>
  <si>
    <t>일용비(오크우드)</t>
    <phoneticPr fontId="4" type="noConversion"/>
  </si>
  <si>
    <t>일용비(소노벨)</t>
    <phoneticPr fontId="4" type="noConversion"/>
  </si>
  <si>
    <t>일용비(프레이저 플레이스)</t>
  </si>
  <si>
    <t>일용비(힐튼호텔 소공)</t>
    <phoneticPr fontId="4" type="noConversion"/>
  </si>
  <si>
    <t>일용비(임피리얼팰리스)</t>
    <phoneticPr fontId="4" type="noConversion"/>
  </si>
  <si>
    <t>2021-08-31</t>
  </si>
  <si>
    <t>일용비(영등포 코트야드호텔)</t>
  </si>
  <si>
    <t>주식회사 윈잉</t>
  </si>
  <si>
    <t>일용비</t>
    <phoneticPr fontId="4" type="noConversion"/>
  </si>
  <si>
    <t>9월</t>
    <phoneticPr fontId="4" type="noConversion"/>
  </si>
  <si>
    <t>일용비(원주세브란스병원)</t>
  </si>
  <si>
    <t>2021-09-15</t>
  </si>
  <si>
    <t>서울조명(에스에스엘)</t>
    <phoneticPr fontId="4" type="noConversion"/>
  </si>
  <si>
    <t>국민</t>
    <phoneticPr fontId="4" type="noConversion"/>
  </si>
  <si>
    <t>이시스템</t>
  </si>
  <si>
    <t>일용비(갤러리아)</t>
  </si>
  <si>
    <t>부가세는 10월 1일 입금</t>
    <phoneticPr fontId="4" type="noConversion"/>
  </si>
  <si>
    <t>파이로컴</t>
  </si>
  <si>
    <t>10월</t>
    <phoneticPr fontId="4" type="noConversion"/>
  </si>
  <si>
    <t>일용비(포포인츠 호텔)</t>
  </si>
  <si>
    <t>일용비(프레지던트호텔)</t>
  </si>
  <si>
    <t>일용비(임피리얼팰리스)</t>
  </si>
  <si>
    <t>(주)좋은미디어</t>
  </si>
  <si>
    <t>일용비(소노캄)</t>
  </si>
  <si>
    <t>㈜맥서브</t>
  </si>
  <si>
    <t>국민</t>
    <phoneticPr fontId="4" type="noConversion"/>
  </si>
  <si>
    <t>㈜스카이쇼라이트</t>
  </si>
  <si>
    <t>일용비</t>
    <phoneticPr fontId="4" type="noConversion"/>
  </si>
  <si>
    <t>일용비(EZ빌딩 카카오)</t>
  </si>
  <si>
    <t>하나SE</t>
  </si>
  <si>
    <t>11월</t>
    <phoneticPr fontId="4" type="noConversion"/>
  </si>
  <si>
    <t>9/30, 11/2</t>
    <phoneticPr fontId="4" type="noConversion"/>
  </si>
  <si>
    <t>(주)맥서브</t>
  </si>
  <si>
    <t>일용비(오라카이)</t>
  </si>
  <si>
    <t>국민</t>
    <phoneticPr fontId="4" type="noConversion"/>
  </si>
  <si>
    <t>일용비(영등포 코트야드)</t>
  </si>
  <si>
    <t>12월</t>
    <phoneticPr fontId="4" type="noConversion"/>
  </si>
  <si>
    <t>이컴퍼니</t>
  </si>
  <si>
    <t>일용비(오라카이호텔)</t>
  </si>
  <si>
    <t>(주)이노서브비엠</t>
  </si>
  <si>
    <t>일용비(파라다이스 발열체크)</t>
  </si>
  <si>
    <t>일용비(용인세브란스)</t>
  </si>
  <si>
    <t>일용비-영종도</t>
  </si>
  <si>
    <t>이컴퍼니</t>
    <phoneticPr fontId="4" type="noConversion"/>
  </si>
  <si>
    <t>일용비-영종도</t>
    <phoneticPr fontId="4" type="noConversion"/>
  </si>
  <si>
    <t>㈜아이비에스인더스트리</t>
  </si>
  <si>
    <t>일용비(나인트리)</t>
  </si>
  <si>
    <t>국민</t>
    <phoneticPr fontId="4" type="noConversion"/>
  </si>
  <si>
    <t>주식회사 타원형</t>
  </si>
  <si>
    <t>국민</t>
    <phoneticPr fontId="4" type="noConversion"/>
  </si>
  <si>
    <t>일용비(롯데호텔 휘트니스)</t>
  </si>
  <si>
    <t>㈜스카이쇼랩</t>
  </si>
  <si>
    <t>12월27일,30일</t>
    <phoneticPr fontId="4" type="noConversion"/>
  </si>
  <si>
    <t>(주)두잉피플플러스</t>
  </si>
  <si>
    <t>일용비(신세계)</t>
  </si>
  <si>
    <t>(주)아이비에스인더스트리</t>
  </si>
  <si>
    <t>국민</t>
    <phoneticPr fontId="4" type="noConversion"/>
  </si>
  <si>
    <t>01월</t>
    <phoneticPr fontId="4" type="noConversion"/>
  </si>
  <si>
    <t>채움서비스</t>
  </si>
  <si>
    <t>아이비에스</t>
  </si>
  <si>
    <t>일용비(나인트리 인사동)</t>
  </si>
  <si>
    <t>02월</t>
    <phoneticPr fontId="4" type="noConversion"/>
  </si>
  <si>
    <t>(주)에프앤비밸류파트너스</t>
  </si>
  <si>
    <t>일용비(반얀트리)</t>
  </si>
  <si>
    <t>(주)진명스탭스</t>
  </si>
  <si>
    <t>일용비(을지로PJ호텔)</t>
  </si>
  <si>
    <t>비티엠써비스 주식회사</t>
  </si>
  <si>
    <t>부가세7일입금</t>
    <phoneticPr fontId="4" type="noConversion"/>
  </si>
  <si>
    <t>국민</t>
    <phoneticPr fontId="4" type="noConversion"/>
  </si>
  <si>
    <t>03월</t>
    <phoneticPr fontId="4" type="noConversion"/>
  </si>
  <si>
    <t>일용비(파크하얏트)</t>
  </si>
  <si>
    <t>주식회사 힐빙코리아</t>
  </si>
  <si>
    <t>일용비(스타즈호텔)</t>
  </si>
  <si>
    <t>2022년</t>
    <phoneticPr fontId="4" type="noConversion"/>
  </si>
  <si>
    <t>서울공예박물관</t>
  </si>
  <si>
    <t>어린이박물관 전시안내원 용역비</t>
  </si>
  <si>
    <t>서울대학교사범대학부설고등학교</t>
  </si>
  <si>
    <t>서울사대부고 야간경비용역비</t>
  </si>
  <si>
    <t>부경에스이에스㈜</t>
  </si>
  <si>
    <t>용역비(상상나라 주차장청소)</t>
  </si>
  <si>
    <t>04월</t>
    <phoneticPr fontId="4" type="noConversion"/>
  </si>
  <si>
    <t>주식회사 새론피엠에스</t>
  </si>
  <si>
    <t>일용비(압구정 현대백화점)</t>
  </si>
  <si>
    <t>일용비(CGV)</t>
  </si>
  <si>
    <t>05월</t>
    <phoneticPr fontId="4" type="noConversion"/>
  </si>
  <si>
    <t>(주)스카이쇼랩</t>
  </si>
  <si>
    <t>(주)지에스네트웍스 공주지점</t>
  </si>
  <si>
    <t>일용비(공주물류센터 )</t>
  </si>
  <si>
    <t>주식회사 정안피엠에스</t>
  </si>
  <si>
    <t>일용비(남양주 현대아울렛)</t>
  </si>
  <si>
    <t>일용비(파라다이스 발열체크/주차)</t>
  </si>
  <si>
    <t>일용비(루이비통)</t>
  </si>
  <si>
    <t>일용비(인터컨티넨탈호텔-코엑스)</t>
  </si>
  <si>
    <t>일용비(인터컨티넨탈호텔-파르나스)</t>
  </si>
  <si>
    <t>서울사대부고 야간경비 용역비</t>
  </si>
  <si>
    <t>06월</t>
    <phoneticPr fontId="4" type="noConversion"/>
  </si>
  <si>
    <t>07월</t>
    <phoneticPr fontId="4" type="noConversion"/>
  </si>
  <si>
    <t>부경에스이에스(주)</t>
  </si>
  <si>
    <t>덕원공영주차장 미화도급비</t>
  </si>
  <si>
    <t>일용비(글래드)</t>
  </si>
  <si>
    <t>일용비(프레지던트)</t>
  </si>
  <si>
    <t>일용비(힐튼 소공)</t>
  </si>
  <si>
    <t>일용비(쏠비치 진도)</t>
  </si>
  <si>
    <t>일용비(인터컨티 코엑스)</t>
  </si>
  <si>
    <t>일용비(인터컨티 파르나스)</t>
  </si>
  <si>
    <t>(주)케이엠파크</t>
  </si>
  <si>
    <t>일용비(공주물류센터)</t>
  </si>
  <si>
    <t>(주)고암</t>
  </si>
  <si>
    <t>일용비(비트플렉스)</t>
  </si>
  <si>
    <t>(주)세안텍스</t>
  </si>
  <si>
    <t>특별청소</t>
  </si>
  <si>
    <t>어린이박물관 전시스탭 용역비</t>
  </si>
  <si>
    <t>춘천농협농수산물종합유통센터</t>
  </si>
  <si>
    <t>주차용역비(춘천농협)</t>
  </si>
  <si>
    <t>08월</t>
    <phoneticPr fontId="4" type="noConversion"/>
  </si>
  <si>
    <t>신한</t>
    <phoneticPr fontId="4" type="noConversion"/>
  </si>
  <si>
    <t>일용비(홈플러스 합정점)</t>
  </si>
  <si>
    <t>일용비(홈플러스 방학점)</t>
  </si>
  <si>
    <t>일용비(춘천NH타운)</t>
  </si>
  <si>
    <t>2022-08-25</t>
  </si>
  <si>
    <t>일용비(롯데백화점 동탄)</t>
  </si>
  <si>
    <t>일용비(홈플러스 잠실점)</t>
  </si>
  <si>
    <t>일용비(글래드코엑스)</t>
  </si>
  <si>
    <t>(주)지에스네트웍스 양산지점</t>
  </si>
  <si>
    <t>09월</t>
    <phoneticPr fontId="4" type="noConversion"/>
  </si>
  <si>
    <t>국민</t>
    <phoneticPr fontId="4" type="noConversion"/>
  </si>
  <si>
    <t>어린이박물관 행사운영 용역비</t>
    <phoneticPr fontId="4" type="noConversion"/>
  </si>
  <si>
    <t>10월</t>
    <phoneticPr fontId="4" type="noConversion"/>
  </si>
  <si>
    <t>채용대행수수료</t>
    <phoneticPr fontId="4" type="noConversion"/>
  </si>
  <si>
    <t>용역비(춘천NH타운 주차정산안내)</t>
  </si>
  <si>
    <t>용역비(판교아이스퀘어 C1,C2 주차장관리)</t>
  </si>
  <si>
    <t>채용대행수수료</t>
  </si>
  <si>
    <t>국민</t>
    <phoneticPr fontId="4" type="noConversion"/>
  </si>
  <si>
    <t>2022-10-15</t>
  </si>
  <si>
    <t>어린이박물관 행사운영 용역비</t>
  </si>
  <si>
    <t>덕원공영주차장 미화도급비</t>
    <phoneticPr fontId="4" type="noConversion"/>
  </si>
  <si>
    <t>용역비(춘천NH타운 주차정산안내)</t>
    <phoneticPr fontId="4" type="noConversion"/>
  </si>
  <si>
    <t>용역비(판교아이스퀘어 C1,C2 주차장관리)</t>
    <phoneticPr fontId="4" type="noConversion"/>
  </si>
  <si>
    <t>일용비(강남성모병원)</t>
    <phoneticPr fontId="4" type="noConversion"/>
  </si>
  <si>
    <t>일용비(남양주 현대아울렛)</t>
    <phoneticPr fontId="4" type="noConversion"/>
  </si>
  <si>
    <t>일용비(스튜디오에피소드)</t>
  </si>
  <si>
    <t>유한책임회사 티지아이코리아</t>
  </si>
  <si>
    <t>일용비(창원 종합운동장)</t>
  </si>
  <si>
    <t>11월</t>
    <phoneticPr fontId="4" type="noConversion"/>
  </si>
  <si>
    <t>12월</t>
    <phoneticPr fontId="4" type="noConversion"/>
  </si>
  <si>
    <t>채용대행수수료</t>
    <phoneticPr fontId="4" type="noConversion"/>
  </si>
  <si>
    <t>일용비(공주물류센터)</t>
    <phoneticPr fontId="4" type="noConversion"/>
  </si>
  <si>
    <t>일용비(홀리데이인송도)</t>
  </si>
  <si>
    <t>조양국제종합물류(주)</t>
  </si>
  <si>
    <t>덕원공영주차장 미화도급비</t>
    <phoneticPr fontId="4" type="noConversion"/>
  </si>
  <si>
    <t>용역비(춘천NH타운 주차정산안내)</t>
    <phoneticPr fontId="4" type="noConversion"/>
  </si>
  <si>
    <t>용역비(판교아이스퀘어 C1,C2 주차장관리)</t>
    <phoneticPr fontId="4" type="noConversion"/>
  </si>
  <si>
    <t>용역비(춘천NH타운 주차정산안내 7월분)</t>
  </si>
  <si>
    <t>일용비(청주물류센터)</t>
    <phoneticPr fontId="4" type="noConversion"/>
  </si>
  <si>
    <t>일용비(판교H스퀘어)</t>
  </si>
  <si>
    <t>주식회사 케어마스터</t>
  </si>
  <si>
    <t>일용비(JW메리어트 동대문점)</t>
  </si>
  <si>
    <t>2022-12-10</t>
  </si>
  <si>
    <t>어린이박물관 전시스탭 용역비</t>
    <phoneticPr fontId="4" type="noConversion"/>
  </si>
  <si>
    <t>어린이박물관 행사운영 용역비</t>
    <phoneticPr fontId="4" type="noConversion"/>
  </si>
  <si>
    <t>국민</t>
    <phoneticPr fontId="4" type="noConversion"/>
  </si>
  <si>
    <t>(주)라이팅코리아프로</t>
  </si>
  <si>
    <t>일용비(10월,11월)</t>
  </si>
  <si>
    <t>수정계산서발행</t>
    <phoneticPr fontId="4" type="noConversion"/>
  </si>
  <si>
    <t>일용비(인터컨티 파르나스)</t>
    <phoneticPr fontId="4" type="noConversion"/>
  </si>
  <si>
    <t>일용비(인터컨티 코엑스)</t>
    <phoneticPr fontId="4" type="noConversion"/>
  </si>
  <si>
    <t>일용비(파크하얏트)</t>
    <phoneticPr fontId="4" type="noConversion"/>
  </si>
  <si>
    <t>일용비(롯데호텔 휘트니스)</t>
    <phoneticPr fontId="4" type="noConversion"/>
  </si>
  <si>
    <t>서울사대부고 야간경비용역비</t>
    <phoneticPr fontId="4" type="noConversion"/>
  </si>
  <si>
    <t>덕원공영주차장 미화도급비</t>
    <phoneticPr fontId="4" type="noConversion"/>
  </si>
  <si>
    <t>용역비(판교아이스퀘어 C1,C2 주차장관리)</t>
    <phoneticPr fontId="4" type="noConversion"/>
  </si>
  <si>
    <t>2022-12-31</t>
  </si>
  <si>
    <t>15일에 중복입금</t>
    <phoneticPr fontId="4" type="noConversion"/>
  </si>
  <si>
    <t>일용비(청주물류센터)</t>
  </si>
  <si>
    <t>일용</t>
  </si>
  <si>
    <t>2022-12-15</t>
  </si>
  <si>
    <t>2022-12-01</t>
  </si>
  <si>
    <t>(주)로젠택배 종로지사</t>
  </si>
  <si>
    <t>2022-12-05</t>
  </si>
  <si>
    <t>2022-12-20</t>
  </si>
  <si>
    <t>2022-12-25</t>
  </si>
  <si>
    <t>두더지오가 (대상건기)</t>
  </si>
  <si>
    <t>23년</t>
    <phoneticPr fontId="4" type="noConversion"/>
  </si>
  <si>
    <t>2023년</t>
    <phoneticPr fontId="4" type="noConversion"/>
  </si>
  <si>
    <t>국민</t>
    <phoneticPr fontId="4" type="noConversion"/>
  </si>
  <si>
    <t>입금완료</t>
    <phoneticPr fontId="4" type="noConversion"/>
  </si>
  <si>
    <t>어린이박물관 전시안내용역비</t>
  </si>
  <si>
    <t>입금완료</t>
    <phoneticPr fontId="4" type="noConversion"/>
  </si>
  <si>
    <t>덕원공영주차장 미화도급비</t>
    <phoneticPr fontId="4" type="noConversion"/>
  </si>
  <si>
    <t>인력공급비</t>
  </si>
  <si>
    <t>2월</t>
    <phoneticPr fontId="4" type="noConversion"/>
  </si>
  <si>
    <t>3월</t>
    <phoneticPr fontId="4" type="noConversion"/>
  </si>
  <si>
    <t>용역비(판교아이스퀘어 C1,C2 주차장관리)</t>
    <phoneticPr fontId="4" type="noConversion"/>
  </si>
  <si>
    <t>일용비(나루엠갤러리)</t>
  </si>
  <si>
    <t>일용비(패스트파이브-2권역)</t>
  </si>
  <si>
    <t>일용비(패스트파이브-1권역)</t>
  </si>
  <si>
    <t>일용비(카카오 픽코마)</t>
  </si>
  <si>
    <t>삼구-&gt;발렉스</t>
    <phoneticPr fontId="4" type="noConversion"/>
  </si>
  <si>
    <t>서울사대부고 야간경비용역비</t>
    <phoneticPr fontId="4" type="noConversion"/>
  </si>
  <si>
    <t>용역비(판교아이스퀘어 C1,C2 주차장관리)</t>
    <phoneticPr fontId="4" type="noConversion"/>
  </si>
  <si>
    <t>덕원공영주차장 미화도급비</t>
    <phoneticPr fontId="4" type="noConversion"/>
  </si>
  <si>
    <t>일용비(에버랜드 골프장)</t>
  </si>
  <si>
    <t>주식회사 피앤케이네트웍스</t>
  </si>
  <si>
    <t>판교아이스퀘어 비품 외</t>
  </si>
  <si>
    <t>일용비(롯데호텔휘트니스)</t>
  </si>
  <si>
    <t>취소전표</t>
    <phoneticPr fontId="4" type="noConversion"/>
  </si>
  <si>
    <t>취소전표</t>
    <phoneticPr fontId="4" type="noConversion"/>
  </si>
  <si>
    <t>입금완료</t>
    <phoneticPr fontId="4" type="noConversion"/>
  </si>
  <si>
    <t>어린이박물관 전시안내용역비</t>
    <phoneticPr fontId="4" type="noConversion"/>
  </si>
  <si>
    <t>2023-03-24</t>
  </si>
  <si>
    <t>2023-03-25</t>
  </si>
  <si>
    <t>2023-03-27</t>
  </si>
  <si>
    <t>4월</t>
    <phoneticPr fontId="4" type="noConversion"/>
  </si>
  <si>
    <t>용역비(판교아이스퀘어 C1,C2 주차장관리)</t>
    <phoneticPr fontId="4" type="noConversion"/>
  </si>
  <si>
    <t>일용비(호암미술관)</t>
  </si>
  <si>
    <t>일용비(에버랜드)</t>
  </si>
  <si>
    <t>일용비(곤지암 골프클럽)</t>
  </si>
  <si>
    <t>일용비(홀리데이인송도홀</t>
  </si>
  <si>
    <t>일용비(위워크-FM)</t>
  </si>
  <si>
    <t>2023-04-19</t>
  </si>
  <si>
    <t>2022년 하반기 어린이박물관 행사운영 용역비 정산</t>
  </si>
  <si>
    <t>2022년 어린이박물관 전시스탭 용역비 정산</t>
  </si>
  <si>
    <t>3/31 송금</t>
    <phoneticPr fontId="4" type="noConversion"/>
  </si>
  <si>
    <t>5월</t>
    <phoneticPr fontId="4" type="noConversion"/>
  </si>
  <si>
    <t>용역비(판교아이스퀘어 C1,C2 주차장관리)</t>
    <phoneticPr fontId="4" type="noConversion"/>
  </si>
  <si>
    <t>일용비(더현대-스마일)</t>
  </si>
  <si>
    <t>일용비(캐리비안베이)</t>
  </si>
  <si>
    <t>일용비(패스트파이브1)</t>
  </si>
  <si>
    <t>일용비(패스트파이브2)</t>
  </si>
  <si>
    <t>일용비(위워크-사무실)</t>
  </si>
  <si>
    <t>(주)에스엠서비스</t>
  </si>
  <si>
    <t>일용비</t>
    <phoneticPr fontId="4" type="noConversion"/>
  </si>
  <si>
    <t>6월</t>
    <phoneticPr fontId="4" type="noConversion"/>
  </si>
  <si>
    <t>일용비</t>
    <phoneticPr fontId="4" type="noConversion"/>
  </si>
  <si>
    <t>용역비(판교아이스퀘어 C1,C2 주차장관리)</t>
    <phoneticPr fontId="4" type="noConversion"/>
  </si>
  <si>
    <t>주식회사 쇼라이트</t>
  </si>
  <si>
    <t>㈜지엠엠</t>
  </si>
  <si>
    <t>일용비(SC컨벤션)</t>
  </si>
  <si>
    <t>완도군내LH1단지아파트관리사무소</t>
  </si>
  <si>
    <t>06월 경비용역비</t>
    <phoneticPr fontId="4" type="noConversion"/>
  </si>
  <si>
    <t>일용비(제넥신&amp;프로젠 바이오 이노베이션 파크)</t>
  </si>
  <si>
    <t>7월</t>
    <phoneticPr fontId="4" type="noConversion"/>
  </si>
  <si>
    <t>(주)스완씨엔티</t>
  </si>
  <si>
    <t>일용비(하얏트호텔 카펫 가구운반)</t>
  </si>
  <si>
    <t>용역비(판교아이스퀘어 C1,C2 주차장관리)</t>
    <phoneticPr fontId="4" type="noConversion"/>
  </si>
  <si>
    <t>일용비(빌리브 아카이브 남산)</t>
  </si>
  <si>
    <t>(주)칠삼컴퍼니</t>
  </si>
  <si>
    <t>라이트온스테이지</t>
  </si>
  <si>
    <t>일용비(서머셋팰리스)</t>
  </si>
  <si>
    <t>(주)두잉씨앤에스-더현대</t>
  </si>
  <si>
    <t>(주)두잉씨앤에스-더현대스마일</t>
  </si>
  <si>
    <t>(주)두잉씨앤에스-하얏트</t>
  </si>
  <si>
    <t>(주)두잉씨앤에스-파크하얏트</t>
  </si>
  <si>
    <t>(주)두잉씨앤에스-롯데</t>
  </si>
  <si>
    <t>(주)두잉씨앤에스-오크우드</t>
  </si>
  <si>
    <t>(주)두잉씨앤에스-소노벨</t>
  </si>
  <si>
    <t>07월 경비용역비</t>
    <phoneticPr fontId="4" type="noConversion"/>
  </si>
  <si>
    <t>피에이아름다운관리(주)</t>
  </si>
  <si>
    <t>07월 경비용역비-군산</t>
  </si>
  <si>
    <t>대한무역투자진흥공사</t>
  </si>
  <si>
    <t>서울 deXter 디지털무역상담실 운영 용역</t>
  </si>
  <si>
    <t>컬러쉐이크</t>
  </si>
  <si>
    <t>8월</t>
    <phoneticPr fontId="4" type="noConversion"/>
  </si>
  <si>
    <t>용역비(판교아이스퀘어 C1,C2 주차장관리)</t>
    <phoneticPr fontId="4" type="noConversion"/>
  </si>
  <si>
    <t>일용비(IFC몰)</t>
  </si>
  <si>
    <t>스타이벤트 컴퍼니</t>
  </si>
  <si>
    <t>국민</t>
    <phoneticPr fontId="4" type="noConversion"/>
  </si>
  <si>
    <t>라이팅코리아프로</t>
  </si>
  <si>
    <t>2023-08-31</t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</si>
  <si>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</si>
  <si>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</si>
  <si>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</si>
  <si>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</si>
  <si>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용역비(판교아이스퀘어 C1,C2 주차장관리)</t>
    <phoneticPr fontId="4" type="noConversion"/>
  </si>
  <si>
    <t>일용비(루닛)</t>
  </si>
  <si>
    <t>일용비(패스트파이브1권역)</t>
  </si>
  <si>
    <t>일용비(패스트파이브2권역)</t>
  </si>
  <si>
    <t>일용비(오라카이청계)</t>
  </si>
  <si>
    <t>일용비(오라카이송도)</t>
  </si>
  <si>
    <t>더 라이트 컴퍼니</t>
  </si>
  <si>
    <t>08월 경비용역비</t>
    <phoneticPr fontId="4" type="noConversion"/>
  </si>
  <si>
    <t>08월 경비용역비-군산오션클래스</t>
    <phoneticPr fontId="4" type="noConversion"/>
  </si>
  <si>
    <t>(주)한국레이어시스템</t>
  </si>
  <si>
    <t>용역비(판교아이스퀘어 C1,C2 주차장관리)</t>
    <phoneticPr fontId="4" type="noConversion"/>
  </si>
  <si>
    <t>(주)두잉씨앤에스-롯데휘트</t>
  </si>
  <si>
    <t>(주)두잉씨앤에스-인터코엑스</t>
  </si>
  <si>
    <t>비티엠써비스 주식회사-위워크</t>
  </si>
  <si>
    <t>비티엠써비스 주식회사-패파</t>
  </si>
  <si>
    <t>(주)아이비에스인더스트리-나인트리</t>
    <phoneticPr fontId="4" type="noConversion"/>
  </si>
  <si>
    <t>09월 경비용역비</t>
    <phoneticPr fontId="4" type="noConversion"/>
  </si>
  <si>
    <t>09월 경비용역비-군산오션클래스</t>
    <phoneticPr fontId="4" type="noConversion"/>
  </si>
  <si>
    <t>10월 경비용역비-군산오션클래스</t>
  </si>
  <si>
    <t>10월 경비용역비</t>
  </si>
  <si>
    <t>서울 deXter 디지털무역상담실 운영 용역</t>
    <phoneticPr fontId="4" type="noConversion"/>
  </si>
  <si>
    <t>진천광혜원코아루아파트입주자대표회의</t>
  </si>
  <si>
    <t>10월 미화용역비</t>
  </si>
  <si>
    <t>씨유(SeeU)</t>
  </si>
  <si>
    <t>용역비(판교아이스퀘어 C1,C2 주차장관리)</t>
    <phoneticPr fontId="4" type="noConversion"/>
  </si>
  <si>
    <t>일용비(경원재 앰버서더 인천)</t>
  </si>
  <si>
    <t>11월 경비용역비-군산오션클래스</t>
  </si>
  <si>
    <t>11월 경비용역</t>
  </si>
  <si>
    <t>파르나스호텔(주)</t>
  </si>
  <si>
    <t>일용비(파르나스호텔 주차)</t>
  </si>
  <si>
    <t>11월 미화용역비</t>
  </si>
  <si>
    <t>일용비(오라카이 송도)</t>
  </si>
  <si>
    <t>일용비(오라카이 대학로)</t>
  </si>
  <si>
    <t>(주)호산서비스</t>
  </si>
  <si>
    <t>일용비(풀만 호텔)</t>
  </si>
  <si>
    <t>일용비(글래드 여의도)</t>
  </si>
  <si>
    <t>11/22 6백만원 입금, 11/30 3백만원 입금, 12/15 2,627,000입금/ 전액 입금완료</t>
    <phoneticPr fontId="4" type="noConversion"/>
  </si>
  <si>
    <t>12월 경비용역비</t>
  </si>
  <si>
    <t>12월 경비용역비-군산오션클래스</t>
  </si>
  <si>
    <t>일용비(코오롱 행사장)</t>
  </si>
  <si>
    <t>12월 미화용역비</t>
  </si>
  <si>
    <t>1월</t>
    <phoneticPr fontId="4" type="noConversion"/>
  </si>
  <si>
    <t>2023-12-31</t>
  </si>
  <si>
    <t>용역비(판교아이스퀘어 C2 콜센터)</t>
  </si>
  <si>
    <t>일용비(인천터미널 롯데 푸드코트)</t>
  </si>
  <si>
    <t>일용비(잠실 롯데 푸드코트)</t>
  </si>
  <si>
    <t>일용비(인스파이어 리조트)</t>
  </si>
  <si>
    <t>(주)이노서브에프엠</t>
  </si>
  <si>
    <t>일용비(엘리에나 호텔)</t>
  </si>
  <si>
    <t>주식회사에이스조명</t>
  </si>
  <si>
    <t>디 아크 라이트</t>
  </si>
  <si>
    <t>2024년</t>
    <phoneticPr fontId="4" type="noConversion"/>
  </si>
  <si>
    <t>(주)로젠택배영등포지점</t>
  </si>
  <si>
    <t>2024-01-31</t>
  </si>
  <si>
    <t>2월</t>
    <phoneticPr fontId="4" type="noConversion"/>
  </si>
  <si>
    <t>2024-02-01</t>
  </si>
  <si>
    <t>2024-01-22</t>
  </si>
  <si>
    <t>1월 경비용역비</t>
  </si>
  <si>
    <t>1월 경비용역비-군산오션클래스</t>
  </si>
  <si>
    <t>우리자산관리(주)호매실22단지</t>
  </si>
  <si>
    <t>1월 미화용역비</t>
  </si>
  <si>
    <t>일용비(EG빌딩)</t>
  </si>
  <si>
    <t>일용비(패스트파이브-3권역)</t>
  </si>
  <si>
    <t>일용비(풀만호텔)</t>
  </si>
  <si>
    <t>(주)윌앤비전</t>
  </si>
  <si>
    <t>일용비(롯데시티명동)</t>
  </si>
  <si>
    <t>1/30) 15,000,000 입금, 2/8) 62,620,400 입금</t>
    <phoneticPr fontId="4" type="noConversion"/>
  </si>
  <si>
    <t>공급가액합계</t>
    <phoneticPr fontId="4" type="noConversion"/>
  </si>
  <si>
    <t>2월 경비용역비</t>
  </si>
  <si>
    <t>2월 경비용역비-군산오션클래스</t>
  </si>
  <si>
    <t>일용비(나인트리)</t>
    <phoneticPr fontId="4" type="noConversion"/>
  </si>
  <si>
    <t>2월 미화용역비</t>
  </si>
  <si>
    <t>2/21 2,500,000입금 3/15 2,541,000입금(1,262,000상계)</t>
    <phoneticPr fontId="4" type="noConversion"/>
  </si>
  <si>
    <t>3월 경비용역비-군산오션클래스</t>
  </si>
  <si>
    <t>3월 경비용역비</t>
  </si>
  <si>
    <t>3/15 2,541,000입금(1,279,000상계) / 잔액 3,000,000 3/27입금</t>
    <phoneticPr fontId="4" type="noConversion"/>
  </si>
  <si>
    <t>2024-03-29</t>
  </si>
  <si>
    <t>3월 미화용역비</t>
  </si>
  <si>
    <t>3월</t>
    <phoneticPr fontId="4" type="noConversion"/>
  </si>
  <si>
    <t>4월</t>
    <phoneticPr fontId="4" type="noConversion"/>
  </si>
  <si>
    <t>일용비(보코호텔 서울)</t>
  </si>
  <si>
    <t>4월 경비용역비-군산오션클래스</t>
  </si>
  <si>
    <t>4월 경비용역비</t>
  </si>
  <si>
    <t>미문도장</t>
  </si>
  <si>
    <t>4월 미화용역비</t>
  </si>
  <si>
    <t>5월</t>
    <phoneticPr fontId="4" type="noConversion"/>
  </si>
  <si>
    <t>4/15 공급가액만 입금,5/16 부가세까지 입금완료</t>
    <phoneticPr fontId="4" type="noConversion"/>
  </si>
  <si>
    <t>2/13 공급가액만 입금, 5/21 부가세까지 입금완료</t>
    <phoneticPr fontId="4" type="noConversion"/>
  </si>
  <si>
    <t>5월 경비용역비-군산오션클래스</t>
  </si>
  <si>
    <t>5월 경비용역비</t>
    <phoneticPr fontId="4" type="noConversion"/>
  </si>
  <si>
    <t>용역비(판교아이스퀘어 C1 주차장관리)</t>
  </si>
  <si>
    <t>5월 미화용역비</t>
  </si>
  <si>
    <t>6월</t>
    <phoneticPr fontId="4" type="noConversion"/>
  </si>
  <si>
    <t>주식회사 씨에스큐</t>
  </si>
  <si>
    <t>일용비(현대백화점 미아점)</t>
  </si>
  <si>
    <t>일용비(동대문 라마다)</t>
  </si>
  <si>
    <t>완도군내LH1단지아파트관리사무소</t>
    <phoneticPr fontId="4" type="noConversion"/>
  </si>
  <si>
    <t>6월 경비용역비</t>
  </si>
  <si>
    <t>6월 경비용역비-군산오션클래스</t>
  </si>
  <si>
    <t>6월 미화용역비</t>
  </si>
  <si>
    <t>7월</t>
    <phoneticPr fontId="4" type="noConversion"/>
  </si>
  <si>
    <t>일용비(반트 스포츠센터)</t>
  </si>
  <si>
    <t>일용비(인스파이어 룸메이드)</t>
  </si>
  <si>
    <t>주식회사 케이아트</t>
  </si>
  <si>
    <t>7월 경비용역비-군산오션클래스</t>
  </si>
  <si>
    <t>7월 경비용역비</t>
  </si>
  <si>
    <t>7월 미화용역비</t>
  </si>
  <si>
    <t>8월</t>
    <phoneticPr fontId="4" type="noConversion"/>
  </si>
  <si>
    <t>용역비</t>
    <phoneticPr fontId="4" type="noConversion"/>
  </si>
  <si>
    <t>(주)삼구아이앤씨-인스파이어</t>
    <phoneticPr fontId="4" type="noConversion"/>
  </si>
  <si>
    <t>8월 경비용역비-군산오션클래스</t>
    <phoneticPr fontId="4" type="noConversion"/>
  </si>
  <si>
    <t>8월 경비용역비</t>
    <phoneticPr fontId="4" type="noConversion"/>
  </si>
  <si>
    <t>6/28 880만 입금, 8/9 1000만 입금 / 잔액 760만 8/28 입금완료</t>
    <phoneticPr fontId="4" type="noConversion"/>
  </si>
  <si>
    <t>8월 미화용역비</t>
  </si>
  <si>
    <t>9월</t>
    <phoneticPr fontId="4" type="noConversion"/>
  </si>
  <si>
    <t>일용비(여의도 콘래드)</t>
  </si>
  <si>
    <t>일용비(맹그로브 동대문)</t>
  </si>
  <si>
    <t>일용비(신라스테이 광화문)</t>
  </si>
  <si>
    <t>일용비(파크하얏트)+외국인</t>
    <phoneticPr fontId="4" type="noConversion"/>
  </si>
  <si>
    <t>일용비(소노벨)+외국인</t>
  </si>
  <si>
    <t xml:space="preserve">9월 경비용역비-군산오션클래스 </t>
  </si>
  <si>
    <t>9월 경비용역비</t>
  </si>
  <si>
    <t>2024-09-30</t>
  </si>
  <si>
    <t>9월 미화용역비</t>
  </si>
  <si>
    <t>10월</t>
    <phoneticPr fontId="4" type="noConversion"/>
  </si>
  <si>
    <t>일용비(라마다 동대문)</t>
  </si>
  <si>
    <t>㈜케이아트</t>
  </si>
  <si>
    <t>10월 경비용역비-군산</t>
  </si>
  <si>
    <t>11월</t>
    <phoneticPr fontId="4" type="noConversion"/>
  </si>
  <si>
    <t>10/24 350만원입금 10/31 잔액입금완료</t>
    <phoneticPr fontId="4" type="noConversion"/>
  </si>
  <si>
    <t>12월</t>
    <phoneticPr fontId="4" type="noConversion"/>
  </si>
  <si>
    <t>일용비 (더현대서울)</t>
  </si>
  <si>
    <t>일용비 (하얏트)</t>
  </si>
  <si>
    <t>일용비 (파크하얏트)</t>
  </si>
  <si>
    <t>일용비 (오크우드)</t>
  </si>
  <si>
    <t>일용비 (소노벨)</t>
  </si>
  <si>
    <t>일용비 (패스트파이브 1권역)</t>
  </si>
  <si>
    <t>일용비 (패스트파이브 2권역)</t>
  </si>
  <si>
    <t>일용비 (패스트파이브 3권역)</t>
  </si>
  <si>
    <t>(주)와스알이엠</t>
  </si>
  <si>
    <t>일용비 (인터컨티낸탈 파르나스 주차)</t>
  </si>
  <si>
    <t>일용비 (동서울터미널 미화)</t>
  </si>
  <si>
    <t>일용비 (인터컨티낸탈 파르나스)</t>
  </si>
  <si>
    <t>일용비 (시그니엘)</t>
  </si>
  <si>
    <t>일용비 (오라카이 대학로)</t>
  </si>
  <si>
    <t>일용비 (풀만호텔)</t>
  </si>
  <si>
    <t>일용비 (신라호텔)</t>
  </si>
  <si>
    <t>일용비 (라까사호텔 광명)</t>
  </si>
  <si>
    <t>일용비 (롯데시티 명동)</t>
  </si>
  <si>
    <t>일용비 (반얀트리)</t>
  </si>
  <si>
    <t>일용비 (라마다 동대문)</t>
  </si>
  <si>
    <t>일용비 (신라스테이 광화문)</t>
  </si>
  <si>
    <t>일용비 (엠디호텔 독산)</t>
  </si>
  <si>
    <t>(주)이노서브비엠</t>
    <phoneticPr fontId="4" type="noConversion"/>
  </si>
  <si>
    <t>일용비 (더현대서울-스마일헬퍼)</t>
  </si>
  <si>
    <t>11월 경비용역비</t>
    <phoneticPr fontId="4" type="noConversion"/>
  </si>
  <si>
    <t>11월 경비용역비-군산</t>
    <phoneticPr fontId="4" type="noConversion"/>
  </si>
  <si>
    <t>일용비(나인트리)</t>
    <phoneticPr fontId="4" type="noConversion"/>
  </si>
  <si>
    <t>용역비(판교아이스퀘어 C1,C2 주차장관리)</t>
    <phoneticPr fontId="4" type="noConversion"/>
  </si>
  <si>
    <t>일용비 (연세의료원)</t>
  </si>
  <si>
    <t>일용비 (연세동문회관)</t>
  </si>
  <si>
    <t>일용비 (용인세브란스)</t>
  </si>
  <si>
    <t>일용비 (강남세브란스)</t>
  </si>
  <si>
    <t>일용비 (더현대-스마일)</t>
  </si>
  <si>
    <t>일용비 (카카오 픽코마)</t>
  </si>
  <si>
    <t>일용비 (패스트파이브-1권역)</t>
  </si>
  <si>
    <t>일용비 (패스트파이브-2권역)</t>
  </si>
  <si>
    <t>일용비 (패스트파이브-3권역)</t>
  </si>
  <si>
    <t>일용비 (동서울터미널)</t>
  </si>
  <si>
    <t>일용비 (여의도 콘래드)</t>
  </si>
  <si>
    <t>일용비 (기흥 이케아)</t>
  </si>
  <si>
    <t>일용비 (위워크-매장관리)</t>
  </si>
  <si>
    <t>일용비 (용산 드래곤시티)</t>
  </si>
  <si>
    <t>일용비 (롯데시티명동)</t>
  </si>
  <si>
    <t>일용비 (포포인츠)</t>
  </si>
  <si>
    <t>(주)유니클</t>
  </si>
  <si>
    <t>2024-11-30</t>
  </si>
  <si>
    <t>(주)제이삼영</t>
  </si>
  <si>
    <t>서브원(미아)</t>
  </si>
  <si>
    <t>유한책임회사 티지아이코리아</t>
    <phoneticPr fontId="4" type="noConversion"/>
  </si>
  <si>
    <t>12월 경비용역비</t>
    <phoneticPr fontId="4" type="noConversion"/>
  </si>
  <si>
    <t>12월 경비용역비-군산</t>
    <phoneticPr fontId="4" type="noConversion"/>
  </si>
  <si>
    <t>용역비(판교아이스퀘어 C1,C2 주차장관리)</t>
    <phoneticPr fontId="4" type="noConversion"/>
  </si>
  <si>
    <t>2024-12-05</t>
  </si>
  <si>
    <t>2024-12-10</t>
  </si>
  <si>
    <t>2024-12-15</t>
  </si>
  <si>
    <t>2024-12-20</t>
  </si>
  <si>
    <t>2024-12-25</t>
  </si>
  <si>
    <t>2024-12-30</t>
  </si>
  <si>
    <t>2024-12-24</t>
  </si>
  <si>
    <t>일용비 (연세 동문회관)</t>
  </si>
  <si>
    <t>일용비 (더현대서울-스마일)</t>
  </si>
  <si>
    <t>일용비 (인터컨티넨탈 파르나스)</t>
  </si>
  <si>
    <t>일용비 (기흥이케아-카트,제설)</t>
  </si>
  <si>
    <t>일용비 (기흥이케아-기물)</t>
  </si>
  <si>
    <t>일용비 (용산드래곤시티)</t>
  </si>
  <si>
    <t>일용비 (라까사)</t>
  </si>
  <si>
    <t>우리은행으로 부가세만 입금</t>
    <phoneticPr fontId="4" type="noConversion"/>
  </si>
  <si>
    <t>경비용역 간접노무비, 연차수당 및 퇴직급여</t>
  </si>
  <si>
    <t>1/14발급취소</t>
    <phoneticPr fontId="4" type="noConversion"/>
  </si>
  <si>
    <t>1/14수정발급</t>
    <phoneticPr fontId="4" type="noConversion"/>
  </si>
  <si>
    <t>2025-01-17</t>
  </si>
  <si>
    <t>서울 덱스터 디지털 무역 상담실 운영 용역</t>
  </si>
  <si>
    <t>주식회사 에이치노바</t>
  </si>
  <si>
    <t xml:space="preserve">1월 경비용역비 </t>
  </si>
  <si>
    <t>2025년</t>
    <phoneticPr fontId="4" type="noConversion"/>
  </si>
  <si>
    <t xml:space="preserve">1월 미화용역비 </t>
  </si>
  <si>
    <t>용역비(판교아이스퀘어 C1,C2 주차장관리)</t>
    <phoneticPr fontId="4" type="noConversion"/>
  </si>
  <si>
    <t>일용비 (에피소드 용산)</t>
  </si>
  <si>
    <t>(주)현운서비스</t>
  </si>
  <si>
    <t>주식회사 엔젤스태프</t>
  </si>
  <si>
    <t>일용비 (나인트리)</t>
  </si>
  <si>
    <t>주식회사 더맨</t>
  </si>
  <si>
    <t>일용비 (서초 힐튼)</t>
  </si>
  <si>
    <t>일용비 (JW메리어트)</t>
  </si>
  <si>
    <t>일용비 (포시즌스)</t>
  </si>
  <si>
    <t>일용비 (신라호텔-객실관리)</t>
  </si>
  <si>
    <t>일용비 (신라호텔-슈터외)</t>
  </si>
  <si>
    <t>2025-01-31</t>
  </si>
  <si>
    <t>주식회사 스마트피엔지</t>
  </si>
  <si>
    <t>2월에 카드결제</t>
    <phoneticPr fontId="4" type="noConversion"/>
  </si>
  <si>
    <t>2024-12-31</t>
  </si>
  <si>
    <t>금액수정</t>
    <phoneticPr fontId="4" type="noConversion"/>
  </si>
  <si>
    <t>금액수정</t>
    <phoneticPr fontId="4" type="noConversion"/>
  </si>
  <si>
    <t>주차비</t>
  </si>
  <si>
    <t>일용비 (소노벨)-외국인</t>
    <phoneticPr fontId="4" type="noConversion"/>
  </si>
  <si>
    <t>교육부 국립국제교육원</t>
  </si>
  <si>
    <t>제98회 한국어능력시험(TOPIK) 채점본부 회의 지원 용역비</t>
  </si>
  <si>
    <t>25년1월 용역비</t>
    <phoneticPr fontId="4" type="noConversion"/>
  </si>
  <si>
    <t>24년12월 용역비</t>
    <phoneticPr fontId="4" type="noConversion"/>
  </si>
  <si>
    <t>계</t>
    <phoneticPr fontId="4" type="noConversion"/>
  </si>
  <si>
    <t>백원미만절사</t>
    <phoneticPr fontId="4" type="noConversion"/>
  </si>
  <si>
    <t>2/12 카드사 입금액</t>
    <phoneticPr fontId="4" type="noConversion"/>
  </si>
  <si>
    <t>스카이쇼랩결제금액</t>
    <phoneticPr fontId="4" type="noConversion"/>
  </si>
  <si>
    <t>실제카드수수료</t>
    <phoneticPr fontId="4" type="noConversion"/>
  </si>
  <si>
    <t>차액은 기업-&gt;하나로 입금</t>
    <phoneticPr fontId="4" type="noConversion"/>
  </si>
  <si>
    <t>잘못된차액</t>
    <phoneticPr fontId="4" type="noConversion"/>
  </si>
  <si>
    <t>용역비(판교아이스퀘어 C1,C2 주차장관리)</t>
    <phoneticPr fontId="4" type="noConversion"/>
  </si>
  <si>
    <t>2025-02-28</t>
  </si>
  <si>
    <t>일용비 (신라호텔-슈터외)</t>
    <phoneticPr fontId="4" type="noConversion"/>
  </si>
  <si>
    <t>일용비 (신라호텔-객실관리)</t>
    <phoneticPr fontId="4" type="noConversion"/>
  </si>
  <si>
    <t>일용비 (제주롯데호텔)</t>
  </si>
  <si>
    <t>일용비 (카카오픽코마)</t>
  </si>
  <si>
    <t>일용비 (패스트파이브-1권역_</t>
  </si>
  <si>
    <t>일용비 (서초힐튼호텔)</t>
  </si>
  <si>
    <t>일용비 (알로프트 강남)</t>
  </si>
  <si>
    <t>일용비 (기흥이케아)</t>
  </si>
  <si>
    <t>일용비 (오라카이)</t>
  </si>
  <si>
    <t>주식회사 엔젤스테프</t>
  </si>
  <si>
    <t>㈜지앤비시스템</t>
  </si>
  <si>
    <t>일용비 (원그로브)</t>
  </si>
  <si>
    <t>주식회사 뷰티크</t>
  </si>
  <si>
    <t>엠넷플러스 "숨바꼭질" 인력비(백희살롱)</t>
  </si>
  <si>
    <t>제5회 IBT 채점본부 회의 지원 용역비</t>
  </si>
  <si>
    <t xml:space="preserve">일용비 </t>
  </si>
  <si>
    <t>삼광컴퍼니 주식회사</t>
  </si>
  <si>
    <t>전기공사 인건비</t>
  </si>
  <si>
    <t>2025-02-20</t>
  </si>
  <si>
    <t>3/10, 11, 12</t>
    <phoneticPr fontId="4" type="noConversion"/>
  </si>
  <si>
    <t>주식회사 더에이치케이파트너스</t>
  </si>
  <si>
    <t>일용비 (현대백화점 판교점)</t>
  </si>
  <si>
    <t>3/21, 3/24</t>
    <phoneticPr fontId="4" type="noConversion"/>
  </si>
  <si>
    <t xml:space="preserve">3월 미화용역비 </t>
  </si>
  <si>
    <t>일용비 (신라호텔-슈터외)</t>
    <phoneticPr fontId="4" type="noConversion"/>
  </si>
  <si>
    <t>일용비 (신라호텔-객실관리)</t>
    <phoneticPr fontId="4" type="noConversion"/>
  </si>
  <si>
    <t>일용비 (PJ호텔)</t>
  </si>
  <si>
    <t>일용비 (에피소드용산)</t>
  </si>
  <si>
    <t>일용비 (제주 롯데호텔)</t>
  </si>
  <si>
    <t>㈜윌앤비전</t>
  </si>
  <si>
    <t>㈜엘림비엠에스</t>
  </si>
  <si>
    <t>일용비 (용산머큐어호텔)</t>
  </si>
  <si>
    <t>제6회 IBT 채점본부 회의 지원 용역비</t>
  </si>
  <si>
    <t xml:space="preserve"> </t>
    <phoneticPr fontId="4" type="noConversion"/>
  </si>
  <si>
    <t>제7회 말하기평가 채점본부 회의 지원 용역비</t>
  </si>
  <si>
    <t>일용비 (소노벨)</t>
    <phoneticPr fontId="4" type="noConversion"/>
  </si>
  <si>
    <t>㈜두잉씨앤에스</t>
  </si>
  <si>
    <t>제99회 PBT 채점회의 지원 용역비</t>
  </si>
  <si>
    <t xml:space="preserve">4월 미화용역비 </t>
    <phoneticPr fontId="4" type="noConversion"/>
  </si>
  <si>
    <t>5월 경비용역비</t>
  </si>
  <si>
    <t>일용비 (현대백화점 미아점)</t>
  </si>
  <si>
    <t>용역비(판교아이스퀘어 C1,C2 주차장관리)</t>
    <phoneticPr fontId="4" type="noConversion"/>
  </si>
  <si>
    <t>일용비 (용인 세브란스)</t>
  </si>
  <si>
    <t>일용비 (강남 세브란스)</t>
  </si>
  <si>
    <t>㈜케이엠파크</t>
  </si>
  <si>
    <t>2025-07-02</t>
  </si>
  <si>
    <t>주식회사 쏘카</t>
  </si>
  <si>
    <t>2025.06 주차장 사용료</t>
  </si>
  <si>
    <t>의료법인 영문의료재단 다보스병원</t>
  </si>
  <si>
    <t>7월 경비용역비</t>
    <phoneticPr fontId="4" type="noConversion"/>
  </si>
  <si>
    <t>제100회 PBT, 제7회 IBT, 제8회 말하기평가 한국어능력시험(TOPIK) 채점본부 회의 지원 용역비</t>
  </si>
  <si>
    <t>용역비(판교아이스퀘어 C1,C2 주차장관리)</t>
    <phoneticPr fontId="4" type="noConversion"/>
  </si>
  <si>
    <t>2025-07-24</t>
  </si>
  <si>
    <t>2025-07-31</t>
  </si>
  <si>
    <t>일용비 (소노캄 고양-룸메이드)</t>
  </si>
  <si>
    <t>일용비 (여의도메리어트)</t>
  </si>
  <si>
    <t>2025.08 주차장 사용료</t>
  </si>
  <si>
    <t>제101회 PBT 채점본부 회의 지원 용역비</t>
  </si>
  <si>
    <t>용역비(판교아이스퀘어 C1,C2 주차장관리)</t>
    <phoneticPr fontId="4" type="noConversion"/>
  </si>
  <si>
    <t>8월 미화용역비</t>
    <phoneticPr fontId="4" type="noConversion"/>
  </si>
  <si>
    <t>일용비 (소노캄 고양-룸메이드)</t>
    <phoneticPr fontId="4" type="noConversion"/>
  </si>
  <si>
    <t>일용비 (소노벨-룸메이드)</t>
    <phoneticPr fontId="4" type="noConversion"/>
  </si>
  <si>
    <t>일용비 (소노벨-룸메이드)</t>
  </si>
  <si>
    <t>일용비 (소노캄-룸메이드)</t>
  </si>
  <si>
    <t>9월 경비용역비</t>
    <phoneticPr fontId="4" type="noConversion"/>
  </si>
  <si>
    <t>제8회 IBT 한국어능력시험 채점본부 회의 지원 용역비</t>
    <phoneticPr fontId="4" type="noConversion"/>
  </si>
  <si>
    <t>9월 미화용역비</t>
    <phoneticPr fontId="4" type="noConversion"/>
  </si>
  <si>
    <t>2025-09-02</t>
  </si>
  <si>
    <t>2025.09 주차장 사용료</t>
  </si>
  <si>
    <t>용역비(판교아이스퀘어 C1,C2 주차장관리)</t>
    <phoneticPr fontId="4" type="noConversion"/>
  </si>
  <si>
    <t>2025-09-24</t>
  </si>
  <si>
    <t>2025-09-30</t>
  </si>
  <si>
    <t>일용비 (소노캄)</t>
  </si>
  <si>
    <t>일용비 (소노캄 고양)</t>
  </si>
  <si>
    <t>10월 경비용역비</t>
    <phoneticPr fontId="4" type="noConversion"/>
  </si>
  <si>
    <t>퇴직정산 간접노무비</t>
    <phoneticPr fontId="4" type="noConversion"/>
  </si>
  <si>
    <t>용역비 (판교아이스퀘어 C1,C2 주차장관리)</t>
    <phoneticPr fontId="4" type="noConversion"/>
  </si>
  <si>
    <t xml:space="preserve">일용비 (소노벨-룸메이드) </t>
  </si>
  <si>
    <t xml:space="preserve">일용비 (소노캄 고양-룸메이드) </t>
  </si>
  <si>
    <t>2025-10-31</t>
  </si>
  <si>
    <t>주식회사 엠엠에스컴퍼니</t>
    <phoneticPr fontId="4" type="noConversion"/>
  </si>
  <si>
    <t>교육부 국립국제교육원</t>
    <phoneticPr fontId="4" type="noConversion"/>
  </si>
  <si>
    <t>제102회 PBT 한국어능력시험 채점회의지원 용역비</t>
    <phoneticPr fontId="4" type="noConversion"/>
  </si>
  <si>
    <t>09월 장례식장 주차비</t>
  </si>
  <si>
    <t>2025-10-02</t>
  </si>
  <si>
    <t>2025.10 주차장 사용료</t>
  </si>
  <si>
    <t>장례식장 주차비(10월)</t>
  </si>
  <si>
    <t>2025-11-04</t>
  </si>
  <si>
    <t>2025.11 주차장 사용료</t>
  </si>
  <si>
    <t>주식회사 동성기획</t>
  </si>
  <si>
    <t>일용비 (소노캄-룸메이드)</t>
    <phoneticPr fontId="4" type="noConversion"/>
  </si>
  <si>
    <t>인건비</t>
  </si>
  <si>
    <t>일용비</t>
    <phoneticPr fontId="4" type="noConversion"/>
  </si>
  <si>
    <t>용역비 (판교아이스퀘어 C1,C2 주차장관리)</t>
    <phoneticPr fontId="4" type="noConversion"/>
  </si>
  <si>
    <t>인건비 (연세의료원 외 4건)</t>
    <phoneticPr fontId="4" type="noConversion"/>
  </si>
  <si>
    <t>2025-11-30</t>
  </si>
  <si>
    <t>11월 장례식장 주차비</t>
  </si>
  <si>
    <t>2025-12-02</t>
  </si>
  <si>
    <t>주차설비장비대금</t>
  </si>
  <si>
    <t>2025.12 주차장 사용료</t>
  </si>
  <si>
    <t>2025-12-05</t>
  </si>
  <si>
    <t>제103회 PBT 채점본부 회의 지원 용역비</t>
  </si>
  <si>
    <t>교육비 국립국제교육원</t>
  </si>
  <si>
    <t>제10회 IBT 채점본부 회의 지원 용역비</t>
  </si>
  <si>
    <t>일용비 (소노벨-룸메이드)</t>
    <phoneticPr fontId="4" type="noConversion"/>
  </si>
  <si>
    <t>일용비 (소노캄-룸메이드)</t>
    <phoneticPr fontId="4" type="noConversion"/>
  </si>
  <si>
    <t>신화에스피씨 주식회사</t>
  </si>
  <si>
    <t>일용비 (김포현대아울렛)</t>
    <phoneticPr fontId="4" type="noConversion"/>
  </si>
  <si>
    <t>인건비 (연세의료원 외 4건)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</si>
  <si>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</si>
  <si>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</si>
  <si>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</si>
  <si>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</si>
  <si>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</si>
  <si>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</si>
  <si>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</si>
  <si>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</si>
  <si>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</si>
  <si>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</si>
  <si>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</si>
  <si>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</si>
  <si>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12/26 취소</t>
    <phoneticPr fontId="4" type="noConversion"/>
  </si>
  <si>
    <t>2025-12-26</t>
  </si>
  <si>
    <t>6/16 발행분</t>
    <phoneticPr fontId="4" type="noConversion"/>
  </si>
  <si>
    <t>2025-12-31</t>
  </si>
  <si>
    <t>12월 장례식장 주차비</t>
  </si>
  <si>
    <t>2026-01-02</t>
  </si>
  <si>
    <t>2026.01 주차장 사용료</t>
  </si>
  <si>
    <t>2026-01-04</t>
  </si>
  <si>
    <t>2026년</t>
    <phoneticPr fontId="4" type="noConversion"/>
  </si>
  <si>
    <t>2025년 합계</t>
    <phoneticPr fontId="4" type="noConversion"/>
  </si>
  <si>
    <t>01월 경비용역비</t>
    <phoneticPr fontId="4" type="noConversion"/>
  </si>
  <si>
    <t>2026-01-25</t>
  </si>
  <si>
    <t xml:space="preserve">일용비 (연세의료원 외 3건) </t>
  </si>
  <si>
    <t>2026-02-01</t>
  </si>
  <si>
    <t>2026-02-03</t>
  </si>
  <si>
    <t>2026.02 주차장 사용료</t>
  </si>
  <si>
    <t>2026-02-15</t>
  </si>
  <si>
    <t>02월 경비용역비</t>
    <phoneticPr fontId="4" type="noConversion"/>
  </si>
  <si>
    <t>11만원은 2/23일에 입금</t>
    <phoneticPr fontId="4" type="noConversion"/>
  </si>
  <si>
    <t>1월 장례식장 주차비</t>
  </si>
  <si>
    <t>2026-03-01</t>
  </si>
  <si>
    <t>2026-02-28</t>
  </si>
  <si>
    <t>2월 장례식장 주차비</t>
  </si>
  <si>
    <t>2026-03-03</t>
  </si>
  <si>
    <t>2026.03 주차장 사용료</t>
  </si>
  <si>
    <t>2026-03-04</t>
  </si>
  <si>
    <t>한국보육진흥원</t>
  </si>
  <si>
    <t>2월 사무보조 용역비</t>
  </si>
  <si>
    <t>2026-03-08</t>
  </si>
  <si>
    <t>03월 경비용역비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</si>
</sst>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###,##0"/>
    <numFmt numFmtId="177" formatCode="#,##0_ "/>
    <numFmt numFmtId="178" formatCode="mm&quot;월&quot;\ dd&quot;일&quot;"/>
    <numFmt numFmtId="179" formatCode="#,##0_);[Red]\(#,##0\)"/>
  </numFmts>
  <fonts count="3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sz val="10"/>
      <color rgb="FF575757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249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3" fillId="0" borderId="0"/>
    <xf numFmtId="0" fontId="11" fillId="0" borderId="0"/>
    <xf numFmtId="0" fontId="3" fillId="0" borderId="0"/>
    <xf numFmtId="0" fontId="12" fillId="0" borderId="0" applyNumberFormat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0" borderId="0"/>
    <xf numFmtId="0" fontId="2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0" borderId="0"/>
    <xf numFmtId="0" fontId="2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  <xf numFmtId="0" fontId="29" fillId="0" borderId="0"/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3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14">
    <xf numFmtId="0" fontId="0" fillId="0" borderId="0" xfId="0" applyNumberFormat="1" applyFont="1" applyFill="1" applyBorder="1" applyAlignment="1"/>
    <xf numFmtId="0" fontId="17" fillId="0" borderId="0" xfId="0" applyFont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177" fontId="20" fillId="0" borderId="0" xfId="1" applyNumberFormat="1" applyFont="1" applyFill="1" applyBorder="1" applyAlignment="1">
      <alignment vertical="center"/>
    </xf>
    <xf numFmtId="49" fontId="20" fillId="0" borderId="0" xfId="0" applyNumberFormat="1" applyFont="1" applyFill="1" applyBorder="1" applyAlignment="1">
      <alignment horizontal="left" vertical="center"/>
    </xf>
    <xf numFmtId="3" fontId="23" fillId="0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78" fontId="16" fillId="0" borderId="0" xfId="0" applyNumberFormat="1" applyFont="1" applyFill="1" applyBorder="1" applyAlignment="1">
      <alignment horizontal="center" vertical="center"/>
    </xf>
    <xf numFmtId="178" fontId="16" fillId="0" borderId="3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vertical="center"/>
    </xf>
    <xf numFmtId="41" fontId="20" fillId="0" borderId="0" xfId="1" applyFont="1" applyFill="1" applyBorder="1" applyAlignment="1">
      <alignment vertical="center"/>
    </xf>
    <xf numFmtId="49" fontId="19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177" fontId="16" fillId="0" borderId="0" xfId="1" applyNumberFormat="1" applyFont="1" applyFill="1" applyBorder="1" applyAlignment="1">
      <alignment horizontal="center" vertical="center"/>
    </xf>
    <xf numFmtId="41" fontId="16" fillId="0" borderId="0" xfId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177" fontId="16" fillId="0" borderId="1" xfId="1" applyNumberFormat="1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41" fontId="16" fillId="0" borderId="1" xfId="0" applyNumberFormat="1" applyFont="1" applyFill="1" applyBorder="1" applyAlignment="1">
      <alignment horizontal="center" vertical="center"/>
    </xf>
    <xf numFmtId="14" fontId="19" fillId="0" borderId="0" xfId="41" applyNumberFormat="1" applyFont="1" applyFill="1" applyBorder="1" applyAlignment="1">
      <alignment horizontal="center" vertical="center"/>
    </xf>
    <xf numFmtId="0" fontId="19" fillId="0" borderId="0" xfId="41" applyFont="1" applyFill="1" applyBorder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19" fillId="0" borderId="0" xfId="41" applyFont="1" applyFill="1" applyBorder="1" applyAlignment="1">
      <alignment horizontal="left" vertical="center"/>
    </xf>
    <xf numFmtId="14" fontId="18" fillId="0" borderId="0" xfId="41" applyNumberFormat="1" applyFont="1" applyFill="1" applyBorder="1" applyAlignment="1">
      <alignment horizontal="center" vertical="center"/>
    </xf>
    <xf numFmtId="0" fontId="18" fillId="0" borderId="0" xfId="41" applyFont="1" applyFill="1" applyBorder="1" applyAlignment="1">
      <alignment horizontal="center" vertical="center"/>
    </xf>
    <xf numFmtId="3" fontId="18" fillId="0" borderId="0" xfId="1" applyNumberFormat="1" applyFont="1" applyFill="1" applyBorder="1" applyAlignment="1">
      <alignment horizontal="right" vertical="center"/>
    </xf>
    <xf numFmtId="0" fontId="18" fillId="0" borderId="0" xfId="41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177" fontId="19" fillId="0" borderId="0" xfId="1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41" fontId="19" fillId="0" borderId="0" xfId="1" applyFont="1" applyFill="1" applyBorder="1" applyAlignment="1">
      <alignment horizontal="right" vertical="center"/>
    </xf>
    <xf numFmtId="178" fontId="16" fillId="0" borderId="0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14" fontId="19" fillId="0" borderId="3" xfId="41" applyNumberFormat="1" applyFont="1" applyFill="1" applyBorder="1" applyAlignment="1">
      <alignment horizontal="center" vertical="center"/>
    </xf>
    <xf numFmtId="0" fontId="19" fillId="0" borderId="3" xfId="41" applyFont="1" applyFill="1" applyBorder="1" applyAlignment="1">
      <alignment horizontal="center" vertical="center"/>
    </xf>
    <xf numFmtId="41" fontId="19" fillId="0" borderId="3" xfId="1" applyFont="1" applyFill="1" applyBorder="1" applyAlignment="1">
      <alignment horizontal="right" vertical="center"/>
    </xf>
    <xf numFmtId="0" fontId="19" fillId="0" borderId="3" xfId="41" applyFont="1" applyFill="1" applyBorder="1" applyAlignment="1">
      <alignment horizontal="left" vertical="center"/>
    </xf>
    <xf numFmtId="178" fontId="16" fillId="0" borderId="3" xfId="0" applyNumberFormat="1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center" vertical="center"/>
    </xf>
    <xf numFmtId="14" fontId="19" fillId="0" borderId="0" xfId="42" applyNumberFormat="1" applyFont="1" applyFill="1" applyBorder="1" applyAlignment="1">
      <alignment horizontal="center" vertical="center"/>
    </xf>
    <xf numFmtId="0" fontId="19" fillId="0" borderId="0" xfId="42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41" fontId="16" fillId="0" borderId="0" xfId="1" applyFont="1" applyFill="1" applyBorder="1" applyAlignment="1">
      <alignment horizontal="right" vertical="center"/>
    </xf>
    <xf numFmtId="14" fontId="19" fillId="0" borderId="3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3" fontId="19" fillId="0" borderId="3" xfId="1" applyNumberFormat="1" applyFont="1" applyFill="1" applyBorder="1" applyAlignment="1">
      <alignment horizontal="right" vertical="center"/>
    </xf>
    <xf numFmtId="0" fontId="19" fillId="0" borderId="3" xfId="0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left" vertical="center"/>
    </xf>
    <xf numFmtId="14" fontId="19" fillId="0" borderId="0" xfId="0" applyNumberFormat="1" applyFont="1" applyFill="1" applyBorder="1" applyAlignment="1">
      <alignment horizontal="center" vertical="center"/>
    </xf>
    <xf numFmtId="3" fontId="19" fillId="0" borderId="0" xfId="1" applyNumberFormat="1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/>
    </xf>
    <xf numFmtId="14" fontId="18" fillId="0" borderId="0" xfId="0" applyNumberFormat="1" applyFont="1" applyFill="1" applyBorder="1" applyAlignment="1">
      <alignment horizontal="center" vertical="center"/>
    </xf>
    <xf numFmtId="178" fontId="16" fillId="0" borderId="3" xfId="0" quotePrefix="1" applyNumberFormat="1" applyFont="1" applyFill="1" applyBorder="1" applyAlignment="1">
      <alignment horizontal="center" vertical="center"/>
    </xf>
    <xf numFmtId="14" fontId="19" fillId="0" borderId="4" xfId="0" applyNumberFormat="1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3" fontId="19" fillId="0" borderId="4" xfId="1" applyNumberFormat="1" applyFont="1" applyFill="1" applyBorder="1" applyAlignment="1">
      <alignment horizontal="right" vertical="center"/>
    </xf>
    <xf numFmtId="0" fontId="19" fillId="0" borderId="4" xfId="0" applyFont="1" applyFill="1" applyBorder="1" applyAlignment="1">
      <alignment horizontal="left" vertical="center"/>
    </xf>
    <xf numFmtId="178" fontId="16" fillId="0" borderId="0" xfId="0" quotePrefix="1" applyNumberFormat="1" applyFont="1" applyFill="1" applyBorder="1" applyAlignment="1">
      <alignment horizontal="center" vertical="center"/>
    </xf>
    <xf numFmtId="177" fontId="16" fillId="0" borderId="5" xfId="1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178" fontId="19" fillId="0" borderId="0" xfId="0" applyNumberFormat="1" applyFont="1" applyFill="1" applyBorder="1" applyAlignment="1">
      <alignment horizontal="center" vertical="center"/>
    </xf>
    <xf numFmtId="177" fontId="16" fillId="0" borderId="8" xfId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77" fontId="16" fillId="0" borderId="6" xfId="1" applyNumberFormat="1" applyFont="1" applyFill="1" applyBorder="1" applyAlignment="1">
      <alignment horizontal="center" vertical="center"/>
    </xf>
    <xf numFmtId="177" fontId="16" fillId="0" borderId="6" xfId="0" applyNumberFormat="1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177" fontId="16" fillId="0" borderId="9" xfId="0" applyNumberFormat="1" applyFont="1" applyFill="1" applyBorder="1" applyAlignment="1">
      <alignment horizontal="center" vertical="center"/>
    </xf>
    <xf numFmtId="178" fontId="18" fillId="0" borderId="0" xfId="0" quotePrefix="1" applyNumberFormat="1" applyFont="1" applyFill="1" applyBorder="1" applyAlignment="1">
      <alignment horizontal="center" vertical="center"/>
    </xf>
    <xf numFmtId="177" fontId="18" fillId="0" borderId="0" xfId="1" applyNumberFormat="1" applyFont="1" applyFill="1" applyBorder="1" applyAlignment="1">
      <alignment horizontal="center" vertical="center"/>
    </xf>
    <xf numFmtId="41" fontId="18" fillId="0" borderId="0" xfId="1" applyFont="1" applyFill="1" applyBorder="1" applyAlignment="1">
      <alignment horizontal="center" vertical="center"/>
    </xf>
    <xf numFmtId="178" fontId="19" fillId="0" borderId="0" xfId="0" quotePrefix="1" applyNumberFormat="1" applyFont="1" applyFill="1" applyBorder="1" applyAlignment="1">
      <alignment horizontal="center" vertical="center"/>
    </xf>
    <xf numFmtId="178" fontId="19" fillId="0" borderId="3" xfId="0" applyNumberFormat="1" applyFont="1" applyFill="1" applyBorder="1" applyAlignment="1">
      <alignment horizontal="center" vertical="center"/>
    </xf>
    <xf numFmtId="177" fontId="16" fillId="0" borderId="2" xfId="1" applyNumberFormat="1" applyFont="1" applyFill="1" applyBorder="1" applyAlignment="1">
      <alignment horizontal="center" vertical="center"/>
    </xf>
    <xf numFmtId="176" fontId="19" fillId="0" borderId="0" xfId="1" applyNumberFormat="1" applyFont="1" applyFill="1" applyBorder="1" applyAlignment="1">
      <alignment horizontal="right" vertical="center"/>
    </xf>
    <xf numFmtId="176" fontId="19" fillId="0" borderId="4" xfId="1" applyNumberFormat="1" applyFont="1" applyFill="1" applyBorder="1" applyAlignment="1">
      <alignment horizontal="right" vertical="center"/>
    </xf>
    <xf numFmtId="176" fontId="18" fillId="0" borderId="0" xfId="1" applyNumberFormat="1" applyFont="1" applyFill="1" applyBorder="1" applyAlignment="1">
      <alignment horizontal="right" vertical="center"/>
    </xf>
    <xf numFmtId="178" fontId="18" fillId="0" borderId="0" xfId="0" applyNumberFormat="1" applyFont="1" applyFill="1" applyBorder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center"/>
    </xf>
    <xf numFmtId="176" fontId="19" fillId="0" borderId="3" xfId="1" applyNumberFormat="1" applyFont="1" applyFill="1" applyBorder="1" applyAlignment="1">
      <alignment horizontal="right" vertical="center"/>
    </xf>
    <xf numFmtId="178" fontId="19" fillId="0" borderId="4" xfId="0" applyNumberFormat="1" applyFont="1" applyFill="1" applyBorder="1" applyAlignment="1">
      <alignment horizontal="center" vertical="center"/>
    </xf>
    <xf numFmtId="176" fontId="19" fillId="0" borderId="4" xfId="0" applyNumberFormat="1" applyFont="1" applyFill="1" applyBorder="1" applyAlignment="1">
      <alignment horizontal="center" vertical="center"/>
    </xf>
    <xf numFmtId="178" fontId="19" fillId="0" borderId="0" xfId="35" applyNumberFormat="1" applyFont="1" applyFill="1" applyBorder="1" applyAlignment="1">
      <alignment horizontal="center" vertical="center"/>
    </xf>
    <xf numFmtId="14" fontId="19" fillId="0" borderId="0" xfId="35" applyNumberFormat="1" applyFont="1" applyFill="1" applyBorder="1" applyAlignment="1">
      <alignment horizontal="center" vertical="center"/>
    </xf>
    <xf numFmtId="0" fontId="19" fillId="0" borderId="0" xfId="35" applyFont="1" applyFill="1" applyBorder="1" applyAlignment="1">
      <alignment horizontal="center" vertical="center"/>
    </xf>
    <xf numFmtId="0" fontId="19" fillId="0" borderId="0" xfId="35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center" vertical="center"/>
    </xf>
    <xf numFmtId="178" fontId="16" fillId="0" borderId="4" xfId="0" applyNumberFormat="1" applyFont="1" applyFill="1" applyBorder="1" applyAlignment="1">
      <alignment horizontal="center" vertical="center"/>
    </xf>
    <xf numFmtId="178" fontId="16" fillId="0" borderId="0" xfId="1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177" fontId="16" fillId="0" borderId="11" xfId="1" applyNumberFormat="1" applyFont="1" applyFill="1" applyBorder="1" applyAlignment="1">
      <alignment horizontal="center" vertical="center"/>
    </xf>
    <xf numFmtId="177" fontId="16" fillId="0" borderId="12" xfId="1" applyNumberFormat="1" applyFont="1" applyFill="1" applyBorder="1" applyAlignment="1">
      <alignment horizontal="center" vertical="center"/>
    </xf>
    <xf numFmtId="3" fontId="16" fillId="0" borderId="0" xfId="0" applyNumberFormat="1" applyFont="1" applyFill="1" applyBorder="1" applyAlignment="1">
      <alignment horizontal="left" vertical="center"/>
    </xf>
    <xf numFmtId="177" fontId="16" fillId="0" borderId="4" xfId="1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4" fontId="18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176" fontId="18" fillId="0" borderId="4" xfId="1" applyNumberFormat="1" applyFont="1" applyFill="1" applyBorder="1" applyAlignment="1">
      <alignment horizontal="right" vertical="center"/>
    </xf>
    <xf numFmtId="0" fontId="18" fillId="0" borderId="4" xfId="0" applyFont="1" applyFill="1" applyBorder="1" applyAlignment="1">
      <alignment horizontal="left" vertical="center"/>
    </xf>
    <xf numFmtId="177" fontId="18" fillId="0" borderId="4" xfId="1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/>
    </xf>
    <xf numFmtId="41" fontId="16" fillId="0" borderId="4" xfId="1" applyFont="1" applyFill="1" applyBorder="1" applyAlignment="1">
      <alignment horizontal="center" vertical="center"/>
    </xf>
    <xf numFmtId="14" fontId="19" fillId="0" borderId="0" xfId="39" applyNumberFormat="1" applyFont="1" applyFill="1" applyBorder="1" applyAlignment="1">
      <alignment horizontal="center" vertical="center"/>
    </xf>
    <xf numFmtId="0" fontId="19" fillId="0" borderId="0" xfId="39" applyFont="1" applyFill="1" applyBorder="1" applyAlignment="1">
      <alignment horizontal="center" vertical="center"/>
    </xf>
    <xf numFmtId="0" fontId="19" fillId="0" borderId="0" xfId="39" applyFont="1" applyFill="1" applyBorder="1" applyAlignment="1">
      <alignment horizontal="left" vertical="center"/>
    </xf>
    <xf numFmtId="14" fontId="19" fillId="0" borderId="0" xfId="38" applyNumberFormat="1" applyFont="1" applyFill="1" applyBorder="1" applyAlignment="1">
      <alignment horizontal="center" vertical="center"/>
    </xf>
    <xf numFmtId="0" fontId="19" fillId="0" borderId="0" xfId="38" applyFont="1" applyFill="1" applyBorder="1" applyAlignment="1">
      <alignment horizontal="center" vertical="center"/>
    </xf>
    <xf numFmtId="0" fontId="19" fillId="0" borderId="0" xfId="38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center" vertical="center"/>
    </xf>
    <xf numFmtId="177" fontId="16" fillId="0" borderId="0" xfId="1" applyNumberFormat="1" applyFont="1" applyFill="1" applyBorder="1" applyAlignment="1">
      <alignment horizontal="left" vertical="center"/>
    </xf>
    <xf numFmtId="3" fontId="22" fillId="0" borderId="13" xfId="0" applyNumberFormat="1" applyFont="1" applyFill="1" applyBorder="1" applyAlignment="1">
      <alignment horizontal="center" vertical="center" wrapText="1"/>
    </xf>
    <xf numFmtId="14" fontId="18" fillId="0" borderId="3" xfId="0" applyNumberFormat="1" applyFont="1" applyFill="1" applyBorder="1" applyAlignment="1">
      <alignment horizontal="center" vertical="center"/>
    </xf>
    <xf numFmtId="176" fontId="18" fillId="0" borderId="3" xfId="1" applyNumberFormat="1" applyFont="1" applyFill="1" applyBorder="1" applyAlignment="1">
      <alignment horizontal="right" vertical="center"/>
    </xf>
    <xf numFmtId="41" fontId="16" fillId="0" borderId="3" xfId="1" applyFont="1" applyFill="1" applyBorder="1" applyAlignment="1">
      <alignment horizontal="right" vertical="center"/>
    </xf>
    <xf numFmtId="14" fontId="16" fillId="0" borderId="3" xfId="0" applyNumberFormat="1" applyFont="1" applyFill="1" applyBorder="1" applyAlignment="1">
      <alignment horizontal="center" vertical="center"/>
    </xf>
    <xf numFmtId="41" fontId="18" fillId="0" borderId="0" xfId="1" applyFont="1" applyFill="1" applyBorder="1" applyAlignment="1">
      <alignment horizontal="right" vertical="center"/>
    </xf>
    <xf numFmtId="177" fontId="16" fillId="0" borderId="3" xfId="1" applyNumberFormat="1" applyFont="1" applyFill="1" applyBorder="1" applyAlignment="1">
      <alignment horizontal="center" vertical="center"/>
    </xf>
    <xf numFmtId="41" fontId="16" fillId="0" borderId="3" xfId="1" applyFont="1" applyFill="1" applyBorder="1" applyAlignment="1">
      <alignment horizontal="center" vertical="center"/>
    </xf>
    <xf numFmtId="178" fontId="16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right" vertical="center"/>
    </xf>
    <xf numFmtId="14" fontId="16" fillId="0" borderId="4" xfId="0" applyNumberFormat="1" applyFont="1" applyFill="1" applyBorder="1" applyAlignment="1">
      <alignment horizontal="center" vertical="center"/>
    </xf>
    <xf numFmtId="14" fontId="16" fillId="2" borderId="0" xfId="0" applyNumberFormat="1" applyFont="1" applyFill="1" applyBorder="1" applyAlignment="1">
      <alignment horizontal="center" vertical="center"/>
    </xf>
    <xf numFmtId="41" fontId="16" fillId="2" borderId="0" xfId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left" vertical="center"/>
    </xf>
    <xf numFmtId="178" fontId="16" fillId="2" borderId="0" xfId="0" applyNumberFormat="1" applyFont="1" applyFill="1" applyBorder="1" applyAlignment="1">
      <alignment horizontal="center" vertical="center"/>
    </xf>
    <xf numFmtId="177" fontId="16" fillId="2" borderId="0" xfId="1" applyNumberFormat="1" applyFont="1" applyFill="1" applyBorder="1" applyAlignment="1">
      <alignment horizontal="center" vertical="center"/>
    </xf>
    <xf numFmtId="41" fontId="16" fillId="2" borderId="0" xfId="1" applyFont="1" applyFill="1" applyBorder="1" applyAlignment="1">
      <alignment horizontal="center" vertical="center"/>
    </xf>
    <xf numFmtId="14" fontId="16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41" fontId="16" fillId="5" borderId="0" xfId="1" applyFont="1" applyFill="1" applyBorder="1" applyAlignment="1">
      <alignment horizontal="right" vertical="center"/>
    </xf>
    <xf numFmtId="0" fontId="16" fillId="5" borderId="0" xfId="0" applyFont="1" applyFill="1" applyBorder="1" applyAlignment="1">
      <alignment horizontal="left" vertical="center"/>
    </xf>
    <xf numFmtId="178" fontId="16" fillId="5" borderId="0" xfId="0" applyNumberFormat="1" applyFont="1" applyFill="1" applyBorder="1" applyAlignment="1">
      <alignment horizontal="center" vertical="center"/>
    </xf>
    <xf numFmtId="177" fontId="16" fillId="5" borderId="0" xfId="1" applyNumberFormat="1" applyFont="1" applyFill="1" applyBorder="1" applyAlignment="1">
      <alignment horizontal="center" vertical="center"/>
    </xf>
    <xf numFmtId="41" fontId="16" fillId="5" borderId="0" xfId="1" applyFont="1" applyFill="1" applyBorder="1" applyAlignment="1">
      <alignment horizontal="center" vertical="center"/>
    </xf>
    <xf numFmtId="14" fontId="16" fillId="5" borderId="3" xfId="0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41" fontId="16" fillId="5" borderId="3" xfId="1" applyFont="1" applyFill="1" applyBorder="1" applyAlignment="1">
      <alignment horizontal="right" vertical="center"/>
    </xf>
    <xf numFmtId="0" fontId="16" fillId="5" borderId="3" xfId="0" applyFont="1" applyFill="1" applyBorder="1" applyAlignment="1">
      <alignment horizontal="left" vertical="center"/>
    </xf>
    <xf numFmtId="177" fontId="16" fillId="5" borderId="3" xfId="1" applyNumberFormat="1" applyFont="1" applyFill="1" applyBorder="1" applyAlignment="1">
      <alignment horizontal="center" vertical="center"/>
    </xf>
    <xf numFmtId="41" fontId="16" fillId="5" borderId="3" xfId="1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/>
    <xf numFmtId="0" fontId="16" fillId="0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1" fontId="16" fillId="4" borderId="0" xfId="1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center"/>
    </xf>
    <xf numFmtId="179" fontId="19" fillId="0" borderId="0" xfId="1" applyNumberFormat="1" applyFont="1" applyFill="1" applyBorder="1" applyAlignment="1"/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9" fontId="19" fillId="0" borderId="3" xfId="1" applyNumberFormat="1" applyFont="1" applyFill="1" applyBorder="1" applyAlignment="1"/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</cellXfs>
  <cellStyles count="31249">
    <cellStyle name="쉼표 [0]" xfId="1" builtinId="6"/>
    <cellStyle name="쉼표 [0] 10" xfId="2" xr:uid="{00000000-0005-0000-0000-000001000000}"/>
    <cellStyle name="쉼표 [0] 10 10" xfId="68" xr:uid="{00000000-0005-0000-0000-000002000000}"/>
    <cellStyle name="쉼표 [0] 10 11" xfId="69" xr:uid="{00000000-0005-0000-0000-000003000000}"/>
    <cellStyle name="쉼표 [0] 10 12" xfId="70" xr:uid="{00000000-0005-0000-0000-000004000000}"/>
    <cellStyle name="쉼표 [0] 10 13" xfId="71" xr:uid="{00000000-0005-0000-0000-000005000000}"/>
    <cellStyle name="쉼표 [0] 10 14" xfId="72" xr:uid="{00000000-0005-0000-0000-000006000000}"/>
    <cellStyle name="쉼표 [0] 10 15" xfId="73" xr:uid="{00000000-0005-0000-0000-000007000000}"/>
    <cellStyle name="쉼표 [0] 10 2" xfId="74" xr:uid="{00000000-0005-0000-0000-000008000000}"/>
    <cellStyle name="쉼표 [0] 10 2 2" xfId="75" xr:uid="{00000000-0005-0000-0000-000009000000}"/>
    <cellStyle name="쉼표 [0] 10 2 2 2" xfId="76" xr:uid="{00000000-0005-0000-0000-00000A000000}"/>
    <cellStyle name="쉼표 [0] 10 2 2 2 2" xfId="77" xr:uid="{00000000-0005-0000-0000-00000B000000}"/>
    <cellStyle name="쉼표 [0] 10 2 2 3" xfId="78" xr:uid="{00000000-0005-0000-0000-00000C000000}"/>
    <cellStyle name="쉼표 [0] 10 2 3" xfId="79" xr:uid="{00000000-0005-0000-0000-00000D000000}"/>
    <cellStyle name="쉼표 [0] 10 2 3 2" xfId="80" xr:uid="{00000000-0005-0000-0000-00000E000000}"/>
    <cellStyle name="쉼표 [0] 10 2 4" xfId="81" xr:uid="{00000000-0005-0000-0000-00000F000000}"/>
    <cellStyle name="쉼표 [0] 10 3" xfId="82" xr:uid="{00000000-0005-0000-0000-000010000000}"/>
    <cellStyle name="쉼표 [0] 10 3 2" xfId="83" xr:uid="{00000000-0005-0000-0000-000011000000}"/>
    <cellStyle name="쉼표 [0] 10 3 2 2" xfId="84" xr:uid="{00000000-0005-0000-0000-000012000000}"/>
    <cellStyle name="쉼표 [0] 10 3 3" xfId="85" xr:uid="{00000000-0005-0000-0000-000013000000}"/>
    <cellStyle name="쉼표 [0] 10 4" xfId="86" xr:uid="{00000000-0005-0000-0000-000014000000}"/>
    <cellStyle name="쉼표 [0] 10 4 2" xfId="87" xr:uid="{00000000-0005-0000-0000-000015000000}"/>
    <cellStyle name="쉼표 [0] 10 5" xfId="88" xr:uid="{00000000-0005-0000-0000-000016000000}"/>
    <cellStyle name="쉼표 [0] 10 8" xfId="89" xr:uid="{00000000-0005-0000-0000-000017000000}"/>
    <cellStyle name="쉼표 [0] 10 9" xfId="90" xr:uid="{00000000-0005-0000-0000-000018000000}"/>
    <cellStyle name="쉼표 [0] 11" xfId="91" xr:uid="{00000000-0005-0000-0000-000019000000}"/>
    <cellStyle name="쉼표 [0] 11 2" xfId="92" xr:uid="{00000000-0005-0000-0000-00001A000000}"/>
    <cellStyle name="쉼표 [0] 11 2 2" xfId="93" xr:uid="{00000000-0005-0000-0000-00001B000000}"/>
    <cellStyle name="쉼표 [0] 11 2 2 2" xfId="94" xr:uid="{00000000-0005-0000-0000-00001C000000}"/>
    <cellStyle name="쉼표 [0] 11 2 3" xfId="95" xr:uid="{00000000-0005-0000-0000-00001D000000}"/>
    <cellStyle name="쉼표 [0] 11 3" xfId="96" xr:uid="{00000000-0005-0000-0000-00001E000000}"/>
    <cellStyle name="쉼표 [0] 11 3 2" xfId="97" xr:uid="{00000000-0005-0000-0000-00001F000000}"/>
    <cellStyle name="쉼표 [0] 11 4" xfId="98" xr:uid="{00000000-0005-0000-0000-000020000000}"/>
    <cellStyle name="쉼표 [0] 12" xfId="99" xr:uid="{00000000-0005-0000-0000-000021000000}"/>
    <cellStyle name="쉼표 [0] 12 2" xfId="100" xr:uid="{00000000-0005-0000-0000-000022000000}"/>
    <cellStyle name="쉼표 [0] 12 2 2" xfId="101" xr:uid="{00000000-0005-0000-0000-000023000000}"/>
    <cellStyle name="쉼표 [0] 12 3" xfId="102" xr:uid="{00000000-0005-0000-0000-000024000000}"/>
    <cellStyle name="쉼표 [0] 13" xfId="103" xr:uid="{00000000-0005-0000-0000-000025000000}"/>
    <cellStyle name="쉼표 [0] 13 2" xfId="104" xr:uid="{00000000-0005-0000-0000-000026000000}"/>
    <cellStyle name="쉼표 [0] 14" xfId="105" xr:uid="{00000000-0005-0000-0000-000027000000}"/>
    <cellStyle name="쉼표 [0] 15" xfId="106" xr:uid="{00000000-0005-0000-0000-000028000000}"/>
    <cellStyle name="쉼표 [0] 16" xfId="107" xr:uid="{00000000-0005-0000-0000-000029000000}"/>
    <cellStyle name="쉼표 [0] 2" xfId="3" xr:uid="{00000000-0005-0000-0000-00002A000000}"/>
    <cellStyle name="쉼표 [0] 2 10" xfId="108" xr:uid="{00000000-0005-0000-0000-00002B000000}"/>
    <cellStyle name="쉼표 [0] 2 11" xfId="109" xr:uid="{00000000-0005-0000-0000-00002C000000}"/>
    <cellStyle name="쉼표 [0] 2 12" xfId="110" xr:uid="{00000000-0005-0000-0000-00002D000000}"/>
    <cellStyle name="쉼표 [0] 2 13" xfId="111" xr:uid="{00000000-0005-0000-0000-00002E000000}"/>
    <cellStyle name="쉼표 [0] 2 14" xfId="112" xr:uid="{00000000-0005-0000-0000-00002F000000}"/>
    <cellStyle name="쉼표 [0] 2 15" xfId="113" xr:uid="{00000000-0005-0000-0000-000030000000}"/>
    <cellStyle name="쉼표 [0] 2 16" xfId="114" xr:uid="{00000000-0005-0000-0000-000031000000}"/>
    <cellStyle name="쉼표 [0] 2 17" xfId="115" xr:uid="{00000000-0005-0000-0000-000032000000}"/>
    <cellStyle name="쉼표 [0] 2 18" xfId="116" xr:uid="{00000000-0005-0000-0000-000033000000}"/>
    <cellStyle name="쉼표 [0] 2 19" xfId="117" xr:uid="{00000000-0005-0000-0000-000034000000}"/>
    <cellStyle name="쉼표 [0] 2 2" xfId="4" xr:uid="{00000000-0005-0000-0000-000035000000}"/>
    <cellStyle name="쉼표 [0] 2 20" xfId="118" xr:uid="{00000000-0005-0000-0000-000036000000}"/>
    <cellStyle name="쉼표 [0] 2 21" xfId="119" xr:uid="{00000000-0005-0000-0000-000037000000}"/>
    <cellStyle name="쉼표 [0] 2 22" xfId="120" xr:uid="{00000000-0005-0000-0000-000038000000}"/>
    <cellStyle name="쉼표 [0] 2 23" xfId="121" xr:uid="{00000000-0005-0000-0000-000039000000}"/>
    <cellStyle name="쉼표 [0] 2 24" xfId="122" xr:uid="{00000000-0005-0000-0000-00003A000000}"/>
    <cellStyle name="쉼표 [0] 2 25" xfId="123" xr:uid="{00000000-0005-0000-0000-00003B000000}"/>
    <cellStyle name="쉼표 [0] 2 26" xfId="124" xr:uid="{00000000-0005-0000-0000-00003C000000}"/>
    <cellStyle name="쉼표 [0] 2 27" xfId="125" xr:uid="{00000000-0005-0000-0000-00003D000000}"/>
    <cellStyle name="쉼표 [0] 2 28" xfId="126" xr:uid="{00000000-0005-0000-0000-00003E000000}"/>
    <cellStyle name="쉼표 [0] 2 29" xfId="127" xr:uid="{00000000-0005-0000-0000-00003F000000}"/>
    <cellStyle name="쉼표 [0] 2 3" xfId="128" xr:uid="{00000000-0005-0000-0000-000040000000}"/>
    <cellStyle name="쉼표 [0] 2 3 2" xfId="129" xr:uid="{00000000-0005-0000-0000-000041000000}"/>
    <cellStyle name="쉼표 [0] 2 3 3" xfId="130" xr:uid="{00000000-0005-0000-0000-000042000000}"/>
    <cellStyle name="쉼표 [0] 2 30" xfId="131" xr:uid="{00000000-0005-0000-0000-000043000000}"/>
    <cellStyle name="쉼표 [0] 2 31" xfId="132" xr:uid="{00000000-0005-0000-0000-000044000000}"/>
    <cellStyle name="쉼표 [0] 2 32" xfId="133" xr:uid="{00000000-0005-0000-0000-000045000000}"/>
    <cellStyle name="쉼표 [0] 2 4" xfId="134" xr:uid="{00000000-0005-0000-0000-000046000000}"/>
    <cellStyle name="쉼표 [0] 2 5" xfId="135" xr:uid="{00000000-0005-0000-0000-000047000000}"/>
    <cellStyle name="쉼표 [0] 2 6" xfId="136" xr:uid="{00000000-0005-0000-0000-000048000000}"/>
    <cellStyle name="쉼표 [0] 2 7" xfId="137" xr:uid="{00000000-0005-0000-0000-000049000000}"/>
    <cellStyle name="쉼표 [0] 2 8" xfId="138" xr:uid="{00000000-0005-0000-0000-00004A000000}"/>
    <cellStyle name="쉼표 [0] 2 9" xfId="139" xr:uid="{00000000-0005-0000-0000-00004B000000}"/>
    <cellStyle name="쉼표 [0] 22" xfId="5" xr:uid="{00000000-0005-0000-0000-00004C000000}"/>
    <cellStyle name="쉼표 [0] 24" xfId="140" xr:uid="{00000000-0005-0000-0000-00004D000000}"/>
    <cellStyle name="쉼표 [0] 24 10" xfId="141" xr:uid="{00000000-0005-0000-0000-00004E000000}"/>
    <cellStyle name="쉼표 [0] 24 11" xfId="142" xr:uid="{00000000-0005-0000-0000-00004F000000}"/>
    <cellStyle name="쉼표 [0] 24 12" xfId="143" xr:uid="{00000000-0005-0000-0000-000050000000}"/>
    <cellStyle name="쉼표 [0] 24 13" xfId="144" xr:uid="{00000000-0005-0000-0000-000051000000}"/>
    <cellStyle name="쉼표 [0] 24 14" xfId="145" xr:uid="{00000000-0005-0000-0000-000052000000}"/>
    <cellStyle name="쉼표 [0] 24 15" xfId="146" xr:uid="{00000000-0005-0000-0000-000053000000}"/>
    <cellStyle name="쉼표 [0] 24 16" xfId="147" xr:uid="{00000000-0005-0000-0000-000054000000}"/>
    <cellStyle name="쉼표 [0] 24 17" xfId="148" xr:uid="{00000000-0005-0000-0000-000055000000}"/>
    <cellStyle name="쉼표 [0] 24 18" xfId="149" xr:uid="{00000000-0005-0000-0000-000056000000}"/>
    <cellStyle name="쉼표 [0] 24 19" xfId="150" xr:uid="{00000000-0005-0000-0000-000057000000}"/>
    <cellStyle name="쉼표 [0] 24 2" xfId="151" xr:uid="{00000000-0005-0000-0000-000058000000}"/>
    <cellStyle name="쉼표 [0] 24 20" xfId="152" xr:uid="{00000000-0005-0000-0000-000059000000}"/>
    <cellStyle name="쉼표 [0] 24 21" xfId="153" xr:uid="{00000000-0005-0000-0000-00005A000000}"/>
    <cellStyle name="쉼표 [0] 24 22" xfId="154" xr:uid="{00000000-0005-0000-0000-00005B000000}"/>
    <cellStyle name="쉼표 [0] 24 23" xfId="155" xr:uid="{00000000-0005-0000-0000-00005C000000}"/>
    <cellStyle name="쉼표 [0] 24 24" xfId="156" xr:uid="{00000000-0005-0000-0000-00005D000000}"/>
    <cellStyle name="쉼표 [0] 24 25" xfId="157" xr:uid="{00000000-0005-0000-0000-00005E000000}"/>
    <cellStyle name="쉼표 [0] 24 26" xfId="158" xr:uid="{00000000-0005-0000-0000-00005F000000}"/>
    <cellStyle name="쉼표 [0] 24 27" xfId="159" xr:uid="{00000000-0005-0000-0000-000060000000}"/>
    <cellStyle name="쉼표 [0] 24 28" xfId="160" xr:uid="{00000000-0005-0000-0000-000061000000}"/>
    <cellStyle name="쉼표 [0] 24 29" xfId="161" xr:uid="{00000000-0005-0000-0000-000062000000}"/>
    <cellStyle name="쉼표 [0] 24 3" xfId="162" xr:uid="{00000000-0005-0000-0000-000063000000}"/>
    <cellStyle name="쉼표 [0] 24 30" xfId="163" xr:uid="{00000000-0005-0000-0000-000064000000}"/>
    <cellStyle name="쉼표 [0] 24 31" xfId="164" xr:uid="{00000000-0005-0000-0000-000065000000}"/>
    <cellStyle name="쉼표 [0] 24 32" xfId="165" xr:uid="{00000000-0005-0000-0000-000066000000}"/>
    <cellStyle name="쉼표 [0] 24 33" xfId="166" xr:uid="{00000000-0005-0000-0000-000067000000}"/>
    <cellStyle name="쉼표 [0] 24 34" xfId="167" xr:uid="{00000000-0005-0000-0000-000068000000}"/>
    <cellStyle name="쉼표 [0] 24 35" xfId="168" xr:uid="{00000000-0005-0000-0000-000069000000}"/>
    <cellStyle name="쉼표 [0] 24 36" xfId="169" xr:uid="{00000000-0005-0000-0000-00006A000000}"/>
    <cellStyle name="쉼표 [0] 24 37" xfId="170" xr:uid="{00000000-0005-0000-0000-00006B000000}"/>
    <cellStyle name="쉼표 [0] 24 38" xfId="171" xr:uid="{00000000-0005-0000-0000-00006C000000}"/>
    <cellStyle name="쉼표 [0] 24 39" xfId="172" xr:uid="{00000000-0005-0000-0000-00006D000000}"/>
    <cellStyle name="쉼표 [0] 24 4" xfId="173" xr:uid="{00000000-0005-0000-0000-00006E000000}"/>
    <cellStyle name="쉼표 [0] 24 40" xfId="174" xr:uid="{00000000-0005-0000-0000-00006F000000}"/>
    <cellStyle name="쉼표 [0] 24 5" xfId="175" xr:uid="{00000000-0005-0000-0000-000070000000}"/>
    <cellStyle name="쉼표 [0] 24 6" xfId="176" xr:uid="{00000000-0005-0000-0000-000071000000}"/>
    <cellStyle name="쉼표 [0] 24 7" xfId="177" xr:uid="{00000000-0005-0000-0000-000072000000}"/>
    <cellStyle name="쉼표 [0] 24 8" xfId="178" xr:uid="{00000000-0005-0000-0000-000073000000}"/>
    <cellStyle name="쉼표 [0] 24 9" xfId="179" xr:uid="{00000000-0005-0000-0000-000074000000}"/>
    <cellStyle name="쉼표 [0] 26" xfId="180" xr:uid="{00000000-0005-0000-0000-000075000000}"/>
    <cellStyle name="쉼표 [0] 3" xfId="6" xr:uid="{00000000-0005-0000-0000-000076000000}"/>
    <cellStyle name="쉼표 [0] 3 10" xfId="181" xr:uid="{00000000-0005-0000-0000-000077000000}"/>
    <cellStyle name="쉼표 [0] 3 10 2" xfId="182" xr:uid="{00000000-0005-0000-0000-000078000000}"/>
    <cellStyle name="쉼표 [0] 3 10 2 2" xfId="183" xr:uid="{00000000-0005-0000-0000-000079000000}"/>
    <cellStyle name="쉼표 [0] 3 10 2 2 2" xfId="184" xr:uid="{00000000-0005-0000-0000-00007A000000}"/>
    <cellStyle name="쉼표 [0] 3 10 2 2 2 2" xfId="185" xr:uid="{00000000-0005-0000-0000-00007B000000}"/>
    <cellStyle name="쉼표 [0] 3 10 2 2 3" xfId="186" xr:uid="{00000000-0005-0000-0000-00007C000000}"/>
    <cellStyle name="쉼표 [0] 3 10 2 3" xfId="187" xr:uid="{00000000-0005-0000-0000-00007D000000}"/>
    <cellStyle name="쉼표 [0] 3 10 2 3 2" xfId="188" xr:uid="{00000000-0005-0000-0000-00007E000000}"/>
    <cellStyle name="쉼표 [0] 3 10 2 4" xfId="189" xr:uid="{00000000-0005-0000-0000-00007F000000}"/>
    <cellStyle name="쉼표 [0] 3 10 3" xfId="190" xr:uid="{00000000-0005-0000-0000-000080000000}"/>
    <cellStyle name="쉼표 [0] 3 10 3 2" xfId="191" xr:uid="{00000000-0005-0000-0000-000081000000}"/>
    <cellStyle name="쉼표 [0] 3 10 3 2 2" xfId="192" xr:uid="{00000000-0005-0000-0000-000082000000}"/>
    <cellStyle name="쉼표 [0] 3 10 3 3" xfId="193" xr:uid="{00000000-0005-0000-0000-000083000000}"/>
    <cellStyle name="쉼표 [0] 3 10 4" xfId="194" xr:uid="{00000000-0005-0000-0000-000084000000}"/>
    <cellStyle name="쉼표 [0] 3 10 4 2" xfId="195" xr:uid="{00000000-0005-0000-0000-000085000000}"/>
    <cellStyle name="쉼표 [0] 3 10 5" xfId="196" xr:uid="{00000000-0005-0000-0000-000086000000}"/>
    <cellStyle name="쉼표 [0] 3 11" xfId="197" xr:uid="{00000000-0005-0000-0000-000087000000}"/>
    <cellStyle name="쉼표 [0] 3 11 2" xfId="198" xr:uid="{00000000-0005-0000-0000-000088000000}"/>
    <cellStyle name="쉼표 [0] 3 11 2 2" xfId="199" xr:uid="{00000000-0005-0000-0000-000089000000}"/>
    <cellStyle name="쉼표 [0] 3 11 2 2 2" xfId="200" xr:uid="{00000000-0005-0000-0000-00008A000000}"/>
    <cellStyle name="쉼표 [0] 3 11 2 3" xfId="201" xr:uid="{00000000-0005-0000-0000-00008B000000}"/>
    <cellStyle name="쉼표 [0] 3 11 3" xfId="202" xr:uid="{00000000-0005-0000-0000-00008C000000}"/>
    <cellStyle name="쉼표 [0] 3 11 3 2" xfId="203" xr:uid="{00000000-0005-0000-0000-00008D000000}"/>
    <cellStyle name="쉼표 [0] 3 11 4" xfId="204" xr:uid="{00000000-0005-0000-0000-00008E000000}"/>
    <cellStyle name="쉼표 [0] 3 12" xfId="205" xr:uid="{00000000-0005-0000-0000-00008F000000}"/>
    <cellStyle name="쉼표 [0] 3 12 2" xfId="206" xr:uid="{00000000-0005-0000-0000-000090000000}"/>
    <cellStyle name="쉼표 [0] 3 12 2 2" xfId="207" xr:uid="{00000000-0005-0000-0000-000091000000}"/>
    <cellStyle name="쉼표 [0] 3 12 3" xfId="208" xr:uid="{00000000-0005-0000-0000-000092000000}"/>
    <cellStyle name="쉼표 [0] 3 13" xfId="209" xr:uid="{00000000-0005-0000-0000-000093000000}"/>
    <cellStyle name="쉼표 [0] 3 13 2" xfId="210" xr:uid="{00000000-0005-0000-0000-000094000000}"/>
    <cellStyle name="쉼표 [0] 3 14" xfId="211" xr:uid="{00000000-0005-0000-0000-000095000000}"/>
    <cellStyle name="쉼표 [0] 3 15" xfId="212" xr:uid="{00000000-0005-0000-0000-000096000000}"/>
    <cellStyle name="쉼표 [0] 3 16" xfId="213" xr:uid="{00000000-0005-0000-0000-000097000000}"/>
    <cellStyle name="쉼표 [0] 3 17" xfId="214" xr:uid="{00000000-0005-0000-0000-000098000000}"/>
    <cellStyle name="쉼표 [0] 3 18" xfId="215" xr:uid="{00000000-0005-0000-0000-000099000000}"/>
    <cellStyle name="쉼표 [0] 3 19" xfId="216" xr:uid="{00000000-0005-0000-0000-00009A000000}"/>
    <cellStyle name="쉼표 [0] 3 2" xfId="7" xr:uid="{00000000-0005-0000-0000-00009B000000}"/>
    <cellStyle name="쉼표 [0] 3 2 10" xfId="217" xr:uid="{00000000-0005-0000-0000-00009C000000}"/>
    <cellStyle name="쉼표 [0] 3 2 10 2" xfId="218" xr:uid="{00000000-0005-0000-0000-00009D000000}"/>
    <cellStyle name="쉼표 [0] 3 2 11" xfId="219" xr:uid="{00000000-0005-0000-0000-00009E000000}"/>
    <cellStyle name="쉼표 [0] 3 2 12" xfId="220" xr:uid="{00000000-0005-0000-0000-00009F000000}"/>
    <cellStyle name="쉼표 [0] 3 2 2" xfId="221" xr:uid="{00000000-0005-0000-0000-0000A0000000}"/>
    <cellStyle name="쉼표 [0] 3 2 2 10" xfId="222" xr:uid="{00000000-0005-0000-0000-0000A1000000}"/>
    <cellStyle name="쉼표 [0] 3 2 2 11" xfId="223" xr:uid="{00000000-0005-0000-0000-0000A2000000}"/>
    <cellStyle name="쉼표 [0] 3 2 2 2" xfId="224" xr:uid="{00000000-0005-0000-0000-0000A3000000}"/>
    <cellStyle name="쉼표 [0] 3 2 2 2 10" xfId="225" xr:uid="{00000000-0005-0000-0000-0000A4000000}"/>
    <cellStyle name="쉼표 [0] 3 2 2 2 2" xfId="8" xr:uid="{00000000-0005-0000-0000-0000A5000000}"/>
    <cellStyle name="쉼표 [0] 3 2 2 2 2 10" xfId="226" xr:uid="{00000000-0005-0000-0000-0000A6000000}"/>
    <cellStyle name="쉼표 [0] 3 2 2 2 2 2" xfId="227" xr:uid="{00000000-0005-0000-0000-0000A7000000}"/>
    <cellStyle name="쉼표 [0] 3 2 2 2 2 2 2" xfId="228" xr:uid="{00000000-0005-0000-0000-0000A8000000}"/>
    <cellStyle name="쉼표 [0] 3 2 2 2 2 2 2 2" xfId="229" xr:uid="{00000000-0005-0000-0000-0000A9000000}"/>
    <cellStyle name="쉼표 [0] 3 2 2 2 2 2 2 2 2" xfId="230" xr:uid="{00000000-0005-0000-0000-0000AA000000}"/>
    <cellStyle name="쉼표 [0] 3 2 2 2 2 2 2 2 2 2" xfId="231" xr:uid="{00000000-0005-0000-0000-0000AB000000}"/>
    <cellStyle name="쉼표 [0] 3 2 2 2 2 2 2 2 2 2 2" xfId="232" xr:uid="{00000000-0005-0000-0000-0000AC000000}"/>
    <cellStyle name="쉼표 [0] 3 2 2 2 2 2 2 2 2 2 2 2" xfId="233" xr:uid="{00000000-0005-0000-0000-0000AD000000}"/>
    <cellStyle name="쉼표 [0] 3 2 2 2 2 2 2 2 2 2 3" xfId="234" xr:uid="{00000000-0005-0000-0000-0000AE000000}"/>
    <cellStyle name="쉼표 [0] 3 2 2 2 2 2 2 2 2 3" xfId="235" xr:uid="{00000000-0005-0000-0000-0000AF000000}"/>
    <cellStyle name="쉼표 [0] 3 2 2 2 2 2 2 2 2 3 2" xfId="236" xr:uid="{00000000-0005-0000-0000-0000B0000000}"/>
    <cellStyle name="쉼표 [0] 3 2 2 2 2 2 2 2 2 4" xfId="237" xr:uid="{00000000-0005-0000-0000-0000B1000000}"/>
    <cellStyle name="쉼표 [0] 3 2 2 2 2 2 2 2 3" xfId="238" xr:uid="{00000000-0005-0000-0000-0000B2000000}"/>
    <cellStyle name="쉼표 [0] 3 2 2 2 2 2 2 2 3 2" xfId="239" xr:uid="{00000000-0005-0000-0000-0000B3000000}"/>
    <cellStyle name="쉼표 [0] 3 2 2 2 2 2 2 2 3 2 2" xfId="240" xr:uid="{00000000-0005-0000-0000-0000B4000000}"/>
    <cellStyle name="쉼표 [0] 3 2 2 2 2 2 2 2 3 3" xfId="241" xr:uid="{00000000-0005-0000-0000-0000B5000000}"/>
    <cellStyle name="쉼표 [0] 3 2 2 2 2 2 2 2 4" xfId="242" xr:uid="{00000000-0005-0000-0000-0000B6000000}"/>
    <cellStyle name="쉼표 [0] 3 2 2 2 2 2 2 2 4 2" xfId="243" xr:uid="{00000000-0005-0000-0000-0000B7000000}"/>
    <cellStyle name="쉼표 [0] 3 2 2 2 2 2 2 2 5" xfId="244" xr:uid="{00000000-0005-0000-0000-0000B8000000}"/>
    <cellStyle name="쉼표 [0] 3 2 2 2 2 2 2 3" xfId="245" xr:uid="{00000000-0005-0000-0000-0000B9000000}"/>
    <cellStyle name="쉼표 [0] 3 2 2 2 2 2 2 3 2" xfId="246" xr:uid="{00000000-0005-0000-0000-0000BA000000}"/>
    <cellStyle name="쉼표 [0] 3 2 2 2 2 2 2 3 2 2" xfId="247" xr:uid="{00000000-0005-0000-0000-0000BB000000}"/>
    <cellStyle name="쉼표 [0] 3 2 2 2 2 2 2 3 2 2 2" xfId="248" xr:uid="{00000000-0005-0000-0000-0000BC000000}"/>
    <cellStyle name="쉼표 [0] 3 2 2 2 2 2 2 3 2 3" xfId="249" xr:uid="{00000000-0005-0000-0000-0000BD000000}"/>
    <cellStyle name="쉼표 [0] 3 2 2 2 2 2 2 3 3" xfId="250" xr:uid="{00000000-0005-0000-0000-0000BE000000}"/>
    <cellStyle name="쉼표 [0] 3 2 2 2 2 2 2 3 3 2" xfId="251" xr:uid="{00000000-0005-0000-0000-0000BF000000}"/>
    <cellStyle name="쉼표 [0] 3 2 2 2 2 2 2 3 4" xfId="252" xr:uid="{00000000-0005-0000-0000-0000C0000000}"/>
    <cellStyle name="쉼표 [0] 3 2 2 2 2 2 2 4" xfId="253" xr:uid="{00000000-0005-0000-0000-0000C1000000}"/>
    <cellStyle name="쉼표 [0] 3 2 2 2 2 2 2 4 2" xfId="254" xr:uid="{00000000-0005-0000-0000-0000C2000000}"/>
    <cellStyle name="쉼표 [0] 3 2 2 2 2 2 2 4 2 2" xfId="255" xr:uid="{00000000-0005-0000-0000-0000C3000000}"/>
    <cellStyle name="쉼표 [0] 3 2 2 2 2 2 2 4 3" xfId="256" xr:uid="{00000000-0005-0000-0000-0000C4000000}"/>
    <cellStyle name="쉼표 [0] 3 2 2 2 2 2 2 5" xfId="257" xr:uid="{00000000-0005-0000-0000-0000C5000000}"/>
    <cellStyle name="쉼표 [0] 3 2 2 2 2 2 2 5 2" xfId="258" xr:uid="{00000000-0005-0000-0000-0000C6000000}"/>
    <cellStyle name="쉼표 [0] 3 2 2 2 2 2 2 6" xfId="259" xr:uid="{00000000-0005-0000-0000-0000C7000000}"/>
    <cellStyle name="쉼표 [0] 3 2 2 2 2 2 3" xfId="260" xr:uid="{00000000-0005-0000-0000-0000C8000000}"/>
    <cellStyle name="쉼표 [0] 3 2 2 2 2 2 3 2" xfId="261" xr:uid="{00000000-0005-0000-0000-0000C9000000}"/>
    <cellStyle name="쉼표 [0] 3 2 2 2 2 2 3 2 2" xfId="262" xr:uid="{00000000-0005-0000-0000-0000CA000000}"/>
    <cellStyle name="쉼표 [0] 3 2 2 2 2 2 3 2 2 2" xfId="263" xr:uid="{00000000-0005-0000-0000-0000CB000000}"/>
    <cellStyle name="쉼표 [0] 3 2 2 2 2 2 3 2 2 2 2" xfId="264" xr:uid="{00000000-0005-0000-0000-0000CC000000}"/>
    <cellStyle name="쉼표 [0] 3 2 2 2 2 2 3 2 2 3" xfId="265" xr:uid="{00000000-0005-0000-0000-0000CD000000}"/>
    <cellStyle name="쉼표 [0] 3 2 2 2 2 2 3 2 3" xfId="266" xr:uid="{00000000-0005-0000-0000-0000CE000000}"/>
    <cellStyle name="쉼표 [0] 3 2 2 2 2 2 3 2 3 2" xfId="267" xr:uid="{00000000-0005-0000-0000-0000CF000000}"/>
    <cellStyle name="쉼표 [0] 3 2 2 2 2 2 3 2 4" xfId="268" xr:uid="{00000000-0005-0000-0000-0000D0000000}"/>
    <cellStyle name="쉼표 [0] 3 2 2 2 2 2 3 3" xfId="269" xr:uid="{00000000-0005-0000-0000-0000D1000000}"/>
    <cellStyle name="쉼표 [0] 3 2 2 2 2 2 3 3 2" xfId="270" xr:uid="{00000000-0005-0000-0000-0000D2000000}"/>
    <cellStyle name="쉼표 [0] 3 2 2 2 2 2 3 3 2 2" xfId="271" xr:uid="{00000000-0005-0000-0000-0000D3000000}"/>
    <cellStyle name="쉼표 [0] 3 2 2 2 2 2 3 3 3" xfId="272" xr:uid="{00000000-0005-0000-0000-0000D4000000}"/>
    <cellStyle name="쉼표 [0] 3 2 2 2 2 2 3 4" xfId="273" xr:uid="{00000000-0005-0000-0000-0000D5000000}"/>
    <cellStyle name="쉼표 [0] 3 2 2 2 2 2 3 4 2" xfId="274" xr:uid="{00000000-0005-0000-0000-0000D6000000}"/>
    <cellStyle name="쉼표 [0] 3 2 2 2 2 2 3 5" xfId="275" xr:uid="{00000000-0005-0000-0000-0000D7000000}"/>
    <cellStyle name="쉼표 [0] 3 2 2 2 2 2 4" xfId="276" xr:uid="{00000000-0005-0000-0000-0000D8000000}"/>
    <cellStyle name="쉼표 [0] 3 2 2 2 2 2 4 2" xfId="277" xr:uid="{00000000-0005-0000-0000-0000D9000000}"/>
    <cellStyle name="쉼표 [0] 3 2 2 2 2 2 4 2 2" xfId="278" xr:uid="{00000000-0005-0000-0000-0000DA000000}"/>
    <cellStyle name="쉼표 [0] 3 2 2 2 2 2 4 2 2 2" xfId="279" xr:uid="{00000000-0005-0000-0000-0000DB000000}"/>
    <cellStyle name="쉼표 [0] 3 2 2 2 2 2 4 2 3" xfId="280" xr:uid="{00000000-0005-0000-0000-0000DC000000}"/>
    <cellStyle name="쉼표 [0] 3 2 2 2 2 2 4 3" xfId="281" xr:uid="{00000000-0005-0000-0000-0000DD000000}"/>
    <cellStyle name="쉼표 [0] 3 2 2 2 2 2 4 3 2" xfId="282" xr:uid="{00000000-0005-0000-0000-0000DE000000}"/>
    <cellStyle name="쉼표 [0] 3 2 2 2 2 2 4 4" xfId="283" xr:uid="{00000000-0005-0000-0000-0000DF000000}"/>
    <cellStyle name="쉼표 [0] 3 2 2 2 2 2 5" xfId="284" xr:uid="{00000000-0005-0000-0000-0000E0000000}"/>
    <cellStyle name="쉼표 [0] 3 2 2 2 2 2 5 2" xfId="285" xr:uid="{00000000-0005-0000-0000-0000E1000000}"/>
    <cellStyle name="쉼표 [0] 3 2 2 2 2 2 5 2 2" xfId="286" xr:uid="{00000000-0005-0000-0000-0000E2000000}"/>
    <cellStyle name="쉼표 [0] 3 2 2 2 2 2 5 3" xfId="287" xr:uid="{00000000-0005-0000-0000-0000E3000000}"/>
    <cellStyle name="쉼표 [0] 3 2 2 2 2 2 6" xfId="288" xr:uid="{00000000-0005-0000-0000-0000E4000000}"/>
    <cellStyle name="쉼표 [0] 3 2 2 2 2 2 6 2" xfId="289" xr:uid="{00000000-0005-0000-0000-0000E5000000}"/>
    <cellStyle name="쉼표 [0] 3 2 2 2 2 2 7" xfId="290" xr:uid="{00000000-0005-0000-0000-0000E6000000}"/>
    <cellStyle name="쉼표 [0] 3 2 2 2 2 2 8" xfId="291" xr:uid="{00000000-0005-0000-0000-0000E7000000}"/>
    <cellStyle name="쉼표 [0] 3 2 2 2 2 3" xfId="292" xr:uid="{00000000-0005-0000-0000-0000E8000000}"/>
    <cellStyle name="쉼표 [0] 3 2 2 2 2 3 2" xfId="293" xr:uid="{00000000-0005-0000-0000-0000E9000000}"/>
    <cellStyle name="쉼표 [0] 3 2 2 2 2 3 2 2" xfId="294" xr:uid="{00000000-0005-0000-0000-0000EA000000}"/>
    <cellStyle name="쉼표 [0] 3 2 2 2 2 3 2 2 2" xfId="295" xr:uid="{00000000-0005-0000-0000-0000EB000000}"/>
    <cellStyle name="쉼표 [0] 3 2 2 2 2 3 2 2 2 2" xfId="296" xr:uid="{00000000-0005-0000-0000-0000EC000000}"/>
    <cellStyle name="쉼표 [0] 3 2 2 2 2 3 2 2 2 2 2" xfId="297" xr:uid="{00000000-0005-0000-0000-0000ED000000}"/>
    <cellStyle name="쉼표 [0] 3 2 2 2 2 3 2 2 2 3" xfId="298" xr:uid="{00000000-0005-0000-0000-0000EE000000}"/>
    <cellStyle name="쉼표 [0] 3 2 2 2 2 3 2 2 3" xfId="299" xr:uid="{00000000-0005-0000-0000-0000EF000000}"/>
    <cellStyle name="쉼표 [0] 3 2 2 2 2 3 2 2 3 2" xfId="300" xr:uid="{00000000-0005-0000-0000-0000F0000000}"/>
    <cellStyle name="쉼표 [0] 3 2 2 2 2 3 2 2 4" xfId="301" xr:uid="{00000000-0005-0000-0000-0000F1000000}"/>
    <cellStyle name="쉼표 [0] 3 2 2 2 2 3 2 3" xfId="302" xr:uid="{00000000-0005-0000-0000-0000F2000000}"/>
    <cellStyle name="쉼표 [0] 3 2 2 2 2 3 2 3 2" xfId="303" xr:uid="{00000000-0005-0000-0000-0000F3000000}"/>
    <cellStyle name="쉼표 [0] 3 2 2 2 2 3 2 3 2 2" xfId="304" xr:uid="{00000000-0005-0000-0000-0000F4000000}"/>
    <cellStyle name="쉼표 [0] 3 2 2 2 2 3 2 3 3" xfId="305" xr:uid="{00000000-0005-0000-0000-0000F5000000}"/>
    <cellStyle name="쉼표 [0] 3 2 2 2 2 3 2 4" xfId="306" xr:uid="{00000000-0005-0000-0000-0000F6000000}"/>
    <cellStyle name="쉼표 [0] 3 2 2 2 2 3 2 4 2" xfId="307" xr:uid="{00000000-0005-0000-0000-0000F7000000}"/>
    <cellStyle name="쉼표 [0] 3 2 2 2 2 3 2 5" xfId="308" xr:uid="{00000000-0005-0000-0000-0000F8000000}"/>
    <cellStyle name="쉼표 [0] 3 2 2 2 2 3 3" xfId="309" xr:uid="{00000000-0005-0000-0000-0000F9000000}"/>
    <cellStyle name="쉼표 [0] 3 2 2 2 2 3 3 2" xfId="310" xr:uid="{00000000-0005-0000-0000-0000FA000000}"/>
    <cellStyle name="쉼표 [0] 3 2 2 2 2 3 3 2 2" xfId="311" xr:uid="{00000000-0005-0000-0000-0000FB000000}"/>
    <cellStyle name="쉼표 [0] 3 2 2 2 2 3 3 2 2 2" xfId="312" xr:uid="{00000000-0005-0000-0000-0000FC000000}"/>
    <cellStyle name="쉼표 [0] 3 2 2 2 2 3 3 2 3" xfId="313" xr:uid="{00000000-0005-0000-0000-0000FD000000}"/>
    <cellStyle name="쉼표 [0] 3 2 2 2 2 3 3 3" xfId="314" xr:uid="{00000000-0005-0000-0000-0000FE000000}"/>
    <cellStyle name="쉼표 [0] 3 2 2 2 2 3 3 3 2" xfId="315" xr:uid="{00000000-0005-0000-0000-0000FF000000}"/>
    <cellStyle name="쉼표 [0] 3 2 2 2 2 3 3 4" xfId="316" xr:uid="{00000000-0005-0000-0000-000000010000}"/>
    <cellStyle name="쉼표 [0] 3 2 2 2 2 3 4" xfId="317" xr:uid="{00000000-0005-0000-0000-000001010000}"/>
    <cellStyle name="쉼표 [0] 3 2 2 2 2 3 4 2" xfId="318" xr:uid="{00000000-0005-0000-0000-000002010000}"/>
    <cellStyle name="쉼표 [0] 3 2 2 2 2 3 4 2 2" xfId="319" xr:uid="{00000000-0005-0000-0000-000003010000}"/>
    <cellStyle name="쉼표 [0] 3 2 2 2 2 3 4 3" xfId="320" xr:uid="{00000000-0005-0000-0000-000004010000}"/>
    <cellStyle name="쉼표 [0] 3 2 2 2 2 3 5" xfId="321" xr:uid="{00000000-0005-0000-0000-000005010000}"/>
    <cellStyle name="쉼표 [0] 3 2 2 2 2 3 5 2" xfId="322" xr:uid="{00000000-0005-0000-0000-000006010000}"/>
    <cellStyle name="쉼표 [0] 3 2 2 2 2 3 6" xfId="323" xr:uid="{00000000-0005-0000-0000-000007010000}"/>
    <cellStyle name="쉼표 [0] 3 2 2 2 2 4" xfId="324" xr:uid="{00000000-0005-0000-0000-000008010000}"/>
    <cellStyle name="쉼표 [0] 3 2 2 2 2 4 2" xfId="325" xr:uid="{00000000-0005-0000-0000-000009010000}"/>
    <cellStyle name="쉼표 [0] 3 2 2 2 2 4 2 2" xfId="326" xr:uid="{00000000-0005-0000-0000-00000A010000}"/>
    <cellStyle name="쉼표 [0] 3 2 2 2 2 4 2 2 2" xfId="327" xr:uid="{00000000-0005-0000-0000-00000B010000}"/>
    <cellStyle name="쉼표 [0] 3 2 2 2 2 4 2 2 2 2" xfId="328" xr:uid="{00000000-0005-0000-0000-00000C010000}"/>
    <cellStyle name="쉼표 [0] 3 2 2 2 2 4 2 2 3" xfId="329" xr:uid="{00000000-0005-0000-0000-00000D010000}"/>
    <cellStyle name="쉼표 [0] 3 2 2 2 2 4 2 3" xfId="330" xr:uid="{00000000-0005-0000-0000-00000E010000}"/>
    <cellStyle name="쉼표 [0] 3 2 2 2 2 4 2 3 2" xfId="331" xr:uid="{00000000-0005-0000-0000-00000F010000}"/>
    <cellStyle name="쉼표 [0] 3 2 2 2 2 4 2 4" xfId="332" xr:uid="{00000000-0005-0000-0000-000010010000}"/>
    <cellStyle name="쉼표 [0] 3 2 2 2 2 4 3" xfId="333" xr:uid="{00000000-0005-0000-0000-000011010000}"/>
    <cellStyle name="쉼표 [0] 3 2 2 2 2 4 3 2" xfId="334" xr:uid="{00000000-0005-0000-0000-000012010000}"/>
    <cellStyle name="쉼표 [0] 3 2 2 2 2 4 3 2 2" xfId="335" xr:uid="{00000000-0005-0000-0000-000013010000}"/>
    <cellStyle name="쉼표 [0] 3 2 2 2 2 4 3 3" xfId="336" xr:uid="{00000000-0005-0000-0000-000014010000}"/>
    <cellStyle name="쉼표 [0] 3 2 2 2 2 4 4" xfId="337" xr:uid="{00000000-0005-0000-0000-000015010000}"/>
    <cellStyle name="쉼표 [0] 3 2 2 2 2 4 4 2" xfId="338" xr:uid="{00000000-0005-0000-0000-000016010000}"/>
    <cellStyle name="쉼표 [0] 3 2 2 2 2 4 5" xfId="339" xr:uid="{00000000-0005-0000-0000-000017010000}"/>
    <cellStyle name="쉼표 [0] 3 2 2 2 2 5" xfId="340" xr:uid="{00000000-0005-0000-0000-000018010000}"/>
    <cellStyle name="쉼표 [0] 3 2 2 2 2 5 2" xfId="341" xr:uid="{00000000-0005-0000-0000-000019010000}"/>
    <cellStyle name="쉼표 [0] 3 2 2 2 2 5 2 2" xfId="342" xr:uid="{00000000-0005-0000-0000-00001A010000}"/>
    <cellStyle name="쉼표 [0] 3 2 2 2 2 5 2 2 2" xfId="343" xr:uid="{00000000-0005-0000-0000-00001B010000}"/>
    <cellStyle name="쉼표 [0] 3 2 2 2 2 5 2 3" xfId="344" xr:uid="{00000000-0005-0000-0000-00001C010000}"/>
    <cellStyle name="쉼표 [0] 3 2 2 2 2 5 3" xfId="345" xr:uid="{00000000-0005-0000-0000-00001D010000}"/>
    <cellStyle name="쉼표 [0] 3 2 2 2 2 5 3 2" xfId="346" xr:uid="{00000000-0005-0000-0000-00001E010000}"/>
    <cellStyle name="쉼표 [0] 3 2 2 2 2 5 4" xfId="347" xr:uid="{00000000-0005-0000-0000-00001F010000}"/>
    <cellStyle name="쉼표 [0] 3 2 2 2 2 6" xfId="348" xr:uid="{00000000-0005-0000-0000-000020010000}"/>
    <cellStyle name="쉼표 [0] 3 2 2 2 2 6 2" xfId="349" xr:uid="{00000000-0005-0000-0000-000021010000}"/>
    <cellStyle name="쉼표 [0] 3 2 2 2 2 6 2 2" xfId="350" xr:uid="{00000000-0005-0000-0000-000022010000}"/>
    <cellStyle name="쉼표 [0] 3 2 2 2 2 6 3" xfId="351" xr:uid="{00000000-0005-0000-0000-000023010000}"/>
    <cellStyle name="쉼표 [0] 3 2 2 2 2 7" xfId="352" xr:uid="{00000000-0005-0000-0000-000024010000}"/>
    <cellStyle name="쉼표 [0] 3 2 2 2 2 7 2" xfId="353" xr:uid="{00000000-0005-0000-0000-000025010000}"/>
    <cellStyle name="쉼표 [0] 3 2 2 2 2 8" xfId="354" xr:uid="{00000000-0005-0000-0000-000026010000}"/>
    <cellStyle name="쉼표 [0] 3 2 2 2 2 9" xfId="355" xr:uid="{00000000-0005-0000-0000-000027010000}"/>
    <cellStyle name="쉼표 [0] 3 2 2 2 3" xfId="356" xr:uid="{00000000-0005-0000-0000-000028010000}"/>
    <cellStyle name="쉼표 [0] 3 2 2 2 3 2" xfId="357" xr:uid="{00000000-0005-0000-0000-000029010000}"/>
    <cellStyle name="쉼표 [0] 3 2 2 2 3 2 2" xfId="358" xr:uid="{00000000-0005-0000-0000-00002A010000}"/>
    <cellStyle name="쉼표 [0] 3 2 2 2 3 2 2 2" xfId="359" xr:uid="{00000000-0005-0000-0000-00002B010000}"/>
    <cellStyle name="쉼표 [0] 3 2 2 2 3 2 2 2 2" xfId="360" xr:uid="{00000000-0005-0000-0000-00002C010000}"/>
    <cellStyle name="쉼표 [0] 3 2 2 2 3 2 2 2 2 2" xfId="361" xr:uid="{00000000-0005-0000-0000-00002D010000}"/>
    <cellStyle name="쉼표 [0] 3 2 2 2 3 2 2 2 2 2 2" xfId="362" xr:uid="{00000000-0005-0000-0000-00002E010000}"/>
    <cellStyle name="쉼표 [0] 3 2 2 2 3 2 2 2 2 3" xfId="363" xr:uid="{00000000-0005-0000-0000-00002F010000}"/>
    <cellStyle name="쉼표 [0] 3 2 2 2 3 2 2 2 3" xfId="364" xr:uid="{00000000-0005-0000-0000-000030010000}"/>
    <cellStyle name="쉼표 [0] 3 2 2 2 3 2 2 2 3 2" xfId="365" xr:uid="{00000000-0005-0000-0000-000031010000}"/>
    <cellStyle name="쉼표 [0] 3 2 2 2 3 2 2 2 4" xfId="366" xr:uid="{00000000-0005-0000-0000-000032010000}"/>
    <cellStyle name="쉼표 [0] 3 2 2 2 3 2 2 3" xfId="367" xr:uid="{00000000-0005-0000-0000-000033010000}"/>
    <cellStyle name="쉼표 [0] 3 2 2 2 3 2 2 3 2" xfId="368" xr:uid="{00000000-0005-0000-0000-000034010000}"/>
    <cellStyle name="쉼표 [0] 3 2 2 2 3 2 2 3 2 2" xfId="369" xr:uid="{00000000-0005-0000-0000-000035010000}"/>
    <cellStyle name="쉼표 [0] 3 2 2 2 3 2 2 3 3" xfId="370" xr:uid="{00000000-0005-0000-0000-000036010000}"/>
    <cellStyle name="쉼표 [0] 3 2 2 2 3 2 2 4" xfId="371" xr:uid="{00000000-0005-0000-0000-000037010000}"/>
    <cellStyle name="쉼표 [0] 3 2 2 2 3 2 2 4 2" xfId="372" xr:uid="{00000000-0005-0000-0000-000038010000}"/>
    <cellStyle name="쉼표 [0] 3 2 2 2 3 2 2 5" xfId="373" xr:uid="{00000000-0005-0000-0000-000039010000}"/>
    <cellStyle name="쉼표 [0] 3 2 2 2 3 2 3" xfId="374" xr:uid="{00000000-0005-0000-0000-00003A010000}"/>
    <cellStyle name="쉼표 [0] 3 2 2 2 3 2 3 2" xfId="375" xr:uid="{00000000-0005-0000-0000-00003B010000}"/>
    <cellStyle name="쉼표 [0] 3 2 2 2 3 2 3 2 2" xfId="376" xr:uid="{00000000-0005-0000-0000-00003C010000}"/>
    <cellStyle name="쉼표 [0] 3 2 2 2 3 2 3 2 2 2" xfId="377" xr:uid="{00000000-0005-0000-0000-00003D010000}"/>
    <cellStyle name="쉼표 [0] 3 2 2 2 3 2 3 2 3" xfId="378" xr:uid="{00000000-0005-0000-0000-00003E010000}"/>
    <cellStyle name="쉼표 [0] 3 2 2 2 3 2 3 3" xfId="379" xr:uid="{00000000-0005-0000-0000-00003F010000}"/>
    <cellStyle name="쉼표 [0] 3 2 2 2 3 2 3 3 2" xfId="380" xr:uid="{00000000-0005-0000-0000-000040010000}"/>
    <cellStyle name="쉼표 [0] 3 2 2 2 3 2 3 4" xfId="381" xr:uid="{00000000-0005-0000-0000-000041010000}"/>
    <cellStyle name="쉼표 [0] 3 2 2 2 3 2 4" xfId="382" xr:uid="{00000000-0005-0000-0000-000042010000}"/>
    <cellStyle name="쉼표 [0] 3 2 2 2 3 2 4 2" xfId="383" xr:uid="{00000000-0005-0000-0000-000043010000}"/>
    <cellStyle name="쉼표 [0] 3 2 2 2 3 2 4 2 2" xfId="384" xr:uid="{00000000-0005-0000-0000-000044010000}"/>
    <cellStyle name="쉼표 [0] 3 2 2 2 3 2 4 3" xfId="385" xr:uid="{00000000-0005-0000-0000-000045010000}"/>
    <cellStyle name="쉼표 [0] 3 2 2 2 3 2 5" xfId="386" xr:uid="{00000000-0005-0000-0000-000046010000}"/>
    <cellStyle name="쉼표 [0] 3 2 2 2 3 2 5 2" xfId="387" xr:uid="{00000000-0005-0000-0000-000047010000}"/>
    <cellStyle name="쉼표 [0] 3 2 2 2 3 2 6" xfId="388" xr:uid="{00000000-0005-0000-0000-000048010000}"/>
    <cellStyle name="쉼표 [0] 3 2 2 2 3 3" xfId="389" xr:uid="{00000000-0005-0000-0000-000049010000}"/>
    <cellStyle name="쉼표 [0] 3 2 2 2 3 3 2" xfId="390" xr:uid="{00000000-0005-0000-0000-00004A010000}"/>
    <cellStyle name="쉼표 [0] 3 2 2 2 3 3 2 2" xfId="391" xr:uid="{00000000-0005-0000-0000-00004B010000}"/>
    <cellStyle name="쉼표 [0] 3 2 2 2 3 3 2 2 2" xfId="392" xr:uid="{00000000-0005-0000-0000-00004C010000}"/>
    <cellStyle name="쉼표 [0] 3 2 2 2 3 3 2 2 2 2" xfId="393" xr:uid="{00000000-0005-0000-0000-00004D010000}"/>
    <cellStyle name="쉼표 [0] 3 2 2 2 3 3 2 2 3" xfId="394" xr:uid="{00000000-0005-0000-0000-00004E010000}"/>
    <cellStyle name="쉼표 [0] 3 2 2 2 3 3 2 3" xfId="395" xr:uid="{00000000-0005-0000-0000-00004F010000}"/>
    <cellStyle name="쉼표 [0] 3 2 2 2 3 3 2 3 2" xfId="396" xr:uid="{00000000-0005-0000-0000-000050010000}"/>
    <cellStyle name="쉼표 [0] 3 2 2 2 3 3 2 4" xfId="397" xr:uid="{00000000-0005-0000-0000-000051010000}"/>
    <cellStyle name="쉼표 [0] 3 2 2 2 3 3 3" xfId="398" xr:uid="{00000000-0005-0000-0000-000052010000}"/>
    <cellStyle name="쉼표 [0] 3 2 2 2 3 3 3 2" xfId="399" xr:uid="{00000000-0005-0000-0000-000053010000}"/>
    <cellStyle name="쉼표 [0] 3 2 2 2 3 3 3 2 2" xfId="400" xr:uid="{00000000-0005-0000-0000-000054010000}"/>
    <cellStyle name="쉼표 [0] 3 2 2 2 3 3 3 3" xfId="401" xr:uid="{00000000-0005-0000-0000-000055010000}"/>
    <cellStyle name="쉼표 [0] 3 2 2 2 3 3 4" xfId="402" xr:uid="{00000000-0005-0000-0000-000056010000}"/>
    <cellStyle name="쉼표 [0] 3 2 2 2 3 3 4 2" xfId="403" xr:uid="{00000000-0005-0000-0000-000057010000}"/>
    <cellStyle name="쉼표 [0] 3 2 2 2 3 3 5" xfId="404" xr:uid="{00000000-0005-0000-0000-000058010000}"/>
    <cellStyle name="쉼표 [0] 3 2 2 2 3 4" xfId="405" xr:uid="{00000000-0005-0000-0000-000059010000}"/>
    <cellStyle name="쉼표 [0] 3 2 2 2 3 4 2" xfId="406" xr:uid="{00000000-0005-0000-0000-00005A010000}"/>
    <cellStyle name="쉼표 [0] 3 2 2 2 3 4 2 2" xfId="407" xr:uid="{00000000-0005-0000-0000-00005B010000}"/>
    <cellStyle name="쉼표 [0] 3 2 2 2 3 4 2 2 2" xfId="408" xr:uid="{00000000-0005-0000-0000-00005C010000}"/>
    <cellStyle name="쉼표 [0] 3 2 2 2 3 4 2 3" xfId="409" xr:uid="{00000000-0005-0000-0000-00005D010000}"/>
    <cellStyle name="쉼표 [0] 3 2 2 2 3 4 3" xfId="410" xr:uid="{00000000-0005-0000-0000-00005E010000}"/>
    <cellStyle name="쉼표 [0] 3 2 2 2 3 4 3 2" xfId="411" xr:uid="{00000000-0005-0000-0000-00005F010000}"/>
    <cellStyle name="쉼표 [0] 3 2 2 2 3 4 4" xfId="412" xr:uid="{00000000-0005-0000-0000-000060010000}"/>
    <cellStyle name="쉼표 [0] 3 2 2 2 3 5" xfId="413" xr:uid="{00000000-0005-0000-0000-000061010000}"/>
    <cellStyle name="쉼표 [0] 3 2 2 2 3 5 2" xfId="414" xr:uid="{00000000-0005-0000-0000-000062010000}"/>
    <cellStyle name="쉼표 [0] 3 2 2 2 3 5 2 2" xfId="415" xr:uid="{00000000-0005-0000-0000-000063010000}"/>
    <cellStyle name="쉼표 [0] 3 2 2 2 3 5 3" xfId="416" xr:uid="{00000000-0005-0000-0000-000064010000}"/>
    <cellStyle name="쉼표 [0] 3 2 2 2 3 6" xfId="417" xr:uid="{00000000-0005-0000-0000-000065010000}"/>
    <cellStyle name="쉼표 [0] 3 2 2 2 3 6 2" xfId="418" xr:uid="{00000000-0005-0000-0000-000066010000}"/>
    <cellStyle name="쉼표 [0] 3 2 2 2 3 7" xfId="419" xr:uid="{00000000-0005-0000-0000-000067010000}"/>
    <cellStyle name="쉼표 [0] 3 2 2 2 3 8" xfId="420" xr:uid="{00000000-0005-0000-0000-000068010000}"/>
    <cellStyle name="쉼표 [0] 3 2 2 2 4" xfId="421" xr:uid="{00000000-0005-0000-0000-000069010000}"/>
    <cellStyle name="쉼표 [0] 3 2 2 2 4 2" xfId="422" xr:uid="{00000000-0005-0000-0000-00006A010000}"/>
    <cellStyle name="쉼표 [0] 3 2 2 2 4 2 2" xfId="423" xr:uid="{00000000-0005-0000-0000-00006B010000}"/>
    <cellStyle name="쉼표 [0] 3 2 2 2 4 2 2 2" xfId="424" xr:uid="{00000000-0005-0000-0000-00006C010000}"/>
    <cellStyle name="쉼표 [0] 3 2 2 2 4 2 2 2 2" xfId="425" xr:uid="{00000000-0005-0000-0000-00006D010000}"/>
    <cellStyle name="쉼표 [0] 3 2 2 2 4 2 2 2 2 2" xfId="426" xr:uid="{00000000-0005-0000-0000-00006E010000}"/>
    <cellStyle name="쉼표 [0] 3 2 2 2 4 2 2 2 3" xfId="427" xr:uid="{00000000-0005-0000-0000-00006F010000}"/>
    <cellStyle name="쉼표 [0] 3 2 2 2 4 2 2 3" xfId="428" xr:uid="{00000000-0005-0000-0000-000070010000}"/>
    <cellStyle name="쉼표 [0] 3 2 2 2 4 2 2 3 2" xfId="429" xr:uid="{00000000-0005-0000-0000-000071010000}"/>
    <cellStyle name="쉼표 [0] 3 2 2 2 4 2 2 4" xfId="430" xr:uid="{00000000-0005-0000-0000-000072010000}"/>
    <cellStyle name="쉼표 [0] 3 2 2 2 4 2 3" xfId="431" xr:uid="{00000000-0005-0000-0000-000073010000}"/>
    <cellStyle name="쉼표 [0] 3 2 2 2 4 2 3 2" xfId="432" xr:uid="{00000000-0005-0000-0000-000074010000}"/>
    <cellStyle name="쉼표 [0] 3 2 2 2 4 2 3 2 2" xfId="433" xr:uid="{00000000-0005-0000-0000-000075010000}"/>
    <cellStyle name="쉼표 [0] 3 2 2 2 4 2 3 3" xfId="434" xr:uid="{00000000-0005-0000-0000-000076010000}"/>
    <cellStyle name="쉼표 [0] 3 2 2 2 4 2 4" xfId="435" xr:uid="{00000000-0005-0000-0000-000077010000}"/>
    <cellStyle name="쉼표 [0] 3 2 2 2 4 2 4 2" xfId="436" xr:uid="{00000000-0005-0000-0000-000078010000}"/>
    <cellStyle name="쉼표 [0] 3 2 2 2 4 2 5" xfId="437" xr:uid="{00000000-0005-0000-0000-000079010000}"/>
    <cellStyle name="쉼표 [0] 3 2 2 2 4 3" xfId="438" xr:uid="{00000000-0005-0000-0000-00007A010000}"/>
    <cellStyle name="쉼표 [0] 3 2 2 2 4 3 2" xfId="439" xr:uid="{00000000-0005-0000-0000-00007B010000}"/>
    <cellStyle name="쉼표 [0] 3 2 2 2 4 3 2 2" xfId="440" xr:uid="{00000000-0005-0000-0000-00007C010000}"/>
    <cellStyle name="쉼표 [0] 3 2 2 2 4 3 2 2 2" xfId="441" xr:uid="{00000000-0005-0000-0000-00007D010000}"/>
    <cellStyle name="쉼표 [0] 3 2 2 2 4 3 2 3" xfId="442" xr:uid="{00000000-0005-0000-0000-00007E010000}"/>
    <cellStyle name="쉼표 [0] 3 2 2 2 4 3 3" xfId="443" xr:uid="{00000000-0005-0000-0000-00007F010000}"/>
    <cellStyle name="쉼표 [0] 3 2 2 2 4 3 3 2" xfId="444" xr:uid="{00000000-0005-0000-0000-000080010000}"/>
    <cellStyle name="쉼표 [0] 3 2 2 2 4 3 4" xfId="445" xr:uid="{00000000-0005-0000-0000-000081010000}"/>
    <cellStyle name="쉼표 [0] 3 2 2 2 4 4" xfId="446" xr:uid="{00000000-0005-0000-0000-000082010000}"/>
    <cellStyle name="쉼표 [0] 3 2 2 2 4 4 2" xfId="447" xr:uid="{00000000-0005-0000-0000-000083010000}"/>
    <cellStyle name="쉼표 [0] 3 2 2 2 4 4 2 2" xfId="448" xr:uid="{00000000-0005-0000-0000-000084010000}"/>
    <cellStyle name="쉼표 [0] 3 2 2 2 4 4 3" xfId="449" xr:uid="{00000000-0005-0000-0000-000085010000}"/>
    <cellStyle name="쉼표 [0] 3 2 2 2 4 5" xfId="450" xr:uid="{00000000-0005-0000-0000-000086010000}"/>
    <cellStyle name="쉼표 [0] 3 2 2 2 4 5 2" xfId="451" xr:uid="{00000000-0005-0000-0000-000087010000}"/>
    <cellStyle name="쉼표 [0] 3 2 2 2 4 6" xfId="452" xr:uid="{00000000-0005-0000-0000-000088010000}"/>
    <cellStyle name="쉼표 [0] 3 2 2 2 5" xfId="453" xr:uid="{00000000-0005-0000-0000-000089010000}"/>
    <cellStyle name="쉼표 [0] 3 2 2 2 5 2" xfId="454" xr:uid="{00000000-0005-0000-0000-00008A010000}"/>
    <cellStyle name="쉼표 [0] 3 2 2 2 5 2 2" xfId="455" xr:uid="{00000000-0005-0000-0000-00008B010000}"/>
    <cellStyle name="쉼표 [0] 3 2 2 2 5 2 2 2" xfId="456" xr:uid="{00000000-0005-0000-0000-00008C010000}"/>
    <cellStyle name="쉼표 [0] 3 2 2 2 5 2 2 2 2" xfId="457" xr:uid="{00000000-0005-0000-0000-00008D010000}"/>
    <cellStyle name="쉼표 [0] 3 2 2 2 5 2 2 3" xfId="458" xr:uid="{00000000-0005-0000-0000-00008E010000}"/>
    <cellStyle name="쉼표 [0] 3 2 2 2 5 2 3" xfId="459" xr:uid="{00000000-0005-0000-0000-00008F010000}"/>
    <cellStyle name="쉼표 [0] 3 2 2 2 5 2 3 2" xfId="460" xr:uid="{00000000-0005-0000-0000-000090010000}"/>
    <cellStyle name="쉼표 [0] 3 2 2 2 5 2 4" xfId="461" xr:uid="{00000000-0005-0000-0000-000091010000}"/>
    <cellStyle name="쉼표 [0] 3 2 2 2 5 3" xfId="462" xr:uid="{00000000-0005-0000-0000-000092010000}"/>
    <cellStyle name="쉼표 [0] 3 2 2 2 5 3 2" xfId="463" xr:uid="{00000000-0005-0000-0000-000093010000}"/>
    <cellStyle name="쉼표 [0] 3 2 2 2 5 3 2 2" xfId="464" xr:uid="{00000000-0005-0000-0000-000094010000}"/>
    <cellStyle name="쉼표 [0] 3 2 2 2 5 3 3" xfId="465" xr:uid="{00000000-0005-0000-0000-000095010000}"/>
    <cellStyle name="쉼표 [0] 3 2 2 2 5 4" xfId="466" xr:uid="{00000000-0005-0000-0000-000096010000}"/>
    <cellStyle name="쉼표 [0] 3 2 2 2 5 4 2" xfId="467" xr:uid="{00000000-0005-0000-0000-000097010000}"/>
    <cellStyle name="쉼표 [0] 3 2 2 2 5 5" xfId="468" xr:uid="{00000000-0005-0000-0000-000098010000}"/>
    <cellStyle name="쉼표 [0] 3 2 2 2 6" xfId="469" xr:uid="{00000000-0005-0000-0000-000099010000}"/>
    <cellStyle name="쉼표 [0] 3 2 2 2 6 2" xfId="470" xr:uid="{00000000-0005-0000-0000-00009A010000}"/>
    <cellStyle name="쉼표 [0] 3 2 2 2 6 2 2" xfId="471" xr:uid="{00000000-0005-0000-0000-00009B010000}"/>
    <cellStyle name="쉼표 [0] 3 2 2 2 6 2 2 2" xfId="472" xr:uid="{00000000-0005-0000-0000-00009C010000}"/>
    <cellStyle name="쉼표 [0] 3 2 2 2 6 2 3" xfId="473" xr:uid="{00000000-0005-0000-0000-00009D010000}"/>
    <cellStyle name="쉼표 [0] 3 2 2 2 6 3" xfId="474" xr:uid="{00000000-0005-0000-0000-00009E010000}"/>
    <cellStyle name="쉼표 [0] 3 2 2 2 6 3 2" xfId="475" xr:uid="{00000000-0005-0000-0000-00009F010000}"/>
    <cellStyle name="쉼표 [0] 3 2 2 2 6 4" xfId="476" xr:uid="{00000000-0005-0000-0000-0000A0010000}"/>
    <cellStyle name="쉼표 [0] 3 2 2 2 7" xfId="477" xr:uid="{00000000-0005-0000-0000-0000A1010000}"/>
    <cellStyle name="쉼표 [0] 3 2 2 2 7 2" xfId="478" xr:uid="{00000000-0005-0000-0000-0000A2010000}"/>
    <cellStyle name="쉼표 [0] 3 2 2 2 7 2 2" xfId="479" xr:uid="{00000000-0005-0000-0000-0000A3010000}"/>
    <cellStyle name="쉼표 [0] 3 2 2 2 7 3" xfId="480" xr:uid="{00000000-0005-0000-0000-0000A4010000}"/>
    <cellStyle name="쉼표 [0] 3 2 2 2 8" xfId="481" xr:uid="{00000000-0005-0000-0000-0000A5010000}"/>
    <cellStyle name="쉼표 [0] 3 2 2 2 8 2" xfId="482" xr:uid="{00000000-0005-0000-0000-0000A6010000}"/>
    <cellStyle name="쉼표 [0] 3 2 2 2 9" xfId="483" xr:uid="{00000000-0005-0000-0000-0000A7010000}"/>
    <cellStyle name="쉼표 [0] 3 2 2 3" xfId="484" xr:uid="{00000000-0005-0000-0000-0000A8010000}"/>
    <cellStyle name="쉼표 [0] 3 2 2 3 2" xfId="485" xr:uid="{00000000-0005-0000-0000-0000A9010000}"/>
    <cellStyle name="쉼표 [0] 3 2 2 3 2 2" xfId="486" xr:uid="{00000000-0005-0000-0000-0000AA010000}"/>
    <cellStyle name="쉼표 [0] 3 2 2 3 2 2 2" xfId="487" xr:uid="{00000000-0005-0000-0000-0000AB010000}"/>
    <cellStyle name="쉼표 [0] 3 2 2 3 2 2 2 2" xfId="488" xr:uid="{00000000-0005-0000-0000-0000AC010000}"/>
    <cellStyle name="쉼표 [0] 3 2 2 3 2 2 2 2 2" xfId="489" xr:uid="{00000000-0005-0000-0000-0000AD010000}"/>
    <cellStyle name="쉼표 [0] 3 2 2 3 2 2 2 2 2 2" xfId="490" xr:uid="{00000000-0005-0000-0000-0000AE010000}"/>
    <cellStyle name="쉼표 [0] 3 2 2 3 2 2 2 2 2 2 2" xfId="491" xr:uid="{00000000-0005-0000-0000-0000AF010000}"/>
    <cellStyle name="쉼표 [0] 3 2 2 3 2 2 2 2 2 3" xfId="492" xr:uid="{00000000-0005-0000-0000-0000B0010000}"/>
    <cellStyle name="쉼표 [0] 3 2 2 3 2 2 2 2 3" xfId="493" xr:uid="{00000000-0005-0000-0000-0000B1010000}"/>
    <cellStyle name="쉼표 [0] 3 2 2 3 2 2 2 2 3 2" xfId="494" xr:uid="{00000000-0005-0000-0000-0000B2010000}"/>
    <cellStyle name="쉼표 [0] 3 2 2 3 2 2 2 2 4" xfId="495" xr:uid="{00000000-0005-0000-0000-0000B3010000}"/>
    <cellStyle name="쉼표 [0] 3 2 2 3 2 2 2 3" xfId="496" xr:uid="{00000000-0005-0000-0000-0000B4010000}"/>
    <cellStyle name="쉼표 [0] 3 2 2 3 2 2 2 3 2" xfId="497" xr:uid="{00000000-0005-0000-0000-0000B5010000}"/>
    <cellStyle name="쉼표 [0] 3 2 2 3 2 2 2 3 2 2" xfId="498" xr:uid="{00000000-0005-0000-0000-0000B6010000}"/>
    <cellStyle name="쉼표 [0] 3 2 2 3 2 2 2 3 3" xfId="499" xr:uid="{00000000-0005-0000-0000-0000B7010000}"/>
    <cellStyle name="쉼표 [0] 3 2 2 3 2 2 2 4" xfId="500" xr:uid="{00000000-0005-0000-0000-0000B8010000}"/>
    <cellStyle name="쉼표 [0] 3 2 2 3 2 2 2 4 2" xfId="501" xr:uid="{00000000-0005-0000-0000-0000B9010000}"/>
    <cellStyle name="쉼표 [0] 3 2 2 3 2 2 2 5" xfId="502" xr:uid="{00000000-0005-0000-0000-0000BA010000}"/>
    <cellStyle name="쉼표 [0] 3 2 2 3 2 2 3" xfId="503" xr:uid="{00000000-0005-0000-0000-0000BB010000}"/>
    <cellStyle name="쉼표 [0] 3 2 2 3 2 2 3 2" xfId="504" xr:uid="{00000000-0005-0000-0000-0000BC010000}"/>
    <cellStyle name="쉼표 [0] 3 2 2 3 2 2 3 2 2" xfId="505" xr:uid="{00000000-0005-0000-0000-0000BD010000}"/>
    <cellStyle name="쉼표 [0] 3 2 2 3 2 2 3 2 2 2" xfId="506" xr:uid="{00000000-0005-0000-0000-0000BE010000}"/>
    <cellStyle name="쉼표 [0] 3 2 2 3 2 2 3 2 3" xfId="507" xr:uid="{00000000-0005-0000-0000-0000BF010000}"/>
    <cellStyle name="쉼표 [0] 3 2 2 3 2 2 3 3" xfId="508" xr:uid="{00000000-0005-0000-0000-0000C0010000}"/>
    <cellStyle name="쉼표 [0] 3 2 2 3 2 2 3 3 2" xfId="509" xr:uid="{00000000-0005-0000-0000-0000C1010000}"/>
    <cellStyle name="쉼표 [0] 3 2 2 3 2 2 3 4" xfId="510" xr:uid="{00000000-0005-0000-0000-0000C2010000}"/>
    <cellStyle name="쉼표 [0] 3 2 2 3 2 2 4" xfId="511" xr:uid="{00000000-0005-0000-0000-0000C3010000}"/>
    <cellStyle name="쉼표 [0] 3 2 2 3 2 2 4 2" xfId="512" xr:uid="{00000000-0005-0000-0000-0000C4010000}"/>
    <cellStyle name="쉼표 [0] 3 2 2 3 2 2 4 2 2" xfId="513" xr:uid="{00000000-0005-0000-0000-0000C5010000}"/>
    <cellStyle name="쉼표 [0] 3 2 2 3 2 2 4 3" xfId="514" xr:uid="{00000000-0005-0000-0000-0000C6010000}"/>
    <cellStyle name="쉼표 [0] 3 2 2 3 2 2 5" xfId="515" xr:uid="{00000000-0005-0000-0000-0000C7010000}"/>
    <cellStyle name="쉼표 [0] 3 2 2 3 2 2 5 2" xfId="516" xr:uid="{00000000-0005-0000-0000-0000C8010000}"/>
    <cellStyle name="쉼표 [0] 3 2 2 3 2 2 6" xfId="517" xr:uid="{00000000-0005-0000-0000-0000C9010000}"/>
    <cellStyle name="쉼표 [0] 3 2 2 3 2 3" xfId="518" xr:uid="{00000000-0005-0000-0000-0000CA010000}"/>
    <cellStyle name="쉼표 [0] 3 2 2 3 2 3 2" xfId="519" xr:uid="{00000000-0005-0000-0000-0000CB010000}"/>
    <cellStyle name="쉼표 [0] 3 2 2 3 2 3 2 2" xfId="520" xr:uid="{00000000-0005-0000-0000-0000CC010000}"/>
    <cellStyle name="쉼표 [0] 3 2 2 3 2 3 2 2 2" xfId="521" xr:uid="{00000000-0005-0000-0000-0000CD010000}"/>
    <cellStyle name="쉼표 [0] 3 2 2 3 2 3 2 2 2 2" xfId="522" xr:uid="{00000000-0005-0000-0000-0000CE010000}"/>
    <cellStyle name="쉼표 [0] 3 2 2 3 2 3 2 2 3" xfId="523" xr:uid="{00000000-0005-0000-0000-0000CF010000}"/>
    <cellStyle name="쉼표 [0] 3 2 2 3 2 3 2 3" xfId="524" xr:uid="{00000000-0005-0000-0000-0000D0010000}"/>
    <cellStyle name="쉼표 [0] 3 2 2 3 2 3 2 3 2" xfId="525" xr:uid="{00000000-0005-0000-0000-0000D1010000}"/>
    <cellStyle name="쉼표 [0] 3 2 2 3 2 3 2 4" xfId="526" xr:uid="{00000000-0005-0000-0000-0000D2010000}"/>
    <cellStyle name="쉼표 [0] 3 2 2 3 2 3 3" xfId="527" xr:uid="{00000000-0005-0000-0000-0000D3010000}"/>
    <cellStyle name="쉼표 [0] 3 2 2 3 2 3 3 2" xfId="528" xr:uid="{00000000-0005-0000-0000-0000D4010000}"/>
    <cellStyle name="쉼표 [0] 3 2 2 3 2 3 3 2 2" xfId="529" xr:uid="{00000000-0005-0000-0000-0000D5010000}"/>
    <cellStyle name="쉼표 [0] 3 2 2 3 2 3 3 3" xfId="530" xr:uid="{00000000-0005-0000-0000-0000D6010000}"/>
    <cellStyle name="쉼표 [0] 3 2 2 3 2 3 4" xfId="531" xr:uid="{00000000-0005-0000-0000-0000D7010000}"/>
    <cellStyle name="쉼표 [0] 3 2 2 3 2 3 4 2" xfId="532" xr:uid="{00000000-0005-0000-0000-0000D8010000}"/>
    <cellStyle name="쉼표 [0] 3 2 2 3 2 3 5" xfId="533" xr:uid="{00000000-0005-0000-0000-0000D9010000}"/>
    <cellStyle name="쉼표 [0] 3 2 2 3 2 4" xfId="534" xr:uid="{00000000-0005-0000-0000-0000DA010000}"/>
    <cellStyle name="쉼표 [0] 3 2 2 3 2 4 2" xfId="535" xr:uid="{00000000-0005-0000-0000-0000DB010000}"/>
    <cellStyle name="쉼표 [0] 3 2 2 3 2 4 2 2" xfId="536" xr:uid="{00000000-0005-0000-0000-0000DC010000}"/>
    <cellStyle name="쉼표 [0] 3 2 2 3 2 4 2 2 2" xfId="537" xr:uid="{00000000-0005-0000-0000-0000DD010000}"/>
    <cellStyle name="쉼표 [0] 3 2 2 3 2 4 2 3" xfId="538" xr:uid="{00000000-0005-0000-0000-0000DE010000}"/>
    <cellStyle name="쉼표 [0] 3 2 2 3 2 4 3" xfId="539" xr:uid="{00000000-0005-0000-0000-0000DF010000}"/>
    <cellStyle name="쉼표 [0] 3 2 2 3 2 4 3 2" xfId="540" xr:uid="{00000000-0005-0000-0000-0000E0010000}"/>
    <cellStyle name="쉼표 [0] 3 2 2 3 2 4 4" xfId="541" xr:uid="{00000000-0005-0000-0000-0000E1010000}"/>
    <cellStyle name="쉼표 [0] 3 2 2 3 2 5" xfId="542" xr:uid="{00000000-0005-0000-0000-0000E2010000}"/>
    <cellStyle name="쉼표 [0] 3 2 2 3 2 5 2" xfId="543" xr:uid="{00000000-0005-0000-0000-0000E3010000}"/>
    <cellStyle name="쉼표 [0] 3 2 2 3 2 5 2 2" xfId="544" xr:uid="{00000000-0005-0000-0000-0000E4010000}"/>
    <cellStyle name="쉼표 [0] 3 2 2 3 2 5 3" xfId="545" xr:uid="{00000000-0005-0000-0000-0000E5010000}"/>
    <cellStyle name="쉼표 [0] 3 2 2 3 2 6" xfId="546" xr:uid="{00000000-0005-0000-0000-0000E6010000}"/>
    <cellStyle name="쉼표 [0] 3 2 2 3 2 6 2" xfId="547" xr:uid="{00000000-0005-0000-0000-0000E7010000}"/>
    <cellStyle name="쉼표 [0] 3 2 2 3 2 7" xfId="548" xr:uid="{00000000-0005-0000-0000-0000E8010000}"/>
    <cellStyle name="쉼표 [0] 3 2 2 3 2 8" xfId="549" xr:uid="{00000000-0005-0000-0000-0000E9010000}"/>
    <cellStyle name="쉼표 [0] 3 2 2 3 3" xfId="550" xr:uid="{00000000-0005-0000-0000-0000EA010000}"/>
    <cellStyle name="쉼표 [0] 3 2 2 3 3 2" xfId="551" xr:uid="{00000000-0005-0000-0000-0000EB010000}"/>
    <cellStyle name="쉼표 [0] 3 2 2 3 3 2 2" xfId="552" xr:uid="{00000000-0005-0000-0000-0000EC010000}"/>
    <cellStyle name="쉼표 [0] 3 2 2 3 3 2 2 2" xfId="553" xr:uid="{00000000-0005-0000-0000-0000ED010000}"/>
    <cellStyle name="쉼표 [0] 3 2 2 3 3 2 2 2 2" xfId="554" xr:uid="{00000000-0005-0000-0000-0000EE010000}"/>
    <cellStyle name="쉼표 [0] 3 2 2 3 3 2 2 2 2 2" xfId="555" xr:uid="{00000000-0005-0000-0000-0000EF010000}"/>
    <cellStyle name="쉼표 [0] 3 2 2 3 3 2 2 2 3" xfId="556" xr:uid="{00000000-0005-0000-0000-0000F0010000}"/>
    <cellStyle name="쉼표 [0] 3 2 2 3 3 2 2 3" xfId="557" xr:uid="{00000000-0005-0000-0000-0000F1010000}"/>
    <cellStyle name="쉼표 [0] 3 2 2 3 3 2 2 3 2" xfId="558" xr:uid="{00000000-0005-0000-0000-0000F2010000}"/>
    <cellStyle name="쉼표 [0] 3 2 2 3 3 2 2 4" xfId="559" xr:uid="{00000000-0005-0000-0000-0000F3010000}"/>
    <cellStyle name="쉼표 [0] 3 2 2 3 3 2 3" xfId="560" xr:uid="{00000000-0005-0000-0000-0000F4010000}"/>
    <cellStyle name="쉼표 [0] 3 2 2 3 3 2 3 2" xfId="561" xr:uid="{00000000-0005-0000-0000-0000F5010000}"/>
    <cellStyle name="쉼표 [0] 3 2 2 3 3 2 3 2 2" xfId="562" xr:uid="{00000000-0005-0000-0000-0000F6010000}"/>
    <cellStyle name="쉼표 [0] 3 2 2 3 3 2 3 3" xfId="563" xr:uid="{00000000-0005-0000-0000-0000F7010000}"/>
    <cellStyle name="쉼표 [0] 3 2 2 3 3 2 4" xfId="564" xr:uid="{00000000-0005-0000-0000-0000F8010000}"/>
    <cellStyle name="쉼표 [0] 3 2 2 3 3 2 4 2" xfId="565" xr:uid="{00000000-0005-0000-0000-0000F9010000}"/>
    <cellStyle name="쉼표 [0] 3 2 2 3 3 2 5" xfId="566" xr:uid="{00000000-0005-0000-0000-0000FA010000}"/>
    <cellStyle name="쉼표 [0] 3 2 2 3 3 3" xfId="567" xr:uid="{00000000-0005-0000-0000-0000FB010000}"/>
    <cellStyle name="쉼표 [0] 3 2 2 3 3 3 2" xfId="568" xr:uid="{00000000-0005-0000-0000-0000FC010000}"/>
    <cellStyle name="쉼표 [0] 3 2 2 3 3 3 2 2" xfId="569" xr:uid="{00000000-0005-0000-0000-0000FD010000}"/>
    <cellStyle name="쉼표 [0] 3 2 2 3 3 3 2 2 2" xfId="570" xr:uid="{00000000-0005-0000-0000-0000FE010000}"/>
    <cellStyle name="쉼표 [0] 3 2 2 3 3 3 2 3" xfId="571" xr:uid="{00000000-0005-0000-0000-0000FF010000}"/>
    <cellStyle name="쉼표 [0] 3 2 2 3 3 3 3" xfId="572" xr:uid="{00000000-0005-0000-0000-000000020000}"/>
    <cellStyle name="쉼표 [0] 3 2 2 3 3 3 3 2" xfId="573" xr:uid="{00000000-0005-0000-0000-000001020000}"/>
    <cellStyle name="쉼표 [0] 3 2 2 3 3 3 4" xfId="574" xr:uid="{00000000-0005-0000-0000-000002020000}"/>
    <cellStyle name="쉼표 [0] 3 2 2 3 3 4" xfId="575" xr:uid="{00000000-0005-0000-0000-000003020000}"/>
    <cellStyle name="쉼표 [0] 3 2 2 3 3 4 2" xfId="576" xr:uid="{00000000-0005-0000-0000-000004020000}"/>
    <cellStyle name="쉼표 [0] 3 2 2 3 3 4 2 2" xfId="577" xr:uid="{00000000-0005-0000-0000-000005020000}"/>
    <cellStyle name="쉼표 [0] 3 2 2 3 3 4 3" xfId="578" xr:uid="{00000000-0005-0000-0000-000006020000}"/>
    <cellStyle name="쉼표 [0] 3 2 2 3 3 5" xfId="579" xr:uid="{00000000-0005-0000-0000-000007020000}"/>
    <cellStyle name="쉼표 [0] 3 2 2 3 3 5 2" xfId="580" xr:uid="{00000000-0005-0000-0000-000008020000}"/>
    <cellStyle name="쉼표 [0] 3 2 2 3 3 6" xfId="581" xr:uid="{00000000-0005-0000-0000-000009020000}"/>
    <cellStyle name="쉼표 [0] 3 2 2 3 4" xfId="582" xr:uid="{00000000-0005-0000-0000-00000A020000}"/>
    <cellStyle name="쉼표 [0] 3 2 2 3 4 2" xfId="583" xr:uid="{00000000-0005-0000-0000-00000B020000}"/>
    <cellStyle name="쉼표 [0] 3 2 2 3 4 2 2" xfId="584" xr:uid="{00000000-0005-0000-0000-00000C020000}"/>
    <cellStyle name="쉼표 [0] 3 2 2 3 4 2 2 2" xfId="585" xr:uid="{00000000-0005-0000-0000-00000D020000}"/>
    <cellStyle name="쉼표 [0] 3 2 2 3 4 2 2 2 2" xfId="586" xr:uid="{00000000-0005-0000-0000-00000E020000}"/>
    <cellStyle name="쉼표 [0] 3 2 2 3 4 2 2 3" xfId="587" xr:uid="{00000000-0005-0000-0000-00000F020000}"/>
    <cellStyle name="쉼표 [0] 3 2 2 3 4 2 3" xfId="588" xr:uid="{00000000-0005-0000-0000-000010020000}"/>
    <cellStyle name="쉼표 [0] 3 2 2 3 4 2 3 2" xfId="589" xr:uid="{00000000-0005-0000-0000-000011020000}"/>
    <cellStyle name="쉼표 [0] 3 2 2 3 4 2 4" xfId="590" xr:uid="{00000000-0005-0000-0000-000012020000}"/>
    <cellStyle name="쉼표 [0] 3 2 2 3 4 3" xfId="591" xr:uid="{00000000-0005-0000-0000-000013020000}"/>
    <cellStyle name="쉼표 [0] 3 2 2 3 4 3 2" xfId="592" xr:uid="{00000000-0005-0000-0000-000014020000}"/>
    <cellStyle name="쉼표 [0] 3 2 2 3 4 3 2 2" xfId="593" xr:uid="{00000000-0005-0000-0000-000015020000}"/>
    <cellStyle name="쉼표 [0] 3 2 2 3 4 3 3" xfId="594" xr:uid="{00000000-0005-0000-0000-000016020000}"/>
    <cellStyle name="쉼표 [0] 3 2 2 3 4 4" xfId="595" xr:uid="{00000000-0005-0000-0000-000017020000}"/>
    <cellStyle name="쉼표 [0] 3 2 2 3 4 4 2" xfId="596" xr:uid="{00000000-0005-0000-0000-000018020000}"/>
    <cellStyle name="쉼표 [0] 3 2 2 3 4 5" xfId="597" xr:uid="{00000000-0005-0000-0000-000019020000}"/>
    <cellStyle name="쉼표 [0] 3 2 2 3 5" xfId="598" xr:uid="{00000000-0005-0000-0000-00001A020000}"/>
    <cellStyle name="쉼표 [0] 3 2 2 3 5 2" xfId="599" xr:uid="{00000000-0005-0000-0000-00001B020000}"/>
    <cellStyle name="쉼표 [0] 3 2 2 3 5 2 2" xfId="600" xr:uid="{00000000-0005-0000-0000-00001C020000}"/>
    <cellStyle name="쉼표 [0] 3 2 2 3 5 2 2 2" xfId="601" xr:uid="{00000000-0005-0000-0000-00001D020000}"/>
    <cellStyle name="쉼표 [0] 3 2 2 3 5 2 3" xfId="602" xr:uid="{00000000-0005-0000-0000-00001E020000}"/>
    <cellStyle name="쉼표 [0] 3 2 2 3 5 3" xfId="603" xr:uid="{00000000-0005-0000-0000-00001F020000}"/>
    <cellStyle name="쉼표 [0] 3 2 2 3 5 3 2" xfId="604" xr:uid="{00000000-0005-0000-0000-000020020000}"/>
    <cellStyle name="쉼표 [0] 3 2 2 3 5 4" xfId="605" xr:uid="{00000000-0005-0000-0000-000021020000}"/>
    <cellStyle name="쉼표 [0] 3 2 2 3 6" xfId="606" xr:uid="{00000000-0005-0000-0000-000022020000}"/>
    <cellStyle name="쉼표 [0] 3 2 2 3 6 2" xfId="607" xr:uid="{00000000-0005-0000-0000-000023020000}"/>
    <cellStyle name="쉼표 [0] 3 2 2 3 6 2 2" xfId="608" xr:uid="{00000000-0005-0000-0000-000024020000}"/>
    <cellStyle name="쉼표 [0] 3 2 2 3 6 3" xfId="609" xr:uid="{00000000-0005-0000-0000-000025020000}"/>
    <cellStyle name="쉼표 [0] 3 2 2 3 7" xfId="610" xr:uid="{00000000-0005-0000-0000-000026020000}"/>
    <cellStyle name="쉼표 [0] 3 2 2 3 7 2" xfId="611" xr:uid="{00000000-0005-0000-0000-000027020000}"/>
    <cellStyle name="쉼표 [0] 3 2 2 3 8" xfId="612" xr:uid="{00000000-0005-0000-0000-000028020000}"/>
    <cellStyle name="쉼표 [0] 3 2 2 3 9" xfId="613" xr:uid="{00000000-0005-0000-0000-000029020000}"/>
    <cellStyle name="쉼표 [0] 3 2 2 4" xfId="614" xr:uid="{00000000-0005-0000-0000-00002A020000}"/>
    <cellStyle name="쉼표 [0] 3 2 2 4 2" xfId="615" xr:uid="{00000000-0005-0000-0000-00002B020000}"/>
    <cellStyle name="쉼표 [0] 3 2 2 4 2 2" xfId="616" xr:uid="{00000000-0005-0000-0000-00002C020000}"/>
    <cellStyle name="쉼표 [0] 3 2 2 4 2 2 2" xfId="617" xr:uid="{00000000-0005-0000-0000-00002D020000}"/>
    <cellStyle name="쉼표 [0] 3 2 2 4 2 2 2 2" xfId="618" xr:uid="{00000000-0005-0000-0000-00002E020000}"/>
    <cellStyle name="쉼표 [0] 3 2 2 4 2 2 2 2 2" xfId="619" xr:uid="{00000000-0005-0000-0000-00002F020000}"/>
    <cellStyle name="쉼표 [0] 3 2 2 4 2 2 2 2 2 2" xfId="620" xr:uid="{00000000-0005-0000-0000-000030020000}"/>
    <cellStyle name="쉼표 [0] 3 2 2 4 2 2 2 2 3" xfId="621" xr:uid="{00000000-0005-0000-0000-000031020000}"/>
    <cellStyle name="쉼표 [0] 3 2 2 4 2 2 2 3" xfId="622" xr:uid="{00000000-0005-0000-0000-000032020000}"/>
    <cellStyle name="쉼표 [0] 3 2 2 4 2 2 2 3 2" xfId="623" xr:uid="{00000000-0005-0000-0000-000033020000}"/>
    <cellStyle name="쉼표 [0] 3 2 2 4 2 2 2 4" xfId="624" xr:uid="{00000000-0005-0000-0000-000034020000}"/>
    <cellStyle name="쉼표 [0] 3 2 2 4 2 2 3" xfId="625" xr:uid="{00000000-0005-0000-0000-000035020000}"/>
    <cellStyle name="쉼표 [0] 3 2 2 4 2 2 3 2" xfId="626" xr:uid="{00000000-0005-0000-0000-000036020000}"/>
    <cellStyle name="쉼표 [0] 3 2 2 4 2 2 3 2 2" xfId="627" xr:uid="{00000000-0005-0000-0000-000037020000}"/>
    <cellStyle name="쉼표 [0] 3 2 2 4 2 2 3 3" xfId="628" xr:uid="{00000000-0005-0000-0000-000038020000}"/>
    <cellStyle name="쉼표 [0] 3 2 2 4 2 2 4" xfId="629" xr:uid="{00000000-0005-0000-0000-000039020000}"/>
    <cellStyle name="쉼표 [0] 3 2 2 4 2 2 4 2" xfId="630" xr:uid="{00000000-0005-0000-0000-00003A020000}"/>
    <cellStyle name="쉼표 [0] 3 2 2 4 2 2 5" xfId="631" xr:uid="{00000000-0005-0000-0000-00003B020000}"/>
    <cellStyle name="쉼표 [0] 3 2 2 4 2 3" xfId="632" xr:uid="{00000000-0005-0000-0000-00003C020000}"/>
    <cellStyle name="쉼표 [0] 3 2 2 4 2 3 2" xfId="633" xr:uid="{00000000-0005-0000-0000-00003D020000}"/>
    <cellStyle name="쉼표 [0] 3 2 2 4 2 3 2 2" xfId="634" xr:uid="{00000000-0005-0000-0000-00003E020000}"/>
    <cellStyle name="쉼표 [0] 3 2 2 4 2 3 2 2 2" xfId="635" xr:uid="{00000000-0005-0000-0000-00003F020000}"/>
    <cellStyle name="쉼표 [0] 3 2 2 4 2 3 2 3" xfId="636" xr:uid="{00000000-0005-0000-0000-000040020000}"/>
    <cellStyle name="쉼표 [0] 3 2 2 4 2 3 3" xfId="637" xr:uid="{00000000-0005-0000-0000-000041020000}"/>
    <cellStyle name="쉼표 [0] 3 2 2 4 2 3 3 2" xfId="638" xr:uid="{00000000-0005-0000-0000-000042020000}"/>
    <cellStyle name="쉼표 [0] 3 2 2 4 2 3 4" xfId="639" xr:uid="{00000000-0005-0000-0000-000043020000}"/>
    <cellStyle name="쉼표 [0] 3 2 2 4 2 4" xfId="640" xr:uid="{00000000-0005-0000-0000-000044020000}"/>
    <cellStyle name="쉼표 [0] 3 2 2 4 2 4 2" xfId="641" xr:uid="{00000000-0005-0000-0000-000045020000}"/>
    <cellStyle name="쉼표 [0] 3 2 2 4 2 4 2 2" xfId="642" xr:uid="{00000000-0005-0000-0000-000046020000}"/>
    <cellStyle name="쉼표 [0] 3 2 2 4 2 4 3" xfId="643" xr:uid="{00000000-0005-0000-0000-000047020000}"/>
    <cellStyle name="쉼표 [0] 3 2 2 4 2 5" xfId="644" xr:uid="{00000000-0005-0000-0000-000048020000}"/>
    <cellStyle name="쉼표 [0] 3 2 2 4 2 5 2" xfId="645" xr:uid="{00000000-0005-0000-0000-000049020000}"/>
    <cellStyle name="쉼표 [0] 3 2 2 4 2 6" xfId="646" xr:uid="{00000000-0005-0000-0000-00004A020000}"/>
    <cellStyle name="쉼표 [0] 3 2 2 4 3" xfId="647" xr:uid="{00000000-0005-0000-0000-00004B020000}"/>
    <cellStyle name="쉼표 [0] 3 2 2 4 3 2" xfId="648" xr:uid="{00000000-0005-0000-0000-00004C020000}"/>
    <cellStyle name="쉼표 [0] 3 2 2 4 3 2 2" xfId="649" xr:uid="{00000000-0005-0000-0000-00004D020000}"/>
    <cellStyle name="쉼표 [0] 3 2 2 4 3 2 2 2" xfId="650" xr:uid="{00000000-0005-0000-0000-00004E020000}"/>
    <cellStyle name="쉼표 [0] 3 2 2 4 3 2 2 2 2" xfId="651" xr:uid="{00000000-0005-0000-0000-00004F020000}"/>
    <cellStyle name="쉼표 [0] 3 2 2 4 3 2 2 3" xfId="652" xr:uid="{00000000-0005-0000-0000-000050020000}"/>
    <cellStyle name="쉼표 [0] 3 2 2 4 3 2 3" xfId="653" xr:uid="{00000000-0005-0000-0000-000051020000}"/>
    <cellStyle name="쉼표 [0] 3 2 2 4 3 2 3 2" xfId="654" xr:uid="{00000000-0005-0000-0000-000052020000}"/>
    <cellStyle name="쉼표 [0] 3 2 2 4 3 2 4" xfId="655" xr:uid="{00000000-0005-0000-0000-000053020000}"/>
    <cellStyle name="쉼표 [0] 3 2 2 4 3 3" xfId="656" xr:uid="{00000000-0005-0000-0000-000054020000}"/>
    <cellStyle name="쉼표 [0] 3 2 2 4 3 3 2" xfId="657" xr:uid="{00000000-0005-0000-0000-000055020000}"/>
    <cellStyle name="쉼표 [0] 3 2 2 4 3 3 2 2" xfId="658" xr:uid="{00000000-0005-0000-0000-000056020000}"/>
    <cellStyle name="쉼표 [0] 3 2 2 4 3 3 3" xfId="659" xr:uid="{00000000-0005-0000-0000-000057020000}"/>
    <cellStyle name="쉼표 [0] 3 2 2 4 3 4" xfId="660" xr:uid="{00000000-0005-0000-0000-000058020000}"/>
    <cellStyle name="쉼표 [0] 3 2 2 4 3 4 2" xfId="661" xr:uid="{00000000-0005-0000-0000-000059020000}"/>
    <cellStyle name="쉼표 [0] 3 2 2 4 3 5" xfId="662" xr:uid="{00000000-0005-0000-0000-00005A020000}"/>
    <cellStyle name="쉼표 [0] 3 2 2 4 4" xfId="663" xr:uid="{00000000-0005-0000-0000-00005B020000}"/>
    <cellStyle name="쉼표 [0] 3 2 2 4 4 2" xfId="664" xr:uid="{00000000-0005-0000-0000-00005C020000}"/>
    <cellStyle name="쉼표 [0] 3 2 2 4 4 2 2" xfId="665" xr:uid="{00000000-0005-0000-0000-00005D020000}"/>
    <cellStyle name="쉼표 [0] 3 2 2 4 4 2 2 2" xfId="666" xr:uid="{00000000-0005-0000-0000-00005E020000}"/>
    <cellStyle name="쉼표 [0] 3 2 2 4 4 2 3" xfId="667" xr:uid="{00000000-0005-0000-0000-00005F020000}"/>
    <cellStyle name="쉼표 [0] 3 2 2 4 4 3" xfId="668" xr:uid="{00000000-0005-0000-0000-000060020000}"/>
    <cellStyle name="쉼표 [0] 3 2 2 4 4 3 2" xfId="669" xr:uid="{00000000-0005-0000-0000-000061020000}"/>
    <cellStyle name="쉼표 [0] 3 2 2 4 4 4" xfId="670" xr:uid="{00000000-0005-0000-0000-000062020000}"/>
    <cellStyle name="쉼표 [0] 3 2 2 4 5" xfId="671" xr:uid="{00000000-0005-0000-0000-000063020000}"/>
    <cellStyle name="쉼표 [0] 3 2 2 4 5 2" xfId="672" xr:uid="{00000000-0005-0000-0000-000064020000}"/>
    <cellStyle name="쉼표 [0] 3 2 2 4 5 2 2" xfId="673" xr:uid="{00000000-0005-0000-0000-000065020000}"/>
    <cellStyle name="쉼표 [0] 3 2 2 4 5 3" xfId="674" xr:uid="{00000000-0005-0000-0000-000066020000}"/>
    <cellStyle name="쉼표 [0] 3 2 2 4 6" xfId="675" xr:uid="{00000000-0005-0000-0000-000067020000}"/>
    <cellStyle name="쉼표 [0] 3 2 2 4 6 2" xfId="676" xr:uid="{00000000-0005-0000-0000-000068020000}"/>
    <cellStyle name="쉼표 [0] 3 2 2 4 7" xfId="677" xr:uid="{00000000-0005-0000-0000-000069020000}"/>
    <cellStyle name="쉼표 [0] 3 2 2 4 8" xfId="678" xr:uid="{00000000-0005-0000-0000-00006A020000}"/>
    <cellStyle name="쉼표 [0] 3 2 2 5" xfId="679" xr:uid="{00000000-0005-0000-0000-00006B020000}"/>
    <cellStyle name="쉼표 [0] 3 2 2 5 2" xfId="680" xr:uid="{00000000-0005-0000-0000-00006C020000}"/>
    <cellStyle name="쉼표 [0] 3 2 2 5 2 2" xfId="681" xr:uid="{00000000-0005-0000-0000-00006D020000}"/>
    <cellStyle name="쉼표 [0] 3 2 2 5 2 2 2" xfId="682" xr:uid="{00000000-0005-0000-0000-00006E020000}"/>
    <cellStyle name="쉼표 [0] 3 2 2 5 2 2 2 2" xfId="683" xr:uid="{00000000-0005-0000-0000-00006F020000}"/>
    <cellStyle name="쉼표 [0] 3 2 2 5 2 2 2 2 2" xfId="684" xr:uid="{00000000-0005-0000-0000-000070020000}"/>
    <cellStyle name="쉼표 [0] 3 2 2 5 2 2 2 3" xfId="685" xr:uid="{00000000-0005-0000-0000-000071020000}"/>
    <cellStyle name="쉼표 [0] 3 2 2 5 2 2 3" xfId="686" xr:uid="{00000000-0005-0000-0000-000072020000}"/>
    <cellStyle name="쉼표 [0] 3 2 2 5 2 2 3 2" xfId="687" xr:uid="{00000000-0005-0000-0000-000073020000}"/>
    <cellStyle name="쉼표 [0] 3 2 2 5 2 2 4" xfId="688" xr:uid="{00000000-0005-0000-0000-000074020000}"/>
    <cellStyle name="쉼표 [0] 3 2 2 5 2 3" xfId="689" xr:uid="{00000000-0005-0000-0000-000075020000}"/>
    <cellStyle name="쉼표 [0] 3 2 2 5 2 3 2" xfId="690" xr:uid="{00000000-0005-0000-0000-000076020000}"/>
    <cellStyle name="쉼표 [0] 3 2 2 5 2 3 2 2" xfId="691" xr:uid="{00000000-0005-0000-0000-000077020000}"/>
    <cellStyle name="쉼표 [0] 3 2 2 5 2 3 3" xfId="692" xr:uid="{00000000-0005-0000-0000-000078020000}"/>
    <cellStyle name="쉼표 [0] 3 2 2 5 2 4" xfId="693" xr:uid="{00000000-0005-0000-0000-000079020000}"/>
    <cellStyle name="쉼표 [0] 3 2 2 5 2 4 2" xfId="694" xr:uid="{00000000-0005-0000-0000-00007A020000}"/>
    <cellStyle name="쉼표 [0] 3 2 2 5 2 5" xfId="695" xr:uid="{00000000-0005-0000-0000-00007B020000}"/>
    <cellStyle name="쉼표 [0] 3 2 2 5 3" xfId="696" xr:uid="{00000000-0005-0000-0000-00007C020000}"/>
    <cellStyle name="쉼표 [0] 3 2 2 5 3 2" xfId="697" xr:uid="{00000000-0005-0000-0000-00007D020000}"/>
    <cellStyle name="쉼표 [0] 3 2 2 5 3 2 2" xfId="698" xr:uid="{00000000-0005-0000-0000-00007E020000}"/>
    <cellStyle name="쉼표 [0] 3 2 2 5 3 2 2 2" xfId="699" xr:uid="{00000000-0005-0000-0000-00007F020000}"/>
    <cellStyle name="쉼표 [0] 3 2 2 5 3 2 3" xfId="700" xr:uid="{00000000-0005-0000-0000-000080020000}"/>
    <cellStyle name="쉼표 [0] 3 2 2 5 3 3" xfId="701" xr:uid="{00000000-0005-0000-0000-000081020000}"/>
    <cellStyle name="쉼표 [0] 3 2 2 5 3 3 2" xfId="702" xr:uid="{00000000-0005-0000-0000-000082020000}"/>
    <cellStyle name="쉼표 [0] 3 2 2 5 3 4" xfId="703" xr:uid="{00000000-0005-0000-0000-000083020000}"/>
    <cellStyle name="쉼표 [0] 3 2 2 5 4" xfId="704" xr:uid="{00000000-0005-0000-0000-000084020000}"/>
    <cellStyle name="쉼표 [0] 3 2 2 5 4 2" xfId="705" xr:uid="{00000000-0005-0000-0000-000085020000}"/>
    <cellStyle name="쉼표 [0] 3 2 2 5 4 2 2" xfId="706" xr:uid="{00000000-0005-0000-0000-000086020000}"/>
    <cellStyle name="쉼표 [0] 3 2 2 5 4 3" xfId="707" xr:uid="{00000000-0005-0000-0000-000087020000}"/>
    <cellStyle name="쉼표 [0] 3 2 2 5 5" xfId="708" xr:uid="{00000000-0005-0000-0000-000088020000}"/>
    <cellStyle name="쉼표 [0] 3 2 2 5 5 2" xfId="709" xr:uid="{00000000-0005-0000-0000-000089020000}"/>
    <cellStyle name="쉼표 [0] 3 2 2 5 6" xfId="710" xr:uid="{00000000-0005-0000-0000-00008A020000}"/>
    <cellStyle name="쉼표 [0] 3 2 2 6" xfId="711" xr:uid="{00000000-0005-0000-0000-00008B020000}"/>
    <cellStyle name="쉼표 [0] 3 2 2 6 2" xfId="712" xr:uid="{00000000-0005-0000-0000-00008C020000}"/>
    <cellStyle name="쉼표 [0] 3 2 2 6 2 2" xfId="713" xr:uid="{00000000-0005-0000-0000-00008D020000}"/>
    <cellStyle name="쉼표 [0] 3 2 2 6 2 2 2" xfId="714" xr:uid="{00000000-0005-0000-0000-00008E020000}"/>
    <cellStyle name="쉼표 [0] 3 2 2 6 2 2 2 2" xfId="715" xr:uid="{00000000-0005-0000-0000-00008F020000}"/>
    <cellStyle name="쉼표 [0] 3 2 2 6 2 2 3" xfId="716" xr:uid="{00000000-0005-0000-0000-000090020000}"/>
    <cellStyle name="쉼표 [0] 3 2 2 6 2 3" xfId="717" xr:uid="{00000000-0005-0000-0000-000091020000}"/>
    <cellStyle name="쉼표 [0] 3 2 2 6 2 3 2" xfId="718" xr:uid="{00000000-0005-0000-0000-000092020000}"/>
    <cellStyle name="쉼표 [0] 3 2 2 6 2 4" xfId="719" xr:uid="{00000000-0005-0000-0000-000093020000}"/>
    <cellStyle name="쉼표 [0] 3 2 2 6 3" xfId="720" xr:uid="{00000000-0005-0000-0000-000094020000}"/>
    <cellStyle name="쉼표 [0] 3 2 2 6 3 2" xfId="721" xr:uid="{00000000-0005-0000-0000-000095020000}"/>
    <cellStyle name="쉼표 [0] 3 2 2 6 3 2 2" xfId="722" xr:uid="{00000000-0005-0000-0000-000096020000}"/>
    <cellStyle name="쉼표 [0] 3 2 2 6 3 3" xfId="723" xr:uid="{00000000-0005-0000-0000-000097020000}"/>
    <cellStyle name="쉼표 [0] 3 2 2 6 4" xfId="724" xr:uid="{00000000-0005-0000-0000-000098020000}"/>
    <cellStyle name="쉼표 [0] 3 2 2 6 4 2" xfId="725" xr:uid="{00000000-0005-0000-0000-000099020000}"/>
    <cellStyle name="쉼표 [0] 3 2 2 6 5" xfId="726" xr:uid="{00000000-0005-0000-0000-00009A020000}"/>
    <cellStyle name="쉼표 [0] 3 2 2 7" xfId="727" xr:uid="{00000000-0005-0000-0000-00009B020000}"/>
    <cellStyle name="쉼표 [0] 3 2 2 7 2" xfId="728" xr:uid="{00000000-0005-0000-0000-00009C020000}"/>
    <cellStyle name="쉼표 [0] 3 2 2 7 2 2" xfId="729" xr:uid="{00000000-0005-0000-0000-00009D020000}"/>
    <cellStyle name="쉼표 [0] 3 2 2 7 2 2 2" xfId="730" xr:uid="{00000000-0005-0000-0000-00009E020000}"/>
    <cellStyle name="쉼표 [0] 3 2 2 7 2 3" xfId="731" xr:uid="{00000000-0005-0000-0000-00009F020000}"/>
    <cellStyle name="쉼표 [0] 3 2 2 7 3" xfId="732" xr:uid="{00000000-0005-0000-0000-0000A0020000}"/>
    <cellStyle name="쉼표 [0] 3 2 2 7 3 2" xfId="733" xr:uid="{00000000-0005-0000-0000-0000A1020000}"/>
    <cellStyle name="쉼표 [0] 3 2 2 7 4" xfId="734" xr:uid="{00000000-0005-0000-0000-0000A2020000}"/>
    <cellStyle name="쉼표 [0] 3 2 2 8" xfId="735" xr:uid="{00000000-0005-0000-0000-0000A3020000}"/>
    <cellStyle name="쉼표 [0] 3 2 2 8 2" xfId="736" xr:uid="{00000000-0005-0000-0000-0000A4020000}"/>
    <cellStyle name="쉼표 [0] 3 2 2 8 2 2" xfId="737" xr:uid="{00000000-0005-0000-0000-0000A5020000}"/>
    <cellStyle name="쉼표 [0] 3 2 2 8 3" xfId="738" xr:uid="{00000000-0005-0000-0000-0000A6020000}"/>
    <cellStyle name="쉼표 [0] 3 2 2 9" xfId="739" xr:uid="{00000000-0005-0000-0000-0000A7020000}"/>
    <cellStyle name="쉼표 [0] 3 2 2 9 2" xfId="740" xr:uid="{00000000-0005-0000-0000-0000A8020000}"/>
    <cellStyle name="쉼표 [0] 3 2 3" xfId="741" xr:uid="{00000000-0005-0000-0000-0000A9020000}"/>
    <cellStyle name="쉼표 [0] 3 2 3 10" xfId="742" xr:uid="{00000000-0005-0000-0000-0000AA020000}"/>
    <cellStyle name="쉼표 [0] 3 2 3 2" xfId="743" xr:uid="{00000000-0005-0000-0000-0000AB020000}"/>
    <cellStyle name="쉼표 [0] 3 2 3 2 2" xfId="744" xr:uid="{00000000-0005-0000-0000-0000AC020000}"/>
    <cellStyle name="쉼표 [0] 3 2 3 2 2 2" xfId="745" xr:uid="{00000000-0005-0000-0000-0000AD020000}"/>
    <cellStyle name="쉼표 [0] 3 2 3 2 2 2 2" xfId="746" xr:uid="{00000000-0005-0000-0000-0000AE020000}"/>
    <cellStyle name="쉼표 [0] 3 2 3 2 2 2 2 2" xfId="747" xr:uid="{00000000-0005-0000-0000-0000AF020000}"/>
    <cellStyle name="쉼표 [0] 3 2 3 2 2 2 2 2 2" xfId="748" xr:uid="{00000000-0005-0000-0000-0000B0020000}"/>
    <cellStyle name="쉼표 [0] 3 2 3 2 2 2 2 2 2 2" xfId="749" xr:uid="{00000000-0005-0000-0000-0000B1020000}"/>
    <cellStyle name="쉼표 [0] 3 2 3 2 2 2 2 2 2 2 2" xfId="750" xr:uid="{00000000-0005-0000-0000-0000B2020000}"/>
    <cellStyle name="쉼표 [0] 3 2 3 2 2 2 2 2 2 3" xfId="751" xr:uid="{00000000-0005-0000-0000-0000B3020000}"/>
    <cellStyle name="쉼표 [0] 3 2 3 2 2 2 2 2 3" xfId="752" xr:uid="{00000000-0005-0000-0000-0000B4020000}"/>
    <cellStyle name="쉼표 [0] 3 2 3 2 2 2 2 2 3 2" xfId="753" xr:uid="{00000000-0005-0000-0000-0000B5020000}"/>
    <cellStyle name="쉼표 [0] 3 2 3 2 2 2 2 2 4" xfId="754" xr:uid="{00000000-0005-0000-0000-0000B6020000}"/>
    <cellStyle name="쉼표 [0] 3 2 3 2 2 2 2 3" xfId="755" xr:uid="{00000000-0005-0000-0000-0000B7020000}"/>
    <cellStyle name="쉼표 [0] 3 2 3 2 2 2 2 3 2" xfId="756" xr:uid="{00000000-0005-0000-0000-0000B8020000}"/>
    <cellStyle name="쉼표 [0] 3 2 3 2 2 2 2 3 2 2" xfId="757" xr:uid="{00000000-0005-0000-0000-0000B9020000}"/>
    <cellStyle name="쉼표 [0] 3 2 3 2 2 2 2 3 3" xfId="758" xr:uid="{00000000-0005-0000-0000-0000BA020000}"/>
    <cellStyle name="쉼표 [0] 3 2 3 2 2 2 2 4" xfId="759" xr:uid="{00000000-0005-0000-0000-0000BB020000}"/>
    <cellStyle name="쉼표 [0] 3 2 3 2 2 2 2 4 2" xfId="760" xr:uid="{00000000-0005-0000-0000-0000BC020000}"/>
    <cellStyle name="쉼표 [0] 3 2 3 2 2 2 2 5" xfId="761" xr:uid="{00000000-0005-0000-0000-0000BD020000}"/>
    <cellStyle name="쉼표 [0] 3 2 3 2 2 2 3" xfId="762" xr:uid="{00000000-0005-0000-0000-0000BE020000}"/>
    <cellStyle name="쉼표 [0] 3 2 3 2 2 2 3 2" xfId="763" xr:uid="{00000000-0005-0000-0000-0000BF020000}"/>
    <cellStyle name="쉼표 [0] 3 2 3 2 2 2 3 2 2" xfId="764" xr:uid="{00000000-0005-0000-0000-0000C0020000}"/>
    <cellStyle name="쉼표 [0] 3 2 3 2 2 2 3 2 2 2" xfId="765" xr:uid="{00000000-0005-0000-0000-0000C1020000}"/>
    <cellStyle name="쉼표 [0] 3 2 3 2 2 2 3 2 3" xfId="766" xr:uid="{00000000-0005-0000-0000-0000C2020000}"/>
    <cellStyle name="쉼표 [0] 3 2 3 2 2 2 3 3" xfId="767" xr:uid="{00000000-0005-0000-0000-0000C3020000}"/>
    <cellStyle name="쉼표 [0] 3 2 3 2 2 2 3 3 2" xfId="768" xr:uid="{00000000-0005-0000-0000-0000C4020000}"/>
    <cellStyle name="쉼표 [0] 3 2 3 2 2 2 3 4" xfId="769" xr:uid="{00000000-0005-0000-0000-0000C5020000}"/>
    <cellStyle name="쉼표 [0] 3 2 3 2 2 2 4" xfId="770" xr:uid="{00000000-0005-0000-0000-0000C6020000}"/>
    <cellStyle name="쉼표 [0] 3 2 3 2 2 2 4 2" xfId="771" xr:uid="{00000000-0005-0000-0000-0000C7020000}"/>
    <cellStyle name="쉼표 [0] 3 2 3 2 2 2 4 2 2" xfId="772" xr:uid="{00000000-0005-0000-0000-0000C8020000}"/>
    <cellStyle name="쉼표 [0] 3 2 3 2 2 2 4 3" xfId="773" xr:uid="{00000000-0005-0000-0000-0000C9020000}"/>
    <cellStyle name="쉼표 [0] 3 2 3 2 2 2 5" xfId="774" xr:uid="{00000000-0005-0000-0000-0000CA020000}"/>
    <cellStyle name="쉼표 [0] 3 2 3 2 2 2 5 2" xfId="775" xr:uid="{00000000-0005-0000-0000-0000CB020000}"/>
    <cellStyle name="쉼표 [0] 3 2 3 2 2 2 6" xfId="776" xr:uid="{00000000-0005-0000-0000-0000CC020000}"/>
    <cellStyle name="쉼표 [0] 3 2 3 2 2 3" xfId="777" xr:uid="{00000000-0005-0000-0000-0000CD020000}"/>
    <cellStyle name="쉼표 [0] 3 2 3 2 2 3 2" xfId="778" xr:uid="{00000000-0005-0000-0000-0000CE020000}"/>
    <cellStyle name="쉼표 [0] 3 2 3 2 2 3 2 2" xfId="779" xr:uid="{00000000-0005-0000-0000-0000CF020000}"/>
    <cellStyle name="쉼표 [0] 3 2 3 2 2 3 2 2 2" xfId="780" xr:uid="{00000000-0005-0000-0000-0000D0020000}"/>
    <cellStyle name="쉼표 [0] 3 2 3 2 2 3 2 2 2 2" xfId="781" xr:uid="{00000000-0005-0000-0000-0000D1020000}"/>
    <cellStyle name="쉼표 [0] 3 2 3 2 2 3 2 2 3" xfId="782" xr:uid="{00000000-0005-0000-0000-0000D2020000}"/>
    <cellStyle name="쉼표 [0] 3 2 3 2 2 3 2 3" xfId="783" xr:uid="{00000000-0005-0000-0000-0000D3020000}"/>
    <cellStyle name="쉼표 [0] 3 2 3 2 2 3 2 3 2" xfId="784" xr:uid="{00000000-0005-0000-0000-0000D4020000}"/>
    <cellStyle name="쉼표 [0] 3 2 3 2 2 3 2 4" xfId="785" xr:uid="{00000000-0005-0000-0000-0000D5020000}"/>
    <cellStyle name="쉼표 [0] 3 2 3 2 2 3 3" xfId="786" xr:uid="{00000000-0005-0000-0000-0000D6020000}"/>
    <cellStyle name="쉼표 [0] 3 2 3 2 2 3 3 2" xfId="787" xr:uid="{00000000-0005-0000-0000-0000D7020000}"/>
    <cellStyle name="쉼표 [0] 3 2 3 2 2 3 3 2 2" xfId="788" xr:uid="{00000000-0005-0000-0000-0000D8020000}"/>
    <cellStyle name="쉼표 [0] 3 2 3 2 2 3 3 3" xfId="789" xr:uid="{00000000-0005-0000-0000-0000D9020000}"/>
    <cellStyle name="쉼표 [0] 3 2 3 2 2 3 4" xfId="790" xr:uid="{00000000-0005-0000-0000-0000DA020000}"/>
    <cellStyle name="쉼표 [0] 3 2 3 2 2 3 4 2" xfId="791" xr:uid="{00000000-0005-0000-0000-0000DB020000}"/>
    <cellStyle name="쉼표 [0] 3 2 3 2 2 3 5" xfId="792" xr:uid="{00000000-0005-0000-0000-0000DC020000}"/>
    <cellStyle name="쉼표 [0] 3 2 3 2 2 4" xfId="793" xr:uid="{00000000-0005-0000-0000-0000DD020000}"/>
    <cellStyle name="쉼표 [0] 3 2 3 2 2 4 2" xfId="794" xr:uid="{00000000-0005-0000-0000-0000DE020000}"/>
    <cellStyle name="쉼표 [0] 3 2 3 2 2 4 2 2" xfId="795" xr:uid="{00000000-0005-0000-0000-0000DF020000}"/>
    <cellStyle name="쉼표 [0] 3 2 3 2 2 4 2 2 2" xfId="796" xr:uid="{00000000-0005-0000-0000-0000E0020000}"/>
    <cellStyle name="쉼표 [0] 3 2 3 2 2 4 2 3" xfId="797" xr:uid="{00000000-0005-0000-0000-0000E1020000}"/>
    <cellStyle name="쉼표 [0] 3 2 3 2 2 4 3" xfId="798" xr:uid="{00000000-0005-0000-0000-0000E2020000}"/>
    <cellStyle name="쉼표 [0] 3 2 3 2 2 4 3 2" xfId="799" xr:uid="{00000000-0005-0000-0000-0000E3020000}"/>
    <cellStyle name="쉼표 [0] 3 2 3 2 2 4 4" xfId="800" xr:uid="{00000000-0005-0000-0000-0000E4020000}"/>
    <cellStyle name="쉼표 [0] 3 2 3 2 2 5" xfId="801" xr:uid="{00000000-0005-0000-0000-0000E5020000}"/>
    <cellStyle name="쉼표 [0] 3 2 3 2 2 5 2" xfId="802" xr:uid="{00000000-0005-0000-0000-0000E6020000}"/>
    <cellStyle name="쉼표 [0] 3 2 3 2 2 5 2 2" xfId="803" xr:uid="{00000000-0005-0000-0000-0000E7020000}"/>
    <cellStyle name="쉼표 [0] 3 2 3 2 2 5 3" xfId="804" xr:uid="{00000000-0005-0000-0000-0000E8020000}"/>
    <cellStyle name="쉼표 [0] 3 2 3 2 2 6" xfId="805" xr:uid="{00000000-0005-0000-0000-0000E9020000}"/>
    <cellStyle name="쉼표 [0] 3 2 3 2 2 6 2" xfId="806" xr:uid="{00000000-0005-0000-0000-0000EA020000}"/>
    <cellStyle name="쉼표 [0] 3 2 3 2 2 7" xfId="807" xr:uid="{00000000-0005-0000-0000-0000EB020000}"/>
    <cellStyle name="쉼표 [0] 3 2 3 2 2 8" xfId="808" xr:uid="{00000000-0005-0000-0000-0000EC020000}"/>
    <cellStyle name="쉼표 [0] 3 2 3 2 3" xfId="809" xr:uid="{00000000-0005-0000-0000-0000ED020000}"/>
    <cellStyle name="쉼표 [0] 3 2 3 2 3 2" xfId="810" xr:uid="{00000000-0005-0000-0000-0000EE020000}"/>
    <cellStyle name="쉼표 [0] 3 2 3 2 3 2 2" xfId="811" xr:uid="{00000000-0005-0000-0000-0000EF020000}"/>
    <cellStyle name="쉼표 [0] 3 2 3 2 3 2 2 2" xfId="812" xr:uid="{00000000-0005-0000-0000-0000F0020000}"/>
    <cellStyle name="쉼표 [0] 3 2 3 2 3 2 2 2 2" xfId="813" xr:uid="{00000000-0005-0000-0000-0000F1020000}"/>
    <cellStyle name="쉼표 [0] 3 2 3 2 3 2 2 2 2 2" xfId="814" xr:uid="{00000000-0005-0000-0000-0000F2020000}"/>
    <cellStyle name="쉼표 [0] 3 2 3 2 3 2 2 2 3" xfId="815" xr:uid="{00000000-0005-0000-0000-0000F3020000}"/>
    <cellStyle name="쉼표 [0] 3 2 3 2 3 2 2 3" xfId="816" xr:uid="{00000000-0005-0000-0000-0000F4020000}"/>
    <cellStyle name="쉼표 [0] 3 2 3 2 3 2 2 3 2" xfId="817" xr:uid="{00000000-0005-0000-0000-0000F5020000}"/>
    <cellStyle name="쉼표 [0] 3 2 3 2 3 2 2 4" xfId="818" xr:uid="{00000000-0005-0000-0000-0000F6020000}"/>
    <cellStyle name="쉼표 [0] 3 2 3 2 3 2 3" xfId="819" xr:uid="{00000000-0005-0000-0000-0000F7020000}"/>
    <cellStyle name="쉼표 [0] 3 2 3 2 3 2 3 2" xfId="820" xr:uid="{00000000-0005-0000-0000-0000F8020000}"/>
    <cellStyle name="쉼표 [0] 3 2 3 2 3 2 3 2 2" xfId="821" xr:uid="{00000000-0005-0000-0000-0000F9020000}"/>
    <cellStyle name="쉼표 [0] 3 2 3 2 3 2 3 3" xfId="822" xr:uid="{00000000-0005-0000-0000-0000FA020000}"/>
    <cellStyle name="쉼표 [0] 3 2 3 2 3 2 4" xfId="823" xr:uid="{00000000-0005-0000-0000-0000FB020000}"/>
    <cellStyle name="쉼표 [0] 3 2 3 2 3 2 4 2" xfId="824" xr:uid="{00000000-0005-0000-0000-0000FC020000}"/>
    <cellStyle name="쉼표 [0] 3 2 3 2 3 2 5" xfId="825" xr:uid="{00000000-0005-0000-0000-0000FD020000}"/>
    <cellStyle name="쉼표 [0] 3 2 3 2 3 3" xfId="826" xr:uid="{00000000-0005-0000-0000-0000FE020000}"/>
    <cellStyle name="쉼표 [0] 3 2 3 2 3 3 2" xfId="827" xr:uid="{00000000-0005-0000-0000-0000FF020000}"/>
    <cellStyle name="쉼표 [0] 3 2 3 2 3 3 2 2" xfId="828" xr:uid="{00000000-0005-0000-0000-000000030000}"/>
    <cellStyle name="쉼표 [0] 3 2 3 2 3 3 2 2 2" xfId="829" xr:uid="{00000000-0005-0000-0000-000001030000}"/>
    <cellStyle name="쉼표 [0] 3 2 3 2 3 3 2 3" xfId="830" xr:uid="{00000000-0005-0000-0000-000002030000}"/>
    <cellStyle name="쉼표 [0] 3 2 3 2 3 3 3" xfId="831" xr:uid="{00000000-0005-0000-0000-000003030000}"/>
    <cellStyle name="쉼표 [0] 3 2 3 2 3 3 3 2" xfId="832" xr:uid="{00000000-0005-0000-0000-000004030000}"/>
    <cellStyle name="쉼표 [0] 3 2 3 2 3 3 4" xfId="833" xr:uid="{00000000-0005-0000-0000-000005030000}"/>
    <cellStyle name="쉼표 [0] 3 2 3 2 3 4" xfId="834" xr:uid="{00000000-0005-0000-0000-000006030000}"/>
    <cellStyle name="쉼표 [0] 3 2 3 2 3 4 2" xfId="835" xr:uid="{00000000-0005-0000-0000-000007030000}"/>
    <cellStyle name="쉼표 [0] 3 2 3 2 3 4 2 2" xfId="836" xr:uid="{00000000-0005-0000-0000-000008030000}"/>
    <cellStyle name="쉼표 [0] 3 2 3 2 3 4 3" xfId="837" xr:uid="{00000000-0005-0000-0000-000009030000}"/>
    <cellStyle name="쉼표 [0] 3 2 3 2 3 5" xfId="838" xr:uid="{00000000-0005-0000-0000-00000A030000}"/>
    <cellStyle name="쉼표 [0] 3 2 3 2 3 5 2" xfId="839" xr:uid="{00000000-0005-0000-0000-00000B030000}"/>
    <cellStyle name="쉼표 [0] 3 2 3 2 3 6" xfId="840" xr:uid="{00000000-0005-0000-0000-00000C030000}"/>
    <cellStyle name="쉼표 [0] 3 2 3 2 4" xfId="841" xr:uid="{00000000-0005-0000-0000-00000D030000}"/>
    <cellStyle name="쉼표 [0] 3 2 3 2 4 2" xfId="842" xr:uid="{00000000-0005-0000-0000-00000E030000}"/>
    <cellStyle name="쉼표 [0] 3 2 3 2 4 2 2" xfId="843" xr:uid="{00000000-0005-0000-0000-00000F030000}"/>
    <cellStyle name="쉼표 [0] 3 2 3 2 4 2 2 2" xfId="844" xr:uid="{00000000-0005-0000-0000-000010030000}"/>
    <cellStyle name="쉼표 [0] 3 2 3 2 4 2 2 2 2" xfId="845" xr:uid="{00000000-0005-0000-0000-000011030000}"/>
    <cellStyle name="쉼표 [0] 3 2 3 2 4 2 2 3" xfId="846" xr:uid="{00000000-0005-0000-0000-000012030000}"/>
    <cellStyle name="쉼표 [0] 3 2 3 2 4 2 3" xfId="847" xr:uid="{00000000-0005-0000-0000-000013030000}"/>
    <cellStyle name="쉼표 [0] 3 2 3 2 4 2 3 2" xfId="848" xr:uid="{00000000-0005-0000-0000-000014030000}"/>
    <cellStyle name="쉼표 [0] 3 2 3 2 4 2 4" xfId="849" xr:uid="{00000000-0005-0000-0000-000015030000}"/>
    <cellStyle name="쉼표 [0] 3 2 3 2 4 3" xfId="850" xr:uid="{00000000-0005-0000-0000-000016030000}"/>
    <cellStyle name="쉼표 [0] 3 2 3 2 4 3 2" xfId="851" xr:uid="{00000000-0005-0000-0000-000017030000}"/>
    <cellStyle name="쉼표 [0] 3 2 3 2 4 3 2 2" xfId="852" xr:uid="{00000000-0005-0000-0000-000018030000}"/>
    <cellStyle name="쉼표 [0] 3 2 3 2 4 3 3" xfId="853" xr:uid="{00000000-0005-0000-0000-000019030000}"/>
    <cellStyle name="쉼표 [0] 3 2 3 2 4 4" xfId="854" xr:uid="{00000000-0005-0000-0000-00001A030000}"/>
    <cellStyle name="쉼표 [0] 3 2 3 2 4 4 2" xfId="855" xr:uid="{00000000-0005-0000-0000-00001B030000}"/>
    <cellStyle name="쉼표 [0] 3 2 3 2 4 5" xfId="856" xr:uid="{00000000-0005-0000-0000-00001C030000}"/>
    <cellStyle name="쉼표 [0] 3 2 3 2 5" xfId="857" xr:uid="{00000000-0005-0000-0000-00001D030000}"/>
    <cellStyle name="쉼표 [0] 3 2 3 2 5 2" xfId="858" xr:uid="{00000000-0005-0000-0000-00001E030000}"/>
    <cellStyle name="쉼표 [0] 3 2 3 2 5 2 2" xfId="859" xr:uid="{00000000-0005-0000-0000-00001F030000}"/>
    <cellStyle name="쉼표 [0] 3 2 3 2 5 2 2 2" xfId="860" xr:uid="{00000000-0005-0000-0000-000020030000}"/>
    <cellStyle name="쉼표 [0] 3 2 3 2 5 2 3" xfId="861" xr:uid="{00000000-0005-0000-0000-000021030000}"/>
    <cellStyle name="쉼표 [0] 3 2 3 2 5 3" xfId="862" xr:uid="{00000000-0005-0000-0000-000022030000}"/>
    <cellStyle name="쉼표 [0] 3 2 3 2 5 3 2" xfId="863" xr:uid="{00000000-0005-0000-0000-000023030000}"/>
    <cellStyle name="쉼표 [0] 3 2 3 2 5 4" xfId="864" xr:uid="{00000000-0005-0000-0000-000024030000}"/>
    <cellStyle name="쉼표 [0] 3 2 3 2 6" xfId="865" xr:uid="{00000000-0005-0000-0000-000025030000}"/>
    <cellStyle name="쉼표 [0] 3 2 3 2 6 2" xfId="866" xr:uid="{00000000-0005-0000-0000-000026030000}"/>
    <cellStyle name="쉼표 [0] 3 2 3 2 6 2 2" xfId="867" xr:uid="{00000000-0005-0000-0000-000027030000}"/>
    <cellStyle name="쉼표 [0] 3 2 3 2 6 3" xfId="868" xr:uid="{00000000-0005-0000-0000-000028030000}"/>
    <cellStyle name="쉼표 [0] 3 2 3 2 7" xfId="869" xr:uid="{00000000-0005-0000-0000-000029030000}"/>
    <cellStyle name="쉼표 [0] 3 2 3 2 7 2" xfId="870" xr:uid="{00000000-0005-0000-0000-00002A030000}"/>
    <cellStyle name="쉼표 [0] 3 2 3 2 8" xfId="871" xr:uid="{00000000-0005-0000-0000-00002B030000}"/>
    <cellStyle name="쉼표 [0] 3 2 3 2 9" xfId="872" xr:uid="{00000000-0005-0000-0000-00002C030000}"/>
    <cellStyle name="쉼표 [0] 3 2 3 3" xfId="873" xr:uid="{00000000-0005-0000-0000-00002D030000}"/>
    <cellStyle name="쉼표 [0] 3 2 3 3 2" xfId="874" xr:uid="{00000000-0005-0000-0000-00002E030000}"/>
    <cellStyle name="쉼표 [0] 3 2 3 3 2 2" xfId="875" xr:uid="{00000000-0005-0000-0000-00002F030000}"/>
    <cellStyle name="쉼표 [0] 3 2 3 3 2 2 2" xfId="876" xr:uid="{00000000-0005-0000-0000-000030030000}"/>
    <cellStyle name="쉼표 [0] 3 2 3 3 2 2 2 2" xfId="877" xr:uid="{00000000-0005-0000-0000-000031030000}"/>
    <cellStyle name="쉼표 [0] 3 2 3 3 2 2 2 2 2" xfId="878" xr:uid="{00000000-0005-0000-0000-000032030000}"/>
    <cellStyle name="쉼표 [0] 3 2 3 3 2 2 2 2 2 2" xfId="879" xr:uid="{00000000-0005-0000-0000-000033030000}"/>
    <cellStyle name="쉼표 [0] 3 2 3 3 2 2 2 2 3" xfId="880" xr:uid="{00000000-0005-0000-0000-000034030000}"/>
    <cellStyle name="쉼표 [0] 3 2 3 3 2 2 2 3" xfId="881" xr:uid="{00000000-0005-0000-0000-000035030000}"/>
    <cellStyle name="쉼표 [0] 3 2 3 3 2 2 2 3 2" xfId="882" xr:uid="{00000000-0005-0000-0000-000036030000}"/>
    <cellStyle name="쉼표 [0] 3 2 3 3 2 2 2 4" xfId="883" xr:uid="{00000000-0005-0000-0000-000037030000}"/>
    <cellStyle name="쉼표 [0] 3 2 3 3 2 2 3" xfId="884" xr:uid="{00000000-0005-0000-0000-000038030000}"/>
    <cellStyle name="쉼표 [0] 3 2 3 3 2 2 3 2" xfId="885" xr:uid="{00000000-0005-0000-0000-000039030000}"/>
    <cellStyle name="쉼표 [0] 3 2 3 3 2 2 3 2 2" xfId="886" xr:uid="{00000000-0005-0000-0000-00003A030000}"/>
    <cellStyle name="쉼표 [0] 3 2 3 3 2 2 3 3" xfId="887" xr:uid="{00000000-0005-0000-0000-00003B030000}"/>
    <cellStyle name="쉼표 [0] 3 2 3 3 2 2 4" xfId="888" xr:uid="{00000000-0005-0000-0000-00003C030000}"/>
    <cellStyle name="쉼표 [0] 3 2 3 3 2 2 4 2" xfId="889" xr:uid="{00000000-0005-0000-0000-00003D030000}"/>
    <cellStyle name="쉼표 [0] 3 2 3 3 2 2 5" xfId="890" xr:uid="{00000000-0005-0000-0000-00003E030000}"/>
    <cellStyle name="쉼표 [0] 3 2 3 3 2 3" xfId="891" xr:uid="{00000000-0005-0000-0000-00003F030000}"/>
    <cellStyle name="쉼표 [0] 3 2 3 3 2 3 2" xfId="892" xr:uid="{00000000-0005-0000-0000-000040030000}"/>
    <cellStyle name="쉼표 [0] 3 2 3 3 2 3 2 2" xfId="893" xr:uid="{00000000-0005-0000-0000-000041030000}"/>
    <cellStyle name="쉼표 [0] 3 2 3 3 2 3 2 2 2" xfId="894" xr:uid="{00000000-0005-0000-0000-000042030000}"/>
    <cellStyle name="쉼표 [0] 3 2 3 3 2 3 2 3" xfId="895" xr:uid="{00000000-0005-0000-0000-000043030000}"/>
    <cellStyle name="쉼표 [0] 3 2 3 3 2 3 3" xfId="896" xr:uid="{00000000-0005-0000-0000-000044030000}"/>
    <cellStyle name="쉼표 [0] 3 2 3 3 2 3 3 2" xfId="897" xr:uid="{00000000-0005-0000-0000-000045030000}"/>
    <cellStyle name="쉼표 [0] 3 2 3 3 2 3 4" xfId="898" xr:uid="{00000000-0005-0000-0000-000046030000}"/>
    <cellStyle name="쉼표 [0] 3 2 3 3 2 4" xfId="899" xr:uid="{00000000-0005-0000-0000-000047030000}"/>
    <cellStyle name="쉼표 [0] 3 2 3 3 2 4 2" xfId="900" xr:uid="{00000000-0005-0000-0000-000048030000}"/>
    <cellStyle name="쉼표 [0] 3 2 3 3 2 4 2 2" xfId="901" xr:uid="{00000000-0005-0000-0000-000049030000}"/>
    <cellStyle name="쉼표 [0] 3 2 3 3 2 4 3" xfId="902" xr:uid="{00000000-0005-0000-0000-00004A030000}"/>
    <cellStyle name="쉼표 [0] 3 2 3 3 2 5" xfId="903" xr:uid="{00000000-0005-0000-0000-00004B030000}"/>
    <cellStyle name="쉼표 [0] 3 2 3 3 2 5 2" xfId="904" xr:uid="{00000000-0005-0000-0000-00004C030000}"/>
    <cellStyle name="쉼표 [0] 3 2 3 3 2 6" xfId="905" xr:uid="{00000000-0005-0000-0000-00004D030000}"/>
    <cellStyle name="쉼표 [0] 3 2 3 3 3" xfId="906" xr:uid="{00000000-0005-0000-0000-00004E030000}"/>
    <cellStyle name="쉼표 [0] 3 2 3 3 3 2" xfId="907" xr:uid="{00000000-0005-0000-0000-00004F030000}"/>
    <cellStyle name="쉼표 [0] 3 2 3 3 3 2 2" xfId="908" xr:uid="{00000000-0005-0000-0000-000050030000}"/>
    <cellStyle name="쉼표 [0] 3 2 3 3 3 2 2 2" xfId="909" xr:uid="{00000000-0005-0000-0000-000051030000}"/>
    <cellStyle name="쉼표 [0] 3 2 3 3 3 2 2 2 2" xfId="910" xr:uid="{00000000-0005-0000-0000-000052030000}"/>
    <cellStyle name="쉼표 [0] 3 2 3 3 3 2 2 3" xfId="911" xr:uid="{00000000-0005-0000-0000-000053030000}"/>
    <cellStyle name="쉼표 [0] 3 2 3 3 3 2 3" xfId="912" xr:uid="{00000000-0005-0000-0000-000054030000}"/>
    <cellStyle name="쉼표 [0] 3 2 3 3 3 2 3 2" xfId="913" xr:uid="{00000000-0005-0000-0000-000055030000}"/>
    <cellStyle name="쉼표 [0] 3 2 3 3 3 2 4" xfId="914" xr:uid="{00000000-0005-0000-0000-000056030000}"/>
    <cellStyle name="쉼표 [0] 3 2 3 3 3 3" xfId="915" xr:uid="{00000000-0005-0000-0000-000057030000}"/>
    <cellStyle name="쉼표 [0] 3 2 3 3 3 3 2" xfId="916" xr:uid="{00000000-0005-0000-0000-000058030000}"/>
    <cellStyle name="쉼표 [0] 3 2 3 3 3 3 2 2" xfId="917" xr:uid="{00000000-0005-0000-0000-000059030000}"/>
    <cellStyle name="쉼표 [0] 3 2 3 3 3 3 3" xfId="918" xr:uid="{00000000-0005-0000-0000-00005A030000}"/>
    <cellStyle name="쉼표 [0] 3 2 3 3 3 4" xfId="919" xr:uid="{00000000-0005-0000-0000-00005B030000}"/>
    <cellStyle name="쉼표 [0] 3 2 3 3 3 4 2" xfId="920" xr:uid="{00000000-0005-0000-0000-00005C030000}"/>
    <cellStyle name="쉼표 [0] 3 2 3 3 3 5" xfId="921" xr:uid="{00000000-0005-0000-0000-00005D030000}"/>
    <cellStyle name="쉼표 [0] 3 2 3 3 4" xfId="922" xr:uid="{00000000-0005-0000-0000-00005E030000}"/>
    <cellStyle name="쉼표 [0] 3 2 3 3 4 2" xfId="923" xr:uid="{00000000-0005-0000-0000-00005F030000}"/>
    <cellStyle name="쉼표 [0] 3 2 3 3 4 2 2" xfId="924" xr:uid="{00000000-0005-0000-0000-000060030000}"/>
    <cellStyle name="쉼표 [0] 3 2 3 3 4 2 2 2" xfId="925" xr:uid="{00000000-0005-0000-0000-000061030000}"/>
    <cellStyle name="쉼표 [0] 3 2 3 3 4 2 3" xfId="926" xr:uid="{00000000-0005-0000-0000-000062030000}"/>
    <cellStyle name="쉼표 [0] 3 2 3 3 4 3" xfId="927" xr:uid="{00000000-0005-0000-0000-000063030000}"/>
    <cellStyle name="쉼표 [0] 3 2 3 3 4 3 2" xfId="928" xr:uid="{00000000-0005-0000-0000-000064030000}"/>
    <cellStyle name="쉼표 [0] 3 2 3 3 4 4" xfId="929" xr:uid="{00000000-0005-0000-0000-000065030000}"/>
    <cellStyle name="쉼표 [0] 3 2 3 3 5" xfId="930" xr:uid="{00000000-0005-0000-0000-000066030000}"/>
    <cellStyle name="쉼표 [0] 3 2 3 3 5 2" xfId="931" xr:uid="{00000000-0005-0000-0000-000067030000}"/>
    <cellStyle name="쉼표 [0] 3 2 3 3 5 2 2" xfId="932" xr:uid="{00000000-0005-0000-0000-000068030000}"/>
    <cellStyle name="쉼표 [0] 3 2 3 3 5 3" xfId="933" xr:uid="{00000000-0005-0000-0000-000069030000}"/>
    <cellStyle name="쉼표 [0] 3 2 3 3 6" xfId="934" xr:uid="{00000000-0005-0000-0000-00006A030000}"/>
    <cellStyle name="쉼표 [0] 3 2 3 3 6 2" xfId="935" xr:uid="{00000000-0005-0000-0000-00006B030000}"/>
    <cellStyle name="쉼표 [0] 3 2 3 3 7" xfId="936" xr:uid="{00000000-0005-0000-0000-00006C030000}"/>
    <cellStyle name="쉼표 [0] 3 2 3 3 8" xfId="937" xr:uid="{00000000-0005-0000-0000-00006D030000}"/>
    <cellStyle name="쉼표 [0] 3 2 3 4" xfId="938" xr:uid="{00000000-0005-0000-0000-00006E030000}"/>
    <cellStyle name="쉼표 [0] 3 2 3 4 2" xfId="939" xr:uid="{00000000-0005-0000-0000-00006F030000}"/>
    <cellStyle name="쉼표 [0] 3 2 3 4 2 2" xfId="940" xr:uid="{00000000-0005-0000-0000-000070030000}"/>
    <cellStyle name="쉼표 [0] 3 2 3 4 2 2 2" xfId="941" xr:uid="{00000000-0005-0000-0000-000071030000}"/>
    <cellStyle name="쉼표 [0] 3 2 3 4 2 2 2 2" xfId="942" xr:uid="{00000000-0005-0000-0000-000072030000}"/>
    <cellStyle name="쉼표 [0] 3 2 3 4 2 2 2 2 2" xfId="943" xr:uid="{00000000-0005-0000-0000-000073030000}"/>
    <cellStyle name="쉼표 [0] 3 2 3 4 2 2 2 3" xfId="944" xr:uid="{00000000-0005-0000-0000-000074030000}"/>
    <cellStyle name="쉼표 [0] 3 2 3 4 2 2 3" xfId="945" xr:uid="{00000000-0005-0000-0000-000075030000}"/>
    <cellStyle name="쉼표 [0] 3 2 3 4 2 2 3 2" xfId="946" xr:uid="{00000000-0005-0000-0000-000076030000}"/>
    <cellStyle name="쉼표 [0] 3 2 3 4 2 2 4" xfId="947" xr:uid="{00000000-0005-0000-0000-000077030000}"/>
    <cellStyle name="쉼표 [0] 3 2 3 4 2 3" xfId="948" xr:uid="{00000000-0005-0000-0000-000078030000}"/>
    <cellStyle name="쉼표 [0] 3 2 3 4 2 3 2" xfId="949" xr:uid="{00000000-0005-0000-0000-000079030000}"/>
    <cellStyle name="쉼표 [0] 3 2 3 4 2 3 2 2" xfId="950" xr:uid="{00000000-0005-0000-0000-00007A030000}"/>
    <cellStyle name="쉼표 [0] 3 2 3 4 2 3 3" xfId="951" xr:uid="{00000000-0005-0000-0000-00007B030000}"/>
    <cellStyle name="쉼표 [0] 3 2 3 4 2 4" xfId="952" xr:uid="{00000000-0005-0000-0000-00007C030000}"/>
    <cellStyle name="쉼표 [0] 3 2 3 4 2 4 2" xfId="953" xr:uid="{00000000-0005-0000-0000-00007D030000}"/>
    <cellStyle name="쉼표 [0] 3 2 3 4 2 5" xfId="954" xr:uid="{00000000-0005-0000-0000-00007E030000}"/>
    <cellStyle name="쉼표 [0] 3 2 3 4 3" xfId="955" xr:uid="{00000000-0005-0000-0000-00007F030000}"/>
    <cellStyle name="쉼표 [0] 3 2 3 4 3 2" xfId="956" xr:uid="{00000000-0005-0000-0000-000080030000}"/>
    <cellStyle name="쉼표 [0] 3 2 3 4 3 2 2" xfId="957" xr:uid="{00000000-0005-0000-0000-000081030000}"/>
    <cellStyle name="쉼표 [0] 3 2 3 4 3 2 2 2" xfId="958" xr:uid="{00000000-0005-0000-0000-000082030000}"/>
    <cellStyle name="쉼표 [0] 3 2 3 4 3 2 3" xfId="959" xr:uid="{00000000-0005-0000-0000-000083030000}"/>
    <cellStyle name="쉼표 [0] 3 2 3 4 3 3" xfId="960" xr:uid="{00000000-0005-0000-0000-000084030000}"/>
    <cellStyle name="쉼표 [0] 3 2 3 4 3 3 2" xfId="961" xr:uid="{00000000-0005-0000-0000-000085030000}"/>
    <cellStyle name="쉼표 [0] 3 2 3 4 3 4" xfId="962" xr:uid="{00000000-0005-0000-0000-000086030000}"/>
    <cellStyle name="쉼표 [0] 3 2 3 4 4" xfId="963" xr:uid="{00000000-0005-0000-0000-000087030000}"/>
    <cellStyle name="쉼표 [0] 3 2 3 4 4 2" xfId="964" xr:uid="{00000000-0005-0000-0000-000088030000}"/>
    <cellStyle name="쉼표 [0] 3 2 3 4 4 2 2" xfId="965" xr:uid="{00000000-0005-0000-0000-000089030000}"/>
    <cellStyle name="쉼표 [0] 3 2 3 4 4 3" xfId="966" xr:uid="{00000000-0005-0000-0000-00008A030000}"/>
    <cellStyle name="쉼표 [0] 3 2 3 4 5" xfId="967" xr:uid="{00000000-0005-0000-0000-00008B030000}"/>
    <cellStyle name="쉼표 [0] 3 2 3 4 5 2" xfId="968" xr:uid="{00000000-0005-0000-0000-00008C030000}"/>
    <cellStyle name="쉼표 [0] 3 2 3 4 6" xfId="969" xr:uid="{00000000-0005-0000-0000-00008D030000}"/>
    <cellStyle name="쉼표 [0] 3 2 3 5" xfId="970" xr:uid="{00000000-0005-0000-0000-00008E030000}"/>
    <cellStyle name="쉼표 [0] 3 2 3 5 2" xfId="971" xr:uid="{00000000-0005-0000-0000-00008F030000}"/>
    <cellStyle name="쉼표 [0] 3 2 3 5 2 2" xfId="972" xr:uid="{00000000-0005-0000-0000-000090030000}"/>
    <cellStyle name="쉼표 [0] 3 2 3 5 2 2 2" xfId="973" xr:uid="{00000000-0005-0000-0000-000091030000}"/>
    <cellStyle name="쉼표 [0] 3 2 3 5 2 2 2 2" xfId="974" xr:uid="{00000000-0005-0000-0000-000092030000}"/>
    <cellStyle name="쉼표 [0] 3 2 3 5 2 2 3" xfId="975" xr:uid="{00000000-0005-0000-0000-000093030000}"/>
    <cellStyle name="쉼표 [0] 3 2 3 5 2 3" xfId="976" xr:uid="{00000000-0005-0000-0000-000094030000}"/>
    <cellStyle name="쉼표 [0] 3 2 3 5 2 3 2" xfId="977" xr:uid="{00000000-0005-0000-0000-000095030000}"/>
    <cellStyle name="쉼표 [0] 3 2 3 5 2 4" xfId="978" xr:uid="{00000000-0005-0000-0000-000096030000}"/>
    <cellStyle name="쉼표 [0] 3 2 3 5 3" xfId="979" xr:uid="{00000000-0005-0000-0000-000097030000}"/>
    <cellStyle name="쉼표 [0] 3 2 3 5 3 2" xfId="980" xr:uid="{00000000-0005-0000-0000-000098030000}"/>
    <cellStyle name="쉼표 [0] 3 2 3 5 3 2 2" xfId="981" xr:uid="{00000000-0005-0000-0000-000099030000}"/>
    <cellStyle name="쉼표 [0] 3 2 3 5 3 3" xfId="982" xr:uid="{00000000-0005-0000-0000-00009A030000}"/>
    <cellStyle name="쉼표 [0] 3 2 3 5 4" xfId="983" xr:uid="{00000000-0005-0000-0000-00009B030000}"/>
    <cellStyle name="쉼표 [0] 3 2 3 5 4 2" xfId="984" xr:uid="{00000000-0005-0000-0000-00009C030000}"/>
    <cellStyle name="쉼표 [0] 3 2 3 5 5" xfId="985" xr:uid="{00000000-0005-0000-0000-00009D030000}"/>
    <cellStyle name="쉼표 [0] 3 2 3 6" xfId="986" xr:uid="{00000000-0005-0000-0000-00009E030000}"/>
    <cellStyle name="쉼표 [0] 3 2 3 6 2" xfId="987" xr:uid="{00000000-0005-0000-0000-00009F030000}"/>
    <cellStyle name="쉼표 [0] 3 2 3 6 2 2" xfId="988" xr:uid="{00000000-0005-0000-0000-0000A0030000}"/>
    <cellStyle name="쉼표 [0] 3 2 3 6 2 2 2" xfId="989" xr:uid="{00000000-0005-0000-0000-0000A1030000}"/>
    <cellStyle name="쉼표 [0] 3 2 3 6 2 3" xfId="990" xr:uid="{00000000-0005-0000-0000-0000A2030000}"/>
    <cellStyle name="쉼표 [0] 3 2 3 6 3" xfId="991" xr:uid="{00000000-0005-0000-0000-0000A3030000}"/>
    <cellStyle name="쉼표 [0] 3 2 3 6 3 2" xfId="992" xr:uid="{00000000-0005-0000-0000-0000A4030000}"/>
    <cellStyle name="쉼표 [0] 3 2 3 6 4" xfId="993" xr:uid="{00000000-0005-0000-0000-0000A5030000}"/>
    <cellStyle name="쉼표 [0] 3 2 3 7" xfId="994" xr:uid="{00000000-0005-0000-0000-0000A6030000}"/>
    <cellStyle name="쉼표 [0] 3 2 3 7 2" xfId="995" xr:uid="{00000000-0005-0000-0000-0000A7030000}"/>
    <cellStyle name="쉼표 [0] 3 2 3 7 2 2" xfId="996" xr:uid="{00000000-0005-0000-0000-0000A8030000}"/>
    <cellStyle name="쉼표 [0] 3 2 3 7 3" xfId="997" xr:uid="{00000000-0005-0000-0000-0000A9030000}"/>
    <cellStyle name="쉼표 [0] 3 2 3 8" xfId="998" xr:uid="{00000000-0005-0000-0000-0000AA030000}"/>
    <cellStyle name="쉼표 [0] 3 2 3 8 2" xfId="999" xr:uid="{00000000-0005-0000-0000-0000AB030000}"/>
    <cellStyle name="쉼표 [0] 3 2 3 9" xfId="1000" xr:uid="{00000000-0005-0000-0000-0000AC030000}"/>
    <cellStyle name="쉼표 [0] 3 2 4" xfId="1001" xr:uid="{00000000-0005-0000-0000-0000AD030000}"/>
    <cellStyle name="쉼표 [0] 3 2 4 2" xfId="1002" xr:uid="{00000000-0005-0000-0000-0000AE030000}"/>
    <cellStyle name="쉼표 [0] 3 2 4 2 2" xfId="1003" xr:uid="{00000000-0005-0000-0000-0000AF030000}"/>
    <cellStyle name="쉼표 [0] 3 2 4 2 2 2" xfId="1004" xr:uid="{00000000-0005-0000-0000-0000B0030000}"/>
    <cellStyle name="쉼표 [0] 3 2 4 2 2 2 2" xfId="1005" xr:uid="{00000000-0005-0000-0000-0000B1030000}"/>
    <cellStyle name="쉼표 [0] 3 2 4 2 2 2 2 2" xfId="1006" xr:uid="{00000000-0005-0000-0000-0000B2030000}"/>
    <cellStyle name="쉼표 [0] 3 2 4 2 2 2 2 2 2" xfId="1007" xr:uid="{00000000-0005-0000-0000-0000B3030000}"/>
    <cellStyle name="쉼표 [0] 3 2 4 2 2 2 2 2 2 2" xfId="1008" xr:uid="{00000000-0005-0000-0000-0000B4030000}"/>
    <cellStyle name="쉼표 [0] 3 2 4 2 2 2 2 2 3" xfId="1009" xr:uid="{00000000-0005-0000-0000-0000B5030000}"/>
    <cellStyle name="쉼표 [0] 3 2 4 2 2 2 2 3" xfId="1010" xr:uid="{00000000-0005-0000-0000-0000B6030000}"/>
    <cellStyle name="쉼표 [0] 3 2 4 2 2 2 2 3 2" xfId="1011" xr:uid="{00000000-0005-0000-0000-0000B7030000}"/>
    <cellStyle name="쉼표 [0] 3 2 4 2 2 2 2 4" xfId="1012" xr:uid="{00000000-0005-0000-0000-0000B8030000}"/>
    <cellStyle name="쉼표 [0] 3 2 4 2 2 2 3" xfId="1013" xr:uid="{00000000-0005-0000-0000-0000B9030000}"/>
    <cellStyle name="쉼표 [0] 3 2 4 2 2 2 3 2" xfId="1014" xr:uid="{00000000-0005-0000-0000-0000BA030000}"/>
    <cellStyle name="쉼표 [0] 3 2 4 2 2 2 3 2 2" xfId="1015" xr:uid="{00000000-0005-0000-0000-0000BB030000}"/>
    <cellStyle name="쉼표 [0] 3 2 4 2 2 2 3 3" xfId="1016" xr:uid="{00000000-0005-0000-0000-0000BC030000}"/>
    <cellStyle name="쉼표 [0] 3 2 4 2 2 2 4" xfId="1017" xr:uid="{00000000-0005-0000-0000-0000BD030000}"/>
    <cellStyle name="쉼표 [0] 3 2 4 2 2 2 4 2" xfId="1018" xr:uid="{00000000-0005-0000-0000-0000BE030000}"/>
    <cellStyle name="쉼표 [0] 3 2 4 2 2 2 5" xfId="1019" xr:uid="{00000000-0005-0000-0000-0000BF030000}"/>
    <cellStyle name="쉼표 [0] 3 2 4 2 2 3" xfId="1020" xr:uid="{00000000-0005-0000-0000-0000C0030000}"/>
    <cellStyle name="쉼표 [0] 3 2 4 2 2 3 2" xfId="1021" xr:uid="{00000000-0005-0000-0000-0000C1030000}"/>
    <cellStyle name="쉼표 [0] 3 2 4 2 2 3 2 2" xfId="1022" xr:uid="{00000000-0005-0000-0000-0000C2030000}"/>
    <cellStyle name="쉼표 [0] 3 2 4 2 2 3 2 2 2" xfId="1023" xr:uid="{00000000-0005-0000-0000-0000C3030000}"/>
    <cellStyle name="쉼표 [0] 3 2 4 2 2 3 2 3" xfId="1024" xr:uid="{00000000-0005-0000-0000-0000C4030000}"/>
    <cellStyle name="쉼표 [0] 3 2 4 2 2 3 3" xfId="1025" xr:uid="{00000000-0005-0000-0000-0000C5030000}"/>
    <cellStyle name="쉼표 [0] 3 2 4 2 2 3 3 2" xfId="1026" xr:uid="{00000000-0005-0000-0000-0000C6030000}"/>
    <cellStyle name="쉼표 [0] 3 2 4 2 2 3 4" xfId="1027" xr:uid="{00000000-0005-0000-0000-0000C7030000}"/>
    <cellStyle name="쉼표 [0] 3 2 4 2 2 4" xfId="1028" xr:uid="{00000000-0005-0000-0000-0000C8030000}"/>
    <cellStyle name="쉼표 [0] 3 2 4 2 2 4 2" xfId="1029" xr:uid="{00000000-0005-0000-0000-0000C9030000}"/>
    <cellStyle name="쉼표 [0] 3 2 4 2 2 4 2 2" xfId="1030" xr:uid="{00000000-0005-0000-0000-0000CA030000}"/>
    <cellStyle name="쉼표 [0] 3 2 4 2 2 4 3" xfId="1031" xr:uid="{00000000-0005-0000-0000-0000CB030000}"/>
    <cellStyle name="쉼표 [0] 3 2 4 2 2 5" xfId="1032" xr:uid="{00000000-0005-0000-0000-0000CC030000}"/>
    <cellStyle name="쉼표 [0] 3 2 4 2 2 5 2" xfId="1033" xr:uid="{00000000-0005-0000-0000-0000CD030000}"/>
    <cellStyle name="쉼표 [0] 3 2 4 2 2 6" xfId="1034" xr:uid="{00000000-0005-0000-0000-0000CE030000}"/>
    <cellStyle name="쉼표 [0] 3 2 4 2 3" xfId="1035" xr:uid="{00000000-0005-0000-0000-0000CF030000}"/>
    <cellStyle name="쉼표 [0] 3 2 4 2 3 2" xfId="1036" xr:uid="{00000000-0005-0000-0000-0000D0030000}"/>
    <cellStyle name="쉼표 [0] 3 2 4 2 3 2 2" xfId="1037" xr:uid="{00000000-0005-0000-0000-0000D1030000}"/>
    <cellStyle name="쉼표 [0] 3 2 4 2 3 2 2 2" xfId="1038" xr:uid="{00000000-0005-0000-0000-0000D2030000}"/>
    <cellStyle name="쉼표 [0] 3 2 4 2 3 2 2 2 2" xfId="1039" xr:uid="{00000000-0005-0000-0000-0000D3030000}"/>
    <cellStyle name="쉼표 [0] 3 2 4 2 3 2 2 3" xfId="1040" xr:uid="{00000000-0005-0000-0000-0000D4030000}"/>
    <cellStyle name="쉼표 [0] 3 2 4 2 3 2 3" xfId="1041" xr:uid="{00000000-0005-0000-0000-0000D5030000}"/>
    <cellStyle name="쉼표 [0] 3 2 4 2 3 2 3 2" xfId="1042" xr:uid="{00000000-0005-0000-0000-0000D6030000}"/>
    <cellStyle name="쉼표 [0] 3 2 4 2 3 2 4" xfId="1043" xr:uid="{00000000-0005-0000-0000-0000D7030000}"/>
    <cellStyle name="쉼표 [0] 3 2 4 2 3 3" xfId="1044" xr:uid="{00000000-0005-0000-0000-0000D8030000}"/>
    <cellStyle name="쉼표 [0] 3 2 4 2 3 3 2" xfId="1045" xr:uid="{00000000-0005-0000-0000-0000D9030000}"/>
    <cellStyle name="쉼표 [0] 3 2 4 2 3 3 2 2" xfId="1046" xr:uid="{00000000-0005-0000-0000-0000DA030000}"/>
    <cellStyle name="쉼표 [0] 3 2 4 2 3 3 3" xfId="1047" xr:uid="{00000000-0005-0000-0000-0000DB030000}"/>
    <cellStyle name="쉼표 [0] 3 2 4 2 3 4" xfId="1048" xr:uid="{00000000-0005-0000-0000-0000DC030000}"/>
    <cellStyle name="쉼표 [0] 3 2 4 2 3 4 2" xfId="1049" xr:uid="{00000000-0005-0000-0000-0000DD030000}"/>
    <cellStyle name="쉼표 [0] 3 2 4 2 3 5" xfId="1050" xr:uid="{00000000-0005-0000-0000-0000DE030000}"/>
    <cellStyle name="쉼표 [0] 3 2 4 2 4" xfId="1051" xr:uid="{00000000-0005-0000-0000-0000DF030000}"/>
    <cellStyle name="쉼표 [0] 3 2 4 2 4 2" xfId="1052" xr:uid="{00000000-0005-0000-0000-0000E0030000}"/>
    <cellStyle name="쉼표 [0] 3 2 4 2 4 2 2" xfId="1053" xr:uid="{00000000-0005-0000-0000-0000E1030000}"/>
    <cellStyle name="쉼표 [0] 3 2 4 2 4 2 2 2" xfId="1054" xr:uid="{00000000-0005-0000-0000-0000E2030000}"/>
    <cellStyle name="쉼표 [0] 3 2 4 2 4 2 3" xfId="1055" xr:uid="{00000000-0005-0000-0000-0000E3030000}"/>
    <cellStyle name="쉼표 [0] 3 2 4 2 4 3" xfId="1056" xr:uid="{00000000-0005-0000-0000-0000E4030000}"/>
    <cellStyle name="쉼표 [0] 3 2 4 2 4 3 2" xfId="1057" xr:uid="{00000000-0005-0000-0000-0000E5030000}"/>
    <cellStyle name="쉼표 [0] 3 2 4 2 4 4" xfId="1058" xr:uid="{00000000-0005-0000-0000-0000E6030000}"/>
    <cellStyle name="쉼표 [0] 3 2 4 2 5" xfId="1059" xr:uid="{00000000-0005-0000-0000-0000E7030000}"/>
    <cellStyle name="쉼표 [0] 3 2 4 2 5 2" xfId="1060" xr:uid="{00000000-0005-0000-0000-0000E8030000}"/>
    <cellStyle name="쉼표 [0] 3 2 4 2 5 2 2" xfId="1061" xr:uid="{00000000-0005-0000-0000-0000E9030000}"/>
    <cellStyle name="쉼표 [0] 3 2 4 2 5 3" xfId="1062" xr:uid="{00000000-0005-0000-0000-0000EA030000}"/>
    <cellStyle name="쉼표 [0] 3 2 4 2 6" xfId="1063" xr:uid="{00000000-0005-0000-0000-0000EB030000}"/>
    <cellStyle name="쉼표 [0] 3 2 4 2 6 2" xfId="1064" xr:uid="{00000000-0005-0000-0000-0000EC030000}"/>
    <cellStyle name="쉼표 [0] 3 2 4 2 7" xfId="1065" xr:uid="{00000000-0005-0000-0000-0000ED030000}"/>
    <cellStyle name="쉼표 [0] 3 2 4 2 8" xfId="1066" xr:uid="{00000000-0005-0000-0000-0000EE030000}"/>
    <cellStyle name="쉼표 [0] 3 2 4 3" xfId="1067" xr:uid="{00000000-0005-0000-0000-0000EF030000}"/>
    <cellStyle name="쉼표 [0] 3 2 4 3 2" xfId="1068" xr:uid="{00000000-0005-0000-0000-0000F0030000}"/>
    <cellStyle name="쉼표 [0] 3 2 4 3 2 2" xfId="1069" xr:uid="{00000000-0005-0000-0000-0000F1030000}"/>
    <cellStyle name="쉼표 [0] 3 2 4 3 2 2 2" xfId="1070" xr:uid="{00000000-0005-0000-0000-0000F2030000}"/>
    <cellStyle name="쉼표 [0] 3 2 4 3 2 2 2 2" xfId="1071" xr:uid="{00000000-0005-0000-0000-0000F3030000}"/>
    <cellStyle name="쉼표 [0] 3 2 4 3 2 2 2 2 2" xfId="1072" xr:uid="{00000000-0005-0000-0000-0000F4030000}"/>
    <cellStyle name="쉼표 [0] 3 2 4 3 2 2 2 3" xfId="1073" xr:uid="{00000000-0005-0000-0000-0000F5030000}"/>
    <cellStyle name="쉼표 [0] 3 2 4 3 2 2 3" xfId="1074" xr:uid="{00000000-0005-0000-0000-0000F6030000}"/>
    <cellStyle name="쉼표 [0] 3 2 4 3 2 2 3 2" xfId="1075" xr:uid="{00000000-0005-0000-0000-0000F7030000}"/>
    <cellStyle name="쉼표 [0] 3 2 4 3 2 2 4" xfId="1076" xr:uid="{00000000-0005-0000-0000-0000F8030000}"/>
    <cellStyle name="쉼표 [0] 3 2 4 3 2 3" xfId="1077" xr:uid="{00000000-0005-0000-0000-0000F9030000}"/>
    <cellStyle name="쉼표 [0] 3 2 4 3 2 3 2" xfId="1078" xr:uid="{00000000-0005-0000-0000-0000FA030000}"/>
    <cellStyle name="쉼표 [0] 3 2 4 3 2 3 2 2" xfId="1079" xr:uid="{00000000-0005-0000-0000-0000FB030000}"/>
    <cellStyle name="쉼표 [0] 3 2 4 3 2 3 3" xfId="1080" xr:uid="{00000000-0005-0000-0000-0000FC030000}"/>
    <cellStyle name="쉼표 [0] 3 2 4 3 2 4" xfId="1081" xr:uid="{00000000-0005-0000-0000-0000FD030000}"/>
    <cellStyle name="쉼표 [0] 3 2 4 3 2 4 2" xfId="1082" xr:uid="{00000000-0005-0000-0000-0000FE030000}"/>
    <cellStyle name="쉼표 [0] 3 2 4 3 2 5" xfId="1083" xr:uid="{00000000-0005-0000-0000-0000FF030000}"/>
    <cellStyle name="쉼표 [0] 3 2 4 3 3" xfId="1084" xr:uid="{00000000-0005-0000-0000-000000040000}"/>
    <cellStyle name="쉼표 [0] 3 2 4 3 3 2" xfId="1085" xr:uid="{00000000-0005-0000-0000-000001040000}"/>
    <cellStyle name="쉼표 [0] 3 2 4 3 3 2 2" xfId="1086" xr:uid="{00000000-0005-0000-0000-000002040000}"/>
    <cellStyle name="쉼표 [0] 3 2 4 3 3 2 2 2" xfId="1087" xr:uid="{00000000-0005-0000-0000-000003040000}"/>
    <cellStyle name="쉼표 [0] 3 2 4 3 3 2 3" xfId="1088" xr:uid="{00000000-0005-0000-0000-000004040000}"/>
    <cellStyle name="쉼표 [0] 3 2 4 3 3 3" xfId="1089" xr:uid="{00000000-0005-0000-0000-000005040000}"/>
    <cellStyle name="쉼표 [0] 3 2 4 3 3 3 2" xfId="1090" xr:uid="{00000000-0005-0000-0000-000006040000}"/>
    <cellStyle name="쉼표 [0] 3 2 4 3 3 4" xfId="1091" xr:uid="{00000000-0005-0000-0000-000007040000}"/>
    <cellStyle name="쉼표 [0] 3 2 4 3 4" xfId="1092" xr:uid="{00000000-0005-0000-0000-000008040000}"/>
    <cellStyle name="쉼표 [0] 3 2 4 3 4 2" xfId="1093" xr:uid="{00000000-0005-0000-0000-000009040000}"/>
    <cellStyle name="쉼표 [0] 3 2 4 3 4 2 2" xfId="1094" xr:uid="{00000000-0005-0000-0000-00000A040000}"/>
    <cellStyle name="쉼표 [0] 3 2 4 3 4 3" xfId="1095" xr:uid="{00000000-0005-0000-0000-00000B040000}"/>
    <cellStyle name="쉼표 [0] 3 2 4 3 5" xfId="1096" xr:uid="{00000000-0005-0000-0000-00000C040000}"/>
    <cellStyle name="쉼표 [0] 3 2 4 3 5 2" xfId="1097" xr:uid="{00000000-0005-0000-0000-00000D040000}"/>
    <cellStyle name="쉼표 [0] 3 2 4 3 6" xfId="1098" xr:uid="{00000000-0005-0000-0000-00000E040000}"/>
    <cellStyle name="쉼표 [0] 3 2 4 4" xfId="1099" xr:uid="{00000000-0005-0000-0000-00000F040000}"/>
    <cellStyle name="쉼표 [0] 3 2 4 4 2" xfId="1100" xr:uid="{00000000-0005-0000-0000-000010040000}"/>
    <cellStyle name="쉼표 [0] 3 2 4 4 2 2" xfId="1101" xr:uid="{00000000-0005-0000-0000-000011040000}"/>
    <cellStyle name="쉼표 [0] 3 2 4 4 2 2 2" xfId="1102" xr:uid="{00000000-0005-0000-0000-000012040000}"/>
    <cellStyle name="쉼표 [0] 3 2 4 4 2 2 2 2" xfId="1103" xr:uid="{00000000-0005-0000-0000-000013040000}"/>
    <cellStyle name="쉼표 [0] 3 2 4 4 2 2 3" xfId="1104" xr:uid="{00000000-0005-0000-0000-000014040000}"/>
    <cellStyle name="쉼표 [0] 3 2 4 4 2 3" xfId="1105" xr:uid="{00000000-0005-0000-0000-000015040000}"/>
    <cellStyle name="쉼표 [0] 3 2 4 4 2 3 2" xfId="1106" xr:uid="{00000000-0005-0000-0000-000016040000}"/>
    <cellStyle name="쉼표 [0] 3 2 4 4 2 4" xfId="1107" xr:uid="{00000000-0005-0000-0000-000017040000}"/>
    <cellStyle name="쉼표 [0] 3 2 4 4 3" xfId="1108" xr:uid="{00000000-0005-0000-0000-000018040000}"/>
    <cellStyle name="쉼표 [0] 3 2 4 4 3 2" xfId="1109" xr:uid="{00000000-0005-0000-0000-000019040000}"/>
    <cellStyle name="쉼표 [0] 3 2 4 4 3 2 2" xfId="1110" xr:uid="{00000000-0005-0000-0000-00001A040000}"/>
    <cellStyle name="쉼표 [0] 3 2 4 4 3 3" xfId="1111" xr:uid="{00000000-0005-0000-0000-00001B040000}"/>
    <cellStyle name="쉼표 [0] 3 2 4 4 4" xfId="1112" xr:uid="{00000000-0005-0000-0000-00001C040000}"/>
    <cellStyle name="쉼표 [0] 3 2 4 4 4 2" xfId="1113" xr:uid="{00000000-0005-0000-0000-00001D040000}"/>
    <cellStyle name="쉼표 [0] 3 2 4 4 5" xfId="1114" xr:uid="{00000000-0005-0000-0000-00001E040000}"/>
    <cellStyle name="쉼표 [0] 3 2 4 5" xfId="1115" xr:uid="{00000000-0005-0000-0000-00001F040000}"/>
    <cellStyle name="쉼표 [0] 3 2 4 5 2" xfId="1116" xr:uid="{00000000-0005-0000-0000-000020040000}"/>
    <cellStyle name="쉼표 [0] 3 2 4 5 2 2" xfId="1117" xr:uid="{00000000-0005-0000-0000-000021040000}"/>
    <cellStyle name="쉼표 [0] 3 2 4 5 2 2 2" xfId="1118" xr:uid="{00000000-0005-0000-0000-000022040000}"/>
    <cellStyle name="쉼표 [0] 3 2 4 5 2 3" xfId="1119" xr:uid="{00000000-0005-0000-0000-000023040000}"/>
    <cellStyle name="쉼표 [0] 3 2 4 5 3" xfId="1120" xr:uid="{00000000-0005-0000-0000-000024040000}"/>
    <cellStyle name="쉼표 [0] 3 2 4 5 3 2" xfId="1121" xr:uid="{00000000-0005-0000-0000-000025040000}"/>
    <cellStyle name="쉼표 [0] 3 2 4 5 4" xfId="1122" xr:uid="{00000000-0005-0000-0000-000026040000}"/>
    <cellStyle name="쉼표 [0] 3 2 4 6" xfId="1123" xr:uid="{00000000-0005-0000-0000-000027040000}"/>
    <cellStyle name="쉼표 [0] 3 2 4 6 2" xfId="1124" xr:uid="{00000000-0005-0000-0000-000028040000}"/>
    <cellStyle name="쉼표 [0] 3 2 4 6 2 2" xfId="1125" xr:uid="{00000000-0005-0000-0000-000029040000}"/>
    <cellStyle name="쉼표 [0] 3 2 4 6 3" xfId="1126" xr:uid="{00000000-0005-0000-0000-00002A040000}"/>
    <cellStyle name="쉼표 [0] 3 2 4 7" xfId="1127" xr:uid="{00000000-0005-0000-0000-00002B040000}"/>
    <cellStyle name="쉼표 [0] 3 2 4 7 2" xfId="1128" xr:uid="{00000000-0005-0000-0000-00002C040000}"/>
    <cellStyle name="쉼표 [0] 3 2 4 8" xfId="1129" xr:uid="{00000000-0005-0000-0000-00002D040000}"/>
    <cellStyle name="쉼표 [0] 3 2 4 9" xfId="1130" xr:uid="{00000000-0005-0000-0000-00002E040000}"/>
    <cellStyle name="쉼표 [0] 3 2 5" xfId="1131" xr:uid="{00000000-0005-0000-0000-00002F040000}"/>
    <cellStyle name="쉼표 [0] 3 2 5 2" xfId="1132" xr:uid="{00000000-0005-0000-0000-000030040000}"/>
    <cellStyle name="쉼표 [0] 3 2 5 2 2" xfId="1133" xr:uid="{00000000-0005-0000-0000-000031040000}"/>
    <cellStyle name="쉼표 [0] 3 2 5 2 2 2" xfId="1134" xr:uid="{00000000-0005-0000-0000-000032040000}"/>
    <cellStyle name="쉼표 [0] 3 2 5 2 2 2 2" xfId="1135" xr:uid="{00000000-0005-0000-0000-000033040000}"/>
    <cellStyle name="쉼표 [0] 3 2 5 2 2 2 2 2" xfId="1136" xr:uid="{00000000-0005-0000-0000-000034040000}"/>
    <cellStyle name="쉼표 [0] 3 2 5 2 2 2 2 2 2" xfId="1137" xr:uid="{00000000-0005-0000-0000-000035040000}"/>
    <cellStyle name="쉼표 [0] 3 2 5 2 2 2 2 3" xfId="1138" xr:uid="{00000000-0005-0000-0000-000036040000}"/>
    <cellStyle name="쉼표 [0] 3 2 5 2 2 2 3" xfId="1139" xr:uid="{00000000-0005-0000-0000-000037040000}"/>
    <cellStyle name="쉼표 [0] 3 2 5 2 2 2 3 2" xfId="1140" xr:uid="{00000000-0005-0000-0000-000038040000}"/>
    <cellStyle name="쉼표 [0] 3 2 5 2 2 2 4" xfId="1141" xr:uid="{00000000-0005-0000-0000-000039040000}"/>
    <cellStyle name="쉼표 [0] 3 2 5 2 2 3" xfId="1142" xr:uid="{00000000-0005-0000-0000-00003A040000}"/>
    <cellStyle name="쉼표 [0] 3 2 5 2 2 3 2" xfId="1143" xr:uid="{00000000-0005-0000-0000-00003B040000}"/>
    <cellStyle name="쉼표 [0] 3 2 5 2 2 3 2 2" xfId="1144" xr:uid="{00000000-0005-0000-0000-00003C040000}"/>
    <cellStyle name="쉼표 [0] 3 2 5 2 2 3 3" xfId="1145" xr:uid="{00000000-0005-0000-0000-00003D040000}"/>
    <cellStyle name="쉼표 [0] 3 2 5 2 2 4" xfId="1146" xr:uid="{00000000-0005-0000-0000-00003E040000}"/>
    <cellStyle name="쉼표 [0] 3 2 5 2 2 4 2" xfId="1147" xr:uid="{00000000-0005-0000-0000-00003F040000}"/>
    <cellStyle name="쉼표 [0] 3 2 5 2 2 5" xfId="1148" xr:uid="{00000000-0005-0000-0000-000040040000}"/>
    <cellStyle name="쉼표 [0] 3 2 5 2 3" xfId="1149" xr:uid="{00000000-0005-0000-0000-000041040000}"/>
    <cellStyle name="쉼표 [0] 3 2 5 2 3 2" xfId="1150" xr:uid="{00000000-0005-0000-0000-000042040000}"/>
    <cellStyle name="쉼표 [0] 3 2 5 2 3 2 2" xfId="1151" xr:uid="{00000000-0005-0000-0000-000043040000}"/>
    <cellStyle name="쉼표 [0] 3 2 5 2 3 2 2 2" xfId="1152" xr:uid="{00000000-0005-0000-0000-000044040000}"/>
    <cellStyle name="쉼표 [0] 3 2 5 2 3 2 3" xfId="1153" xr:uid="{00000000-0005-0000-0000-000045040000}"/>
    <cellStyle name="쉼표 [0] 3 2 5 2 3 3" xfId="1154" xr:uid="{00000000-0005-0000-0000-000046040000}"/>
    <cellStyle name="쉼표 [0] 3 2 5 2 3 3 2" xfId="1155" xr:uid="{00000000-0005-0000-0000-000047040000}"/>
    <cellStyle name="쉼표 [0] 3 2 5 2 3 4" xfId="1156" xr:uid="{00000000-0005-0000-0000-000048040000}"/>
    <cellStyle name="쉼표 [0] 3 2 5 2 4" xfId="1157" xr:uid="{00000000-0005-0000-0000-000049040000}"/>
    <cellStyle name="쉼표 [0] 3 2 5 2 4 2" xfId="1158" xr:uid="{00000000-0005-0000-0000-00004A040000}"/>
    <cellStyle name="쉼표 [0] 3 2 5 2 4 2 2" xfId="1159" xr:uid="{00000000-0005-0000-0000-00004B040000}"/>
    <cellStyle name="쉼표 [0] 3 2 5 2 4 3" xfId="1160" xr:uid="{00000000-0005-0000-0000-00004C040000}"/>
    <cellStyle name="쉼표 [0] 3 2 5 2 5" xfId="1161" xr:uid="{00000000-0005-0000-0000-00004D040000}"/>
    <cellStyle name="쉼표 [0] 3 2 5 2 5 2" xfId="1162" xr:uid="{00000000-0005-0000-0000-00004E040000}"/>
    <cellStyle name="쉼표 [0] 3 2 5 2 6" xfId="1163" xr:uid="{00000000-0005-0000-0000-00004F040000}"/>
    <cellStyle name="쉼표 [0] 3 2 5 3" xfId="1164" xr:uid="{00000000-0005-0000-0000-000050040000}"/>
    <cellStyle name="쉼표 [0] 3 2 5 3 2" xfId="1165" xr:uid="{00000000-0005-0000-0000-000051040000}"/>
    <cellStyle name="쉼표 [0] 3 2 5 3 2 2" xfId="1166" xr:uid="{00000000-0005-0000-0000-000052040000}"/>
    <cellStyle name="쉼표 [0] 3 2 5 3 2 2 2" xfId="1167" xr:uid="{00000000-0005-0000-0000-000053040000}"/>
    <cellStyle name="쉼표 [0] 3 2 5 3 2 2 2 2" xfId="1168" xr:uid="{00000000-0005-0000-0000-000054040000}"/>
    <cellStyle name="쉼표 [0] 3 2 5 3 2 2 3" xfId="1169" xr:uid="{00000000-0005-0000-0000-000055040000}"/>
    <cellStyle name="쉼표 [0] 3 2 5 3 2 3" xfId="1170" xr:uid="{00000000-0005-0000-0000-000056040000}"/>
    <cellStyle name="쉼표 [0] 3 2 5 3 2 3 2" xfId="1171" xr:uid="{00000000-0005-0000-0000-000057040000}"/>
    <cellStyle name="쉼표 [0] 3 2 5 3 2 4" xfId="1172" xr:uid="{00000000-0005-0000-0000-000058040000}"/>
    <cellStyle name="쉼표 [0] 3 2 5 3 3" xfId="1173" xr:uid="{00000000-0005-0000-0000-000059040000}"/>
    <cellStyle name="쉼표 [0] 3 2 5 3 3 2" xfId="1174" xr:uid="{00000000-0005-0000-0000-00005A040000}"/>
    <cellStyle name="쉼표 [0] 3 2 5 3 3 2 2" xfId="1175" xr:uid="{00000000-0005-0000-0000-00005B040000}"/>
    <cellStyle name="쉼표 [0] 3 2 5 3 3 3" xfId="1176" xr:uid="{00000000-0005-0000-0000-00005C040000}"/>
    <cellStyle name="쉼표 [0] 3 2 5 3 4" xfId="1177" xr:uid="{00000000-0005-0000-0000-00005D040000}"/>
    <cellStyle name="쉼표 [0] 3 2 5 3 4 2" xfId="1178" xr:uid="{00000000-0005-0000-0000-00005E040000}"/>
    <cellStyle name="쉼표 [0] 3 2 5 3 5" xfId="1179" xr:uid="{00000000-0005-0000-0000-00005F040000}"/>
    <cellStyle name="쉼표 [0] 3 2 5 4" xfId="1180" xr:uid="{00000000-0005-0000-0000-000060040000}"/>
    <cellStyle name="쉼표 [0] 3 2 5 4 2" xfId="1181" xr:uid="{00000000-0005-0000-0000-000061040000}"/>
    <cellStyle name="쉼표 [0] 3 2 5 4 2 2" xfId="1182" xr:uid="{00000000-0005-0000-0000-000062040000}"/>
    <cellStyle name="쉼표 [0] 3 2 5 4 2 2 2" xfId="1183" xr:uid="{00000000-0005-0000-0000-000063040000}"/>
    <cellStyle name="쉼표 [0] 3 2 5 4 2 3" xfId="1184" xr:uid="{00000000-0005-0000-0000-000064040000}"/>
    <cellStyle name="쉼표 [0] 3 2 5 4 3" xfId="1185" xr:uid="{00000000-0005-0000-0000-000065040000}"/>
    <cellStyle name="쉼표 [0] 3 2 5 4 3 2" xfId="1186" xr:uid="{00000000-0005-0000-0000-000066040000}"/>
    <cellStyle name="쉼표 [0] 3 2 5 4 4" xfId="1187" xr:uid="{00000000-0005-0000-0000-000067040000}"/>
    <cellStyle name="쉼표 [0] 3 2 5 5" xfId="1188" xr:uid="{00000000-0005-0000-0000-000068040000}"/>
    <cellStyle name="쉼표 [0] 3 2 5 5 2" xfId="1189" xr:uid="{00000000-0005-0000-0000-000069040000}"/>
    <cellStyle name="쉼표 [0] 3 2 5 5 2 2" xfId="1190" xr:uid="{00000000-0005-0000-0000-00006A040000}"/>
    <cellStyle name="쉼표 [0] 3 2 5 5 3" xfId="1191" xr:uid="{00000000-0005-0000-0000-00006B040000}"/>
    <cellStyle name="쉼표 [0] 3 2 5 6" xfId="1192" xr:uid="{00000000-0005-0000-0000-00006C040000}"/>
    <cellStyle name="쉼표 [0] 3 2 5 6 2" xfId="1193" xr:uid="{00000000-0005-0000-0000-00006D040000}"/>
    <cellStyle name="쉼표 [0] 3 2 5 7" xfId="1194" xr:uid="{00000000-0005-0000-0000-00006E040000}"/>
    <cellStyle name="쉼표 [0] 3 2 5 8" xfId="1195" xr:uid="{00000000-0005-0000-0000-00006F040000}"/>
    <cellStyle name="쉼표 [0] 3 2 6" xfId="1196" xr:uid="{00000000-0005-0000-0000-000070040000}"/>
    <cellStyle name="쉼표 [0] 3 2 6 2" xfId="1197" xr:uid="{00000000-0005-0000-0000-000071040000}"/>
    <cellStyle name="쉼표 [0] 3 2 6 2 2" xfId="1198" xr:uid="{00000000-0005-0000-0000-000072040000}"/>
    <cellStyle name="쉼표 [0] 3 2 6 2 2 2" xfId="1199" xr:uid="{00000000-0005-0000-0000-000073040000}"/>
    <cellStyle name="쉼표 [0] 3 2 6 2 2 2 2" xfId="1200" xr:uid="{00000000-0005-0000-0000-000074040000}"/>
    <cellStyle name="쉼표 [0] 3 2 6 2 2 2 2 2" xfId="1201" xr:uid="{00000000-0005-0000-0000-000075040000}"/>
    <cellStyle name="쉼표 [0] 3 2 6 2 2 2 3" xfId="1202" xr:uid="{00000000-0005-0000-0000-000076040000}"/>
    <cellStyle name="쉼표 [0] 3 2 6 2 2 3" xfId="1203" xr:uid="{00000000-0005-0000-0000-000077040000}"/>
    <cellStyle name="쉼표 [0] 3 2 6 2 2 3 2" xfId="1204" xr:uid="{00000000-0005-0000-0000-000078040000}"/>
    <cellStyle name="쉼표 [0] 3 2 6 2 2 4" xfId="1205" xr:uid="{00000000-0005-0000-0000-000079040000}"/>
    <cellStyle name="쉼표 [0] 3 2 6 2 3" xfId="1206" xr:uid="{00000000-0005-0000-0000-00007A040000}"/>
    <cellStyle name="쉼표 [0] 3 2 6 2 3 2" xfId="1207" xr:uid="{00000000-0005-0000-0000-00007B040000}"/>
    <cellStyle name="쉼표 [0] 3 2 6 2 3 2 2" xfId="1208" xr:uid="{00000000-0005-0000-0000-00007C040000}"/>
    <cellStyle name="쉼표 [0] 3 2 6 2 3 3" xfId="1209" xr:uid="{00000000-0005-0000-0000-00007D040000}"/>
    <cellStyle name="쉼표 [0] 3 2 6 2 4" xfId="1210" xr:uid="{00000000-0005-0000-0000-00007E040000}"/>
    <cellStyle name="쉼표 [0] 3 2 6 2 4 2" xfId="1211" xr:uid="{00000000-0005-0000-0000-00007F040000}"/>
    <cellStyle name="쉼표 [0] 3 2 6 2 5" xfId="1212" xr:uid="{00000000-0005-0000-0000-000080040000}"/>
    <cellStyle name="쉼표 [0] 3 2 6 3" xfId="1213" xr:uid="{00000000-0005-0000-0000-000081040000}"/>
    <cellStyle name="쉼표 [0] 3 2 6 3 2" xfId="1214" xr:uid="{00000000-0005-0000-0000-000082040000}"/>
    <cellStyle name="쉼표 [0] 3 2 6 3 2 2" xfId="1215" xr:uid="{00000000-0005-0000-0000-000083040000}"/>
    <cellStyle name="쉼표 [0] 3 2 6 3 2 2 2" xfId="1216" xr:uid="{00000000-0005-0000-0000-000084040000}"/>
    <cellStyle name="쉼표 [0] 3 2 6 3 2 3" xfId="1217" xr:uid="{00000000-0005-0000-0000-000085040000}"/>
    <cellStyle name="쉼표 [0] 3 2 6 3 3" xfId="1218" xr:uid="{00000000-0005-0000-0000-000086040000}"/>
    <cellStyle name="쉼표 [0] 3 2 6 3 3 2" xfId="1219" xr:uid="{00000000-0005-0000-0000-000087040000}"/>
    <cellStyle name="쉼표 [0] 3 2 6 3 4" xfId="1220" xr:uid="{00000000-0005-0000-0000-000088040000}"/>
    <cellStyle name="쉼표 [0] 3 2 6 4" xfId="1221" xr:uid="{00000000-0005-0000-0000-000089040000}"/>
    <cellStyle name="쉼표 [0] 3 2 6 4 2" xfId="1222" xr:uid="{00000000-0005-0000-0000-00008A040000}"/>
    <cellStyle name="쉼표 [0] 3 2 6 4 2 2" xfId="1223" xr:uid="{00000000-0005-0000-0000-00008B040000}"/>
    <cellStyle name="쉼표 [0] 3 2 6 4 3" xfId="1224" xr:uid="{00000000-0005-0000-0000-00008C040000}"/>
    <cellStyle name="쉼표 [0] 3 2 6 5" xfId="1225" xr:uid="{00000000-0005-0000-0000-00008D040000}"/>
    <cellStyle name="쉼표 [0] 3 2 6 5 2" xfId="1226" xr:uid="{00000000-0005-0000-0000-00008E040000}"/>
    <cellStyle name="쉼표 [0] 3 2 6 6" xfId="1227" xr:uid="{00000000-0005-0000-0000-00008F040000}"/>
    <cellStyle name="쉼표 [0] 3 2 7" xfId="1228" xr:uid="{00000000-0005-0000-0000-000090040000}"/>
    <cellStyle name="쉼표 [0] 3 2 7 2" xfId="1229" xr:uid="{00000000-0005-0000-0000-000091040000}"/>
    <cellStyle name="쉼표 [0] 3 2 7 2 2" xfId="1230" xr:uid="{00000000-0005-0000-0000-000092040000}"/>
    <cellStyle name="쉼표 [0] 3 2 7 2 2 2" xfId="1231" xr:uid="{00000000-0005-0000-0000-000093040000}"/>
    <cellStyle name="쉼표 [0] 3 2 7 2 2 2 2" xfId="1232" xr:uid="{00000000-0005-0000-0000-000094040000}"/>
    <cellStyle name="쉼표 [0] 3 2 7 2 2 3" xfId="1233" xr:uid="{00000000-0005-0000-0000-000095040000}"/>
    <cellStyle name="쉼표 [0] 3 2 7 2 3" xfId="1234" xr:uid="{00000000-0005-0000-0000-000096040000}"/>
    <cellStyle name="쉼표 [0] 3 2 7 2 3 2" xfId="1235" xr:uid="{00000000-0005-0000-0000-000097040000}"/>
    <cellStyle name="쉼표 [0] 3 2 7 2 4" xfId="1236" xr:uid="{00000000-0005-0000-0000-000098040000}"/>
    <cellStyle name="쉼표 [0] 3 2 7 3" xfId="1237" xr:uid="{00000000-0005-0000-0000-000099040000}"/>
    <cellStyle name="쉼표 [0] 3 2 7 3 2" xfId="1238" xr:uid="{00000000-0005-0000-0000-00009A040000}"/>
    <cellStyle name="쉼표 [0] 3 2 7 3 2 2" xfId="1239" xr:uid="{00000000-0005-0000-0000-00009B040000}"/>
    <cellStyle name="쉼표 [0] 3 2 7 3 3" xfId="1240" xr:uid="{00000000-0005-0000-0000-00009C040000}"/>
    <cellStyle name="쉼표 [0] 3 2 7 4" xfId="1241" xr:uid="{00000000-0005-0000-0000-00009D040000}"/>
    <cellStyle name="쉼표 [0] 3 2 7 4 2" xfId="1242" xr:uid="{00000000-0005-0000-0000-00009E040000}"/>
    <cellStyle name="쉼표 [0] 3 2 7 5" xfId="1243" xr:uid="{00000000-0005-0000-0000-00009F040000}"/>
    <cellStyle name="쉼표 [0] 3 2 8" xfId="1244" xr:uid="{00000000-0005-0000-0000-0000A0040000}"/>
    <cellStyle name="쉼표 [0] 3 2 8 2" xfId="1245" xr:uid="{00000000-0005-0000-0000-0000A1040000}"/>
    <cellStyle name="쉼표 [0] 3 2 8 2 2" xfId="1246" xr:uid="{00000000-0005-0000-0000-0000A2040000}"/>
    <cellStyle name="쉼표 [0] 3 2 8 2 2 2" xfId="1247" xr:uid="{00000000-0005-0000-0000-0000A3040000}"/>
    <cellStyle name="쉼표 [0] 3 2 8 2 3" xfId="1248" xr:uid="{00000000-0005-0000-0000-0000A4040000}"/>
    <cellStyle name="쉼표 [0] 3 2 8 3" xfId="1249" xr:uid="{00000000-0005-0000-0000-0000A5040000}"/>
    <cellStyle name="쉼표 [0] 3 2 8 3 2" xfId="1250" xr:uid="{00000000-0005-0000-0000-0000A6040000}"/>
    <cellStyle name="쉼표 [0] 3 2 8 4" xfId="1251" xr:uid="{00000000-0005-0000-0000-0000A7040000}"/>
    <cellStyle name="쉼표 [0] 3 2 9" xfId="1252" xr:uid="{00000000-0005-0000-0000-0000A8040000}"/>
    <cellStyle name="쉼표 [0] 3 2 9 2" xfId="1253" xr:uid="{00000000-0005-0000-0000-0000A9040000}"/>
    <cellStyle name="쉼표 [0] 3 2 9 2 2" xfId="1254" xr:uid="{00000000-0005-0000-0000-0000AA040000}"/>
    <cellStyle name="쉼표 [0] 3 2 9 3" xfId="1255" xr:uid="{00000000-0005-0000-0000-0000AB040000}"/>
    <cellStyle name="쉼표 [0] 3 20" xfId="1256" xr:uid="{00000000-0005-0000-0000-0000AC040000}"/>
    <cellStyle name="쉼표 [0] 3 21" xfId="1257" xr:uid="{00000000-0005-0000-0000-0000AD040000}"/>
    <cellStyle name="쉼표 [0] 3 22" xfId="1258" xr:uid="{00000000-0005-0000-0000-0000AE040000}"/>
    <cellStyle name="쉼표 [0] 3 23" xfId="1259" xr:uid="{00000000-0005-0000-0000-0000AF040000}"/>
    <cellStyle name="쉼표 [0] 3 24" xfId="1260" xr:uid="{00000000-0005-0000-0000-0000B0040000}"/>
    <cellStyle name="쉼표 [0] 3 25" xfId="1261" xr:uid="{00000000-0005-0000-0000-0000B1040000}"/>
    <cellStyle name="쉼표 [0] 3 26" xfId="1262" xr:uid="{00000000-0005-0000-0000-0000B2040000}"/>
    <cellStyle name="쉼표 [0] 3 27" xfId="1263" xr:uid="{00000000-0005-0000-0000-0000B3040000}"/>
    <cellStyle name="쉼표 [0] 3 28" xfId="1264" xr:uid="{00000000-0005-0000-0000-0000B4040000}"/>
    <cellStyle name="쉼표 [0] 3 29" xfId="1265" xr:uid="{00000000-0005-0000-0000-0000B5040000}"/>
    <cellStyle name="쉼표 [0] 3 3" xfId="1266" xr:uid="{00000000-0005-0000-0000-0000B6040000}"/>
    <cellStyle name="쉼표 [0] 3 3 10" xfId="1267" xr:uid="{00000000-0005-0000-0000-0000B7040000}"/>
    <cellStyle name="쉼표 [0] 3 3 11" xfId="1268" xr:uid="{00000000-0005-0000-0000-0000B8040000}"/>
    <cellStyle name="쉼표 [0] 3 3 2" xfId="1269" xr:uid="{00000000-0005-0000-0000-0000B9040000}"/>
    <cellStyle name="쉼표 [0] 3 3 2 10" xfId="1270" xr:uid="{00000000-0005-0000-0000-0000BA040000}"/>
    <cellStyle name="쉼표 [0] 3 3 2 2" xfId="1271" xr:uid="{00000000-0005-0000-0000-0000BB040000}"/>
    <cellStyle name="쉼표 [0] 3 3 2 2 2" xfId="1272" xr:uid="{00000000-0005-0000-0000-0000BC040000}"/>
    <cellStyle name="쉼표 [0] 3 3 2 2 2 2" xfId="1273" xr:uid="{00000000-0005-0000-0000-0000BD040000}"/>
    <cellStyle name="쉼표 [0] 3 3 2 2 2 2 2" xfId="1274" xr:uid="{00000000-0005-0000-0000-0000BE040000}"/>
    <cellStyle name="쉼표 [0] 3 3 2 2 2 2 2 2" xfId="1275" xr:uid="{00000000-0005-0000-0000-0000BF040000}"/>
    <cellStyle name="쉼표 [0] 3 3 2 2 2 2 2 2 2" xfId="1276" xr:uid="{00000000-0005-0000-0000-0000C0040000}"/>
    <cellStyle name="쉼표 [0] 3 3 2 2 2 2 2 2 2 2" xfId="1277" xr:uid="{00000000-0005-0000-0000-0000C1040000}"/>
    <cellStyle name="쉼표 [0] 3 3 2 2 2 2 2 2 2 2 2" xfId="1278" xr:uid="{00000000-0005-0000-0000-0000C2040000}"/>
    <cellStyle name="쉼표 [0] 3 3 2 2 2 2 2 2 2 3" xfId="1279" xr:uid="{00000000-0005-0000-0000-0000C3040000}"/>
    <cellStyle name="쉼표 [0] 3 3 2 2 2 2 2 2 3" xfId="1280" xr:uid="{00000000-0005-0000-0000-0000C4040000}"/>
    <cellStyle name="쉼표 [0] 3 3 2 2 2 2 2 2 3 2" xfId="1281" xr:uid="{00000000-0005-0000-0000-0000C5040000}"/>
    <cellStyle name="쉼표 [0] 3 3 2 2 2 2 2 2 4" xfId="1282" xr:uid="{00000000-0005-0000-0000-0000C6040000}"/>
    <cellStyle name="쉼표 [0] 3 3 2 2 2 2 2 3" xfId="1283" xr:uid="{00000000-0005-0000-0000-0000C7040000}"/>
    <cellStyle name="쉼표 [0] 3 3 2 2 2 2 2 3 2" xfId="1284" xr:uid="{00000000-0005-0000-0000-0000C8040000}"/>
    <cellStyle name="쉼표 [0] 3 3 2 2 2 2 2 3 2 2" xfId="1285" xr:uid="{00000000-0005-0000-0000-0000C9040000}"/>
    <cellStyle name="쉼표 [0] 3 3 2 2 2 2 2 3 3" xfId="1286" xr:uid="{00000000-0005-0000-0000-0000CA040000}"/>
    <cellStyle name="쉼표 [0] 3 3 2 2 2 2 2 4" xfId="1287" xr:uid="{00000000-0005-0000-0000-0000CB040000}"/>
    <cellStyle name="쉼표 [0] 3 3 2 2 2 2 2 4 2" xfId="1288" xr:uid="{00000000-0005-0000-0000-0000CC040000}"/>
    <cellStyle name="쉼표 [0] 3 3 2 2 2 2 2 5" xfId="1289" xr:uid="{00000000-0005-0000-0000-0000CD040000}"/>
    <cellStyle name="쉼표 [0] 3 3 2 2 2 2 3" xfId="1290" xr:uid="{00000000-0005-0000-0000-0000CE040000}"/>
    <cellStyle name="쉼표 [0] 3 3 2 2 2 2 3 2" xfId="1291" xr:uid="{00000000-0005-0000-0000-0000CF040000}"/>
    <cellStyle name="쉼표 [0] 3 3 2 2 2 2 3 2 2" xfId="1292" xr:uid="{00000000-0005-0000-0000-0000D0040000}"/>
    <cellStyle name="쉼표 [0] 3 3 2 2 2 2 3 2 2 2" xfId="1293" xr:uid="{00000000-0005-0000-0000-0000D1040000}"/>
    <cellStyle name="쉼표 [0] 3 3 2 2 2 2 3 2 3" xfId="1294" xr:uid="{00000000-0005-0000-0000-0000D2040000}"/>
    <cellStyle name="쉼표 [0] 3 3 2 2 2 2 3 3" xfId="1295" xr:uid="{00000000-0005-0000-0000-0000D3040000}"/>
    <cellStyle name="쉼표 [0] 3 3 2 2 2 2 3 3 2" xfId="1296" xr:uid="{00000000-0005-0000-0000-0000D4040000}"/>
    <cellStyle name="쉼표 [0] 3 3 2 2 2 2 3 4" xfId="1297" xr:uid="{00000000-0005-0000-0000-0000D5040000}"/>
    <cellStyle name="쉼표 [0] 3 3 2 2 2 2 4" xfId="1298" xr:uid="{00000000-0005-0000-0000-0000D6040000}"/>
    <cellStyle name="쉼표 [0] 3 3 2 2 2 2 4 2" xfId="1299" xr:uid="{00000000-0005-0000-0000-0000D7040000}"/>
    <cellStyle name="쉼표 [0] 3 3 2 2 2 2 4 2 2" xfId="1300" xr:uid="{00000000-0005-0000-0000-0000D8040000}"/>
    <cellStyle name="쉼표 [0] 3 3 2 2 2 2 4 3" xfId="1301" xr:uid="{00000000-0005-0000-0000-0000D9040000}"/>
    <cellStyle name="쉼표 [0] 3 3 2 2 2 2 5" xfId="1302" xr:uid="{00000000-0005-0000-0000-0000DA040000}"/>
    <cellStyle name="쉼표 [0] 3 3 2 2 2 2 5 2" xfId="1303" xr:uid="{00000000-0005-0000-0000-0000DB040000}"/>
    <cellStyle name="쉼표 [0] 3 3 2 2 2 2 6" xfId="1304" xr:uid="{00000000-0005-0000-0000-0000DC040000}"/>
    <cellStyle name="쉼표 [0] 3 3 2 2 2 3" xfId="1305" xr:uid="{00000000-0005-0000-0000-0000DD040000}"/>
    <cellStyle name="쉼표 [0] 3 3 2 2 2 3 2" xfId="1306" xr:uid="{00000000-0005-0000-0000-0000DE040000}"/>
    <cellStyle name="쉼표 [0] 3 3 2 2 2 3 2 2" xfId="1307" xr:uid="{00000000-0005-0000-0000-0000DF040000}"/>
    <cellStyle name="쉼표 [0] 3 3 2 2 2 3 2 2 2" xfId="1308" xr:uid="{00000000-0005-0000-0000-0000E0040000}"/>
    <cellStyle name="쉼표 [0] 3 3 2 2 2 3 2 2 2 2" xfId="1309" xr:uid="{00000000-0005-0000-0000-0000E1040000}"/>
    <cellStyle name="쉼표 [0] 3 3 2 2 2 3 2 2 3" xfId="1310" xr:uid="{00000000-0005-0000-0000-0000E2040000}"/>
    <cellStyle name="쉼표 [0] 3 3 2 2 2 3 2 3" xfId="1311" xr:uid="{00000000-0005-0000-0000-0000E3040000}"/>
    <cellStyle name="쉼표 [0] 3 3 2 2 2 3 2 3 2" xfId="1312" xr:uid="{00000000-0005-0000-0000-0000E4040000}"/>
    <cellStyle name="쉼표 [0] 3 3 2 2 2 3 2 4" xfId="1313" xr:uid="{00000000-0005-0000-0000-0000E5040000}"/>
    <cellStyle name="쉼표 [0] 3 3 2 2 2 3 3" xfId="1314" xr:uid="{00000000-0005-0000-0000-0000E6040000}"/>
    <cellStyle name="쉼표 [0] 3 3 2 2 2 3 3 2" xfId="1315" xr:uid="{00000000-0005-0000-0000-0000E7040000}"/>
    <cellStyle name="쉼표 [0] 3 3 2 2 2 3 3 2 2" xfId="1316" xr:uid="{00000000-0005-0000-0000-0000E8040000}"/>
    <cellStyle name="쉼표 [0] 3 3 2 2 2 3 3 3" xfId="1317" xr:uid="{00000000-0005-0000-0000-0000E9040000}"/>
    <cellStyle name="쉼표 [0] 3 3 2 2 2 3 4" xfId="1318" xr:uid="{00000000-0005-0000-0000-0000EA040000}"/>
    <cellStyle name="쉼표 [0] 3 3 2 2 2 3 4 2" xfId="1319" xr:uid="{00000000-0005-0000-0000-0000EB040000}"/>
    <cellStyle name="쉼표 [0] 3 3 2 2 2 3 5" xfId="1320" xr:uid="{00000000-0005-0000-0000-0000EC040000}"/>
    <cellStyle name="쉼표 [0] 3 3 2 2 2 4" xfId="1321" xr:uid="{00000000-0005-0000-0000-0000ED040000}"/>
    <cellStyle name="쉼표 [0] 3 3 2 2 2 4 2" xfId="1322" xr:uid="{00000000-0005-0000-0000-0000EE040000}"/>
    <cellStyle name="쉼표 [0] 3 3 2 2 2 4 2 2" xfId="1323" xr:uid="{00000000-0005-0000-0000-0000EF040000}"/>
    <cellStyle name="쉼표 [0] 3 3 2 2 2 4 2 2 2" xfId="1324" xr:uid="{00000000-0005-0000-0000-0000F0040000}"/>
    <cellStyle name="쉼표 [0] 3 3 2 2 2 4 2 3" xfId="1325" xr:uid="{00000000-0005-0000-0000-0000F1040000}"/>
    <cellStyle name="쉼표 [0] 3 3 2 2 2 4 3" xfId="1326" xr:uid="{00000000-0005-0000-0000-0000F2040000}"/>
    <cellStyle name="쉼표 [0] 3 3 2 2 2 4 3 2" xfId="1327" xr:uid="{00000000-0005-0000-0000-0000F3040000}"/>
    <cellStyle name="쉼표 [0] 3 3 2 2 2 4 4" xfId="1328" xr:uid="{00000000-0005-0000-0000-0000F4040000}"/>
    <cellStyle name="쉼표 [0] 3 3 2 2 2 5" xfId="1329" xr:uid="{00000000-0005-0000-0000-0000F5040000}"/>
    <cellStyle name="쉼표 [0] 3 3 2 2 2 5 2" xfId="1330" xr:uid="{00000000-0005-0000-0000-0000F6040000}"/>
    <cellStyle name="쉼표 [0] 3 3 2 2 2 5 2 2" xfId="1331" xr:uid="{00000000-0005-0000-0000-0000F7040000}"/>
    <cellStyle name="쉼표 [0] 3 3 2 2 2 5 3" xfId="1332" xr:uid="{00000000-0005-0000-0000-0000F8040000}"/>
    <cellStyle name="쉼표 [0] 3 3 2 2 2 6" xfId="1333" xr:uid="{00000000-0005-0000-0000-0000F9040000}"/>
    <cellStyle name="쉼표 [0] 3 3 2 2 2 6 2" xfId="1334" xr:uid="{00000000-0005-0000-0000-0000FA040000}"/>
    <cellStyle name="쉼표 [0] 3 3 2 2 2 7" xfId="1335" xr:uid="{00000000-0005-0000-0000-0000FB040000}"/>
    <cellStyle name="쉼표 [0] 3 3 2 2 2 8" xfId="1336" xr:uid="{00000000-0005-0000-0000-0000FC040000}"/>
    <cellStyle name="쉼표 [0] 3 3 2 2 3" xfId="1337" xr:uid="{00000000-0005-0000-0000-0000FD040000}"/>
    <cellStyle name="쉼표 [0] 3 3 2 2 3 2" xfId="1338" xr:uid="{00000000-0005-0000-0000-0000FE040000}"/>
    <cellStyle name="쉼표 [0] 3 3 2 2 3 2 2" xfId="1339" xr:uid="{00000000-0005-0000-0000-0000FF040000}"/>
    <cellStyle name="쉼표 [0] 3 3 2 2 3 2 2 2" xfId="1340" xr:uid="{00000000-0005-0000-0000-000000050000}"/>
    <cellStyle name="쉼표 [0] 3 3 2 2 3 2 2 2 2" xfId="1341" xr:uid="{00000000-0005-0000-0000-000001050000}"/>
    <cellStyle name="쉼표 [0] 3 3 2 2 3 2 2 2 2 2" xfId="1342" xr:uid="{00000000-0005-0000-0000-000002050000}"/>
    <cellStyle name="쉼표 [0] 3 3 2 2 3 2 2 2 3" xfId="1343" xr:uid="{00000000-0005-0000-0000-000003050000}"/>
    <cellStyle name="쉼표 [0] 3 3 2 2 3 2 2 3" xfId="1344" xr:uid="{00000000-0005-0000-0000-000004050000}"/>
    <cellStyle name="쉼표 [0] 3 3 2 2 3 2 2 3 2" xfId="1345" xr:uid="{00000000-0005-0000-0000-000005050000}"/>
    <cellStyle name="쉼표 [0] 3 3 2 2 3 2 2 4" xfId="1346" xr:uid="{00000000-0005-0000-0000-000006050000}"/>
    <cellStyle name="쉼표 [0] 3 3 2 2 3 2 3" xfId="1347" xr:uid="{00000000-0005-0000-0000-000007050000}"/>
    <cellStyle name="쉼표 [0] 3 3 2 2 3 2 3 2" xfId="1348" xr:uid="{00000000-0005-0000-0000-000008050000}"/>
    <cellStyle name="쉼표 [0] 3 3 2 2 3 2 3 2 2" xfId="1349" xr:uid="{00000000-0005-0000-0000-000009050000}"/>
    <cellStyle name="쉼표 [0] 3 3 2 2 3 2 3 3" xfId="1350" xr:uid="{00000000-0005-0000-0000-00000A050000}"/>
    <cellStyle name="쉼표 [0] 3 3 2 2 3 2 4" xfId="1351" xr:uid="{00000000-0005-0000-0000-00000B050000}"/>
    <cellStyle name="쉼표 [0] 3 3 2 2 3 2 4 2" xfId="1352" xr:uid="{00000000-0005-0000-0000-00000C050000}"/>
    <cellStyle name="쉼표 [0] 3 3 2 2 3 2 5" xfId="1353" xr:uid="{00000000-0005-0000-0000-00000D050000}"/>
    <cellStyle name="쉼표 [0] 3 3 2 2 3 3" xfId="1354" xr:uid="{00000000-0005-0000-0000-00000E050000}"/>
    <cellStyle name="쉼표 [0] 3 3 2 2 3 3 2" xfId="1355" xr:uid="{00000000-0005-0000-0000-00000F050000}"/>
    <cellStyle name="쉼표 [0] 3 3 2 2 3 3 2 2" xfId="1356" xr:uid="{00000000-0005-0000-0000-000010050000}"/>
    <cellStyle name="쉼표 [0] 3 3 2 2 3 3 2 2 2" xfId="1357" xr:uid="{00000000-0005-0000-0000-000011050000}"/>
    <cellStyle name="쉼표 [0] 3 3 2 2 3 3 2 3" xfId="1358" xr:uid="{00000000-0005-0000-0000-000012050000}"/>
    <cellStyle name="쉼표 [0] 3 3 2 2 3 3 3" xfId="1359" xr:uid="{00000000-0005-0000-0000-000013050000}"/>
    <cellStyle name="쉼표 [0] 3 3 2 2 3 3 3 2" xfId="1360" xr:uid="{00000000-0005-0000-0000-000014050000}"/>
    <cellStyle name="쉼표 [0] 3 3 2 2 3 3 4" xfId="1361" xr:uid="{00000000-0005-0000-0000-000015050000}"/>
    <cellStyle name="쉼표 [0] 3 3 2 2 3 4" xfId="1362" xr:uid="{00000000-0005-0000-0000-000016050000}"/>
    <cellStyle name="쉼표 [0] 3 3 2 2 3 4 2" xfId="1363" xr:uid="{00000000-0005-0000-0000-000017050000}"/>
    <cellStyle name="쉼표 [0] 3 3 2 2 3 4 2 2" xfId="1364" xr:uid="{00000000-0005-0000-0000-000018050000}"/>
    <cellStyle name="쉼표 [0] 3 3 2 2 3 4 3" xfId="1365" xr:uid="{00000000-0005-0000-0000-000019050000}"/>
    <cellStyle name="쉼표 [0] 3 3 2 2 3 5" xfId="1366" xr:uid="{00000000-0005-0000-0000-00001A050000}"/>
    <cellStyle name="쉼표 [0] 3 3 2 2 3 5 2" xfId="1367" xr:uid="{00000000-0005-0000-0000-00001B050000}"/>
    <cellStyle name="쉼표 [0] 3 3 2 2 3 6" xfId="1368" xr:uid="{00000000-0005-0000-0000-00001C050000}"/>
    <cellStyle name="쉼표 [0] 3 3 2 2 4" xfId="1369" xr:uid="{00000000-0005-0000-0000-00001D050000}"/>
    <cellStyle name="쉼표 [0] 3 3 2 2 4 2" xfId="1370" xr:uid="{00000000-0005-0000-0000-00001E050000}"/>
    <cellStyle name="쉼표 [0] 3 3 2 2 4 2 2" xfId="1371" xr:uid="{00000000-0005-0000-0000-00001F050000}"/>
    <cellStyle name="쉼표 [0] 3 3 2 2 4 2 2 2" xfId="1372" xr:uid="{00000000-0005-0000-0000-000020050000}"/>
    <cellStyle name="쉼표 [0] 3 3 2 2 4 2 2 2 2" xfId="1373" xr:uid="{00000000-0005-0000-0000-000021050000}"/>
    <cellStyle name="쉼표 [0] 3 3 2 2 4 2 2 3" xfId="1374" xr:uid="{00000000-0005-0000-0000-000022050000}"/>
    <cellStyle name="쉼표 [0] 3 3 2 2 4 2 3" xfId="1375" xr:uid="{00000000-0005-0000-0000-000023050000}"/>
    <cellStyle name="쉼표 [0] 3 3 2 2 4 2 3 2" xfId="1376" xr:uid="{00000000-0005-0000-0000-000024050000}"/>
    <cellStyle name="쉼표 [0] 3 3 2 2 4 2 4" xfId="1377" xr:uid="{00000000-0005-0000-0000-000025050000}"/>
    <cellStyle name="쉼표 [0] 3 3 2 2 4 3" xfId="1378" xr:uid="{00000000-0005-0000-0000-000026050000}"/>
    <cellStyle name="쉼표 [0] 3 3 2 2 4 3 2" xfId="1379" xr:uid="{00000000-0005-0000-0000-000027050000}"/>
    <cellStyle name="쉼표 [0] 3 3 2 2 4 3 2 2" xfId="1380" xr:uid="{00000000-0005-0000-0000-000028050000}"/>
    <cellStyle name="쉼표 [0] 3 3 2 2 4 3 3" xfId="1381" xr:uid="{00000000-0005-0000-0000-000029050000}"/>
    <cellStyle name="쉼표 [0] 3 3 2 2 4 4" xfId="1382" xr:uid="{00000000-0005-0000-0000-00002A050000}"/>
    <cellStyle name="쉼표 [0] 3 3 2 2 4 4 2" xfId="1383" xr:uid="{00000000-0005-0000-0000-00002B050000}"/>
    <cellStyle name="쉼표 [0] 3 3 2 2 4 5" xfId="1384" xr:uid="{00000000-0005-0000-0000-00002C050000}"/>
    <cellStyle name="쉼표 [0] 3 3 2 2 5" xfId="1385" xr:uid="{00000000-0005-0000-0000-00002D050000}"/>
    <cellStyle name="쉼표 [0] 3 3 2 2 5 2" xfId="1386" xr:uid="{00000000-0005-0000-0000-00002E050000}"/>
    <cellStyle name="쉼표 [0] 3 3 2 2 5 2 2" xfId="1387" xr:uid="{00000000-0005-0000-0000-00002F050000}"/>
    <cellStyle name="쉼표 [0] 3 3 2 2 5 2 2 2" xfId="1388" xr:uid="{00000000-0005-0000-0000-000030050000}"/>
    <cellStyle name="쉼표 [0] 3 3 2 2 5 2 3" xfId="1389" xr:uid="{00000000-0005-0000-0000-000031050000}"/>
    <cellStyle name="쉼표 [0] 3 3 2 2 5 3" xfId="1390" xr:uid="{00000000-0005-0000-0000-000032050000}"/>
    <cellStyle name="쉼표 [0] 3 3 2 2 5 3 2" xfId="1391" xr:uid="{00000000-0005-0000-0000-000033050000}"/>
    <cellStyle name="쉼표 [0] 3 3 2 2 5 4" xfId="1392" xr:uid="{00000000-0005-0000-0000-000034050000}"/>
    <cellStyle name="쉼표 [0] 3 3 2 2 6" xfId="1393" xr:uid="{00000000-0005-0000-0000-000035050000}"/>
    <cellStyle name="쉼표 [0] 3 3 2 2 6 2" xfId="1394" xr:uid="{00000000-0005-0000-0000-000036050000}"/>
    <cellStyle name="쉼표 [0] 3 3 2 2 6 2 2" xfId="1395" xr:uid="{00000000-0005-0000-0000-000037050000}"/>
    <cellStyle name="쉼표 [0] 3 3 2 2 6 3" xfId="1396" xr:uid="{00000000-0005-0000-0000-000038050000}"/>
    <cellStyle name="쉼표 [0] 3 3 2 2 7" xfId="1397" xr:uid="{00000000-0005-0000-0000-000039050000}"/>
    <cellStyle name="쉼표 [0] 3 3 2 2 7 2" xfId="1398" xr:uid="{00000000-0005-0000-0000-00003A050000}"/>
    <cellStyle name="쉼표 [0] 3 3 2 2 8" xfId="1399" xr:uid="{00000000-0005-0000-0000-00003B050000}"/>
    <cellStyle name="쉼표 [0] 3 3 2 2 9" xfId="1400" xr:uid="{00000000-0005-0000-0000-00003C050000}"/>
    <cellStyle name="쉼표 [0] 3 3 2 3" xfId="1401" xr:uid="{00000000-0005-0000-0000-00003D050000}"/>
    <cellStyle name="쉼표 [0] 3 3 2 3 2" xfId="1402" xr:uid="{00000000-0005-0000-0000-00003E050000}"/>
    <cellStyle name="쉼표 [0] 3 3 2 3 2 2" xfId="1403" xr:uid="{00000000-0005-0000-0000-00003F050000}"/>
    <cellStyle name="쉼표 [0] 3 3 2 3 2 2 2" xfId="1404" xr:uid="{00000000-0005-0000-0000-000040050000}"/>
    <cellStyle name="쉼표 [0] 3 3 2 3 2 2 2 2" xfId="1405" xr:uid="{00000000-0005-0000-0000-000041050000}"/>
    <cellStyle name="쉼표 [0] 3 3 2 3 2 2 2 2 2" xfId="1406" xr:uid="{00000000-0005-0000-0000-000042050000}"/>
    <cellStyle name="쉼표 [0] 3 3 2 3 2 2 2 2 2 2" xfId="1407" xr:uid="{00000000-0005-0000-0000-000043050000}"/>
    <cellStyle name="쉼표 [0] 3 3 2 3 2 2 2 2 3" xfId="1408" xr:uid="{00000000-0005-0000-0000-000044050000}"/>
    <cellStyle name="쉼표 [0] 3 3 2 3 2 2 2 3" xfId="1409" xr:uid="{00000000-0005-0000-0000-000045050000}"/>
    <cellStyle name="쉼표 [0] 3 3 2 3 2 2 2 3 2" xfId="1410" xr:uid="{00000000-0005-0000-0000-000046050000}"/>
    <cellStyle name="쉼표 [0] 3 3 2 3 2 2 2 4" xfId="1411" xr:uid="{00000000-0005-0000-0000-000047050000}"/>
    <cellStyle name="쉼표 [0] 3 3 2 3 2 2 3" xfId="1412" xr:uid="{00000000-0005-0000-0000-000048050000}"/>
    <cellStyle name="쉼표 [0] 3 3 2 3 2 2 3 2" xfId="1413" xr:uid="{00000000-0005-0000-0000-000049050000}"/>
    <cellStyle name="쉼표 [0] 3 3 2 3 2 2 3 2 2" xfId="1414" xr:uid="{00000000-0005-0000-0000-00004A050000}"/>
    <cellStyle name="쉼표 [0] 3 3 2 3 2 2 3 3" xfId="1415" xr:uid="{00000000-0005-0000-0000-00004B050000}"/>
    <cellStyle name="쉼표 [0] 3 3 2 3 2 2 4" xfId="1416" xr:uid="{00000000-0005-0000-0000-00004C050000}"/>
    <cellStyle name="쉼표 [0] 3 3 2 3 2 2 4 2" xfId="1417" xr:uid="{00000000-0005-0000-0000-00004D050000}"/>
    <cellStyle name="쉼표 [0] 3 3 2 3 2 2 5" xfId="1418" xr:uid="{00000000-0005-0000-0000-00004E050000}"/>
    <cellStyle name="쉼표 [0] 3 3 2 3 2 3" xfId="1419" xr:uid="{00000000-0005-0000-0000-00004F050000}"/>
    <cellStyle name="쉼표 [0] 3 3 2 3 2 3 2" xfId="1420" xr:uid="{00000000-0005-0000-0000-000050050000}"/>
    <cellStyle name="쉼표 [0] 3 3 2 3 2 3 2 2" xfId="1421" xr:uid="{00000000-0005-0000-0000-000051050000}"/>
    <cellStyle name="쉼표 [0] 3 3 2 3 2 3 2 2 2" xfId="1422" xr:uid="{00000000-0005-0000-0000-000052050000}"/>
    <cellStyle name="쉼표 [0] 3 3 2 3 2 3 2 3" xfId="1423" xr:uid="{00000000-0005-0000-0000-000053050000}"/>
    <cellStyle name="쉼표 [0] 3 3 2 3 2 3 3" xfId="1424" xr:uid="{00000000-0005-0000-0000-000054050000}"/>
    <cellStyle name="쉼표 [0] 3 3 2 3 2 3 3 2" xfId="1425" xr:uid="{00000000-0005-0000-0000-000055050000}"/>
    <cellStyle name="쉼표 [0] 3 3 2 3 2 3 4" xfId="1426" xr:uid="{00000000-0005-0000-0000-000056050000}"/>
    <cellStyle name="쉼표 [0] 3 3 2 3 2 4" xfId="1427" xr:uid="{00000000-0005-0000-0000-000057050000}"/>
    <cellStyle name="쉼표 [0] 3 3 2 3 2 4 2" xfId="1428" xr:uid="{00000000-0005-0000-0000-000058050000}"/>
    <cellStyle name="쉼표 [0] 3 3 2 3 2 4 2 2" xfId="1429" xr:uid="{00000000-0005-0000-0000-000059050000}"/>
    <cellStyle name="쉼표 [0] 3 3 2 3 2 4 3" xfId="1430" xr:uid="{00000000-0005-0000-0000-00005A050000}"/>
    <cellStyle name="쉼표 [0] 3 3 2 3 2 5" xfId="1431" xr:uid="{00000000-0005-0000-0000-00005B050000}"/>
    <cellStyle name="쉼표 [0] 3 3 2 3 2 5 2" xfId="1432" xr:uid="{00000000-0005-0000-0000-00005C050000}"/>
    <cellStyle name="쉼표 [0] 3 3 2 3 2 6" xfId="1433" xr:uid="{00000000-0005-0000-0000-00005D050000}"/>
    <cellStyle name="쉼표 [0] 3 3 2 3 3" xfId="1434" xr:uid="{00000000-0005-0000-0000-00005E050000}"/>
    <cellStyle name="쉼표 [0] 3 3 2 3 3 2" xfId="1435" xr:uid="{00000000-0005-0000-0000-00005F050000}"/>
    <cellStyle name="쉼표 [0] 3 3 2 3 3 2 2" xfId="1436" xr:uid="{00000000-0005-0000-0000-000060050000}"/>
    <cellStyle name="쉼표 [0] 3 3 2 3 3 2 2 2" xfId="1437" xr:uid="{00000000-0005-0000-0000-000061050000}"/>
    <cellStyle name="쉼표 [0] 3 3 2 3 3 2 2 2 2" xfId="1438" xr:uid="{00000000-0005-0000-0000-000062050000}"/>
    <cellStyle name="쉼표 [0] 3 3 2 3 3 2 2 3" xfId="1439" xr:uid="{00000000-0005-0000-0000-000063050000}"/>
    <cellStyle name="쉼표 [0] 3 3 2 3 3 2 3" xfId="1440" xr:uid="{00000000-0005-0000-0000-000064050000}"/>
    <cellStyle name="쉼표 [0] 3 3 2 3 3 2 3 2" xfId="1441" xr:uid="{00000000-0005-0000-0000-000065050000}"/>
    <cellStyle name="쉼표 [0] 3 3 2 3 3 2 4" xfId="1442" xr:uid="{00000000-0005-0000-0000-000066050000}"/>
    <cellStyle name="쉼표 [0] 3 3 2 3 3 3" xfId="1443" xr:uid="{00000000-0005-0000-0000-000067050000}"/>
    <cellStyle name="쉼표 [0] 3 3 2 3 3 3 2" xfId="1444" xr:uid="{00000000-0005-0000-0000-000068050000}"/>
    <cellStyle name="쉼표 [0] 3 3 2 3 3 3 2 2" xfId="1445" xr:uid="{00000000-0005-0000-0000-000069050000}"/>
    <cellStyle name="쉼표 [0] 3 3 2 3 3 3 3" xfId="1446" xr:uid="{00000000-0005-0000-0000-00006A050000}"/>
    <cellStyle name="쉼표 [0] 3 3 2 3 3 4" xfId="1447" xr:uid="{00000000-0005-0000-0000-00006B050000}"/>
    <cellStyle name="쉼표 [0] 3 3 2 3 3 4 2" xfId="1448" xr:uid="{00000000-0005-0000-0000-00006C050000}"/>
    <cellStyle name="쉼표 [0] 3 3 2 3 3 5" xfId="1449" xr:uid="{00000000-0005-0000-0000-00006D050000}"/>
    <cellStyle name="쉼표 [0] 3 3 2 3 4" xfId="1450" xr:uid="{00000000-0005-0000-0000-00006E050000}"/>
    <cellStyle name="쉼표 [0] 3 3 2 3 4 2" xfId="1451" xr:uid="{00000000-0005-0000-0000-00006F050000}"/>
    <cellStyle name="쉼표 [0] 3 3 2 3 4 2 2" xfId="1452" xr:uid="{00000000-0005-0000-0000-000070050000}"/>
    <cellStyle name="쉼표 [0] 3 3 2 3 4 2 2 2" xfId="1453" xr:uid="{00000000-0005-0000-0000-000071050000}"/>
    <cellStyle name="쉼표 [0] 3 3 2 3 4 2 3" xfId="1454" xr:uid="{00000000-0005-0000-0000-000072050000}"/>
    <cellStyle name="쉼표 [0] 3 3 2 3 4 3" xfId="1455" xr:uid="{00000000-0005-0000-0000-000073050000}"/>
    <cellStyle name="쉼표 [0] 3 3 2 3 4 3 2" xfId="1456" xr:uid="{00000000-0005-0000-0000-000074050000}"/>
    <cellStyle name="쉼표 [0] 3 3 2 3 4 4" xfId="1457" xr:uid="{00000000-0005-0000-0000-000075050000}"/>
    <cellStyle name="쉼표 [0] 3 3 2 3 5" xfId="1458" xr:uid="{00000000-0005-0000-0000-000076050000}"/>
    <cellStyle name="쉼표 [0] 3 3 2 3 5 2" xfId="1459" xr:uid="{00000000-0005-0000-0000-000077050000}"/>
    <cellStyle name="쉼표 [0] 3 3 2 3 5 2 2" xfId="1460" xr:uid="{00000000-0005-0000-0000-000078050000}"/>
    <cellStyle name="쉼표 [0] 3 3 2 3 5 3" xfId="1461" xr:uid="{00000000-0005-0000-0000-000079050000}"/>
    <cellStyle name="쉼표 [0] 3 3 2 3 6" xfId="1462" xr:uid="{00000000-0005-0000-0000-00007A050000}"/>
    <cellStyle name="쉼표 [0] 3 3 2 3 6 2" xfId="1463" xr:uid="{00000000-0005-0000-0000-00007B050000}"/>
    <cellStyle name="쉼표 [0] 3 3 2 3 7" xfId="1464" xr:uid="{00000000-0005-0000-0000-00007C050000}"/>
    <cellStyle name="쉼표 [0] 3 3 2 3 8" xfId="1465" xr:uid="{00000000-0005-0000-0000-00007D050000}"/>
    <cellStyle name="쉼표 [0] 3 3 2 4" xfId="1466" xr:uid="{00000000-0005-0000-0000-00007E050000}"/>
    <cellStyle name="쉼표 [0] 3 3 2 4 2" xfId="1467" xr:uid="{00000000-0005-0000-0000-00007F050000}"/>
    <cellStyle name="쉼표 [0] 3 3 2 4 2 2" xfId="1468" xr:uid="{00000000-0005-0000-0000-000080050000}"/>
    <cellStyle name="쉼표 [0] 3 3 2 4 2 2 2" xfId="1469" xr:uid="{00000000-0005-0000-0000-000081050000}"/>
    <cellStyle name="쉼표 [0] 3 3 2 4 2 2 2 2" xfId="1470" xr:uid="{00000000-0005-0000-0000-000082050000}"/>
    <cellStyle name="쉼표 [0] 3 3 2 4 2 2 2 2 2" xfId="1471" xr:uid="{00000000-0005-0000-0000-000083050000}"/>
    <cellStyle name="쉼표 [0] 3 3 2 4 2 2 2 3" xfId="1472" xr:uid="{00000000-0005-0000-0000-000084050000}"/>
    <cellStyle name="쉼표 [0] 3 3 2 4 2 2 3" xfId="1473" xr:uid="{00000000-0005-0000-0000-000085050000}"/>
    <cellStyle name="쉼표 [0] 3 3 2 4 2 2 3 2" xfId="1474" xr:uid="{00000000-0005-0000-0000-000086050000}"/>
    <cellStyle name="쉼표 [0] 3 3 2 4 2 2 4" xfId="1475" xr:uid="{00000000-0005-0000-0000-000087050000}"/>
    <cellStyle name="쉼표 [0] 3 3 2 4 2 3" xfId="1476" xr:uid="{00000000-0005-0000-0000-000088050000}"/>
    <cellStyle name="쉼표 [0] 3 3 2 4 2 3 2" xfId="1477" xr:uid="{00000000-0005-0000-0000-000089050000}"/>
    <cellStyle name="쉼표 [0] 3 3 2 4 2 3 2 2" xfId="1478" xr:uid="{00000000-0005-0000-0000-00008A050000}"/>
    <cellStyle name="쉼표 [0] 3 3 2 4 2 3 3" xfId="1479" xr:uid="{00000000-0005-0000-0000-00008B050000}"/>
    <cellStyle name="쉼표 [0] 3 3 2 4 2 4" xfId="1480" xr:uid="{00000000-0005-0000-0000-00008C050000}"/>
    <cellStyle name="쉼표 [0] 3 3 2 4 2 4 2" xfId="1481" xr:uid="{00000000-0005-0000-0000-00008D050000}"/>
    <cellStyle name="쉼표 [0] 3 3 2 4 2 5" xfId="1482" xr:uid="{00000000-0005-0000-0000-00008E050000}"/>
    <cellStyle name="쉼표 [0] 3 3 2 4 3" xfId="1483" xr:uid="{00000000-0005-0000-0000-00008F050000}"/>
    <cellStyle name="쉼표 [0] 3 3 2 4 3 2" xfId="1484" xr:uid="{00000000-0005-0000-0000-000090050000}"/>
    <cellStyle name="쉼표 [0] 3 3 2 4 3 2 2" xfId="1485" xr:uid="{00000000-0005-0000-0000-000091050000}"/>
    <cellStyle name="쉼표 [0] 3 3 2 4 3 2 2 2" xfId="1486" xr:uid="{00000000-0005-0000-0000-000092050000}"/>
    <cellStyle name="쉼표 [0] 3 3 2 4 3 2 3" xfId="1487" xr:uid="{00000000-0005-0000-0000-000093050000}"/>
    <cellStyle name="쉼표 [0] 3 3 2 4 3 3" xfId="1488" xr:uid="{00000000-0005-0000-0000-000094050000}"/>
    <cellStyle name="쉼표 [0] 3 3 2 4 3 3 2" xfId="1489" xr:uid="{00000000-0005-0000-0000-000095050000}"/>
    <cellStyle name="쉼표 [0] 3 3 2 4 3 4" xfId="1490" xr:uid="{00000000-0005-0000-0000-000096050000}"/>
    <cellStyle name="쉼표 [0] 3 3 2 4 4" xfId="1491" xr:uid="{00000000-0005-0000-0000-000097050000}"/>
    <cellStyle name="쉼표 [0] 3 3 2 4 4 2" xfId="1492" xr:uid="{00000000-0005-0000-0000-000098050000}"/>
    <cellStyle name="쉼표 [0] 3 3 2 4 4 2 2" xfId="1493" xr:uid="{00000000-0005-0000-0000-000099050000}"/>
    <cellStyle name="쉼표 [0] 3 3 2 4 4 3" xfId="1494" xr:uid="{00000000-0005-0000-0000-00009A050000}"/>
    <cellStyle name="쉼표 [0] 3 3 2 4 5" xfId="1495" xr:uid="{00000000-0005-0000-0000-00009B050000}"/>
    <cellStyle name="쉼표 [0] 3 3 2 4 5 2" xfId="1496" xr:uid="{00000000-0005-0000-0000-00009C050000}"/>
    <cellStyle name="쉼표 [0] 3 3 2 4 6" xfId="1497" xr:uid="{00000000-0005-0000-0000-00009D050000}"/>
    <cellStyle name="쉼표 [0] 3 3 2 5" xfId="1498" xr:uid="{00000000-0005-0000-0000-00009E050000}"/>
    <cellStyle name="쉼표 [0] 3 3 2 5 2" xfId="1499" xr:uid="{00000000-0005-0000-0000-00009F050000}"/>
    <cellStyle name="쉼표 [0] 3 3 2 5 2 2" xfId="1500" xr:uid="{00000000-0005-0000-0000-0000A0050000}"/>
    <cellStyle name="쉼표 [0] 3 3 2 5 2 2 2" xfId="1501" xr:uid="{00000000-0005-0000-0000-0000A1050000}"/>
    <cellStyle name="쉼표 [0] 3 3 2 5 2 2 2 2" xfId="1502" xr:uid="{00000000-0005-0000-0000-0000A2050000}"/>
    <cellStyle name="쉼표 [0] 3 3 2 5 2 2 3" xfId="1503" xr:uid="{00000000-0005-0000-0000-0000A3050000}"/>
    <cellStyle name="쉼표 [0] 3 3 2 5 2 3" xfId="1504" xr:uid="{00000000-0005-0000-0000-0000A4050000}"/>
    <cellStyle name="쉼표 [0] 3 3 2 5 2 3 2" xfId="1505" xr:uid="{00000000-0005-0000-0000-0000A5050000}"/>
    <cellStyle name="쉼표 [0] 3 3 2 5 2 4" xfId="1506" xr:uid="{00000000-0005-0000-0000-0000A6050000}"/>
    <cellStyle name="쉼표 [0] 3 3 2 5 3" xfId="1507" xr:uid="{00000000-0005-0000-0000-0000A7050000}"/>
    <cellStyle name="쉼표 [0] 3 3 2 5 3 2" xfId="1508" xr:uid="{00000000-0005-0000-0000-0000A8050000}"/>
    <cellStyle name="쉼표 [0] 3 3 2 5 3 2 2" xfId="1509" xr:uid="{00000000-0005-0000-0000-0000A9050000}"/>
    <cellStyle name="쉼표 [0] 3 3 2 5 3 3" xfId="1510" xr:uid="{00000000-0005-0000-0000-0000AA050000}"/>
    <cellStyle name="쉼표 [0] 3 3 2 5 4" xfId="1511" xr:uid="{00000000-0005-0000-0000-0000AB050000}"/>
    <cellStyle name="쉼표 [0] 3 3 2 5 4 2" xfId="1512" xr:uid="{00000000-0005-0000-0000-0000AC050000}"/>
    <cellStyle name="쉼표 [0] 3 3 2 5 5" xfId="1513" xr:uid="{00000000-0005-0000-0000-0000AD050000}"/>
    <cellStyle name="쉼표 [0] 3 3 2 6" xfId="1514" xr:uid="{00000000-0005-0000-0000-0000AE050000}"/>
    <cellStyle name="쉼표 [0] 3 3 2 6 2" xfId="1515" xr:uid="{00000000-0005-0000-0000-0000AF050000}"/>
    <cellStyle name="쉼표 [0] 3 3 2 6 2 2" xfId="1516" xr:uid="{00000000-0005-0000-0000-0000B0050000}"/>
    <cellStyle name="쉼표 [0] 3 3 2 6 2 2 2" xfId="1517" xr:uid="{00000000-0005-0000-0000-0000B1050000}"/>
    <cellStyle name="쉼표 [0] 3 3 2 6 2 3" xfId="1518" xr:uid="{00000000-0005-0000-0000-0000B2050000}"/>
    <cellStyle name="쉼표 [0] 3 3 2 6 3" xfId="1519" xr:uid="{00000000-0005-0000-0000-0000B3050000}"/>
    <cellStyle name="쉼표 [0] 3 3 2 6 3 2" xfId="1520" xr:uid="{00000000-0005-0000-0000-0000B4050000}"/>
    <cellStyle name="쉼표 [0] 3 3 2 6 4" xfId="1521" xr:uid="{00000000-0005-0000-0000-0000B5050000}"/>
    <cellStyle name="쉼표 [0] 3 3 2 7" xfId="1522" xr:uid="{00000000-0005-0000-0000-0000B6050000}"/>
    <cellStyle name="쉼표 [0] 3 3 2 7 2" xfId="1523" xr:uid="{00000000-0005-0000-0000-0000B7050000}"/>
    <cellStyle name="쉼표 [0] 3 3 2 7 2 2" xfId="1524" xr:uid="{00000000-0005-0000-0000-0000B8050000}"/>
    <cellStyle name="쉼표 [0] 3 3 2 7 3" xfId="1525" xr:uid="{00000000-0005-0000-0000-0000B9050000}"/>
    <cellStyle name="쉼표 [0] 3 3 2 8" xfId="1526" xr:uid="{00000000-0005-0000-0000-0000BA050000}"/>
    <cellStyle name="쉼표 [0] 3 3 2 8 2" xfId="1527" xr:uid="{00000000-0005-0000-0000-0000BB050000}"/>
    <cellStyle name="쉼표 [0] 3 3 2 9" xfId="1528" xr:uid="{00000000-0005-0000-0000-0000BC050000}"/>
    <cellStyle name="쉼표 [0] 3 3 3" xfId="1529" xr:uid="{00000000-0005-0000-0000-0000BD050000}"/>
    <cellStyle name="쉼표 [0] 3 3 3 2" xfId="1530" xr:uid="{00000000-0005-0000-0000-0000BE050000}"/>
    <cellStyle name="쉼표 [0] 3 3 3 2 2" xfId="1531" xr:uid="{00000000-0005-0000-0000-0000BF050000}"/>
    <cellStyle name="쉼표 [0] 3 3 3 2 2 2" xfId="1532" xr:uid="{00000000-0005-0000-0000-0000C0050000}"/>
    <cellStyle name="쉼표 [0] 3 3 3 2 2 2 2" xfId="1533" xr:uid="{00000000-0005-0000-0000-0000C1050000}"/>
    <cellStyle name="쉼표 [0] 3 3 3 2 2 2 2 2" xfId="1534" xr:uid="{00000000-0005-0000-0000-0000C2050000}"/>
    <cellStyle name="쉼표 [0] 3 3 3 2 2 2 2 2 2" xfId="1535" xr:uid="{00000000-0005-0000-0000-0000C3050000}"/>
    <cellStyle name="쉼표 [0] 3 3 3 2 2 2 2 2 2 2" xfId="1536" xr:uid="{00000000-0005-0000-0000-0000C4050000}"/>
    <cellStyle name="쉼표 [0] 3 3 3 2 2 2 2 2 3" xfId="1537" xr:uid="{00000000-0005-0000-0000-0000C5050000}"/>
    <cellStyle name="쉼표 [0] 3 3 3 2 2 2 2 3" xfId="1538" xr:uid="{00000000-0005-0000-0000-0000C6050000}"/>
    <cellStyle name="쉼표 [0] 3 3 3 2 2 2 2 3 2" xfId="1539" xr:uid="{00000000-0005-0000-0000-0000C7050000}"/>
    <cellStyle name="쉼표 [0] 3 3 3 2 2 2 2 4" xfId="1540" xr:uid="{00000000-0005-0000-0000-0000C8050000}"/>
    <cellStyle name="쉼표 [0] 3 3 3 2 2 2 3" xfId="1541" xr:uid="{00000000-0005-0000-0000-0000C9050000}"/>
    <cellStyle name="쉼표 [0] 3 3 3 2 2 2 3 2" xfId="1542" xr:uid="{00000000-0005-0000-0000-0000CA050000}"/>
    <cellStyle name="쉼표 [0] 3 3 3 2 2 2 3 2 2" xfId="1543" xr:uid="{00000000-0005-0000-0000-0000CB050000}"/>
    <cellStyle name="쉼표 [0] 3 3 3 2 2 2 3 3" xfId="1544" xr:uid="{00000000-0005-0000-0000-0000CC050000}"/>
    <cellStyle name="쉼표 [0] 3 3 3 2 2 2 4" xfId="1545" xr:uid="{00000000-0005-0000-0000-0000CD050000}"/>
    <cellStyle name="쉼표 [0] 3 3 3 2 2 2 4 2" xfId="1546" xr:uid="{00000000-0005-0000-0000-0000CE050000}"/>
    <cellStyle name="쉼표 [0] 3 3 3 2 2 2 5" xfId="1547" xr:uid="{00000000-0005-0000-0000-0000CF050000}"/>
    <cellStyle name="쉼표 [0] 3 3 3 2 2 3" xfId="1548" xr:uid="{00000000-0005-0000-0000-0000D0050000}"/>
    <cellStyle name="쉼표 [0] 3 3 3 2 2 3 2" xfId="1549" xr:uid="{00000000-0005-0000-0000-0000D1050000}"/>
    <cellStyle name="쉼표 [0] 3 3 3 2 2 3 2 2" xfId="1550" xr:uid="{00000000-0005-0000-0000-0000D2050000}"/>
    <cellStyle name="쉼표 [0] 3 3 3 2 2 3 2 2 2" xfId="1551" xr:uid="{00000000-0005-0000-0000-0000D3050000}"/>
    <cellStyle name="쉼표 [0] 3 3 3 2 2 3 2 3" xfId="1552" xr:uid="{00000000-0005-0000-0000-0000D4050000}"/>
    <cellStyle name="쉼표 [0] 3 3 3 2 2 3 3" xfId="1553" xr:uid="{00000000-0005-0000-0000-0000D5050000}"/>
    <cellStyle name="쉼표 [0] 3 3 3 2 2 3 3 2" xfId="1554" xr:uid="{00000000-0005-0000-0000-0000D6050000}"/>
    <cellStyle name="쉼표 [0] 3 3 3 2 2 3 4" xfId="1555" xr:uid="{00000000-0005-0000-0000-0000D7050000}"/>
    <cellStyle name="쉼표 [0] 3 3 3 2 2 4" xfId="1556" xr:uid="{00000000-0005-0000-0000-0000D8050000}"/>
    <cellStyle name="쉼표 [0] 3 3 3 2 2 4 2" xfId="1557" xr:uid="{00000000-0005-0000-0000-0000D9050000}"/>
    <cellStyle name="쉼표 [0] 3 3 3 2 2 4 2 2" xfId="1558" xr:uid="{00000000-0005-0000-0000-0000DA050000}"/>
    <cellStyle name="쉼표 [0] 3 3 3 2 2 4 3" xfId="1559" xr:uid="{00000000-0005-0000-0000-0000DB050000}"/>
    <cellStyle name="쉼표 [0] 3 3 3 2 2 5" xfId="1560" xr:uid="{00000000-0005-0000-0000-0000DC050000}"/>
    <cellStyle name="쉼표 [0] 3 3 3 2 2 5 2" xfId="1561" xr:uid="{00000000-0005-0000-0000-0000DD050000}"/>
    <cellStyle name="쉼표 [0] 3 3 3 2 2 6" xfId="1562" xr:uid="{00000000-0005-0000-0000-0000DE050000}"/>
    <cellStyle name="쉼표 [0] 3 3 3 2 3" xfId="1563" xr:uid="{00000000-0005-0000-0000-0000DF050000}"/>
    <cellStyle name="쉼표 [0] 3 3 3 2 3 2" xfId="1564" xr:uid="{00000000-0005-0000-0000-0000E0050000}"/>
    <cellStyle name="쉼표 [0] 3 3 3 2 3 2 2" xfId="1565" xr:uid="{00000000-0005-0000-0000-0000E1050000}"/>
    <cellStyle name="쉼표 [0] 3 3 3 2 3 2 2 2" xfId="1566" xr:uid="{00000000-0005-0000-0000-0000E2050000}"/>
    <cellStyle name="쉼표 [0] 3 3 3 2 3 2 2 2 2" xfId="1567" xr:uid="{00000000-0005-0000-0000-0000E3050000}"/>
    <cellStyle name="쉼표 [0] 3 3 3 2 3 2 2 3" xfId="1568" xr:uid="{00000000-0005-0000-0000-0000E4050000}"/>
    <cellStyle name="쉼표 [0] 3 3 3 2 3 2 3" xfId="1569" xr:uid="{00000000-0005-0000-0000-0000E5050000}"/>
    <cellStyle name="쉼표 [0] 3 3 3 2 3 2 3 2" xfId="1570" xr:uid="{00000000-0005-0000-0000-0000E6050000}"/>
    <cellStyle name="쉼표 [0] 3 3 3 2 3 2 4" xfId="1571" xr:uid="{00000000-0005-0000-0000-0000E7050000}"/>
    <cellStyle name="쉼표 [0] 3 3 3 2 3 3" xfId="1572" xr:uid="{00000000-0005-0000-0000-0000E8050000}"/>
    <cellStyle name="쉼표 [0] 3 3 3 2 3 3 2" xfId="1573" xr:uid="{00000000-0005-0000-0000-0000E9050000}"/>
    <cellStyle name="쉼표 [0] 3 3 3 2 3 3 2 2" xfId="1574" xr:uid="{00000000-0005-0000-0000-0000EA050000}"/>
    <cellStyle name="쉼표 [0] 3 3 3 2 3 3 3" xfId="1575" xr:uid="{00000000-0005-0000-0000-0000EB050000}"/>
    <cellStyle name="쉼표 [0] 3 3 3 2 3 4" xfId="1576" xr:uid="{00000000-0005-0000-0000-0000EC050000}"/>
    <cellStyle name="쉼표 [0] 3 3 3 2 3 4 2" xfId="1577" xr:uid="{00000000-0005-0000-0000-0000ED050000}"/>
    <cellStyle name="쉼표 [0] 3 3 3 2 3 5" xfId="1578" xr:uid="{00000000-0005-0000-0000-0000EE050000}"/>
    <cellStyle name="쉼표 [0] 3 3 3 2 4" xfId="1579" xr:uid="{00000000-0005-0000-0000-0000EF050000}"/>
    <cellStyle name="쉼표 [0] 3 3 3 2 4 2" xfId="1580" xr:uid="{00000000-0005-0000-0000-0000F0050000}"/>
    <cellStyle name="쉼표 [0] 3 3 3 2 4 2 2" xfId="1581" xr:uid="{00000000-0005-0000-0000-0000F1050000}"/>
    <cellStyle name="쉼표 [0] 3 3 3 2 4 2 2 2" xfId="1582" xr:uid="{00000000-0005-0000-0000-0000F2050000}"/>
    <cellStyle name="쉼표 [0] 3 3 3 2 4 2 3" xfId="1583" xr:uid="{00000000-0005-0000-0000-0000F3050000}"/>
    <cellStyle name="쉼표 [0] 3 3 3 2 4 3" xfId="1584" xr:uid="{00000000-0005-0000-0000-0000F4050000}"/>
    <cellStyle name="쉼표 [0] 3 3 3 2 4 3 2" xfId="1585" xr:uid="{00000000-0005-0000-0000-0000F5050000}"/>
    <cellStyle name="쉼표 [0] 3 3 3 2 4 4" xfId="1586" xr:uid="{00000000-0005-0000-0000-0000F6050000}"/>
    <cellStyle name="쉼표 [0] 3 3 3 2 5" xfId="1587" xr:uid="{00000000-0005-0000-0000-0000F7050000}"/>
    <cellStyle name="쉼표 [0] 3 3 3 2 5 2" xfId="1588" xr:uid="{00000000-0005-0000-0000-0000F8050000}"/>
    <cellStyle name="쉼표 [0] 3 3 3 2 5 2 2" xfId="1589" xr:uid="{00000000-0005-0000-0000-0000F9050000}"/>
    <cellStyle name="쉼표 [0] 3 3 3 2 5 3" xfId="1590" xr:uid="{00000000-0005-0000-0000-0000FA050000}"/>
    <cellStyle name="쉼표 [0] 3 3 3 2 6" xfId="1591" xr:uid="{00000000-0005-0000-0000-0000FB050000}"/>
    <cellStyle name="쉼표 [0] 3 3 3 2 6 2" xfId="1592" xr:uid="{00000000-0005-0000-0000-0000FC050000}"/>
    <cellStyle name="쉼표 [0] 3 3 3 2 7" xfId="1593" xr:uid="{00000000-0005-0000-0000-0000FD050000}"/>
    <cellStyle name="쉼표 [0] 3 3 3 2 8" xfId="1594" xr:uid="{00000000-0005-0000-0000-0000FE050000}"/>
    <cellStyle name="쉼표 [0] 3 3 3 3" xfId="1595" xr:uid="{00000000-0005-0000-0000-0000FF050000}"/>
    <cellStyle name="쉼표 [0] 3 3 3 3 2" xfId="1596" xr:uid="{00000000-0005-0000-0000-000000060000}"/>
    <cellStyle name="쉼표 [0] 3 3 3 3 2 2" xfId="1597" xr:uid="{00000000-0005-0000-0000-000001060000}"/>
    <cellStyle name="쉼표 [0] 3 3 3 3 2 2 2" xfId="1598" xr:uid="{00000000-0005-0000-0000-000002060000}"/>
    <cellStyle name="쉼표 [0] 3 3 3 3 2 2 2 2" xfId="1599" xr:uid="{00000000-0005-0000-0000-000003060000}"/>
    <cellStyle name="쉼표 [0] 3 3 3 3 2 2 2 2 2" xfId="1600" xr:uid="{00000000-0005-0000-0000-000004060000}"/>
    <cellStyle name="쉼표 [0] 3 3 3 3 2 2 2 3" xfId="1601" xr:uid="{00000000-0005-0000-0000-000005060000}"/>
    <cellStyle name="쉼표 [0] 3 3 3 3 2 2 3" xfId="1602" xr:uid="{00000000-0005-0000-0000-000006060000}"/>
    <cellStyle name="쉼표 [0] 3 3 3 3 2 2 3 2" xfId="1603" xr:uid="{00000000-0005-0000-0000-000007060000}"/>
    <cellStyle name="쉼표 [0] 3 3 3 3 2 2 4" xfId="1604" xr:uid="{00000000-0005-0000-0000-000008060000}"/>
    <cellStyle name="쉼표 [0] 3 3 3 3 2 3" xfId="1605" xr:uid="{00000000-0005-0000-0000-000009060000}"/>
    <cellStyle name="쉼표 [0] 3 3 3 3 2 3 2" xfId="1606" xr:uid="{00000000-0005-0000-0000-00000A060000}"/>
    <cellStyle name="쉼표 [0] 3 3 3 3 2 3 2 2" xfId="1607" xr:uid="{00000000-0005-0000-0000-00000B060000}"/>
    <cellStyle name="쉼표 [0] 3 3 3 3 2 3 3" xfId="1608" xr:uid="{00000000-0005-0000-0000-00000C060000}"/>
    <cellStyle name="쉼표 [0] 3 3 3 3 2 4" xfId="1609" xr:uid="{00000000-0005-0000-0000-00000D060000}"/>
    <cellStyle name="쉼표 [0] 3 3 3 3 2 4 2" xfId="1610" xr:uid="{00000000-0005-0000-0000-00000E060000}"/>
    <cellStyle name="쉼표 [0] 3 3 3 3 2 5" xfId="1611" xr:uid="{00000000-0005-0000-0000-00000F060000}"/>
    <cellStyle name="쉼표 [0] 3 3 3 3 3" xfId="1612" xr:uid="{00000000-0005-0000-0000-000010060000}"/>
    <cellStyle name="쉼표 [0] 3 3 3 3 3 2" xfId="1613" xr:uid="{00000000-0005-0000-0000-000011060000}"/>
    <cellStyle name="쉼표 [0] 3 3 3 3 3 2 2" xfId="1614" xr:uid="{00000000-0005-0000-0000-000012060000}"/>
    <cellStyle name="쉼표 [0] 3 3 3 3 3 2 2 2" xfId="1615" xr:uid="{00000000-0005-0000-0000-000013060000}"/>
    <cellStyle name="쉼표 [0] 3 3 3 3 3 2 3" xfId="1616" xr:uid="{00000000-0005-0000-0000-000014060000}"/>
    <cellStyle name="쉼표 [0] 3 3 3 3 3 3" xfId="1617" xr:uid="{00000000-0005-0000-0000-000015060000}"/>
    <cellStyle name="쉼표 [0] 3 3 3 3 3 3 2" xfId="1618" xr:uid="{00000000-0005-0000-0000-000016060000}"/>
    <cellStyle name="쉼표 [0] 3 3 3 3 3 4" xfId="1619" xr:uid="{00000000-0005-0000-0000-000017060000}"/>
    <cellStyle name="쉼표 [0] 3 3 3 3 4" xfId="1620" xr:uid="{00000000-0005-0000-0000-000018060000}"/>
    <cellStyle name="쉼표 [0] 3 3 3 3 4 2" xfId="1621" xr:uid="{00000000-0005-0000-0000-000019060000}"/>
    <cellStyle name="쉼표 [0] 3 3 3 3 4 2 2" xfId="1622" xr:uid="{00000000-0005-0000-0000-00001A060000}"/>
    <cellStyle name="쉼표 [0] 3 3 3 3 4 3" xfId="1623" xr:uid="{00000000-0005-0000-0000-00001B060000}"/>
    <cellStyle name="쉼표 [0] 3 3 3 3 5" xfId="1624" xr:uid="{00000000-0005-0000-0000-00001C060000}"/>
    <cellStyle name="쉼표 [0] 3 3 3 3 5 2" xfId="1625" xr:uid="{00000000-0005-0000-0000-00001D060000}"/>
    <cellStyle name="쉼표 [0] 3 3 3 3 6" xfId="1626" xr:uid="{00000000-0005-0000-0000-00001E060000}"/>
    <cellStyle name="쉼표 [0] 3 3 3 4" xfId="1627" xr:uid="{00000000-0005-0000-0000-00001F060000}"/>
    <cellStyle name="쉼표 [0] 3 3 3 4 2" xfId="1628" xr:uid="{00000000-0005-0000-0000-000020060000}"/>
    <cellStyle name="쉼표 [0] 3 3 3 4 2 2" xfId="1629" xr:uid="{00000000-0005-0000-0000-000021060000}"/>
    <cellStyle name="쉼표 [0] 3 3 3 4 2 2 2" xfId="1630" xr:uid="{00000000-0005-0000-0000-000022060000}"/>
    <cellStyle name="쉼표 [0] 3 3 3 4 2 2 2 2" xfId="1631" xr:uid="{00000000-0005-0000-0000-000023060000}"/>
    <cellStyle name="쉼표 [0] 3 3 3 4 2 2 3" xfId="1632" xr:uid="{00000000-0005-0000-0000-000024060000}"/>
    <cellStyle name="쉼표 [0] 3 3 3 4 2 3" xfId="1633" xr:uid="{00000000-0005-0000-0000-000025060000}"/>
    <cellStyle name="쉼표 [0] 3 3 3 4 2 3 2" xfId="1634" xr:uid="{00000000-0005-0000-0000-000026060000}"/>
    <cellStyle name="쉼표 [0] 3 3 3 4 2 4" xfId="1635" xr:uid="{00000000-0005-0000-0000-000027060000}"/>
    <cellStyle name="쉼표 [0] 3 3 3 4 3" xfId="1636" xr:uid="{00000000-0005-0000-0000-000028060000}"/>
    <cellStyle name="쉼표 [0] 3 3 3 4 3 2" xfId="1637" xr:uid="{00000000-0005-0000-0000-000029060000}"/>
    <cellStyle name="쉼표 [0] 3 3 3 4 3 2 2" xfId="1638" xr:uid="{00000000-0005-0000-0000-00002A060000}"/>
    <cellStyle name="쉼표 [0] 3 3 3 4 3 3" xfId="1639" xr:uid="{00000000-0005-0000-0000-00002B060000}"/>
    <cellStyle name="쉼표 [0] 3 3 3 4 4" xfId="1640" xr:uid="{00000000-0005-0000-0000-00002C060000}"/>
    <cellStyle name="쉼표 [0] 3 3 3 4 4 2" xfId="1641" xr:uid="{00000000-0005-0000-0000-00002D060000}"/>
    <cellStyle name="쉼표 [0] 3 3 3 4 5" xfId="1642" xr:uid="{00000000-0005-0000-0000-00002E060000}"/>
    <cellStyle name="쉼표 [0] 3 3 3 5" xfId="1643" xr:uid="{00000000-0005-0000-0000-00002F060000}"/>
    <cellStyle name="쉼표 [0] 3 3 3 5 2" xfId="1644" xr:uid="{00000000-0005-0000-0000-000030060000}"/>
    <cellStyle name="쉼표 [0] 3 3 3 5 2 2" xfId="1645" xr:uid="{00000000-0005-0000-0000-000031060000}"/>
    <cellStyle name="쉼표 [0] 3 3 3 5 2 2 2" xfId="1646" xr:uid="{00000000-0005-0000-0000-000032060000}"/>
    <cellStyle name="쉼표 [0] 3 3 3 5 2 3" xfId="1647" xr:uid="{00000000-0005-0000-0000-000033060000}"/>
    <cellStyle name="쉼표 [0] 3 3 3 5 3" xfId="1648" xr:uid="{00000000-0005-0000-0000-000034060000}"/>
    <cellStyle name="쉼표 [0] 3 3 3 5 3 2" xfId="1649" xr:uid="{00000000-0005-0000-0000-000035060000}"/>
    <cellStyle name="쉼표 [0] 3 3 3 5 4" xfId="1650" xr:uid="{00000000-0005-0000-0000-000036060000}"/>
    <cellStyle name="쉼표 [0] 3 3 3 6" xfId="1651" xr:uid="{00000000-0005-0000-0000-000037060000}"/>
    <cellStyle name="쉼표 [0] 3 3 3 6 2" xfId="1652" xr:uid="{00000000-0005-0000-0000-000038060000}"/>
    <cellStyle name="쉼표 [0] 3 3 3 6 2 2" xfId="1653" xr:uid="{00000000-0005-0000-0000-000039060000}"/>
    <cellStyle name="쉼표 [0] 3 3 3 6 3" xfId="1654" xr:uid="{00000000-0005-0000-0000-00003A060000}"/>
    <cellStyle name="쉼표 [0] 3 3 3 7" xfId="1655" xr:uid="{00000000-0005-0000-0000-00003B060000}"/>
    <cellStyle name="쉼표 [0] 3 3 3 7 2" xfId="1656" xr:uid="{00000000-0005-0000-0000-00003C060000}"/>
    <cellStyle name="쉼표 [0] 3 3 3 8" xfId="1657" xr:uid="{00000000-0005-0000-0000-00003D060000}"/>
    <cellStyle name="쉼표 [0] 3 3 3 9" xfId="1658" xr:uid="{00000000-0005-0000-0000-00003E060000}"/>
    <cellStyle name="쉼표 [0] 3 3 4" xfId="1659" xr:uid="{00000000-0005-0000-0000-00003F060000}"/>
    <cellStyle name="쉼표 [0] 3 3 4 2" xfId="1660" xr:uid="{00000000-0005-0000-0000-000040060000}"/>
    <cellStyle name="쉼표 [0] 3 3 4 2 2" xfId="1661" xr:uid="{00000000-0005-0000-0000-000041060000}"/>
    <cellStyle name="쉼표 [0] 3 3 4 2 2 2" xfId="1662" xr:uid="{00000000-0005-0000-0000-000042060000}"/>
    <cellStyle name="쉼표 [0] 3 3 4 2 2 2 2" xfId="1663" xr:uid="{00000000-0005-0000-0000-000043060000}"/>
    <cellStyle name="쉼표 [0] 3 3 4 2 2 2 2 2" xfId="1664" xr:uid="{00000000-0005-0000-0000-000044060000}"/>
    <cellStyle name="쉼표 [0] 3 3 4 2 2 2 2 2 2" xfId="1665" xr:uid="{00000000-0005-0000-0000-000045060000}"/>
    <cellStyle name="쉼표 [0] 3 3 4 2 2 2 2 3" xfId="1666" xr:uid="{00000000-0005-0000-0000-000046060000}"/>
    <cellStyle name="쉼표 [0] 3 3 4 2 2 2 3" xfId="1667" xr:uid="{00000000-0005-0000-0000-000047060000}"/>
    <cellStyle name="쉼표 [0] 3 3 4 2 2 2 3 2" xfId="1668" xr:uid="{00000000-0005-0000-0000-000048060000}"/>
    <cellStyle name="쉼표 [0] 3 3 4 2 2 2 4" xfId="1669" xr:uid="{00000000-0005-0000-0000-000049060000}"/>
    <cellStyle name="쉼표 [0] 3 3 4 2 2 3" xfId="1670" xr:uid="{00000000-0005-0000-0000-00004A060000}"/>
    <cellStyle name="쉼표 [0] 3 3 4 2 2 3 2" xfId="1671" xr:uid="{00000000-0005-0000-0000-00004B060000}"/>
    <cellStyle name="쉼표 [0] 3 3 4 2 2 3 2 2" xfId="1672" xr:uid="{00000000-0005-0000-0000-00004C060000}"/>
    <cellStyle name="쉼표 [0] 3 3 4 2 2 3 3" xfId="1673" xr:uid="{00000000-0005-0000-0000-00004D060000}"/>
    <cellStyle name="쉼표 [0] 3 3 4 2 2 4" xfId="1674" xr:uid="{00000000-0005-0000-0000-00004E060000}"/>
    <cellStyle name="쉼표 [0] 3 3 4 2 2 4 2" xfId="1675" xr:uid="{00000000-0005-0000-0000-00004F060000}"/>
    <cellStyle name="쉼표 [0] 3 3 4 2 2 5" xfId="1676" xr:uid="{00000000-0005-0000-0000-000050060000}"/>
    <cellStyle name="쉼표 [0] 3 3 4 2 3" xfId="1677" xr:uid="{00000000-0005-0000-0000-000051060000}"/>
    <cellStyle name="쉼표 [0] 3 3 4 2 3 2" xfId="1678" xr:uid="{00000000-0005-0000-0000-000052060000}"/>
    <cellStyle name="쉼표 [0] 3 3 4 2 3 2 2" xfId="1679" xr:uid="{00000000-0005-0000-0000-000053060000}"/>
    <cellStyle name="쉼표 [0] 3 3 4 2 3 2 2 2" xfId="1680" xr:uid="{00000000-0005-0000-0000-000054060000}"/>
    <cellStyle name="쉼표 [0] 3 3 4 2 3 2 3" xfId="1681" xr:uid="{00000000-0005-0000-0000-000055060000}"/>
    <cellStyle name="쉼표 [0] 3 3 4 2 3 3" xfId="1682" xr:uid="{00000000-0005-0000-0000-000056060000}"/>
    <cellStyle name="쉼표 [0] 3 3 4 2 3 3 2" xfId="1683" xr:uid="{00000000-0005-0000-0000-000057060000}"/>
    <cellStyle name="쉼표 [0] 3 3 4 2 3 4" xfId="1684" xr:uid="{00000000-0005-0000-0000-000058060000}"/>
    <cellStyle name="쉼표 [0] 3 3 4 2 4" xfId="1685" xr:uid="{00000000-0005-0000-0000-000059060000}"/>
    <cellStyle name="쉼표 [0] 3 3 4 2 4 2" xfId="1686" xr:uid="{00000000-0005-0000-0000-00005A060000}"/>
    <cellStyle name="쉼표 [0] 3 3 4 2 4 2 2" xfId="1687" xr:uid="{00000000-0005-0000-0000-00005B060000}"/>
    <cellStyle name="쉼표 [0] 3 3 4 2 4 3" xfId="1688" xr:uid="{00000000-0005-0000-0000-00005C060000}"/>
    <cellStyle name="쉼표 [0] 3 3 4 2 5" xfId="1689" xr:uid="{00000000-0005-0000-0000-00005D060000}"/>
    <cellStyle name="쉼표 [0] 3 3 4 2 5 2" xfId="1690" xr:uid="{00000000-0005-0000-0000-00005E060000}"/>
    <cellStyle name="쉼표 [0] 3 3 4 2 6" xfId="1691" xr:uid="{00000000-0005-0000-0000-00005F060000}"/>
    <cellStyle name="쉼표 [0] 3 3 4 3" xfId="1692" xr:uid="{00000000-0005-0000-0000-000060060000}"/>
    <cellStyle name="쉼표 [0] 3 3 4 3 2" xfId="1693" xr:uid="{00000000-0005-0000-0000-000061060000}"/>
    <cellStyle name="쉼표 [0] 3 3 4 3 2 2" xfId="1694" xr:uid="{00000000-0005-0000-0000-000062060000}"/>
    <cellStyle name="쉼표 [0] 3 3 4 3 2 2 2" xfId="1695" xr:uid="{00000000-0005-0000-0000-000063060000}"/>
    <cellStyle name="쉼표 [0] 3 3 4 3 2 2 2 2" xfId="1696" xr:uid="{00000000-0005-0000-0000-000064060000}"/>
    <cellStyle name="쉼표 [0] 3 3 4 3 2 2 3" xfId="1697" xr:uid="{00000000-0005-0000-0000-000065060000}"/>
    <cellStyle name="쉼표 [0] 3 3 4 3 2 3" xfId="1698" xr:uid="{00000000-0005-0000-0000-000066060000}"/>
    <cellStyle name="쉼표 [0] 3 3 4 3 2 3 2" xfId="1699" xr:uid="{00000000-0005-0000-0000-000067060000}"/>
    <cellStyle name="쉼표 [0] 3 3 4 3 2 4" xfId="1700" xr:uid="{00000000-0005-0000-0000-000068060000}"/>
    <cellStyle name="쉼표 [0] 3 3 4 3 3" xfId="1701" xr:uid="{00000000-0005-0000-0000-000069060000}"/>
    <cellStyle name="쉼표 [0] 3 3 4 3 3 2" xfId="1702" xr:uid="{00000000-0005-0000-0000-00006A060000}"/>
    <cellStyle name="쉼표 [0] 3 3 4 3 3 2 2" xfId="1703" xr:uid="{00000000-0005-0000-0000-00006B060000}"/>
    <cellStyle name="쉼표 [0] 3 3 4 3 3 3" xfId="1704" xr:uid="{00000000-0005-0000-0000-00006C060000}"/>
    <cellStyle name="쉼표 [0] 3 3 4 3 4" xfId="1705" xr:uid="{00000000-0005-0000-0000-00006D060000}"/>
    <cellStyle name="쉼표 [0] 3 3 4 3 4 2" xfId="1706" xr:uid="{00000000-0005-0000-0000-00006E060000}"/>
    <cellStyle name="쉼표 [0] 3 3 4 3 5" xfId="1707" xr:uid="{00000000-0005-0000-0000-00006F060000}"/>
    <cellStyle name="쉼표 [0] 3 3 4 4" xfId="1708" xr:uid="{00000000-0005-0000-0000-000070060000}"/>
    <cellStyle name="쉼표 [0] 3 3 4 4 2" xfId="1709" xr:uid="{00000000-0005-0000-0000-000071060000}"/>
    <cellStyle name="쉼표 [0] 3 3 4 4 2 2" xfId="1710" xr:uid="{00000000-0005-0000-0000-000072060000}"/>
    <cellStyle name="쉼표 [0] 3 3 4 4 2 2 2" xfId="1711" xr:uid="{00000000-0005-0000-0000-000073060000}"/>
    <cellStyle name="쉼표 [0] 3 3 4 4 2 3" xfId="1712" xr:uid="{00000000-0005-0000-0000-000074060000}"/>
    <cellStyle name="쉼표 [0] 3 3 4 4 3" xfId="1713" xr:uid="{00000000-0005-0000-0000-000075060000}"/>
    <cellStyle name="쉼표 [0] 3 3 4 4 3 2" xfId="1714" xr:uid="{00000000-0005-0000-0000-000076060000}"/>
    <cellStyle name="쉼표 [0] 3 3 4 4 4" xfId="1715" xr:uid="{00000000-0005-0000-0000-000077060000}"/>
    <cellStyle name="쉼표 [0] 3 3 4 5" xfId="1716" xr:uid="{00000000-0005-0000-0000-000078060000}"/>
    <cellStyle name="쉼표 [0] 3 3 4 5 2" xfId="1717" xr:uid="{00000000-0005-0000-0000-000079060000}"/>
    <cellStyle name="쉼표 [0] 3 3 4 5 2 2" xfId="1718" xr:uid="{00000000-0005-0000-0000-00007A060000}"/>
    <cellStyle name="쉼표 [0] 3 3 4 5 3" xfId="1719" xr:uid="{00000000-0005-0000-0000-00007B060000}"/>
    <cellStyle name="쉼표 [0] 3 3 4 6" xfId="1720" xr:uid="{00000000-0005-0000-0000-00007C060000}"/>
    <cellStyle name="쉼표 [0] 3 3 4 6 2" xfId="1721" xr:uid="{00000000-0005-0000-0000-00007D060000}"/>
    <cellStyle name="쉼표 [0] 3 3 4 7" xfId="1722" xr:uid="{00000000-0005-0000-0000-00007E060000}"/>
    <cellStyle name="쉼표 [0] 3 3 4 8" xfId="1723" xr:uid="{00000000-0005-0000-0000-00007F060000}"/>
    <cellStyle name="쉼표 [0] 3 3 5" xfId="1724" xr:uid="{00000000-0005-0000-0000-000080060000}"/>
    <cellStyle name="쉼표 [0] 3 3 5 2" xfId="1725" xr:uid="{00000000-0005-0000-0000-000081060000}"/>
    <cellStyle name="쉼표 [0] 3 3 5 2 2" xfId="1726" xr:uid="{00000000-0005-0000-0000-000082060000}"/>
    <cellStyle name="쉼표 [0] 3 3 5 2 2 2" xfId="1727" xr:uid="{00000000-0005-0000-0000-000083060000}"/>
    <cellStyle name="쉼표 [0] 3 3 5 2 2 2 2" xfId="1728" xr:uid="{00000000-0005-0000-0000-000084060000}"/>
    <cellStyle name="쉼표 [0] 3 3 5 2 2 2 2 2" xfId="1729" xr:uid="{00000000-0005-0000-0000-000085060000}"/>
    <cellStyle name="쉼표 [0] 3 3 5 2 2 2 3" xfId="1730" xr:uid="{00000000-0005-0000-0000-000086060000}"/>
    <cellStyle name="쉼표 [0] 3 3 5 2 2 3" xfId="1731" xr:uid="{00000000-0005-0000-0000-000087060000}"/>
    <cellStyle name="쉼표 [0] 3 3 5 2 2 3 2" xfId="1732" xr:uid="{00000000-0005-0000-0000-000088060000}"/>
    <cellStyle name="쉼표 [0] 3 3 5 2 2 4" xfId="1733" xr:uid="{00000000-0005-0000-0000-000089060000}"/>
    <cellStyle name="쉼표 [0] 3 3 5 2 3" xfId="1734" xr:uid="{00000000-0005-0000-0000-00008A060000}"/>
    <cellStyle name="쉼표 [0] 3 3 5 2 3 2" xfId="1735" xr:uid="{00000000-0005-0000-0000-00008B060000}"/>
    <cellStyle name="쉼표 [0] 3 3 5 2 3 2 2" xfId="1736" xr:uid="{00000000-0005-0000-0000-00008C060000}"/>
    <cellStyle name="쉼표 [0] 3 3 5 2 3 3" xfId="1737" xr:uid="{00000000-0005-0000-0000-00008D060000}"/>
    <cellStyle name="쉼표 [0] 3 3 5 2 4" xfId="1738" xr:uid="{00000000-0005-0000-0000-00008E060000}"/>
    <cellStyle name="쉼표 [0] 3 3 5 2 4 2" xfId="1739" xr:uid="{00000000-0005-0000-0000-00008F060000}"/>
    <cellStyle name="쉼표 [0] 3 3 5 2 5" xfId="1740" xr:uid="{00000000-0005-0000-0000-000090060000}"/>
    <cellStyle name="쉼표 [0] 3 3 5 3" xfId="1741" xr:uid="{00000000-0005-0000-0000-000091060000}"/>
    <cellStyle name="쉼표 [0] 3 3 5 3 2" xfId="1742" xr:uid="{00000000-0005-0000-0000-000092060000}"/>
    <cellStyle name="쉼표 [0] 3 3 5 3 2 2" xfId="1743" xr:uid="{00000000-0005-0000-0000-000093060000}"/>
    <cellStyle name="쉼표 [0] 3 3 5 3 2 2 2" xfId="1744" xr:uid="{00000000-0005-0000-0000-000094060000}"/>
    <cellStyle name="쉼표 [0] 3 3 5 3 2 3" xfId="1745" xr:uid="{00000000-0005-0000-0000-000095060000}"/>
    <cellStyle name="쉼표 [0] 3 3 5 3 3" xfId="1746" xr:uid="{00000000-0005-0000-0000-000096060000}"/>
    <cellStyle name="쉼표 [0] 3 3 5 3 3 2" xfId="1747" xr:uid="{00000000-0005-0000-0000-000097060000}"/>
    <cellStyle name="쉼표 [0] 3 3 5 3 4" xfId="1748" xr:uid="{00000000-0005-0000-0000-000098060000}"/>
    <cellStyle name="쉼표 [0] 3 3 5 4" xfId="1749" xr:uid="{00000000-0005-0000-0000-000099060000}"/>
    <cellStyle name="쉼표 [0] 3 3 5 4 2" xfId="1750" xr:uid="{00000000-0005-0000-0000-00009A060000}"/>
    <cellStyle name="쉼표 [0] 3 3 5 4 2 2" xfId="1751" xr:uid="{00000000-0005-0000-0000-00009B060000}"/>
    <cellStyle name="쉼표 [0] 3 3 5 4 3" xfId="1752" xr:uid="{00000000-0005-0000-0000-00009C060000}"/>
    <cellStyle name="쉼표 [0] 3 3 5 5" xfId="1753" xr:uid="{00000000-0005-0000-0000-00009D060000}"/>
    <cellStyle name="쉼표 [0] 3 3 5 5 2" xfId="1754" xr:uid="{00000000-0005-0000-0000-00009E060000}"/>
    <cellStyle name="쉼표 [0] 3 3 5 6" xfId="1755" xr:uid="{00000000-0005-0000-0000-00009F060000}"/>
    <cellStyle name="쉼표 [0] 3 3 6" xfId="1756" xr:uid="{00000000-0005-0000-0000-0000A0060000}"/>
    <cellStyle name="쉼표 [0] 3 3 6 2" xfId="1757" xr:uid="{00000000-0005-0000-0000-0000A1060000}"/>
    <cellStyle name="쉼표 [0] 3 3 6 2 2" xfId="1758" xr:uid="{00000000-0005-0000-0000-0000A2060000}"/>
    <cellStyle name="쉼표 [0] 3 3 6 2 2 2" xfId="1759" xr:uid="{00000000-0005-0000-0000-0000A3060000}"/>
    <cellStyle name="쉼표 [0] 3 3 6 2 2 2 2" xfId="1760" xr:uid="{00000000-0005-0000-0000-0000A4060000}"/>
    <cellStyle name="쉼표 [0] 3 3 6 2 2 3" xfId="1761" xr:uid="{00000000-0005-0000-0000-0000A5060000}"/>
    <cellStyle name="쉼표 [0] 3 3 6 2 3" xfId="1762" xr:uid="{00000000-0005-0000-0000-0000A6060000}"/>
    <cellStyle name="쉼표 [0] 3 3 6 2 3 2" xfId="1763" xr:uid="{00000000-0005-0000-0000-0000A7060000}"/>
    <cellStyle name="쉼표 [0] 3 3 6 2 4" xfId="1764" xr:uid="{00000000-0005-0000-0000-0000A8060000}"/>
    <cellStyle name="쉼표 [0] 3 3 6 3" xfId="1765" xr:uid="{00000000-0005-0000-0000-0000A9060000}"/>
    <cellStyle name="쉼표 [0] 3 3 6 3 2" xfId="1766" xr:uid="{00000000-0005-0000-0000-0000AA060000}"/>
    <cellStyle name="쉼표 [0] 3 3 6 3 2 2" xfId="1767" xr:uid="{00000000-0005-0000-0000-0000AB060000}"/>
    <cellStyle name="쉼표 [0] 3 3 6 3 3" xfId="1768" xr:uid="{00000000-0005-0000-0000-0000AC060000}"/>
    <cellStyle name="쉼표 [0] 3 3 6 4" xfId="1769" xr:uid="{00000000-0005-0000-0000-0000AD060000}"/>
    <cellStyle name="쉼표 [0] 3 3 6 4 2" xfId="1770" xr:uid="{00000000-0005-0000-0000-0000AE060000}"/>
    <cellStyle name="쉼표 [0] 3 3 6 5" xfId="1771" xr:uid="{00000000-0005-0000-0000-0000AF060000}"/>
    <cellStyle name="쉼표 [0] 3 3 7" xfId="1772" xr:uid="{00000000-0005-0000-0000-0000B0060000}"/>
    <cellStyle name="쉼표 [0] 3 3 7 2" xfId="1773" xr:uid="{00000000-0005-0000-0000-0000B1060000}"/>
    <cellStyle name="쉼표 [0] 3 3 7 2 2" xfId="1774" xr:uid="{00000000-0005-0000-0000-0000B2060000}"/>
    <cellStyle name="쉼표 [0] 3 3 7 2 2 2" xfId="1775" xr:uid="{00000000-0005-0000-0000-0000B3060000}"/>
    <cellStyle name="쉼표 [0] 3 3 7 2 3" xfId="1776" xr:uid="{00000000-0005-0000-0000-0000B4060000}"/>
    <cellStyle name="쉼표 [0] 3 3 7 3" xfId="1777" xr:uid="{00000000-0005-0000-0000-0000B5060000}"/>
    <cellStyle name="쉼표 [0] 3 3 7 3 2" xfId="1778" xr:uid="{00000000-0005-0000-0000-0000B6060000}"/>
    <cellStyle name="쉼표 [0] 3 3 7 4" xfId="1779" xr:uid="{00000000-0005-0000-0000-0000B7060000}"/>
    <cellStyle name="쉼표 [0] 3 3 8" xfId="1780" xr:uid="{00000000-0005-0000-0000-0000B8060000}"/>
    <cellStyle name="쉼표 [0] 3 3 8 2" xfId="1781" xr:uid="{00000000-0005-0000-0000-0000B9060000}"/>
    <cellStyle name="쉼표 [0] 3 3 8 2 2" xfId="1782" xr:uid="{00000000-0005-0000-0000-0000BA060000}"/>
    <cellStyle name="쉼표 [0] 3 3 8 3" xfId="1783" xr:uid="{00000000-0005-0000-0000-0000BB060000}"/>
    <cellStyle name="쉼표 [0] 3 3 9" xfId="1784" xr:uid="{00000000-0005-0000-0000-0000BC060000}"/>
    <cellStyle name="쉼표 [0] 3 3 9 2" xfId="1785" xr:uid="{00000000-0005-0000-0000-0000BD060000}"/>
    <cellStyle name="쉼표 [0] 3 30" xfId="1786" xr:uid="{00000000-0005-0000-0000-0000BE060000}"/>
    <cellStyle name="쉼표 [0] 3 31" xfId="1787" xr:uid="{00000000-0005-0000-0000-0000BF060000}"/>
    <cellStyle name="쉼표 [0] 3 32" xfId="1788" xr:uid="{00000000-0005-0000-0000-0000C0060000}"/>
    <cellStyle name="쉼표 [0] 3 33" xfId="1789" xr:uid="{00000000-0005-0000-0000-0000C1060000}"/>
    <cellStyle name="쉼표 [0] 3 34" xfId="1790" xr:uid="{00000000-0005-0000-0000-0000C2060000}"/>
    <cellStyle name="쉼표 [0] 3 35" xfId="1791" xr:uid="{00000000-0005-0000-0000-0000C3060000}"/>
    <cellStyle name="쉼표 [0] 3 36" xfId="1792" xr:uid="{00000000-0005-0000-0000-0000C4060000}"/>
    <cellStyle name="쉼표 [0] 3 37" xfId="1793" xr:uid="{00000000-0005-0000-0000-0000C5060000}"/>
    <cellStyle name="쉼표 [0] 3 38" xfId="1794" xr:uid="{00000000-0005-0000-0000-0000C6060000}"/>
    <cellStyle name="쉼표 [0] 3 39" xfId="1795" xr:uid="{00000000-0005-0000-0000-0000C7060000}"/>
    <cellStyle name="쉼표 [0] 3 4" xfId="1796" xr:uid="{00000000-0005-0000-0000-0000C8060000}"/>
    <cellStyle name="쉼표 [0] 3 4 10" xfId="1797" xr:uid="{00000000-0005-0000-0000-0000C9060000}"/>
    <cellStyle name="쉼표 [0] 3 4 11" xfId="1798" xr:uid="{00000000-0005-0000-0000-0000CA060000}"/>
    <cellStyle name="쉼표 [0] 3 4 2" xfId="1799" xr:uid="{00000000-0005-0000-0000-0000CB060000}"/>
    <cellStyle name="쉼표 [0] 3 4 2 10" xfId="1800" xr:uid="{00000000-0005-0000-0000-0000CC060000}"/>
    <cellStyle name="쉼표 [0] 3 4 2 2" xfId="1801" xr:uid="{00000000-0005-0000-0000-0000CD060000}"/>
    <cellStyle name="쉼표 [0] 3 4 2 2 2" xfId="1802" xr:uid="{00000000-0005-0000-0000-0000CE060000}"/>
    <cellStyle name="쉼표 [0] 3 4 2 2 2 2" xfId="1803" xr:uid="{00000000-0005-0000-0000-0000CF060000}"/>
    <cellStyle name="쉼표 [0] 3 4 2 2 2 2 2" xfId="1804" xr:uid="{00000000-0005-0000-0000-0000D0060000}"/>
    <cellStyle name="쉼표 [0] 3 4 2 2 2 2 2 2" xfId="1805" xr:uid="{00000000-0005-0000-0000-0000D1060000}"/>
    <cellStyle name="쉼표 [0] 3 4 2 2 2 2 2 2 2" xfId="1806" xr:uid="{00000000-0005-0000-0000-0000D2060000}"/>
    <cellStyle name="쉼표 [0] 3 4 2 2 2 2 2 2 2 2" xfId="1807" xr:uid="{00000000-0005-0000-0000-0000D3060000}"/>
    <cellStyle name="쉼표 [0] 3 4 2 2 2 2 2 2 2 2 2" xfId="1808" xr:uid="{00000000-0005-0000-0000-0000D4060000}"/>
    <cellStyle name="쉼표 [0] 3 4 2 2 2 2 2 2 2 3" xfId="1809" xr:uid="{00000000-0005-0000-0000-0000D5060000}"/>
    <cellStyle name="쉼표 [0] 3 4 2 2 2 2 2 2 3" xfId="1810" xr:uid="{00000000-0005-0000-0000-0000D6060000}"/>
    <cellStyle name="쉼표 [0] 3 4 2 2 2 2 2 2 3 2" xfId="1811" xr:uid="{00000000-0005-0000-0000-0000D7060000}"/>
    <cellStyle name="쉼표 [0] 3 4 2 2 2 2 2 2 4" xfId="1812" xr:uid="{00000000-0005-0000-0000-0000D8060000}"/>
    <cellStyle name="쉼표 [0] 3 4 2 2 2 2 2 3" xfId="1813" xr:uid="{00000000-0005-0000-0000-0000D9060000}"/>
    <cellStyle name="쉼표 [0] 3 4 2 2 2 2 2 3 2" xfId="1814" xr:uid="{00000000-0005-0000-0000-0000DA060000}"/>
    <cellStyle name="쉼표 [0] 3 4 2 2 2 2 2 3 2 2" xfId="1815" xr:uid="{00000000-0005-0000-0000-0000DB060000}"/>
    <cellStyle name="쉼표 [0] 3 4 2 2 2 2 2 3 3" xfId="1816" xr:uid="{00000000-0005-0000-0000-0000DC060000}"/>
    <cellStyle name="쉼표 [0] 3 4 2 2 2 2 2 4" xfId="1817" xr:uid="{00000000-0005-0000-0000-0000DD060000}"/>
    <cellStyle name="쉼표 [0] 3 4 2 2 2 2 2 4 2" xfId="1818" xr:uid="{00000000-0005-0000-0000-0000DE060000}"/>
    <cellStyle name="쉼표 [0] 3 4 2 2 2 2 2 5" xfId="1819" xr:uid="{00000000-0005-0000-0000-0000DF060000}"/>
    <cellStyle name="쉼표 [0] 3 4 2 2 2 2 3" xfId="1820" xr:uid="{00000000-0005-0000-0000-0000E0060000}"/>
    <cellStyle name="쉼표 [0] 3 4 2 2 2 2 3 2" xfId="1821" xr:uid="{00000000-0005-0000-0000-0000E1060000}"/>
    <cellStyle name="쉼표 [0] 3 4 2 2 2 2 3 2 2" xfId="1822" xr:uid="{00000000-0005-0000-0000-0000E2060000}"/>
    <cellStyle name="쉼표 [0] 3 4 2 2 2 2 3 2 2 2" xfId="1823" xr:uid="{00000000-0005-0000-0000-0000E3060000}"/>
    <cellStyle name="쉼표 [0] 3 4 2 2 2 2 3 2 3" xfId="1824" xr:uid="{00000000-0005-0000-0000-0000E4060000}"/>
    <cellStyle name="쉼표 [0] 3 4 2 2 2 2 3 3" xfId="1825" xr:uid="{00000000-0005-0000-0000-0000E5060000}"/>
    <cellStyle name="쉼표 [0] 3 4 2 2 2 2 3 3 2" xfId="1826" xr:uid="{00000000-0005-0000-0000-0000E6060000}"/>
    <cellStyle name="쉼표 [0] 3 4 2 2 2 2 3 4" xfId="1827" xr:uid="{00000000-0005-0000-0000-0000E7060000}"/>
    <cellStyle name="쉼표 [0] 3 4 2 2 2 2 4" xfId="1828" xr:uid="{00000000-0005-0000-0000-0000E8060000}"/>
    <cellStyle name="쉼표 [0] 3 4 2 2 2 2 4 2" xfId="1829" xr:uid="{00000000-0005-0000-0000-0000E9060000}"/>
    <cellStyle name="쉼표 [0] 3 4 2 2 2 2 4 2 2" xfId="1830" xr:uid="{00000000-0005-0000-0000-0000EA060000}"/>
    <cellStyle name="쉼표 [0] 3 4 2 2 2 2 4 3" xfId="1831" xr:uid="{00000000-0005-0000-0000-0000EB060000}"/>
    <cellStyle name="쉼표 [0] 3 4 2 2 2 2 5" xfId="1832" xr:uid="{00000000-0005-0000-0000-0000EC060000}"/>
    <cellStyle name="쉼표 [0] 3 4 2 2 2 2 5 2" xfId="1833" xr:uid="{00000000-0005-0000-0000-0000ED060000}"/>
    <cellStyle name="쉼표 [0] 3 4 2 2 2 2 6" xfId="1834" xr:uid="{00000000-0005-0000-0000-0000EE060000}"/>
    <cellStyle name="쉼표 [0] 3 4 2 2 2 3" xfId="1835" xr:uid="{00000000-0005-0000-0000-0000EF060000}"/>
    <cellStyle name="쉼표 [0] 3 4 2 2 2 3 2" xfId="1836" xr:uid="{00000000-0005-0000-0000-0000F0060000}"/>
    <cellStyle name="쉼표 [0] 3 4 2 2 2 3 2 2" xfId="1837" xr:uid="{00000000-0005-0000-0000-0000F1060000}"/>
    <cellStyle name="쉼표 [0] 3 4 2 2 2 3 2 2 2" xfId="1838" xr:uid="{00000000-0005-0000-0000-0000F2060000}"/>
    <cellStyle name="쉼표 [0] 3 4 2 2 2 3 2 2 2 2" xfId="1839" xr:uid="{00000000-0005-0000-0000-0000F3060000}"/>
    <cellStyle name="쉼표 [0] 3 4 2 2 2 3 2 2 3" xfId="1840" xr:uid="{00000000-0005-0000-0000-0000F4060000}"/>
    <cellStyle name="쉼표 [0] 3 4 2 2 2 3 2 3" xfId="1841" xr:uid="{00000000-0005-0000-0000-0000F5060000}"/>
    <cellStyle name="쉼표 [0] 3 4 2 2 2 3 2 3 2" xfId="1842" xr:uid="{00000000-0005-0000-0000-0000F6060000}"/>
    <cellStyle name="쉼표 [0] 3 4 2 2 2 3 2 4" xfId="1843" xr:uid="{00000000-0005-0000-0000-0000F7060000}"/>
    <cellStyle name="쉼표 [0] 3 4 2 2 2 3 3" xfId="1844" xr:uid="{00000000-0005-0000-0000-0000F8060000}"/>
    <cellStyle name="쉼표 [0] 3 4 2 2 2 3 3 2" xfId="1845" xr:uid="{00000000-0005-0000-0000-0000F9060000}"/>
    <cellStyle name="쉼표 [0] 3 4 2 2 2 3 3 2 2" xfId="1846" xr:uid="{00000000-0005-0000-0000-0000FA060000}"/>
    <cellStyle name="쉼표 [0] 3 4 2 2 2 3 3 3" xfId="1847" xr:uid="{00000000-0005-0000-0000-0000FB060000}"/>
    <cellStyle name="쉼표 [0] 3 4 2 2 2 3 4" xfId="1848" xr:uid="{00000000-0005-0000-0000-0000FC060000}"/>
    <cellStyle name="쉼표 [0] 3 4 2 2 2 3 4 2" xfId="1849" xr:uid="{00000000-0005-0000-0000-0000FD060000}"/>
    <cellStyle name="쉼표 [0] 3 4 2 2 2 3 5" xfId="1850" xr:uid="{00000000-0005-0000-0000-0000FE060000}"/>
    <cellStyle name="쉼표 [0] 3 4 2 2 2 4" xfId="1851" xr:uid="{00000000-0005-0000-0000-0000FF060000}"/>
    <cellStyle name="쉼표 [0] 3 4 2 2 2 4 2" xfId="1852" xr:uid="{00000000-0005-0000-0000-000000070000}"/>
    <cellStyle name="쉼표 [0] 3 4 2 2 2 4 2 2" xfId="1853" xr:uid="{00000000-0005-0000-0000-000001070000}"/>
    <cellStyle name="쉼표 [0] 3 4 2 2 2 4 2 2 2" xfId="1854" xr:uid="{00000000-0005-0000-0000-000002070000}"/>
    <cellStyle name="쉼표 [0] 3 4 2 2 2 4 2 3" xfId="1855" xr:uid="{00000000-0005-0000-0000-000003070000}"/>
    <cellStyle name="쉼표 [0] 3 4 2 2 2 4 3" xfId="1856" xr:uid="{00000000-0005-0000-0000-000004070000}"/>
    <cellStyle name="쉼표 [0] 3 4 2 2 2 4 3 2" xfId="1857" xr:uid="{00000000-0005-0000-0000-000005070000}"/>
    <cellStyle name="쉼표 [0] 3 4 2 2 2 4 4" xfId="1858" xr:uid="{00000000-0005-0000-0000-000006070000}"/>
    <cellStyle name="쉼표 [0] 3 4 2 2 2 5" xfId="1859" xr:uid="{00000000-0005-0000-0000-000007070000}"/>
    <cellStyle name="쉼표 [0] 3 4 2 2 2 5 2" xfId="1860" xr:uid="{00000000-0005-0000-0000-000008070000}"/>
    <cellStyle name="쉼표 [0] 3 4 2 2 2 5 2 2" xfId="1861" xr:uid="{00000000-0005-0000-0000-000009070000}"/>
    <cellStyle name="쉼표 [0] 3 4 2 2 2 5 3" xfId="1862" xr:uid="{00000000-0005-0000-0000-00000A070000}"/>
    <cellStyle name="쉼표 [0] 3 4 2 2 2 6" xfId="1863" xr:uid="{00000000-0005-0000-0000-00000B070000}"/>
    <cellStyle name="쉼표 [0] 3 4 2 2 2 6 2" xfId="1864" xr:uid="{00000000-0005-0000-0000-00000C070000}"/>
    <cellStyle name="쉼표 [0] 3 4 2 2 2 7" xfId="1865" xr:uid="{00000000-0005-0000-0000-00000D070000}"/>
    <cellStyle name="쉼표 [0] 3 4 2 2 2 8" xfId="1866" xr:uid="{00000000-0005-0000-0000-00000E070000}"/>
    <cellStyle name="쉼표 [0] 3 4 2 2 3" xfId="1867" xr:uid="{00000000-0005-0000-0000-00000F070000}"/>
    <cellStyle name="쉼표 [0] 3 4 2 2 3 2" xfId="1868" xr:uid="{00000000-0005-0000-0000-000010070000}"/>
    <cellStyle name="쉼표 [0] 3 4 2 2 3 2 2" xfId="1869" xr:uid="{00000000-0005-0000-0000-000011070000}"/>
    <cellStyle name="쉼표 [0] 3 4 2 2 3 2 2 2" xfId="1870" xr:uid="{00000000-0005-0000-0000-000012070000}"/>
    <cellStyle name="쉼표 [0] 3 4 2 2 3 2 2 2 2" xfId="1871" xr:uid="{00000000-0005-0000-0000-000013070000}"/>
    <cellStyle name="쉼표 [0] 3 4 2 2 3 2 2 2 2 2" xfId="1872" xr:uid="{00000000-0005-0000-0000-000014070000}"/>
    <cellStyle name="쉼표 [0] 3 4 2 2 3 2 2 2 3" xfId="1873" xr:uid="{00000000-0005-0000-0000-000015070000}"/>
    <cellStyle name="쉼표 [0] 3 4 2 2 3 2 2 3" xfId="1874" xr:uid="{00000000-0005-0000-0000-000016070000}"/>
    <cellStyle name="쉼표 [0] 3 4 2 2 3 2 2 3 2" xfId="1875" xr:uid="{00000000-0005-0000-0000-000017070000}"/>
    <cellStyle name="쉼표 [0] 3 4 2 2 3 2 2 4" xfId="1876" xr:uid="{00000000-0005-0000-0000-000018070000}"/>
    <cellStyle name="쉼표 [0] 3 4 2 2 3 2 3" xfId="1877" xr:uid="{00000000-0005-0000-0000-000019070000}"/>
    <cellStyle name="쉼표 [0] 3 4 2 2 3 2 3 2" xfId="1878" xr:uid="{00000000-0005-0000-0000-00001A070000}"/>
    <cellStyle name="쉼표 [0] 3 4 2 2 3 2 3 2 2" xfId="1879" xr:uid="{00000000-0005-0000-0000-00001B070000}"/>
    <cellStyle name="쉼표 [0] 3 4 2 2 3 2 3 3" xfId="1880" xr:uid="{00000000-0005-0000-0000-00001C070000}"/>
    <cellStyle name="쉼표 [0] 3 4 2 2 3 2 4" xfId="1881" xr:uid="{00000000-0005-0000-0000-00001D070000}"/>
    <cellStyle name="쉼표 [0] 3 4 2 2 3 2 4 2" xfId="1882" xr:uid="{00000000-0005-0000-0000-00001E070000}"/>
    <cellStyle name="쉼표 [0] 3 4 2 2 3 2 5" xfId="1883" xr:uid="{00000000-0005-0000-0000-00001F070000}"/>
    <cellStyle name="쉼표 [0] 3 4 2 2 3 3" xfId="1884" xr:uid="{00000000-0005-0000-0000-000020070000}"/>
    <cellStyle name="쉼표 [0] 3 4 2 2 3 3 2" xfId="1885" xr:uid="{00000000-0005-0000-0000-000021070000}"/>
    <cellStyle name="쉼표 [0] 3 4 2 2 3 3 2 2" xfId="1886" xr:uid="{00000000-0005-0000-0000-000022070000}"/>
    <cellStyle name="쉼표 [0] 3 4 2 2 3 3 2 2 2" xfId="1887" xr:uid="{00000000-0005-0000-0000-000023070000}"/>
    <cellStyle name="쉼표 [0] 3 4 2 2 3 3 2 3" xfId="1888" xr:uid="{00000000-0005-0000-0000-000024070000}"/>
    <cellStyle name="쉼표 [0] 3 4 2 2 3 3 3" xfId="1889" xr:uid="{00000000-0005-0000-0000-000025070000}"/>
    <cellStyle name="쉼표 [0] 3 4 2 2 3 3 3 2" xfId="1890" xr:uid="{00000000-0005-0000-0000-000026070000}"/>
    <cellStyle name="쉼표 [0] 3 4 2 2 3 3 4" xfId="1891" xr:uid="{00000000-0005-0000-0000-000027070000}"/>
    <cellStyle name="쉼표 [0] 3 4 2 2 3 4" xfId="1892" xr:uid="{00000000-0005-0000-0000-000028070000}"/>
    <cellStyle name="쉼표 [0] 3 4 2 2 3 4 2" xfId="1893" xr:uid="{00000000-0005-0000-0000-000029070000}"/>
    <cellStyle name="쉼표 [0] 3 4 2 2 3 4 2 2" xfId="1894" xr:uid="{00000000-0005-0000-0000-00002A070000}"/>
    <cellStyle name="쉼표 [0] 3 4 2 2 3 4 3" xfId="1895" xr:uid="{00000000-0005-0000-0000-00002B070000}"/>
    <cellStyle name="쉼표 [0] 3 4 2 2 3 5" xfId="1896" xr:uid="{00000000-0005-0000-0000-00002C070000}"/>
    <cellStyle name="쉼표 [0] 3 4 2 2 3 5 2" xfId="1897" xr:uid="{00000000-0005-0000-0000-00002D070000}"/>
    <cellStyle name="쉼표 [0] 3 4 2 2 3 6" xfId="1898" xr:uid="{00000000-0005-0000-0000-00002E070000}"/>
    <cellStyle name="쉼표 [0] 3 4 2 2 4" xfId="1899" xr:uid="{00000000-0005-0000-0000-00002F070000}"/>
    <cellStyle name="쉼표 [0] 3 4 2 2 4 2" xfId="1900" xr:uid="{00000000-0005-0000-0000-000030070000}"/>
    <cellStyle name="쉼표 [0] 3 4 2 2 4 2 2" xfId="1901" xr:uid="{00000000-0005-0000-0000-000031070000}"/>
    <cellStyle name="쉼표 [0] 3 4 2 2 4 2 2 2" xfId="1902" xr:uid="{00000000-0005-0000-0000-000032070000}"/>
    <cellStyle name="쉼표 [0] 3 4 2 2 4 2 2 2 2" xfId="1903" xr:uid="{00000000-0005-0000-0000-000033070000}"/>
    <cellStyle name="쉼표 [0] 3 4 2 2 4 2 2 3" xfId="1904" xr:uid="{00000000-0005-0000-0000-000034070000}"/>
    <cellStyle name="쉼표 [0] 3 4 2 2 4 2 3" xfId="1905" xr:uid="{00000000-0005-0000-0000-000035070000}"/>
    <cellStyle name="쉼표 [0] 3 4 2 2 4 2 3 2" xfId="1906" xr:uid="{00000000-0005-0000-0000-000036070000}"/>
    <cellStyle name="쉼표 [0] 3 4 2 2 4 2 4" xfId="1907" xr:uid="{00000000-0005-0000-0000-000037070000}"/>
    <cellStyle name="쉼표 [0] 3 4 2 2 4 3" xfId="1908" xr:uid="{00000000-0005-0000-0000-000038070000}"/>
    <cellStyle name="쉼표 [0] 3 4 2 2 4 3 2" xfId="1909" xr:uid="{00000000-0005-0000-0000-000039070000}"/>
    <cellStyle name="쉼표 [0] 3 4 2 2 4 3 2 2" xfId="1910" xr:uid="{00000000-0005-0000-0000-00003A070000}"/>
    <cellStyle name="쉼표 [0] 3 4 2 2 4 3 3" xfId="1911" xr:uid="{00000000-0005-0000-0000-00003B070000}"/>
    <cellStyle name="쉼표 [0] 3 4 2 2 4 4" xfId="1912" xr:uid="{00000000-0005-0000-0000-00003C070000}"/>
    <cellStyle name="쉼표 [0] 3 4 2 2 4 4 2" xfId="1913" xr:uid="{00000000-0005-0000-0000-00003D070000}"/>
    <cellStyle name="쉼표 [0] 3 4 2 2 4 5" xfId="1914" xr:uid="{00000000-0005-0000-0000-00003E070000}"/>
    <cellStyle name="쉼표 [0] 3 4 2 2 5" xfId="1915" xr:uid="{00000000-0005-0000-0000-00003F070000}"/>
    <cellStyle name="쉼표 [0] 3 4 2 2 5 2" xfId="1916" xr:uid="{00000000-0005-0000-0000-000040070000}"/>
    <cellStyle name="쉼표 [0] 3 4 2 2 5 2 2" xfId="1917" xr:uid="{00000000-0005-0000-0000-000041070000}"/>
    <cellStyle name="쉼표 [0] 3 4 2 2 5 2 2 2" xfId="1918" xr:uid="{00000000-0005-0000-0000-000042070000}"/>
    <cellStyle name="쉼표 [0] 3 4 2 2 5 2 3" xfId="1919" xr:uid="{00000000-0005-0000-0000-000043070000}"/>
    <cellStyle name="쉼표 [0] 3 4 2 2 5 3" xfId="1920" xr:uid="{00000000-0005-0000-0000-000044070000}"/>
    <cellStyle name="쉼표 [0] 3 4 2 2 5 3 2" xfId="1921" xr:uid="{00000000-0005-0000-0000-000045070000}"/>
    <cellStyle name="쉼표 [0] 3 4 2 2 5 4" xfId="1922" xr:uid="{00000000-0005-0000-0000-000046070000}"/>
    <cellStyle name="쉼표 [0] 3 4 2 2 6" xfId="1923" xr:uid="{00000000-0005-0000-0000-000047070000}"/>
    <cellStyle name="쉼표 [0] 3 4 2 2 6 2" xfId="1924" xr:uid="{00000000-0005-0000-0000-000048070000}"/>
    <cellStyle name="쉼표 [0] 3 4 2 2 6 2 2" xfId="1925" xr:uid="{00000000-0005-0000-0000-000049070000}"/>
    <cellStyle name="쉼표 [0] 3 4 2 2 6 3" xfId="1926" xr:uid="{00000000-0005-0000-0000-00004A070000}"/>
    <cellStyle name="쉼표 [0] 3 4 2 2 7" xfId="1927" xr:uid="{00000000-0005-0000-0000-00004B070000}"/>
    <cellStyle name="쉼표 [0] 3 4 2 2 7 2" xfId="1928" xr:uid="{00000000-0005-0000-0000-00004C070000}"/>
    <cellStyle name="쉼표 [0] 3 4 2 2 8" xfId="1929" xr:uid="{00000000-0005-0000-0000-00004D070000}"/>
    <cellStyle name="쉼표 [0] 3 4 2 2 9" xfId="1930" xr:uid="{00000000-0005-0000-0000-00004E070000}"/>
    <cellStyle name="쉼표 [0] 3 4 2 3" xfId="1931" xr:uid="{00000000-0005-0000-0000-00004F070000}"/>
    <cellStyle name="쉼표 [0] 3 4 2 3 2" xfId="1932" xr:uid="{00000000-0005-0000-0000-000050070000}"/>
    <cellStyle name="쉼표 [0] 3 4 2 3 2 2" xfId="1933" xr:uid="{00000000-0005-0000-0000-000051070000}"/>
    <cellStyle name="쉼표 [0] 3 4 2 3 2 2 2" xfId="1934" xr:uid="{00000000-0005-0000-0000-000052070000}"/>
    <cellStyle name="쉼표 [0] 3 4 2 3 2 2 2 2" xfId="1935" xr:uid="{00000000-0005-0000-0000-000053070000}"/>
    <cellStyle name="쉼표 [0] 3 4 2 3 2 2 2 2 2" xfId="1936" xr:uid="{00000000-0005-0000-0000-000054070000}"/>
    <cellStyle name="쉼표 [0] 3 4 2 3 2 2 2 2 2 2" xfId="1937" xr:uid="{00000000-0005-0000-0000-000055070000}"/>
    <cellStyle name="쉼표 [0] 3 4 2 3 2 2 2 2 3" xfId="1938" xr:uid="{00000000-0005-0000-0000-000056070000}"/>
    <cellStyle name="쉼표 [0] 3 4 2 3 2 2 2 3" xfId="1939" xr:uid="{00000000-0005-0000-0000-000057070000}"/>
    <cellStyle name="쉼표 [0] 3 4 2 3 2 2 2 3 2" xfId="1940" xr:uid="{00000000-0005-0000-0000-000058070000}"/>
    <cellStyle name="쉼표 [0] 3 4 2 3 2 2 2 4" xfId="1941" xr:uid="{00000000-0005-0000-0000-000059070000}"/>
    <cellStyle name="쉼표 [0] 3 4 2 3 2 2 3" xfId="1942" xr:uid="{00000000-0005-0000-0000-00005A070000}"/>
    <cellStyle name="쉼표 [0] 3 4 2 3 2 2 3 2" xfId="1943" xr:uid="{00000000-0005-0000-0000-00005B070000}"/>
    <cellStyle name="쉼표 [0] 3 4 2 3 2 2 3 2 2" xfId="1944" xr:uid="{00000000-0005-0000-0000-00005C070000}"/>
    <cellStyle name="쉼표 [0] 3 4 2 3 2 2 3 3" xfId="1945" xr:uid="{00000000-0005-0000-0000-00005D070000}"/>
    <cellStyle name="쉼표 [0] 3 4 2 3 2 2 4" xfId="1946" xr:uid="{00000000-0005-0000-0000-00005E070000}"/>
    <cellStyle name="쉼표 [0] 3 4 2 3 2 2 4 2" xfId="1947" xr:uid="{00000000-0005-0000-0000-00005F070000}"/>
    <cellStyle name="쉼표 [0] 3 4 2 3 2 2 5" xfId="1948" xr:uid="{00000000-0005-0000-0000-000060070000}"/>
    <cellStyle name="쉼표 [0] 3 4 2 3 2 3" xfId="1949" xr:uid="{00000000-0005-0000-0000-000061070000}"/>
    <cellStyle name="쉼표 [0] 3 4 2 3 2 3 2" xfId="1950" xr:uid="{00000000-0005-0000-0000-000062070000}"/>
    <cellStyle name="쉼표 [0] 3 4 2 3 2 3 2 2" xfId="1951" xr:uid="{00000000-0005-0000-0000-000063070000}"/>
    <cellStyle name="쉼표 [0] 3 4 2 3 2 3 2 2 2" xfId="1952" xr:uid="{00000000-0005-0000-0000-000064070000}"/>
    <cellStyle name="쉼표 [0] 3 4 2 3 2 3 2 3" xfId="1953" xr:uid="{00000000-0005-0000-0000-000065070000}"/>
    <cellStyle name="쉼표 [0] 3 4 2 3 2 3 3" xfId="1954" xr:uid="{00000000-0005-0000-0000-000066070000}"/>
    <cellStyle name="쉼표 [0] 3 4 2 3 2 3 3 2" xfId="1955" xr:uid="{00000000-0005-0000-0000-000067070000}"/>
    <cellStyle name="쉼표 [0] 3 4 2 3 2 3 4" xfId="1956" xr:uid="{00000000-0005-0000-0000-000068070000}"/>
    <cellStyle name="쉼표 [0] 3 4 2 3 2 4" xfId="1957" xr:uid="{00000000-0005-0000-0000-000069070000}"/>
    <cellStyle name="쉼표 [0] 3 4 2 3 2 4 2" xfId="1958" xr:uid="{00000000-0005-0000-0000-00006A070000}"/>
    <cellStyle name="쉼표 [0] 3 4 2 3 2 4 2 2" xfId="1959" xr:uid="{00000000-0005-0000-0000-00006B070000}"/>
    <cellStyle name="쉼표 [0] 3 4 2 3 2 4 3" xfId="1960" xr:uid="{00000000-0005-0000-0000-00006C070000}"/>
    <cellStyle name="쉼표 [0] 3 4 2 3 2 5" xfId="1961" xr:uid="{00000000-0005-0000-0000-00006D070000}"/>
    <cellStyle name="쉼표 [0] 3 4 2 3 2 5 2" xfId="1962" xr:uid="{00000000-0005-0000-0000-00006E070000}"/>
    <cellStyle name="쉼표 [0] 3 4 2 3 2 6" xfId="1963" xr:uid="{00000000-0005-0000-0000-00006F070000}"/>
    <cellStyle name="쉼표 [0] 3 4 2 3 3" xfId="1964" xr:uid="{00000000-0005-0000-0000-000070070000}"/>
    <cellStyle name="쉼표 [0] 3 4 2 3 3 2" xfId="1965" xr:uid="{00000000-0005-0000-0000-000071070000}"/>
    <cellStyle name="쉼표 [0] 3 4 2 3 3 2 2" xfId="1966" xr:uid="{00000000-0005-0000-0000-000072070000}"/>
    <cellStyle name="쉼표 [0] 3 4 2 3 3 2 2 2" xfId="1967" xr:uid="{00000000-0005-0000-0000-000073070000}"/>
    <cellStyle name="쉼표 [0] 3 4 2 3 3 2 2 2 2" xfId="1968" xr:uid="{00000000-0005-0000-0000-000074070000}"/>
    <cellStyle name="쉼표 [0] 3 4 2 3 3 2 2 3" xfId="1969" xr:uid="{00000000-0005-0000-0000-000075070000}"/>
    <cellStyle name="쉼표 [0] 3 4 2 3 3 2 3" xfId="1970" xr:uid="{00000000-0005-0000-0000-000076070000}"/>
    <cellStyle name="쉼표 [0] 3 4 2 3 3 2 3 2" xfId="1971" xr:uid="{00000000-0005-0000-0000-000077070000}"/>
    <cellStyle name="쉼표 [0] 3 4 2 3 3 2 4" xfId="1972" xr:uid="{00000000-0005-0000-0000-000078070000}"/>
    <cellStyle name="쉼표 [0] 3 4 2 3 3 3" xfId="1973" xr:uid="{00000000-0005-0000-0000-000079070000}"/>
    <cellStyle name="쉼표 [0] 3 4 2 3 3 3 2" xfId="1974" xr:uid="{00000000-0005-0000-0000-00007A070000}"/>
    <cellStyle name="쉼표 [0] 3 4 2 3 3 3 2 2" xfId="1975" xr:uid="{00000000-0005-0000-0000-00007B070000}"/>
    <cellStyle name="쉼표 [0] 3 4 2 3 3 3 3" xfId="1976" xr:uid="{00000000-0005-0000-0000-00007C070000}"/>
    <cellStyle name="쉼표 [0] 3 4 2 3 3 4" xfId="1977" xr:uid="{00000000-0005-0000-0000-00007D070000}"/>
    <cellStyle name="쉼표 [0] 3 4 2 3 3 4 2" xfId="1978" xr:uid="{00000000-0005-0000-0000-00007E070000}"/>
    <cellStyle name="쉼표 [0] 3 4 2 3 3 5" xfId="1979" xr:uid="{00000000-0005-0000-0000-00007F070000}"/>
    <cellStyle name="쉼표 [0] 3 4 2 3 4" xfId="1980" xr:uid="{00000000-0005-0000-0000-000080070000}"/>
    <cellStyle name="쉼표 [0] 3 4 2 3 4 2" xfId="1981" xr:uid="{00000000-0005-0000-0000-000081070000}"/>
    <cellStyle name="쉼표 [0] 3 4 2 3 4 2 2" xfId="1982" xr:uid="{00000000-0005-0000-0000-000082070000}"/>
    <cellStyle name="쉼표 [0] 3 4 2 3 4 2 2 2" xfId="1983" xr:uid="{00000000-0005-0000-0000-000083070000}"/>
    <cellStyle name="쉼표 [0] 3 4 2 3 4 2 3" xfId="1984" xr:uid="{00000000-0005-0000-0000-000084070000}"/>
    <cellStyle name="쉼표 [0] 3 4 2 3 4 3" xfId="1985" xr:uid="{00000000-0005-0000-0000-000085070000}"/>
    <cellStyle name="쉼표 [0] 3 4 2 3 4 3 2" xfId="1986" xr:uid="{00000000-0005-0000-0000-000086070000}"/>
    <cellStyle name="쉼표 [0] 3 4 2 3 4 4" xfId="1987" xr:uid="{00000000-0005-0000-0000-000087070000}"/>
    <cellStyle name="쉼표 [0] 3 4 2 3 5" xfId="1988" xr:uid="{00000000-0005-0000-0000-000088070000}"/>
    <cellStyle name="쉼표 [0] 3 4 2 3 5 2" xfId="1989" xr:uid="{00000000-0005-0000-0000-000089070000}"/>
    <cellStyle name="쉼표 [0] 3 4 2 3 5 2 2" xfId="1990" xr:uid="{00000000-0005-0000-0000-00008A070000}"/>
    <cellStyle name="쉼표 [0] 3 4 2 3 5 3" xfId="1991" xr:uid="{00000000-0005-0000-0000-00008B070000}"/>
    <cellStyle name="쉼표 [0] 3 4 2 3 6" xfId="1992" xr:uid="{00000000-0005-0000-0000-00008C070000}"/>
    <cellStyle name="쉼표 [0] 3 4 2 3 6 2" xfId="1993" xr:uid="{00000000-0005-0000-0000-00008D070000}"/>
    <cellStyle name="쉼표 [0] 3 4 2 3 7" xfId="1994" xr:uid="{00000000-0005-0000-0000-00008E070000}"/>
    <cellStyle name="쉼표 [0] 3 4 2 3 8" xfId="1995" xr:uid="{00000000-0005-0000-0000-00008F070000}"/>
    <cellStyle name="쉼표 [0] 3 4 2 4" xfId="1996" xr:uid="{00000000-0005-0000-0000-000090070000}"/>
    <cellStyle name="쉼표 [0] 3 4 2 4 2" xfId="1997" xr:uid="{00000000-0005-0000-0000-000091070000}"/>
    <cellStyle name="쉼표 [0] 3 4 2 4 2 2" xfId="1998" xr:uid="{00000000-0005-0000-0000-000092070000}"/>
    <cellStyle name="쉼표 [0] 3 4 2 4 2 2 2" xfId="1999" xr:uid="{00000000-0005-0000-0000-000093070000}"/>
    <cellStyle name="쉼표 [0] 3 4 2 4 2 2 2 2" xfId="2000" xr:uid="{00000000-0005-0000-0000-000094070000}"/>
    <cellStyle name="쉼표 [0] 3 4 2 4 2 2 2 2 2" xfId="2001" xr:uid="{00000000-0005-0000-0000-000095070000}"/>
    <cellStyle name="쉼표 [0] 3 4 2 4 2 2 2 3" xfId="2002" xr:uid="{00000000-0005-0000-0000-000096070000}"/>
    <cellStyle name="쉼표 [0] 3 4 2 4 2 2 3" xfId="2003" xr:uid="{00000000-0005-0000-0000-000097070000}"/>
    <cellStyle name="쉼표 [0] 3 4 2 4 2 2 3 2" xfId="2004" xr:uid="{00000000-0005-0000-0000-000098070000}"/>
    <cellStyle name="쉼표 [0] 3 4 2 4 2 2 4" xfId="2005" xr:uid="{00000000-0005-0000-0000-000099070000}"/>
    <cellStyle name="쉼표 [0] 3 4 2 4 2 3" xfId="2006" xr:uid="{00000000-0005-0000-0000-00009A070000}"/>
    <cellStyle name="쉼표 [0] 3 4 2 4 2 3 2" xfId="2007" xr:uid="{00000000-0005-0000-0000-00009B070000}"/>
    <cellStyle name="쉼표 [0] 3 4 2 4 2 3 2 2" xfId="2008" xr:uid="{00000000-0005-0000-0000-00009C070000}"/>
    <cellStyle name="쉼표 [0] 3 4 2 4 2 3 3" xfId="2009" xr:uid="{00000000-0005-0000-0000-00009D070000}"/>
    <cellStyle name="쉼표 [0] 3 4 2 4 2 4" xfId="2010" xr:uid="{00000000-0005-0000-0000-00009E070000}"/>
    <cellStyle name="쉼표 [0] 3 4 2 4 2 4 2" xfId="2011" xr:uid="{00000000-0005-0000-0000-00009F070000}"/>
    <cellStyle name="쉼표 [0] 3 4 2 4 2 5" xfId="2012" xr:uid="{00000000-0005-0000-0000-0000A0070000}"/>
    <cellStyle name="쉼표 [0] 3 4 2 4 3" xfId="2013" xr:uid="{00000000-0005-0000-0000-0000A1070000}"/>
    <cellStyle name="쉼표 [0] 3 4 2 4 3 2" xfId="2014" xr:uid="{00000000-0005-0000-0000-0000A2070000}"/>
    <cellStyle name="쉼표 [0] 3 4 2 4 3 2 2" xfId="2015" xr:uid="{00000000-0005-0000-0000-0000A3070000}"/>
    <cellStyle name="쉼표 [0] 3 4 2 4 3 2 2 2" xfId="2016" xr:uid="{00000000-0005-0000-0000-0000A4070000}"/>
    <cellStyle name="쉼표 [0] 3 4 2 4 3 2 3" xfId="2017" xr:uid="{00000000-0005-0000-0000-0000A5070000}"/>
    <cellStyle name="쉼표 [0] 3 4 2 4 3 3" xfId="2018" xr:uid="{00000000-0005-0000-0000-0000A6070000}"/>
    <cellStyle name="쉼표 [0] 3 4 2 4 3 3 2" xfId="2019" xr:uid="{00000000-0005-0000-0000-0000A7070000}"/>
    <cellStyle name="쉼표 [0] 3 4 2 4 3 4" xfId="2020" xr:uid="{00000000-0005-0000-0000-0000A8070000}"/>
    <cellStyle name="쉼표 [0] 3 4 2 4 4" xfId="2021" xr:uid="{00000000-0005-0000-0000-0000A9070000}"/>
    <cellStyle name="쉼표 [0] 3 4 2 4 4 2" xfId="2022" xr:uid="{00000000-0005-0000-0000-0000AA070000}"/>
    <cellStyle name="쉼표 [0] 3 4 2 4 4 2 2" xfId="2023" xr:uid="{00000000-0005-0000-0000-0000AB070000}"/>
    <cellStyle name="쉼표 [0] 3 4 2 4 4 3" xfId="2024" xr:uid="{00000000-0005-0000-0000-0000AC070000}"/>
    <cellStyle name="쉼표 [0] 3 4 2 4 5" xfId="2025" xr:uid="{00000000-0005-0000-0000-0000AD070000}"/>
    <cellStyle name="쉼표 [0] 3 4 2 4 5 2" xfId="2026" xr:uid="{00000000-0005-0000-0000-0000AE070000}"/>
    <cellStyle name="쉼표 [0] 3 4 2 4 6" xfId="2027" xr:uid="{00000000-0005-0000-0000-0000AF070000}"/>
    <cellStyle name="쉼표 [0] 3 4 2 5" xfId="2028" xr:uid="{00000000-0005-0000-0000-0000B0070000}"/>
    <cellStyle name="쉼표 [0] 3 4 2 5 2" xfId="2029" xr:uid="{00000000-0005-0000-0000-0000B1070000}"/>
    <cellStyle name="쉼표 [0] 3 4 2 5 2 2" xfId="2030" xr:uid="{00000000-0005-0000-0000-0000B2070000}"/>
    <cellStyle name="쉼표 [0] 3 4 2 5 2 2 2" xfId="2031" xr:uid="{00000000-0005-0000-0000-0000B3070000}"/>
    <cellStyle name="쉼표 [0] 3 4 2 5 2 2 2 2" xfId="2032" xr:uid="{00000000-0005-0000-0000-0000B4070000}"/>
    <cellStyle name="쉼표 [0] 3 4 2 5 2 2 3" xfId="2033" xr:uid="{00000000-0005-0000-0000-0000B5070000}"/>
    <cellStyle name="쉼표 [0] 3 4 2 5 2 3" xfId="2034" xr:uid="{00000000-0005-0000-0000-0000B6070000}"/>
    <cellStyle name="쉼표 [0] 3 4 2 5 2 3 2" xfId="2035" xr:uid="{00000000-0005-0000-0000-0000B7070000}"/>
    <cellStyle name="쉼표 [0] 3 4 2 5 2 4" xfId="2036" xr:uid="{00000000-0005-0000-0000-0000B8070000}"/>
    <cellStyle name="쉼표 [0] 3 4 2 5 3" xfId="2037" xr:uid="{00000000-0005-0000-0000-0000B9070000}"/>
    <cellStyle name="쉼표 [0] 3 4 2 5 3 2" xfId="2038" xr:uid="{00000000-0005-0000-0000-0000BA070000}"/>
    <cellStyle name="쉼표 [0] 3 4 2 5 3 2 2" xfId="2039" xr:uid="{00000000-0005-0000-0000-0000BB070000}"/>
    <cellStyle name="쉼표 [0] 3 4 2 5 3 3" xfId="2040" xr:uid="{00000000-0005-0000-0000-0000BC070000}"/>
    <cellStyle name="쉼표 [0] 3 4 2 5 4" xfId="2041" xr:uid="{00000000-0005-0000-0000-0000BD070000}"/>
    <cellStyle name="쉼표 [0] 3 4 2 5 4 2" xfId="2042" xr:uid="{00000000-0005-0000-0000-0000BE070000}"/>
    <cellStyle name="쉼표 [0] 3 4 2 5 5" xfId="2043" xr:uid="{00000000-0005-0000-0000-0000BF070000}"/>
    <cellStyle name="쉼표 [0] 3 4 2 6" xfId="2044" xr:uid="{00000000-0005-0000-0000-0000C0070000}"/>
    <cellStyle name="쉼표 [0] 3 4 2 6 2" xfId="2045" xr:uid="{00000000-0005-0000-0000-0000C1070000}"/>
    <cellStyle name="쉼표 [0] 3 4 2 6 2 2" xfId="2046" xr:uid="{00000000-0005-0000-0000-0000C2070000}"/>
    <cellStyle name="쉼표 [0] 3 4 2 6 2 2 2" xfId="2047" xr:uid="{00000000-0005-0000-0000-0000C3070000}"/>
    <cellStyle name="쉼표 [0] 3 4 2 6 2 3" xfId="2048" xr:uid="{00000000-0005-0000-0000-0000C4070000}"/>
    <cellStyle name="쉼표 [0] 3 4 2 6 3" xfId="2049" xr:uid="{00000000-0005-0000-0000-0000C5070000}"/>
    <cellStyle name="쉼표 [0] 3 4 2 6 3 2" xfId="2050" xr:uid="{00000000-0005-0000-0000-0000C6070000}"/>
    <cellStyle name="쉼표 [0] 3 4 2 6 4" xfId="2051" xr:uid="{00000000-0005-0000-0000-0000C7070000}"/>
    <cellStyle name="쉼표 [0] 3 4 2 7" xfId="2052" xr:uid="{00000000-0005-0000-0000-0000C8070000}"/>
    <cellStyle name="쉼표 [0] 3 4 2 7 2" xfId="2053" xr:uid="{00000000-0005-0000-0000-0000C9070000}"/>
    <cellStyle name="쉼표 [0] 3 4 2 7 2 2" xfId="2054" xr:uid="{00000000-0005-0000-0000-0000CA070000}"/>
    <cellStyle name="쉼표 [0] 3 4 2 7 3" xfId="2055" xr:uid="{00000000-0005-0000-0000-0000CB070000}"/>
    <cellStyle name="쉼표 [0] 3 4 2 8" xfId="2056" xr:uid="{00000000-0005-0000-0000-0000CC070000}"/>
    <cellStyle name="쉼표 [0] 3 4 2 8 2" xfId="2057" xr:uid="{00000000-0005-0000-0000-0000CD070000}"/>
    <cellStyle name="쉼표 [0] 3 4 2 9" xfId="2058" xr:uid="{00000000-0005-0000-0000-0000CE070000}"/>
    <cellStyle name="쉼표 [0] 3 4 3" xfId="2059" xr:uid="{00000000-0005-0000-0000-0000CF070000}"/>
    <cellStyle name="쉼표 [0] 3 4 3 2" xfId="2060" xr:uid="{00000000-0005-0000-0000-0000D0070000}"/>
    <cellStyle name="쉼표 [0] 3 4 3 2 2" xfId="2061" xr:uid="{00000000-0005-0000-0000-0000D1070000}"/>
    <cellStyle name="쉼표 [0] 3 4 3 2 2 2" xfId="2062" xr:uid="{00000000-0005-0000-0000-0000D2070000}"/>
    <cellStyle name="쉼표 [0] 3 4 3 2 2 2 2" xfId="2063" xr:uid="{00000000-0005-0000-0000-0000D3070000}"/>
    <cellStyle name="쉼표 [0] 3 4 3 2 2 2 2 2" xfId="2064" xr:uid="{00000000-0005-0000-0000-0000D4070000}"/>
    <cellStyle name="쉼표 [0] 3 4 3 2 2 2 2 2 2" xfId="2065" xr:uid="{00000000-0005-0000-0000-0000D5070000}"/>
    <cellStyle name="쉼표 [0] 3 4 3 2 2 2 2 2 2 2" xfId="2066" xr:uid="{00000000-0005-0000-0000-0000D6070000}"/>
    <cellStyle name="쉼표 [0] 3 4 3 2 2 2 2 2 3" xfId="2067" xr:uid="{00000000-0005-0000-0000-0000D7070000}"/>
    <cellStyle name="쉼표 [0] 3 4 3 2 2 2 2 3" xfId="2068" xr:uid="{00000000-0005-0000-0000-0000D8070000}"/>
    <cellStyle name="쉼표 [0] 3 4 3 2 2 2 2 3 2" xfId="2069" xr:uid="{00000000-0005-0000-0000-0000D9070000}"/>
    <cellStyle name="쉼표 [0] 3 4 3 2 2 2 2 4" xfId="2070" xr:uid="{00000000-0005-0000-0000-0000DA070000}"/>
    <cellStyle name="쉼표 [0] 3 4 3 2 2 2 3" xfId="2071" xr:uid="{00000000-0005-0000-0000-0000DB070000}"/>
    <cellStyle name="쉼표 [0] 3 4 3 2 2 2 3 2" xfId="2072" xr:uid="{00000000-0005-0000-0000-0000DC070000}"/>
    <cellStyle name="쉼표 [0] 3 4 3 2 2 2 3 2 2" xfId="2073" xr:uid="{00000000-0005-0000-0000-0000DD070000}"/>
    <cellStyle name="쉼표 [0] 3 4 3 2 2 2 3 3" xfId="2074" xr:uid="{00000000-0005-0000-0000-0000DE070000}"/>
    <cellStyle name="쉼표 [0] 3 4 3 2 2 2 4" xfId="2075" xr:uid="{00000000-0005-0000-0000-0000DF070000}"/>
    <cellStyle name="쉼표 [0] 3 4 3 2 2 2 4 2" xfId="2076" xr:uid="{00000000-0005-0000-0000-0000E0070000}"/>
    <cellStyle name="쉼표 [0] 3 4 3 2 2 2 5" xfId="2077" xr:uid="{00000000-0005-0000-0000-0000E1070000}"/>
    <cellStyle name="쉼표 [0] 3 4 3 2 2 3" xfId="2078" xr:uid="{00000000-0005-0000-0000-0000E2070000}"/>
    <cellStyle name="쉼표 [0] 3 4 3 2 2 3 2" xfId="2079" xr:uid="{00000000-0005-0000-0000-0000E3070000}"/>
    <cellStyle name="쉼표 [0] 3 4 3 2 2 3 2 2" xfId="2080" xr:uid="{00000000-0005-0000-0000-0000E4070000}"/>
    <cellStyle name="쉼표 [0] 3 4 3 2 2 3 2 2 2" xfId="2081" xr:uid="{00000000-0005-0000-0000-0000E5070000}"/>
    <cellStyle name="쉼표 [0] 3 4 3 2 2 3 2 3" xfId="2082" xr:uid="{00000000-0005-0000-0000-0000E6070000}"/>
    <cellStyle name="쉼표 [0] 3 4 3 2 2 3 3" xfId="2083" xr:uid="{00000000-0005-0000-0000-0000E7070000}"/>
    <cellStyle name="쉼표 [0] 3 4 3 2 2 3 3 2" xfId="2084" xr:uid="{00000000-0005-0000-0000-0000E8070000}"/>
    <cellStyle name="쉼표 [0] 3 4 3 2 2 3 4" xfId="2085" xr:uid="{00000000-0005-0000-0000-0000E9070000}"/>
    <cellStyle name="쉼표 [0] 3 4 3 2 2 4" xfId="2086" xr:uid="{00000000-0005-0000-0000-0000EA070000}"/>
    <cellStyle name="쉼표 [0] 3 4 3 2 2 4 2" xfId="2087" xr:uid="{00000000-0005-0000-0000-0000EB070000}"/>
    <cellStyle name="쉼표 [0] 3 4 3 2 2 4 2 2" xfId="2088" xr:uid="{00000000-0005-0000-0000-0000EC070000}"/>
    <cellStyle name="쉼표 [0] 3 4 3 2 2 4 3" xfId="2089" xr:uid="{00000000-0005-0000-0000-0000ED070000}"/>
    <cellStyle name="쉼표 [0] 3 4 3 2 2 5" xfId="2090" xr:uid="{00000000-0005-0000-0000-0000EE070000}"/>
    <cellStyle name="쉼표 [0] 3 4 3 2 2 5 2" xfId="2091" xr:uid="{00000000-0005-0000-0000-0000EF070000}"/>
    <cellStyle name="쉼표 [0] 3 4 3 2 2 6" xfId="2092" xr:uid="{00000000-0005-0000-0000-0000F0070000}"/>
    <cellStyle name="쉼표 [0] 3 4 3 2 3" xfId="2093" xr:uid="{00000000-0005-0000-0000-0000F1070000}"/>
    <cellStyle name="쉼표 [0] 3 4 3 2 3 2" xfId="2094" xr:uid="{00000000-0005-0000-0000-0000F2070000}"/>
    <cellStyle name="쉼표 [0] 3 4 3 2 3 2 2" xfId="2095" xr:uid="{00000000-0005-0000-0000-0000F3070000}"/>
    <cellStyle name="쉼표 [0] 3 4 3 2 3 2 2 2" xfId="2096" xr:uid="{00000000-0005-0000-0000-0000F4070000}"/>
    <cellStyle name="쉼표 [0] 3 4 3 2 3 2 2 2 2" xfId="2097" xr:uid="{00000000-0005-0000-0000-0000F5070000}"/>
    <cellStyle name="쉼표 [0] 3 4 3 2 3 2 2 3" xfId="2098" xr:uid="{00000000-0005-0000-0000-0000F6070000}"/>
    <cellStyle name="쉼표 [0] 3 4 3 2 3 2 3" xfId="2099" xr:uid="{00000000-0005-0000-0000-0000F7070000}"/>
    <cellStyle name="쉼표 [0] 3 4 3 2 3 2 3 2" xfId="2100" xr:uid="{00000000-0005-0000-0000-0000F8070000}"/>
    <cellStyle name="쉼표 [0] 3 4 3 2 3 2 4" xfId="2101" xr:uid="{00000000-0005-0000-0000-0000F9070000}"/>
    <cellStyle name="쉼표 [0] 3 4 3 2 3 3" xfId="2102" xr:uid="{00000000-0005-0000-0000-0000FA070000}"/>
    <cellStyle name="쉼표 [0] 3 4 3 2 3 3 2" xfId="2103" xr:uid="{00000000-0005-0000-0000-0000FB070000}"/>
    <cellStyle name="쉼표 [0] 3 4 3 2 3 3 2 2" xfId="2104" xr:uid="{00000000-0005-0000-0000-0000FC070000}"/>
    <cellStyle name="쉼표 [0] 3 4 3 2 3 3 3" xfId="2105" xr:uid="{00000000-0005-0000-0000-0000FD070000}"/>
    <cellStyle name="쉼표 [0] 3 4 3 2 3 4" xfId="2106" xr:uid="{00000000-0005-0000-0000-0000FE070000}"/>
    <cellStyle name="쉼표 [0] 3 4 3 2 3 4 2" xfId="2107" xr:uid="{00000000-0005-0000-0000-0000FF070000}"/>
    <cellStyle name="쉼표 [0] 3 4 3 2 3 5" xfId="2108" xr:uid="{00000000-0005-0000-0000-000000080000}"/>
    <cellStyle name="쉼표 [0] 3 4 3 2 4" xfId="2109" xr:uid="{00000000-0005-0000-0000-000001080000}"/>
    <cellStyle name="쉼표 [0] 3 4 3 2 4 2" xfId="2110" xr:uid="{00000000-0005-0000-0000-000002080000}"/>
    <cellStyle name="쉼표 [0] 3 4 3 2 4 2 2" xfId="2111" xr:uid="{00000000-0005-0000-0000-000003080000}"/>
    <cellStyle name="쉼표 [0] 3 4 3 2 4 2 2 2" xfId="2112" xr:uid="{00000000-0005-0000-0000-000004080000}"/>
    <cellStyle name="쉼표 [0] 3 4 3 2 4 2 3" xfId="2113" xr:uid="{00000000-0005-0000-0000-000005080000}"/>
    <cellStyle name="쉼표 [0] 3 4 3 2 4 3" xfId="2114" xr:uid="{00000000-0005-0000-0000-000006080000}"/>
    <cellStyle name="쉼표 [0] 3 4 3 2 4 3 2" xfId="2115" xr:uid="{00000000-0005-0000-0000-000007080000}"/>
    <cellStyle name="쉼표 [0] 3 4 3 2 4 4" xfId="2116" xr:uid="{00000000-0005-0000-0000-000008080000}"/>
    <cellStyle name="쉼표 [0] 3 4 3 2 5" xfId="2117" xr:uid="{00000000-0005-0000-0000-000009080000}"/>
    <cellStyle name="쉼표 [0] 3 4 3 2 5 2" xfId="2118" xr:uid="{00000000-0005-0000-0000-00000A080000}"/>
    <cellStyle name="쉼표 [0] 3 4 3 2 5 2 2" xfId="2119" xr:uid="{00000000-0005-0000-0000-00000B080000}"/>
    <cellStyle name="쉼표 [0] 3 4 3 2 5 3" xfId="2120" xr:uid="{00000000-0005-0000-0000-00000C080000}"/>
    <cellStyle name="쉼표 [0] 3 4 3 2 6" xfId="2121" xr:uid="{00000000-0005-0000-0000-00000D080000}"/>
    <cellStyle name="쉼표 [0] 3 4 3 2 6 2" xfId="2122" xr:uid="{00000000-0005-0000-0000-00000E080000}"/>
    <cellStyle name="쉼표 [0] 3 4 3 2 7" xfId="2123" xr:uid="{00000000-0005-0000-0000-00000F080000}"/>
    <cellStyle name="쉼표 [0] 3 4 3 2 8" xfId="2124" xr:uid="{00000000-0005-0000-0000-000010080000}"/>
    <cellStyle name="쉼표 [0] 3 4 3 3" xfId="2125" xr:uid="{00000000-0005-0000-0000-000011080000}"/>
    <cellStyle name="쉼표 [0] 3 4 3 3 2" xfId="2126" xr:uid="{00000000-0005-0000-0000-000012080000}"/>
    <cellStyle name="쉼표 [0] 3 4 3 3 2 2" xfId="2127" xr:uid="{00000000-0005-0000-0000-000013080000}"/>
    <cellStyle name="쉼표 [0] 3 4 3 3 2 2 2" xfId="2128" xr:uid="{00000000-0005-0000-0000-000014080000}"/>
    <cellStyle name="쉼표 [0] 3 4 3 3 2 2 2 2" xfId="2129" xr:uid="{00000000-0005-0000-0000-000015080000}"/>
    <cellStyle name="쉼표 [0] 3 4 3 3 2 2 2 2 2" xfId="2130" xr:uid="{00000000-0005-0000-0000-000016080000}"/>
    <cellStyle name="쉼표 [0] 3 4 3 3 2 2 2 3" xfId="2131" xr:uid="{00000000-0005-0000-0000-000017080000}"/>
    <cellStyle name="쉼표 [0] 3 4 3 3 2 2 3" xfId="2132" xr:uid="{00000000-0005-0000-0000-000018080000}"/>
    <cellStyle name="쉼표 [0] 3 4 3 3 2 2 3 2" xfId="2133" xr:uid="{00000000-0005-0000-0000-000019080000}"/>
    <cellStyle name="쉼표 [0] 3 4 3 3 2 2 4" xfId="2134" xr:uid="{00000000-0005-0000-0000-00001A080000}"/>
    <cellStyle name="쉼표 [0] 3 4 3 3 2 3" xfId="2135" xr:uid="{00000000-0005-0000-0000-00001B080000}"/>
    <cellStyle name="쉼표 [0] 3 4 3 3 2 3 2" xfId="2136" xr:uid="{00000000-0005-0000-0000-00001C080000}"/>
    <cellStyle name="쉼표 [0] 3 4 3 3 2 3 2 2" xfId="2137" xr:uid="{00000000-0005-0000-0000-00001D080000}"/>
    <cellStyle name="쉼표 [0] 3 4 3 3 2 3 3" xfId="2138" xr:uid="{00000000-0005-0000-0000-00001E080000}"/>
    <cellStyle name="쉼표 [0] 3 4 3 3 2 4" xfId="2139" xr:uid="{00000000-0005-0000-0000-00001F080000}"/>
    <cellStyle name="쉼표 [0] 3 4 3 3 2 4 2" xfId="2140" xr:uid="{00000000-0005-0000-0000-000020080000}"/>
    <cellStyle name="쉼표 [0] 3 4 3 3 2 5" xfId="2141" xr:uid="{00000000-0005-0000-0000-000021080000}"/>
    <cellStyle name="쉼표 [0] 3 4 3 3 3" xfId="2142" xr:uid="{00000000-0005-0000-0000-000022080000}"/>
    <cellStyle name="쉼표 [0] 3 4 3 3 3 2" xfId="2143" xr:uid="{00000000-0005-0000-0000-000023080000}"/>
    <cellStyle name="쉼표 [0] 3 4 3 3 3 2 2" xfId="2144" xr:uid="{00000000-0005-0000-0000-000024080000}"/>
    <cellStyle name="쉼표 [0] 3 4 3 3 3 2 2 2" xfId="2145" xr:uid="{00000000-0005-0000-0000-000025080000}"/>
    <cellStyle name="쉼표 [0] 3 4 3 3 3 2 3" xfId="2146" xr:uid="{00000000-0005-0000-0000-000026080000}"/>
    <cellStyle name="쉼표 [0] 3 4 3 3 3 3" xfId="2147" xr:uid="{00000000-0005-0000-0000-000027080000}"/>
    <cellStyle name="쉼표 [0] 3 4 3 3 3 3 2" xfId="2148" xr:uid="{00000000-0005-0000-0000-000028080000}"/>
    <cellStyle name="쉼표 [0] 3 4 3 3 3 4" xfId="2149" xr:uid="{00000000-0005-0000-0000-000029080000}"/>
    <cellStyle name="쉼표 [0] 3 4 3 3 4" xfId="2150" xr:uid="{00000000-0005-0000-0000-00002A080000}"/>
    <cellStyle name="쉼표 [0] 3 4 3 3 4 2" xfId="2151" xr:uid="{00000000-0005-0000-0000-00002B080000}"/>
    <cellStyle name="쉼표 [0] 3 4 3 3 4 2 2" xfId="2152" xr:uid="{00000000-0005-0000-0000-00002C080000}"/>
    <cellStyle name="쉼표 [0] 3 4 3 3 4 3" xfId="2153" xr:uid="{00000000-0005-0000-0000-00002D080000}"/>
    <cellStyle name="쉼표 [0] 3 4 3 3 5" xfId="2154" xr:uid="{00000000-0005-0000-0000-00002E080000}"/>
    <cellStyle name="쉼표 [0] 3 4 3 3 5 2" xfId="2155" xr:uid="{00000000-0005-0000-0000-00002F080000}"/>
    <cellStyle name="쉼표 [0] 3 4 3 3 6" xfId="2156" xr:uid="{00000000-0005-0000-0000-000030080000}"/>
    <cellStyle name="쉼표 [0] 3 4 3 4" xfId="2157" xr:uid="{00000000-0005-0000-0000-000031080000}"/>
    <cellStyle name="쉼표 [0] 3 4 3 4 2" xfId="2158" xr:uid="{00000000-0005-0000-0000-000032080000}"/>
    <cellStyle name="쉼표 [0] 3 4 3 4 2 2" xfId="2159" xr:uid="{00000000-0005-0000-0000-000033080000}"/>
    <cellStyle name="쉼표 [0] 3 4 3 4 2 2 2" xfId="2160" xr:uid="{00000000-0005-0000-0000-000034080000}"/>
    <cellStyle name="쉼표 [0] 3 4 3 4 2 2 2 2" xfId="2161" xr:uid="{00000000-0005-0000-0000-000035080000}"/>
    <cellStyle name="쉼표 [0] 3 4 3 4 2 2 3" xfId="2162" xr:uid="{00000000-0005-0000-0000-000036080000}"/>
    <cellStyle name="쉼표 [0] 3 4 3 4 2 3" xfId="2163" xr:uid="{00000000-0005-0000-0000-000037080000}"/>
    <cellStyle name="쉼표 [0] 3 4 3 4 2 3 2" xfId="2164" xr:uid="{00000000-0005-0000-0000-000038080000}"/>
    <cellStyle name="쉼표 [0] 3 4 3 4 2 4" xfId="2165" xr:uid="{00000000-0005-0000-0000-000039080000}"/>
    <cellStyle name="쉼표 [0] 3 4 3 4 3" xfId="2166" xr:uid="{00000000-0005-0000-0000-00003A080000}"/>
    <cellStyle name="쉼표 [0] 3 4 3 4 3 2" xfId="2167" xr:uid="{00000000-0005-0000-0000-00003B080000}"/>
    <cellStyle name="쉼표 [0] 3 4 3 4 3 2 2" xfId="2168" xr:uid="{00000000-0005-0000-0000-00003C080000}"/>
    <cellStyle name="쉼표 [0] 3 4 3 4 3 3" xfId="2169" xr:uid="{00000000-0005-0000-0000-00003D080000}"/>
    <cellStyle name="쉼표 [0] 3 4 3 4 4" xfId="2170" xr:uid="{00000000-0005-0000-0000-00003E080000}"/>
    <cellStyle name="쉼표 [0] 3 4 3 4 4 2" xfId="2171" xr:uid="{00000000-0005-0000-0000-00003F080000}"/>
    <cellStyle name="쉼표 [0] 3 4 3 4 5" xfId="2172" xr:uid="{00000000-0005-0000-0000-000040080000}"/>
    <cellStyle name="쉼표 [0] 3 4 3 5" xfId="2173" xr:uid="{00000000-0005-0000-0000-000041080000}"/>
    <cellStyle name="쉼표 [0] 3 4 3 5 2" xfId="2174" xr:uid="{00000000-0005-0000-0000-000042080000}"/>
    <cellStyle name="쉼표 [0] 3 4 3 5 2 2" xfId="2175" xr:uid="{00000000-0005-0000-0000-000043080000}"/>
    <cellStyle name="쉼표 [0] 3 4 3 5 2 2 2" xfId="2176" xr:uid="{00000000-0005-0000-0000-000044080000}"/>
    <cellStyle name="쉼표 [0] 3 4 3 5 2 3" xfId="2177" xr:uid="{00000000-0005-0000-0000-000045080000}"/>
    <cellStyle name="쉼표 [0] 3 4 3 5 3" xfId="2178" xr:uid="{00000000-0005-0000-0000-000046080000}"/>
    <cellStyle name="쉼표 [0] 3 4 3 5 3 2" xfId="2179" xr:uid="{00000000-0005-0000-0000-000047080000}"/>
    <cellStyle name="쉼표 [0] 3 4 3 5 4" xfId="2180" xr:uid="{00000000-0005-0000-0000-000048080000}"/>
    <cellStyle name="쉼표 [0] 3 4 3 6" xfId="2181" xr:uid="{00000000-0005-0000-0000-000049080000}"/>
    <cellStyle name="쉼표 [0] 3 4 3 6 2" xfId="2182" xr:uid="{00000000-0005-0000-0000-00004A080000}"/>
    <cellStyle name="쉼표 [0] 3 4 3 6 2 2" xfId="2183" xr:uid="{00000000-0005-0000-0000-00004B080000}"/>
    <cellStyle name="쉼표 [0] 3 4 3 6 3" xfId="2184" xr:uid="{00000000-0005-0000-0000-00004C080000}"/>
    <cellStyle name="쉼표 [0] 3 4 3 7" xfId="2185" xr:uid="{00000000-0005-0000-0000-00004D080000}"/>
    <cellStyle name="쉼표 [0] 3 4 3 7 2" xfId="2186" xr:uid="{00000000-0005-0000-0000-00004E080000}"/>
    <cellStyle name="쉼표 [0] 3 4 3 8" xfId="2187" xr:uid="{00000000-0005-0000-0000-00004F080000}"/>
    <cellStyle name="쉼표 [0] 3 4 3 9" xfId="2188" xr:uid="{00000000-0005-0000-0000-000050080000}"/>
    <cellStyle name="쉼표 [0] 3 4 4" xfId="2189" xr:uid="{00000000-0005-0000-0000-000051080000}"/>
    <cellStyle name="쉼표 [0] 3 4 4 2" xfId="2190" xr:uid="{00000000-0005-0000-0000-000052080000}"/>
    <cellStyle name="쉼표 [0] 3 4 4 2 2" xfId="2191" xr:uid="{00000000-0005-0000-0000-000053080000}"/>
    <cellStyle name="쉼표 [0] 3 4 4 2 2 2" xfId="2192" xr:uid="{00000000-0005-0000-0000-000054080000}"/>
    <cellStyle name="쉼표 [0] 3 4 4 2 2 2 2" xfId="2193" xr:uid="{00000000-0005-0000-0000-000055080000}"/>
    <cellStyle name="쉼표 [0] 3 4 4 2 2 2 2 2" xfId="2194" xr:uid="{00000000-0005-0000-0000-000056080000}"/>
    <cellStyle name="쉼표 [0] 3 4 4 2 2 2 2 2 2" xfId="2195" xr:uid="{00000000-0005-0000-0000-000057080000}"/>
    <cellStyle name="쉼표 [0] 3 4 4 2 2 2 2 3" xfId="2196" xr:uid="{00000000-0005-0000-0000-000058080000}"/>
    <cellStyle name="쉼표 [0] 3 4 4 2 2 2 3" xfId="2197" xr:uid="{00000000-0005-0000-0000-000059080000}"/>
    <cellStyle name="쉼표 [0] 3 4 4 2 2 2 3 2" xfId="2198" xr:uid="{00000000-0005-0000-0000-00005A080000}"/>
    <cellStyle name="쉼표 [0] 3 4 4 2 2 2 4" xfId="2199" xr:uid="{00000000-0005-0000-0000-00005B080000}"/>
    <cellStyle name="쉼표 [0] 3 4 4 2 2 3" xfId="2200" xr:uid="{00000000-0005-0000-0000-00005C080000}"/>
    <cellStyle name="쉼표 [0] 3 4 4 2 2 3 2" xfId="2201" xr:uid="{00000000-0005-0000-0000-00005D080000}"/>
    <cellStyle name="쉼표 [0] 3 4 4 2 2 3 2 2" xfId="2202" xr:uid="{00000000-0005-0000-0000-00005E080000}"/>
    <cellStyle name="쉼표 [0] 3 4 4 2 2 3 3" xfId="2203" xr:uid="{00000000-0005-0000-0000-00005F080000}"/>
    <cellStyle name="쉼표 [0] 3 4 4 2 2 4" xfId="2204" xr:uid="{00000000-0005-0000-0000-000060080000}"/>
    <cellStyle name="쉼표 [0] 3 4 4 2 2 4 2" xfId="2205" xr:uid="{00000000-0005-0000-0000-000061080000}"/>
    <cellStyle name="쉼표 [0] 3 4 4 2 2 5" xfId="2206" xr:uid="{00000000-0005-0000-0000-000062080000}"/>
    <cellStyle name="쉼표 [0] 3 4 4 2 3" xfId="2207" xr:uid="{00000000-0005-0000-0000-000063080000}"/>
    <cellStyle name="쉼표 [0] 3 4 4 2 3 2" xfId="2208" xr:uid="{00000000-0005-0000-0000-000064080000}"/>
    <cellStyle name="쉼표 [0] 3 4 4 2 3 2 2" xfId="2209" xr:uid="{00000000-0005-0000-0000-000065080000}"/>
    <cellStyle name="쉼표 [0] 3 4 4 2 3 2 2 2" xfId="2210" xr:uid="{00000000-0005-0000-0000-000066080000}"/>
    <cellStyle name="쉼표 [0] 3 4 4 2 3 2 3" xfId="2211" xr:uid="{00000000-0005-0000-0000-000067080000}"/>
    <cellStyle name="쉼표 [0] 3 4 4 2 3 3" xfId="2212" xr:uid="{00000000-0005-0000-0000-000068080000}"/>
    <cellStyle name="쉼표 [0] 3 4 4 2 3 3 2" xfId="2213" xr:uid="{00000000-0005-0000-0000-000069080000}"/>
    <cellStyle name="쉼표 [0] 3 4 4 2 3 4" xfId="2214" xr:uid="{00000000-0005-0000-0000-00006A080000}"/>
    <cellStyle name="쉼표 [0] 3 4 4 2 4" xfId="2215" xr:uid="{00000000-0005-0000-0000-00006B080000}"/>
    <cellStyle name="쉼표 [0] 3 4 4 2 4 2" xfId="2216" xr:uid="{00000000-0005-0000-0000-00006C080000}"/>
    <cellStyle name="쉼표 [0] 3 4 4 2 4 2 2" xfId="2217" xr:uid="{00000000-0005-0000-0000-00006D080000}"/>
    <cellStyle name="쉼표 [0] 3 4 4 2 4 3" xfId="2218" xr:uid="{00000000-0005-0000-0000-00006E080000}"/>
    <cellStyle name="쉼표 [0] 3 4 4 2 5" xfId="2219" xr:uid="{00000000-0005-0000-0000-00006F080000}"/>
    <cellStyle name="쉼표 [0] 3 4 4 2 5 2" xfId="2220" xr:uid="{00000000-0005-0000-0000-000070080000}"/>
    <cellStyle name="쉼표 [0] 3 4 4 2 6" xfId="2221" xr:uid="{00000000-0005-0000-0000-000071080000}"/>
    <cellStyle name="쉼표 [0] 3 4 4 3" xfId="2222" xr:uid="{00000000-0005-0000-0000-000072080000}"/>
    <cellStyle name="쉼표 [0] 3 4 4 3 2" xfId="2223" xr:uid="{00000000-0005-0000-0000-000073080000}"/>
    <cellStyle name="쉼표 [0] 3 4 4 3 2 2" xfId="2224" xr:uid="{00000000-0005-0000-0000-000074080000}"/>
    <cellStyle name="쉼표 [0] 3 4 4 3 2 2 2" xfId="2225" xr:uid="{00000000-0005-0000-0000-000075080000}"/>
    <cellStyle name="쉼표 [0] 3 4 4 3 2 2 2 2" xfId="2226" xr:uid="{00000000-0005-0000-0000-000076080000}"/>
    <cellStyle name="쉼표 [0] 3 4 4 3 2 2 3" xfId="2227" xr:uid="{00000000-0005-0000-0000-000077080000}"/>
    <cellStyle name="쉼표 [0] 3 4 4 3 2 3" xfId="2228" xr:uid="{00000000-0005-0000-0000-000078080000}"/>
    <cellStyle name="쉼표 [0] 3 4 4 3 2 3 2" xfId="2229" xr:uid="{00000000-0005-0000-0000-000079080000}"/>
    <cellStyle name="쉼표 [0] 3 4 4 3 2 4" xfId="2230" xr:uid="{00000000-0005-0000-0000-00007A080000}"/>
    <cellStyle name="쉼표 [0] 3 4 4 3 3" xfId="2231" xr:uid="{00000000-0005-0000-0000-00007B080000}"/>
    <cellStyle name="쉼표 [0] 3 4 4 3 3 2" xfId="2232" xr:uid="{00000000-0005-0000-0000-00007C080000}"/>
    <cellStyle name="쉼표 [0] 3 4 4 3 3 2 2" xfId="2233" xr:uid="{00000000-0005-0000-0000-00007D080000}"/>
    <cellStyle name="쉼표 [0] 3 4 4 3 3 3" xfId="2234" xr:uid="{00000000-0005-0000-0000-00007E080000}"/>
    <cellStyle name="쉼표 [0] 3 4 4 3 4" xfId="2235" xr:uid="{00000000-0005-0000-0000-00007F080000}"/>
    <cellStyle name="쉼표 [0] 3 4 4 3 4 2" xfId="2236" xr:uid="{00000000-0005-0000-0000-000080080000}"/>
    <cellStyle name="쉼표 [0] 3 4 4 3 5" xfId="2237" xr:uid="{00000000-0005-0000-0000-000081080000}"/>
    <cellStyle name="쉼표 [0] 3 4 4 4" xfId="2238" xr:uid="{00000000-0005-0000-0000-000082080000}"/>
    <cellStyle name="쉼표 [0] 3 4 4 4 2" xfId="2239" xr:uid="{00000000-0005-0000-0000-000083080000}"/>
    <cellStyle name="쉼표 [0] 3 4 4 4 2 2" xfId="2240" xr:uid="{00000000-0005-0000-0000-000084080000}"/>
    <cellStyle name="쉼표 [0] 3 4 4 4 2 2 2" xfId="2241" xr:uid="{00000000-0005-0000-0000-000085080000}"/>
    <cellStyle name="쉼표 [0] 3 4 4 4 2 3" xfId="2242" xr:uid="{00000000-0005-0000-0000-000086080000}"/>
    <cellStyle name="쉼표 [0] 3 4 4 4 3" xfId="2243" xr:uid="{00000000-0005-0000-0000-000087080000}"/>
    <cellStyle name="쉼표 [0] 3 4 4 4 3 2" xfId="2244" xr:uid="{00000000-0005-0000-0000-000088080000}"/>
    <cellStyle name="쉼표 [0] 3 4 4 4 4" xfId="2245" xr:uid="{00000000-0005-0000-0000-000089080000}"/>
    <cellStyle name="쉼표 [0] 3 4 4 5" xfId="2246" xr:uid="{00000000-0005-0000-0000-00008A080000}"/>
    <cellStyle name="쉼표 [0] 3 4 4 5 2" xfId="2247" xr:uid="{00000000-0005-0000-0000-00008B080000}"/>
    <cellStyle name="쉼표 [0] 3 4 4 5 2 2" xfId="2248" xr:uid="{00000000-0005-0000-0000-00008C080000}"/>
    <cellStyle name="쉼표 [0] 3 4 4 5 3" xfId="2249" xr:uid="{00000000-0005-0000-0000-00008D080000}"/>
    <cellStyle name="쉼표 [0] 3 4 4 6" xfId="2250" xr:uid="{00000000-0005-0000-0000-00008E080000}"/>
    <cellStyle name="쉼표 [0] 3 4 4 6 2" xfId="2251" xr:uid="{00000000-0005-0000-0000-00008F080000}"/>
    <cellStyle name="쉼표 [0] 3 4 4 7" xfId="2252" xr:uid="{00000000-0005-0000-0000-000090080000}"/>
    <cellStyle name="쉼표 [0] 3 4 4 8" xfId="2253" xr:uid="{00000000-0005-0000-0000-000091080000}"/>
    <cellStyle name="쉼표 [0] 3 4 5" xfId="2254" xr:uid="{00000000-0005-0000-0000-000092080000}"/>
    <cellStyle name="쉼표 [0] 3 4 5 2" xfId="2255" xr:uid="{00000000-0005-0000-0000-000093080000}"/>
    <cellStyle name="쉼표 [0] 3 4 5 2 2" xfId="2256" xr:uid="{00000000-0005-0000-0000-000094080000}"/>
    <cellStyle name="쉼표 [0] 3 4 5 2 2 2" xfId="2257" xr:uid="{00000000-0005-0000-0000-000095080000}"/>
    <cellStyle name="쉼표 [0] 3 4 5 2 2 2 2" xfId="2258" xr:uid="{00000000-0005-0000-0000-000096080000}"/>
    <cellStyle name="쉼표 [0] 3 4 5 2 2 2 2 2" xfId="2259" xr:uid="{00000000-0005-0000-0000-000097080000}"/>
    <cellStyle name="쉼표 [0] 3 4 5 2 2 2 3" xfId="2260" xr:uid="{00000000-0005-0000-0000-000098080000}"/>
    <cellStyle name="쉼표 [0] 3 4 5 2 2 3" xfId="2261" xr:uid="{00000000-0005-0000-0000-000099080000}"/>
    <cellStyle name="쉼표 [0] 3 4 5 2 2 3 2" xfId="2262" xr:uid="{00000000-0005-0000-0000-00009A080000}"/>
    <cellStyle name="쉼표 [0] 3 4 5 2 2 4" xfId="2263" xr:uid="{00000000-0005-0000-0000-00009B080000}"/>
    <cellStyle name="쉼표 [0] 3 4 5 2 3" xfId="2264" xr:uid="{00000000-0005-0000-0000-00009C080000}"/>
    <cellStyle name="쉼표 [0] 3 4 5 2 3 2" xfId="2265" xr:uid="{00000000-0005-0000-0000-00009D080000}"/>
    <cellStyle name="쉼표 [0] 3 4 5 2 3 2 2" xfId="2266" xr:uid="{00000000-0005-0000-0000-00009E080000}"/>
    <cellStyle name="쉼표 [0] 3 4 5 2 3 3" xfId="2267" xr:uid="{00000000-0005-0000-0000-00009F080000}"/>
    <cellStyle name="쉼표 [0] 3 4 5 2 4" xfId="2268" xr:uid="{00000000-0005-0000-0000-0000A0080000}"/>
    <cellStyle name="쉼표 [0] 3 4 5 2 4 2" xfId="2269" xr:uid="{00000000-0005-0000-0000-0000A1080000}"/>
    <cellStyle name="쉼표 [0] 3 4 5 2 5" xfId="2270" xr:uid="{00000000-0005-0000-0000-0000A2080000}"/>
    <cellStyle name="쉼표 [0] 3 4 5 3" xfId="2271" xr:uid="{00000000-0005-0000-0000-0000A3080000}"/>
    <cellStyle name="쉼표 [0] 3 4 5 3 2" xfId="2272" xr:uid="{00000000-0005-0000-0000-0000A4080000}"/>
    <cellStyle name="쉼표 [0] 3 4 5 3 2 2" xfId="2273" xr:uid="{00000000-0005-0000-0000-0000A5080000}"/>
    <cellStyle name="쉼표 [0] 3 4 5 3 2 2 2" xfId="2274" xr:uid="{00000000-0005-0000-0000-0000A6080000}"/>
    <cellStyle name="쉼표 [0] 3 4 5 3 2 3" xfId="2275" xr:uid="{00000000-0005-0000-0000-0000A7080000}"/>
    <cellStyle name="쉼표 [0] 3 4 5 3 3" xfId="2276" xr:uid="{00000000-0005-0000-0000-0000A8080000}"/>
    <cellStyle name="쉼표 [0] 3 4 5 3 3 2" xfId="2277" xr:uid="{00000000-0005-0000-0000-0000A9080000}"/>
    <cellStyle name="쉼표 [0] 3 4 5 3 4" xfId="2278" xr:uid="{00000000-0005-0000-0000-0000AA080000}"/>
    <cellStyle name="쉼표 [0] 3 4 5 4" xfId="2279" xr:uid="{00000000-0005-0000-0000-0000AB080000}"/>
    <cellStyle name="쉼표 [0] 3 4 5 4 2" xfId="2280" xr:uid="{00000000-0005-0000-0000-0000AC080000}"/>
    <cellStyle name="쉼표 [0] 3 4 5 4 2 2" xfId="2281" xr:uid="{00000000-0005-0000-0000-0000AD080000}"/>
    <cellStyle name="쉼표 [0] 3 4 5 4 3" xfId="2282" xr:uid="{00000000-0005-0000-0000-0000AE080000}"/>
    <cellStyle name="쉼표 [0] 3 4 5 5" xfId="2283" xr:uid="{00000000-0005-0000-0000-0000AF080000}"/>
    <cellStyle name="쉼표 [0] 3 4 5 5 2" xfId="2284" xr:uid="{00000000-0005-0000-0000-0000B0080000}"/>
    <cellStyle name="쉼표 [0] 3 4 5 6" xfId="2285" xr:uid="{00000000-0005-0000-0000-0000B1080000}"/>
    <cellStyle name="쉼표 [0] 3 4 6" xfId="2286" xr:uid="{00000000-0005-0000-0000-0000B2080000}"/>
    <cellStyle name="쉼표 [0] 3 4 6 2" xfId="2287" xr:uid="{00000000-0005-0000-0000-0000B3080000}"/>
    <cellStyle name="쉼표 [0] 3 4 6 2 2" xfId="2288" xr:uid="{00000000-0005-0000-0000-0000B4080000}"/>
    <cellStyle name="쉼표 [0] 3 4 6 2 2 2" xfId="2289" xr:uid="{00000000-0005-0000-0000-0000B5080000}"/>
    <cellStyle name="쉼표 [0] 3 4 6 2 2 2 2" xfId="2290" xr:uid="{00000000-0005-0000-0000-0000B6080000}"/>
    <cellStyle name="쉼표 [0] 3 4 6 2 2 3" xfId="2291" xr:uid="{00000000-0005-0000-0000-0000B7080000}"/>
    <cellStyle name="쉼표 [0] 3 4 6 2 3" xfId="2292" xr:uid="{00000000-0005-0000-0000-0000B8080000}"/>
    <cellStyle name="쉼표 [0] 3 4 6 2 3 2" xfId="2293" xr:uid="{00000000-0005-0000-0000-0000B9080000}"/>
    <cellStyle name="쉼표 [0] 3 4 6 2 4" xfId="2294" xr:uid="{00000000-0005-0000-0000-0000BA080000}"/>
    <cellStyle name="쉼표 [0] 3 4 6 3" xfId="2295" xr:uid="{00000000-0005-0000-0000-0000BB080000}"/>
    <cellStyle name="쉼표 [0] 3 4 6 3 2" xfId="2296" xr:uid="{00000000-0005-0000-0000-0000BC080000}"/>
    <cellStyle name="쉼표 [0] 3 4 6 3 2 2" xfId="2297" xr:uid="{00000000-0005-0000-0000-0000BD080000}"/>
    <cellStyle name="쉼표 [0] 3 4 6 3 3" xfId="2298" xr:uid="{00000000-0005-0000-0000-0000BE080000}"/>
    <cellStyle name="쉼표 [0] 3 4 6 4" xfId="2299" xr:uid="{00000000-0005-0000-0000-0000BF080000}"/>
    <cellStyle name="쉼표 [0] 3 4 6 4 2" xfId="2300" xr:uid="{00000000-0005-0000-0000-0000C0080000}"/>
    <cellStyle name="쉼표 [0] 3 4 6 5" xfId="2301" xr:uid="{00000000-0005-0000-0000-0000C1080000}"/>
    <cellStyle name="쉼표 [0] 3 4 7" xfId="2302" xr:uid="{00000000-0005-0000-0000-0000C2080000}"/>
    <cellStyle name="쉼표 [0] 3 4 7 2" xfId="2303" xr:uid="{00000000-0005-0000-0000-0000C3080000}"/>
    <cellStyle name="쉼표 [0] 3 4 7 2 2" xfId="2304" xr:uid="{00000000-0005-0000-0000-0000C4080000}"/>
    <cellStyle name="쉼표 [0] 3 4 7 2 2 2" xfId="2305" xr:uid="{00000000-0005-0000-0000-0000C5080000}"/>
    <cellStyle name="쉼표 [0] 3 4 7 2 3" xfId="2306" xr:uid="{00000000-0005-0000-0000-0000C6080000}"/>
    <cellStyle name="쉼표 [0] 3 4 7 3" xfId="2307" xr:uid="{00000000-0005-0000-0000-0000C7080000}"/>
    <cellStyle name="쉼표 [0] 3 4 7 3 2" xfId="2308" xr:uid="{00000000-0005-0000-0000-0000C8080000}"/>
    <cellStyle name="쉼표 [0] 3 4 7 4" xfId="2309" xr:uid="{00000000-0005-0000-0000-0000C9080000}"/>
    <cellStyle name="쉼표 [0] 3 4 8" xfId="2310" xr:uid="{00000000-0005-0000-0000-0000CA080000}"/>
    <cellStyle name="쉼표 [0] 3 4 8 2" xfId="2311" xr:uid="{00000000-0005-0000-0000-0000CB080000}"/>
    <cellStyle name="쉼표 [0] 3 4 8 2 2" xfId="2312" xr:uid="{00000000-0005-0000-0000-0000CC080000}"/>
    <cellStyle name="쉼표 [0] 3 4 8 3" xfId="2313" xr:uid="{00000000-0005-0000-0000-0000CD080000}"/>
    <cellStyle name="쉼표 [0] 3 4 9" xfId="2314" xr:uid="{00000000-0005-0000-0000-0000CE080000}"/>
    <cellStyle name="쉼표 [0] 3 4 9 2" xfId="2315" xr:uid="{00000000-0005-0000-0000-0000CF080000}"/>
    <cellStyle name="쉼표 [0] 3 40" xfId="2316" xr:uid="{00000000-0005-0000-0000-0000D0080000}"/>
    <cellStyle name="쉼표 [0] 3 41" xfId="2317" xr:uid="{00000000-0005-0000-0000-0000D1080000}"/>
    <cellStyle name="쉼표 [0] 3 42" xfId="2318" xr:uid="{00000000-0005-0000-0000-0000D2080000}"/>
    <cellStyle name="쉼표 [0] 3 43" xfId="2319" xr:uid="{00000000-0005-0000-0000-0000D3080000}"/>
    <cellStyle name="쉼표 [0] 3 5" xfId="2320" xr:uid="{00000000-0005-0000-0000-0000D4080000}"/>
    <cellStyle name="쉼표 [0] 3 5 10" xfId="2321" xr:uid="{00000000-0005-0000-0000-0000D5080000}"/>
    <cellStyle name="쉼표 [0] 3 5 11" xfId="2322" xr:uid="{00000000-0005-0000-0000-0000D6080000}"/>
    <cellStyle name="쉼표 [0] 3 5 2" xfId="2323" xr:uid="{00000000-0005-0000-0000-0000D7080000}"/>
    <cellStyle name="쉼표 [0] 3 5 2 10" xfId="2324" xr:uid="{00000000-0005-0000-0000-0000D8080000}"/>
    <cellStyle name="쉼표 [0] 3 5 2 2" xfId="2325" xr:uid="{00000000-0005-0000-0000-0000D9080000}"/>
    <cellStyle name="쉼표 [0] 3 5 2 2 2" xfId="2326" xr:uid="{00000000-0005-0000-0000-0000DA080000}"/>
    <cellStyle name="쉼표 [0] 3 5 2 2 2 2" xfId="2327" xr:uid="{00000000-0005-0000-0000-0000DB080000}"/>
    <cellStyle name="쉼표 [0] 3 5 2 2 2 2 2" xfId="2328" xr:uid="{00000000-0005-0000-0000-0000DC080000}"/>
    <cellStyle name="쉼표 [0] 3 5 2 2 2 2 2 2" xfId="2329" xr:uid="{00000000-0005-0000-0000-0000DD080000}"/>
    <cellStyle name="쉼표 [0] 3 5 2 2 2 2 2 2 2" xfId="2330" xr:uid="{00000000-0005-0000-0000-0000DE080000}"/>
    <cellStyle name="쉼표 [0] 3 5 2 2 2 2 2 2 2 2" xfId="2331" xr:uid="{00000000-0005-0000-0000-0000DF080000}"/>
    <cellStyle name="쉼표 [0] 3 5 2 2 2 2 2 2 2 2 2" xfId="2332" xr:uid="{00000000-0005-0000-0000-0000E0080000}"/>
    <cellStyle name="쉼표 [0] 3 5 2 2 2 2 2 2 2 3" xfId="2333" xr:uid="{00000000-0005-0000-0000-0000E1080000}"/>
    <cellStyle name="쉼표 [0] 3 5 2 2 2 2 2 2 3" xfId="2334" xr:uid="{00000000-0005-0000-0000-0000E2080000}"/>
    <cellStyle name="쉼표 [0] 3 5 2 2 2 2 2 2 3 2" xfId="2335" xr:uid="{00000000-0005-0000-0000-0000E3080000}"/>
    <cellStyle name="쉼표 [0] 3 5 2 2 2 2 2 2 4" xfId="2336" xr:uid="{00000000-0005-0000-0000-0000E4080000}"/>
    <cellStyle name="쉼표 [0] 3 5 2 2 2 2 2 3" xfId="2337" xr:uid="{00000000-0005-0000-0000-0000E5080000}"/>
    <cellStyle name="쉼표 [0] 3 5 2 2 2 2 2 3 2" xfId="2338" xr:uid="{00000000-0005-0000-0000-0000E6080000}"/>
    <cellStyle name="쉼표 [0] 3 5 2 2 2 2 2 3 2 2" xfId="2339" xr:uid="{00000000-0005-0000-0000-0000E7080000}"/>
    <cellStyle name="쉼표 [0] 3 5 2 2 2 2 2 3 3" xfId="2340" xr:uid="{00000000-0005-0000-0000-0000E8080000}"/>
    <cellStyle name="쉼표 [0] 3 5 2 2 2 2 2 4" xfId="2341" xr:uid="{00000000-0005-0000-0000-0000E9080000}"/>
    <cellStyle name="쉼표 [0] 3 5 2 2 2 2 2 4 2" xfId="2342" xr:uid="{00000000-0005-0000-0000-0000EA080000}"/>
    <cellStyle name="쉼표 [0] 3 5 2 2 2 2 2 5" xfId="2343" xr:uid="{00000000-0005-0000-0000-0000EB080000}"/>
    <cellStyle name="쉼표 [0] 3 5 2 2 2 2 3" xfId="2344" xr:uid="{00000000-0005-0000-0000-0000EC080000}"/>
    <cellStyle name="쉼표 [0] 3 5 2 2 2 2 3 2" xfId="2345" xr:uid="{00000000-0005-0000-0000-0000ED080000}"/>
    <cellStyle name="쉼표 [0] 3 5 2 2 2 2 3 2 2" xfId="2346" xr:uid="{00000000-0005-0000-0000-0000EE080000}"/>
    <cellStyle name="쉼표 [0] 3 5 2 2 2 2 3 2 2 2" xfId="2347" xr:uid="{00000000-0005-0000-0000-0000EF080000}"/>
    <cellStyle name="쉼표 [0] 3 5 2 2 2 2 3 2 3" xfId="2348" xr:uid="{00000000-0005-0000-0000-0000F0080000}"/>
    <cellStyle name="쉼표 [0] 3 5 2 2 2 2 3 3" xfId="2349" xr:uid="{00000000-0005-0000-0000-0000F1080000}"/>
    <cellStyle name="쉼표 [0] 3 5 2 2 2 2 3 3 2" xfId="2350" xr:uid="{00000000-0005-0000-0000-0000F2080000}"/>
    <cellStyle name="쉼표 [0] 3 5 2 2 2 2 3 4" xfId="2351" xr:uid="{00000000-0005-0000-0000-0000F3080000}"/>
    <cellStyle name="쉼표 [0] 3 5 2 2 2 2 4" xfId="2352" xr:uid="{00000000-0005-0000-0000-0000F4080000}"/>
    <cellStyle name="쉼표 [0] 3 5 2 2 2 2 4 2" xfId="2353" xr:uid="{00000000-0005-0000-0000-0000F5080000}"/>
    <cellStyle name="쉼표 [0] 3 5 2 2 2 2 4 2 2" xfId="2354" xr:uid="{00000000-0005-0000-0000-0000F6080000}"/>
    <cellStyle name="쉼표 [0] 3 5 2 2 2 2 4 3" xfId="2355" xr:uid="{00000000-0005-0000-0000-0000F7080000}"/>
    <cellStyle name="쉼표 [0] 3 5 2 2 2 2 5" xfId="2356" xr:uid="{00000000-0005-0000-0000-0000F8080000}"/>
    <cellStyle name="쉼표 [0] 3 5 2 2 2 2 5 2" xfId="2357" xr:uid="{00000000-0005-0000-0000-0000F9080000}"/>
    <cellStyle name="쉼표 [0] 3 5 2 2 2 2 6" xfId="2358" xr:uid="{00000000-0005-0000-0000-0000FA080000}"/>
    <cellStyle name="쉼표 [0] 3 5 2 2 2 3" xfId="2359" xr:uid="{00000000-0005-0000-0000-0000FB080000}"/>
    <cellStyle name="쉼표 [0] 3 5 2 2 2 3 2" xfId="2360" xr:uid="{00000000-0005-0000-0000-0000FC080000}"/>
    <cellStyle name="쉼표 [0] 3 5 2 2 2 3 2 2" xfId="2361" xr:uid="{00000000-0005-0000-0000-0000FD080000}"/>
    <cellStyle name="쉼표 [0] 3 5 2 2 2 3 2 2 2" xfId="2362" xr:uid="{00000000-0005-0000-0000-0000FE080000}"/>
    <cellStyle name="쉼표 [0] 3 5 2 2 2 3 2 2 2 2" xfId="2363" xr:uid="{00000000-0005-0000-0000-0000FF080000}"/>
    <cellStyle name="쉼표 [0] 3 5 2 2 2 3 2 2 3" xfId="2364" xr:uid="{00000000-0005-0000-0000-000000090000}"/>
    <cellStyle name="쉼표 [0] 3 5 2 2 2 3 2 3" xfId="2365" xr:uid="{00000000-0005-0000-0000-000001090000}"/>
    <cellStyle name="쉼표 [0] 3 5 2 2 2 3 2 3 2" xfId="2366" xr:uid="{00000000-0005-0000-0000-000002090000}"/>
    <cellStyle name="쉼표 [0] 3 5 2 2 2 3 2 4" xfId="2367" xr:uid="{00000000-0005-0000-0000-000003090000}"/>
    <cellStyle name="쉼표 [0] 3 5 2 2 2 3 3" xfId="2368" xr:uid="{00000000-0005-0000-0000-000004090000}"/>
    <cellStyle name="쉼표 [0] 3 5 2 2 2 3 3 2" xfId="2369" xr:uid="{00000000-0005-0000-0000-000005090000}"/>
    <cellStyle name="쉼표 [0] 3 5 2 2 2 3 3 2 2" xfId="2370" xr:uid="{00000000-0005-0000-0000-000006090000}"/>
    <cellStyle name="쉼표 [0] 3 5 2 2 2 3 3 3" xfId="2371" xr:uid="{00000000-0005-0000-0000-000007090000}"/>
    <cellStyle name="쉼표 [0] 3 5 2 2 2 3 4" xfId="2372" xr:uid="{00000000-0005-0000-0000-000008090000}"/>
    <cellStyle name="쉼표 [0] 3 5 2 2 2 3 4 2" xfId="2373" xr:uid="{00000000-0005-0000-0000-000009090000}"/>
    <cellStyle name="쉼표 [0] 3 5 2 2 2 3 5" xfId="2374" xr:uid="{00000000-0005-0000-0000-00000A090000}"/>
    <cellStyle name="쉼표 [0] 3 5 2 2 2 4" xfId="2375" xr:uid="{00000000-0005-0000-0000-00000B090000}"/>
    <cellStyle name="쉼표 [0] 3 5 2 2 2 4 2" xfId="2376" xr:uid="{00000000-0005-0000-0000-00000C090000}"/>
    <cellStyle name="쉼표 [0] 3 5 2 2 2 4 2 2" xfId="2377" xr:uid="{00000000-0005-0000-0000-00000D090000}"/>
    <cellStyle name="쉼표 [0] 3 5 2 2 2 4 2 2 2" xfId="2378" xr:uid="{00000000-0005-0000-0000-00000E090000}"/>
    <cellStyle name="쉼표 [0] 3 5 2 2 2 4 2 3" xfId="2379" xr:uid="{00000000-0005-0000-0000-00000F090000}"/>
    <cellStyle name="쉼표 [0] 3 5 2 2 2 4 3" xfId="2380" xr:uid="{00000000-0005-0000-0000-000010090000}"/>
    <cellStyle name="쉼표 [0] 3 5 2 2 2 4 3 2" xfId="2381" xr:uid="{00000000-0005-0000-0000-000011090000}"/>
    <cellStyle name="쉼표 [0] 3 5 2 2 2 4 4" xfId="2382" xr:uid="{00000000-0005-0000-0000-000012090000}"/>
    <cellStyle name="쉼표 [0] 3 5 2 2 2 5" xfId="2383" xr:uid="{00000000-0005-0000-0000-000013090000}"/>
    <cellStyle name="쉼표 [0] 3 5 2 2 2 5 2" xfId="2384" xr:uid="{00000000-0005-0000-0000-000014090000}"/>
    <cellStyle name="쉼표 [0] 3 5 2 2 2 5 2 2" xfId="2385" xr:uid="{00000000-0005-0000-0000-000015090000}"/>
    <cellStyle name="쉼표 [0] 3 5 2 2 2 5 3" xfId="2386" xr:uid="{00000000-0005-0000-0000-000016090000}"/>
    <cellStyle name="쉼표 [0] 3 5 2 2 2 6" xfId="2387" xr:uid="{00000000-0005-0000-0000-000017090000}"/>
    <cellStyle name="쉼표 [0] 3 5 2 2 2 6 2" xfId="2388" xr:uid="{00000000-0005-0000-0000-000018090000}"/>
    <cellStyle name="쉼표 [0] 3 5 2 2 2 7" xfId="2389" xr:uid="{00000000-0005-0000-0000-000019090000}"/>
    <cellStyle name="쉼표 [0] 3 5 2 2 2 8" xfId="2390" xr:uid="{00000000-0005-0000-0000-00001A090000}"/>
    <cellStyle name="쉼표 [0] 3 5 2 2 3" xfId="2391" xr:uid="{00000000-0005-0000-0000-00001B090000}"/>
    <cellStyle name="쉼표 [0] 3 5 2 2 3 2" xfId="2392" xr:uid="{00000000-0005-0000-0000-00001C090000}"/>
    <cellStyle name="쉼표 [0] 3 5 2 2 3 2 2" xfId="2393" xr:uid="{00000000-0005-0000-0000-00001D090000}"/>
    <cellStyle name="쉼표 [0] 3 5 2 2 3 2 2 2" xfId="2394" xr:uid="{00000000-0005-0000-0000-00001E090000}"/>
    <cellStyle name="쉼표 [0] 3 5 2 2 3 2 2 2 2" xfId="2395" xr:uid="{00000000-0005-0000-0000-00001F090000}"/>
    <cellStyle name="쉼표 [0] 3 5 2 2 3 2 2 2 2 2" xfId="2396" xr:uid="{00000000-0005-0000-0000-000020090000}"/>
    <cellStyle name="쉼표 [0] 3 5 2 2 3 2 2 2 3" xfId="2397" xr:uid="{00000000-0005-0000-0000-000021090000}"/>
    <cellStyle name="쉼표 [0] 3 5 2 2 3 2 2 3" xfId="2398" xr:uid="{00000000-0005-0000-0000-000022090000}"/>
    <cellStyle name="쉼표 [0] 3 5 2 2 3 2 2 3 2" xfId="2399" xr:uid="{00000000-0005-0000-0000-000023090000}"/>
    <cellStyle name="쉼표 [0] 3 5 2 2 3 2 2 4" xfId="2400" xr:uid="{00000000-0005-0000-0000-000024090000}"/>
    <cellStyle name="쉼표 [0] 3 5 2 2 3 2 3" xfId="2401" xr:uid="{00000000-0005-0000-0000-000025090000}"/>
    <cellStyle name="쉼표 [0] 3 5 2 2 3 2 3 2" xfId="2402" xr:uid="{00000000-0005-0000-0000-000026090000}"/>
    <cellStyle name="쉼표 [0] 3 5 2 2 3 2 3 2 2" xfId="2403" xr:uid="{00000000-0005-0000-0000-000027090000}"/>
    <cellStyle name="쉼표 [0] 3 5 2 2 3 2 3 3" xfId="2404" xr:uid="{00000000-0005-0000-0000-000028090000}"/>
    <cellStyle name="쉼표 [0] 3 5 2 2 3 2 4" xfId="2405" xr:uid="{00000000-0005-0000-0000-000029090000}"/>
    <cellStyle name="쉼표 [0] 3 5 2 2 3 2 4 2" xfId="2406" xr:uid="{00000000-0005-0000-0000-00002A090000}"/>
    <cellStyle name="쉼표 [0] 3 5 2 2 3 2 5" xfId="2407" xr:uid="{00000000-0005-0000-0000-00002B090000}"/>
    <cellStyle name="쉼표 [0] 3 5 2 2 3 3" xfId="2408" xr:uid="{00000000-0005-0000-0000-00002C090000}"/>
    <cellStyle name="쉼표 [0] 3 5 2 2 3 3 2" xfId="2409" xr:uid="{00000000-0005-0000-0000-00002D090000}"/>
    <cellStyle name="쉼표 [0] 3 5 2 2 3 3 2 2" xfId="2410" xr:uid="{00000000-0005-0000-0000-00002E090000}"/>
    <cellStyle name="쉼표 [0] 3 5 2 2 3 3 2 2 2" xfId="2411" xr:uid="{00000000-0005-0000-0000-00002F090000}"/>
    <cellStyle name="쉼표 [0] 3 5 2 2 3 3 2 3" xfId="2412" xr:uid="{00000000-0005-0000-0000-000030090000}"/>
    <cellStyle name="쉼표 [0] 3 5 2 2 3 3 3" xfId="2413" xr:uid="{00000000-0005-0000-0000-000031090000}"/>
    <cellStyle name="쉼표 [0] 3 5 2 2 3 3 3 2" xfId="2414" xr:uid="{00000000-0005-0000-0000-000032090000}"/>
    <cellStyle name="쉼표 [0] 3 5 2 2 3 3 4" xfId="2415" xr:uid="{00000000-0005-0000-0000-000033090000}"/>
    <cellStyle name="쉼표 [0] 3 5 2 2 3 4" xfId="2416" xr:uid="{00000000-0005-0000-0000-000034090000}"/>
    <cellStyle name="쉼표 [0] 3 5 2 2 3 4 2" xfId="2417" xr:uid="{00000000-0005-0000-0000-000035090000}"/>
    <cellStyle name="쉼표 [0] 3 5 2 2 3 4 2 2" xfId="2418" xr:uid="{00000000-0005-0000-0000-000036090000}"/>
    <cellStyle name="쉼표 [0] 3 5 2 2 3 4 3" xfId="2419" xr:uid="{00000000-0005-0000-0000-000037090000}"/>
    <cellStyle name="쉼표 [0] 3 5 2 2 3 5" xfId="2420" xr:uid="{00000000-0005-0000-0000-000038090000}"/>
    <cellStyle name="쉼표 [0] 3 5 2 2 3 5 2" xfId="2421" xr:uid="{00000000-0005-0000-0000-000039090000}"/>
    <cellStyle name="쉼표 [0] 3 5 2 2 3 6" xfId="2422" xr:uid="{00000000-0005-0000-0000-00003A090000}"/>
    <cellStyle name="쉼표 [0] 3 5 2 2 4" xfId="2423" xr:uid="{00000000-0005-0000-0000-00003B090000}"/>
    <cellStyle name="쉼표 [0] 3 5 2 2 4 2" xfId="2424" xr:uid="{00000000-0005-0000-0000-00003C090000}"/>
    <cellStyle name="쉼표 [0] 3 5 2 2 4 2 2" xfId="2425" xr:uid="{00000000-0005-0000-0000-00003D090000}"/>
    <cellStyle name="쉼표 [0] 3 5 2 2 4 2 2 2" xfId="2426" xr:uid="{00000000-0005-0000-0000-00003E090000}"/>
    <cellStyle name="쉼표 [0] 3 5 2 2 4 2 2 2 2" xfId="2427" xr:uid="{00000000-0005-0000-0000-00003F090000}"/>
    <cellStyle name="쉼표 [0] 3 5 2 2 4 2 2 3" xfId="2428" xr:uid="{00000000-0005-0000-0000-000040090000}"/>
    <cellStyle name="쉼표 [0] 3 5 2 2 4 2 3" xfId="2429" xr:uid="{00000000-0005-0000-0000-000041090000}"/>
    <cellStyle name="쉼표 [0] 3 5 2 2 4 2 3 2" xfId="2430" xr:uid="{00000000-0005-0000-0000-000042090000}"/>
    <cellStyle name="쉼표 [0] 3 5 2 2 4 2 4" xfId="2431" xr:uid="{00000000-0005-0000-0000-000043090000}"/>
    <cellStyle name="쉼표 [0] 3 5 2 2 4 3" xfId="2432" xr:uid="{00000000-0005-0000-0000-000044090000}"/>
    <cellStyle name="쉼표 [0] 3 5 2 2 4 3 2" xfId="2433" xr:uid="{00000000-0005-0000-0000-000045090000}"/>
    <cellStyle name="쉼표 [0] 3 5 2 2 4 3 2 2" xfId="2434" xr:uid="{00000000-0005-0000-0000-000046090000}"/>
    <cellStyle name="쉼표 [0] 3 5 2 2 4 3 3" xfId="2435" xr:uid="{00000000-0005-0000-0000-000047090000}"/>
    <cellStyle name="쉼표 [0] 3 5 2 2 4 4" xfId="2436" xr:uid="{00000000-0005-0000-0000-000048090000}"/>
    <cellStyle name="쉼표 [0] 3 5 2 2 4 4 2" xfId="2437" xr:uid="{00000000-0005-0000-0000-000049090000}"/>
    <cellStyle name="쉼표 [0] 3 5 2 2 4 5" xfId="2438" xr:uid="{00000000-0005-0000-0000-00004A090000}"/>
    <cellStyle name="쉼표 [0] 3 5 2 2 5" xfId="2439" xr:uid="{00000000-0005-0000-0000-00004B090000}"/>
    <cellStyle name="쉼표 [0] 3 5 2 2 5 2" xfId="2440" xr:uid="{00000000-0005-0000-0000-00004C090000}"/>
    <cellStyle name="쉼표 [0] 3 5 2 2 5 2 2" xfId="2441" xr:uid="{00000000-0005-0000-0000-00004D090000}"/>
    <cellStyle name="쉼표 [0] 3 5 2 2 5 2 2 2" xfId="2442" xr:uid="{00000000-0005-0000-0000-00004E090000}"/>
    <cellStyle name="쉼표 [0] 3 5 2 2 5 2 3" xfId="2443" xr:uid="{00000000-0005-0000-0000-00004F090000}"/>
    <cellStyle name="쉼표 [0] 3 5 2 2 5 3" xfId="2444" xr:uid="{00000000-0005-0000-0000-000050090000}"/>
    <cellStyle name="쉼표 [0] 3 5 2 2 5 3 2" xfId="2445" xr:uid="{00000000-0005-0000-0000-000051090000}"/>
    <cellStyle name="쉼표 [0] 3 5 2 2 5 4" xfId="2446" xr:uid="{00000000-0005-0000-0000-000052090000}"/>
    <cellStyle name="쉼표 [0] 3 5 2 2 6" xfId="2447" xr:uid="{00000000-0005-0000-0000-000053090000}"/>
    <cellStyle name="쉼표 [0] 3 5 2 2 6 2" xfId="2448" xr:uid="{00000000-0005-0000-0000-000054090000}"/>
    <cellStyle name="쉼표 [0] 3 5 2 2 6 2 2" xfId="2449" xr:uid="{00000000-0005-0000-0000-000055090000}"/>
    <cellStyle name="쉼표 [0] 3 5 2 2 6 3" xfId="2450" xr:uid="{00000000-0005-0000-0000-000056090000}"/>
    <cellStyle name="쉼표 [0] 3 5 2 2 7" xfId="2451" xr:uid="{00000000-0005-0000-0000-000057090000}"/>
    <cellStyle name="쉼표 [0] 3 5 2 2 7 2" xfId="2452" xr:uid="{00000000-0005-0000-0000-000058090000}"/>
    <cellStyle name="쉼표 [0] 3 5 2 2 8" xfId="2453" xr:uid="{00000000-0005-0000-0000-000059090000}"/>
    <cellStyle name="쉼표 [0] 3 5 2 2 9" xfId="2454" xr:uid="{00000000-0005-0000-0000-00005A090000}"/>
    <cellStyle name="쉼표 [0] 3 5 2 3" xfId="2455" xr:uid="{00000000-0005-0000-0000-00005B090000}"/>
    <cellStyle name="쉼표 [0] 3 5 2 3 2" xfId="2456" xr:uid="{00000000-0005-0000-0000-00005C090000}"/>
    <cellStyle name="쉼표 [0] 3 5 2 3 2 2" xfId="2457" xr:uid="{00000000-0005-0000-0000-00005D090000}"/>
    <cellStyle name="쉼표 [0] 3 5 2 3 2 2 2" xfId="2458" xr:uid="{00000000-0005-0000-0000-00005E090000}"/>
    <cellStyle name="쉼표 [0] 3 5 2 3 2 2 2 2" xfId="2459" xr:uid="{00000000-0005-0000-0000-00005F090000}"/>
    <cellStyle name="쉼표 [0] 3 5 2 3 2 2 2 2 2" xfId="2460" xr:uid="{00000000-0005-0000-0000-000060090000}"/>
    <cellStyle name="쉼표 [0] 3 5 2 3 2 2 2 2 2 2" xfId="2461" xr:uid="{00000000-0005-0000-0000-000061090000}"/>
    <cellStyle name="쉼표 [0] 3 5 2 3 2 2 2 2 3" xfId="2462" xr:uid="{00000000-0005-0000-0000-000062090000}"/>
    <cellStyle name="쉼표 [0] 3 5 2 3 2 2 2 3" xfId="2463" xr:uid="{00000000-0005-0000-0000-000063090000}"/>
    <cellStyle name="쉼표 [0] 3 5 2 3 2 2 2 3 2" xfId="2464" xr:uid="{00000000-0005-0000-0000-000064090000}"/>
    <cellStyle name="쉼표 [0] 3 5 2 3 2 2 2 4" xfId="2465" xr:uid="{00000000-0005-0000-0000-000065090000}"/>
    <cellStyle name="쉼표 [0] 3 5 2 3 2 2 3" xfId="2466" xr:uid="{00000000-0005-0000-0000-000066090000}"/>
    <cellStyle name="쉼표 [0] 3 5 2 3 2 2 3 2" xfId="2467" xr:uid="{00000000-0005-0000-0000-000067090000}"/>
    <cellStyle name="쉼표 [0] 3 5 2 3 2 2 3 2 2" xfId="2468" xr:uid="{00000000-0005-0000-0000-000068090000}"/>
    <cellStyle name="쉼표 [0] 3 5 2 3 2 2 3 3" xfId="2469" xr:uid="{00000000-0005-0000-0000-000069090000}"/>
    <cellStyle name="쉼표 [0] 3 5 2 3 2 2 4" xfId="2470" xr:uid="{00000000-0005-0000-0000-00006A090000}"/>
    <cellStyle name="쉼표 [0] 3 5 2 3 2 2 4 2" xfId="2471" xr:uid="{00000000-0005-0000-0000-00006B090000}"/>
    <cellStyle name="쉼표 [0] 3 5 2 3 2 2 5" xfId="2472" xr:uid="{00000000-0005-0000-0000-00006C090000}"/>
    <cellStyle name="쉼표 [0] 3 5 2 3 2 3" xfId="2473" xr:uid="{00000000-0005-0000-0000-00006D090000}"/>
    <cellStyle name="쉼표 [0] 3 5 2 3 2 3 2" xfId="2474" xr:uid="{00000000-0005-0000-0000-00006E090000}"/>
    <cellStyle name="쉼표 [0] 3 5 2 3 2 3 2 2" xfId="2475" xr:uid="{00000000-0005-0000-0000-00006F090000}"/>
    <cellStyle name="쉼표 [0] 3 5 2 3 2 3 2 2 2" xfId="2476" xr:uid="{00000000-0005-0000-0000-000070090000}"/>
    <cellStyle name="쉼표 [0] 3 5 2 3 2 3 2 3" xfId="2477" xr:uid="{00000000-0005-0000-0000-000071090000}"/>
    <cellStyle name="쉼표 [0] 3 5 2 3 2 3 3" xfId="2478" xr:uid="{00000000-0005-0000-0000-000072090000}"/>
    <cellStyle name="쉼표 [0] 3 5 2 3 2 3 3 2" xfId="2479" xr:uid="{00000000-0005-0000-0000-000073090000}"/>
    <cellStyle name="쉼표 [0] 3 5 2 3 2 3 4" xfId="2480" xr:uid="{00000000-0005-0000-0000-000074090000}"/>
    <cellStyle name="쉼표 [0] 3 5 2 3 2 4" xfId="2481" xr:uid="{00000000-0005-0000-0000-000075090000}"/>
    <cellStyle name="쉼표 [0] 3 5 2 3 2 4 2" xfId="2482" xr:uid="{00000000-0005-0000-0000-000076090000}"/>
    <cellStyle name="쉼표 [0] 3 5 2 3 2 4 2 2" xfId="2483" xr:uid="{00000000-0005-0000-0000-000077090000}"/>
    <cellStyle name="쉼표 [0] 3 5 2 3 2 4 3" xfId="2484" xr:uid="{00000000-0005-0000-0000-000078090000}"/>
    <cellStyle name="쉼표 [0] 3 5 2 3 2 5" xfId="2485" xr:uid="{00000000-0005-0000-0000-000079090000}"/>
    <cellStyle name="쉼표 [0] 3 5 2 3 2 5 2" xfId="2486" xr:uid="{00000000-0005-0000-0000-00007A090000}"/>
    <cellStyle name="쉼표 [0] 3 5 2 3 2 6" xfId="2487" xr:uid="{00000000-0005-0000-0000-00007B090000}"/>
    <cellStyle name="쉼표 [0] 3 5 2 3 3" xfId="2488" xr:uid="{00000000-0005-0000-0000-00007C090000}"/>
    <cellStyle name="쉼표 [0] 3 5 2 3 3 2" xfId="2489" xr:uid="{00000000-0005-0000-0000-00007D090000}"/>
    <cellStyle name="쉼표 [0] 3 5 2 3 3 2 2" xfId="2490" xr:uid="{00000000-0005-0000-0000-00007E090000}"/>
    <cellStyle name="쉼표 [0] 3 5 2 3 3 2 2 2" xfId="2491" xr:uid="{00000000-0005-0000-0000-00007F090000}"/>
    <cellStyle name="쉼표 [0] 3 5 2 3 3 2 2 2 2" xfId="2492" xr:uid="{00000000-0005-0000-0000-000080090000}"/>
    <cellStyle name="쉼표 [0] 3 5 2 3 3 2 2 3" xfId="2493" xr:uid="{00000000-0005-0000-0000-000081090000}"/>
    <cellStyle name="쉼표 [0] 3 5 2 3 3 2 3" xfId="2494" xr:uid="{00000000-0005-0000-0000-000082090000}"/>
    <cellStyle name="쉼표 [0] 3 5 2 3 3 2 3 2" xfId="2495" xr:uid="{00000000-0005-0000-0000-000083090000}"/>
    <cellStyle name="쉼표 [0] 3 5 2 3 3 2 4" xfId="2496" xr:uid="{00000000-0005-0000-0000-000084090000}"/>
    <cellStyle name="쉼표 [0] 3 5 2 3 3 3" xfId="2497" xr:uid="{00000000-0005-0000-0000-000085090000}"/>
    <cellStyle name="쉼표 [0] 3 5 2 3 3 3 2" xfId="2498" xr:uid="{00000000-0005-0000-0000-000086090000}"/>
    <cellStyle name="쉼표 [0] 3 5 2 3 3 3 2 2" xfId="2499" xr:uid="{00000000-0005-0000-0000-000087090000}"/>
    <cellStyle name="쉼표 [0] 3 5 2 3 3 3 3" xfId="2500" xr:uid="{00000000-0005-0000-0000-000088090000}"/>
    <cellStyle name="쉼표 [0] 3 5 2 3 3 4" xfId="2501" xr:uid="{00000000-0005-0000-0000-000089090000}"/>
    <cellStyle name="쉼표 [0] 3 5 2 3 3 4 2" xfId="2502" xr:uid="{00000000-0005-0000-0000-00008A090000}"/>
    <cellStyle name="쉼표 [0] 3 5 2 3 3 5" xfId="2503" xr:uid="{00000000-0005-0000-0000-00008B090000}"/>
    <cellStyle name="쉼표 [0] 3 5 2 3 4" xfId="2504" xr:uid="{00000000-0005-0000-0000-00008C090000}"/>
    <cellStyle name="쉼표 [0] 3 5 2 3 4 2" xfId="2505" xr:uid="{00000000-0005-0000-0000-00008D090000}"/>
    <cellStyle name="쉼표 [0] 3 5 2 3 4 2 2" xfId="2506" xr:uid="{00000000-0005-0000-0000-00008E090000}"/>
    <cellStyle name="쉼표 [0] 3 5 2 3 4 2 2 2" xfId="2507" xr:uid="{00000000-0005-0000-0000-00008F090000}"/>
    <cellStyle name="쉼표 [0] 3 5 2 3 4 2 3" xfId="2508" xr:uid="{00000000-0005-0000-0000-000090090000}"/>
    <cellStyle name="쉼표 [0] 3 5 2 3 4 3" xfId="2509" xr:uid="{00000000-0005-0000-0000-000091090000}"/>
    <cellStyle name="쉼표 [0] 3 5 2 3 4 3 2" xfId="2510" xr:uid="{00000000-0005-0000-0000-000092090000}"/>
    <cellStyle name="쉼표 [0] 3 5 2 3 4 4" xfId="2511" xr:uid="{00000000-0005-0000-0000-000093090000}"/>
    <cellStyle name="쉼표 [0] 3 5 2 3 5" xfId="2512" xr:uid="{00000000-0005-0000-0000-000094090000}"/>
    <cellStyle name="쉼표 [0] 3 5 2 3 5 2" xfId="2513" xr:uid="{00000000-0005-0000-0000-000095090000}"/>
    <cellStyle name="쉼표 [0] 3 5 2 3 5 2 2" xfId="2514" xr:uid="{00000000-0005-0000-0000-000096090000}"/>
    <cellStyle name="쉼표 [0] 3 5 2 3 5 3" xfId="2515" xr:uid="{00000000-0005-0000-0000-000097090000}"/>
    <cellStyle name="쉼표 [0] 3 5 2 3 6" xfId="2516" xr:uid="{00000000-0005-0000-0000-000098090000}"/>
    <cellStyle name="쉼표 [0] 3 5 2 3 6 2" xfId="2517" xr:uid="{00000000-0005-0000-0000-000099090000}"/>
    <cellStyle name="쉼표 [0] 3 5 2 3 7" xfId="2518" xr:uid="{00000000-0005-0000-0000-00009A090000}"/>
    <cellStyle name="쉼표 [0] 3 5 2 3 8" xfId="2519" xr:uid="{00000000-0005-0000-0000-00009B090000}"/>
    <cellStyle name="쉼표 [0] 3 5 2 4" xfId="2520" xr:uid="{00000000-0005-0000-0000-00009C090000}"/>
    <cellStyle name="쉼표 [0] 3 5 2 4 2" xfId="2521" xr:uid="{00000000-0005-0000-0000-00009D090000}"/>
    <cellStyle name="쉼표 [0] 3 5 2 4 2 2" xfId="2522" xr:uid="{00000000-0005-0000-0000-00009E090000}"/>
    <cellStyle name="쉼표 [0] 3 5 2 4 2 2 2" xfId="2523" xr:uid="{00000000-0005-0000-0000-00009F090000}"/>
    <cellStyle name="쉼표 [0] 3 5 2 4 2 2 2 2" xfId="2524" xr:uid="{00000000-0005-0000-0000-0000A0090000}"/>
    <cellStyle name="쉼표 [0] 3 5 2 4 2 2 2 2 2" xfId="2525" xr:uid="{00000000-0005-0000-0000-0000A1090000}"/>
    <cellStyle name="쉼표 [0] 3 5 2 4 2 2 2 3" xfId="2526" xr:uid="{00000000-0005-0000-0000-0000A2090000}"/>
    <cellStyle name="쉼표 [0] 3 5 2 4 2 2 3" xfId="2527" xr:uid="{00000000-0005-0000-0000-0000A3090000}"/>
    <cellStyle name="쉼표 [0] 3 5 2 4 2 2 3 2" xfId="2528" xr:uid="{00000000-0005-0000-0000-0000A4090000}"/>
    <cellStyle name="쉼표 [0] 3 5 2 4 2 2 4" xfId="2529" xr:uid="{00000000-0005-0000-0000-0000A5090000}"/>
    <cellStyle name="쉼표 [0] 3 5 2 4 2 3" xfId="2530" xr:uid="{00000000-0005-0000-0000-0000A6090000}"/>
    <cellStyle name="쉼표 [0] 3 5 2 4 2 3 2" xfId="2531" xr:uid="{00000000-0005-0000-0000-0000A7090000}"/>
    <cellStyle name="쉼표 [0] 3 5 2 4 2 3 2 2" xfId="2532" xr:uid="{00000000-0005-0000-0000-0000A8090000}"/>
    <cellStyle name="쉼표 [0] 3 5 2 4 2 3 3" xfId="2533" xr:uid="{00000000-0005-0000-0000-0000A9090000}"/>
    <cellStyle name="쉼표 [0] 3 5 2 4 2 4" xfId="2534" xr:uid="{00000000-0005-0000-0000-0000AA090000}"/>
    <cellStyle name="쉼표 [0] 3 5 2 4 2 4 2" xfId="2535" xr:uid="{00000000-0005-0000-0000-0000AB090000}"/>
    <cellStyle name="쉼표 [0] 3 5 2 4 2 5" xfId="2536" xr:uid="{00000000-0005-0000-0000-0000AC090000}"/>
    <cellStyle name="쉼표 [0] 3 5 2 4 3" xfId="2537" xr:uid="{00000000-0005-0000-0000-0000AD090000}"/>
    <cellStyle name="쉼표 [0] 3 5 2 4 3 2" xfId="2538" xr:uid="{00000000-0005-0000-0000-0000AE090000}"/>
    <cellStyle name="쉼표 [0] 3 5 2 4 3 2 2" xfId="2539" xr:uid="{00000000-0005-0000-0000-0000AF090000}"/>
    <cellStyle name="쉼표 [0] 3 5 2 4 3 2 2 2" xfId="2540" xr:uid="{00000000-0005-0000-0000-0000B0090000}"/>
    <cellStyle name="쉼표 [0] 3 5 2 4 3 2 3" xfId="2541" xr:uid="{00000000-0005-0000-0000-0000B1090000}"/>
    <cellStyle name="쉼표 [0] 3 5 2 4 3 3" xfId="2542" xr:uid="{00000000-0005-0000-0000-0000B2090000}"/>
    <cellStyle name="쉼표 [0] 3 5 2 4 3 3 2" xfId="2543" xr:uid="{00000000-0005-0000-0000-0000B3090000}"/>
    <cellStyle name="쉼표 [0] 3 5 2 4 3 4" xfId="2544" xr:uid="{00000000-0005-0000-0000-0000B4090000}"/>
    <cellStyle name="쉼표 [0] 3 5 2 4 4" xfId="2545" xr:uid="{00000000-0005-0000-0000-0000B5090000}"/>
    <cellStyle name="쉼표 [0] 3 5 2 4 4 2" xfId="2546" xr:uid="{00000000-0005-0000-0000-0000B6090000}"/>
    <cellStyle name="쉼표 [0] 3 5 2 4 4 2 2" xfId="2547" xr:uid="{00000000-0005-0000-0000-0000B7090000}"/>
    <cellStyle name="쉼표 [0] 3 5 2 4 4 3" xfId="2548" xr:uid="{00000000-0005-0000-0000-0000B8090000}"/>
    <cellStyle name="쉼표 [0] 3 5 2 4 5" xfId="2549" xr:uid="{00000000-0005-0000-0000-0000B9090000}"/>
    <cellStyle name="쉼표 [0] 3 5 2 4 5 2" xfId="2550" xr:uid="{00000000-0005-0000-0000-0000BA090000}"/>
    <cellStyle name="쉼표 [0] 3 5 2 4 6" xfId="2551" xr:uid="{00000000-0005-0000-0000-0000BB090000}"/>
    <cellStyle name="쉼표 [0] 3 5 2 5" xfId="2552" xr:uid="{00000000-0005-0000-0000-0000BC090000}"/>
    <cellStyle name="쉼표 [0] 3 5 2 5 2" xfId="2553" xr:uid="{00000000-0005-0000-0000-0000BD090000}"/>
    <cellStyle name="쉼표 [0] 3 5 2 5 2 2" xfId="2554" xr:uid="{00000000-0005-0000-0000-0000BE090000}"/>
    <cellStyle name="쉼표 [0] 3 5 2 5 2 2 2" xfId="2555" xr:uid="{00000000-0005-0000-0000-0000BF090000}"/>
    <cellStyle name="쉼표 [0] 3 5 2 5 2 2 2 2" xfId="2556" xr:uid="{00000000-0005-0000-0000-0000C0090000}"/>
    <cellStyle name="쉼표 [0] 3 5 2 5 2 2 3" xfId="2557" xr:uid="{00000000-0005-0000-0000-0000C1090000}"/>
    <cellStyle name="쉼표 [0] 3 5 2 5 2 3" xfId="2558" xr:uid="{00000000-0005-0000-0000-0000C2090000}"/>
    <cellStyle name="쉼표 [0] 3 5 2 5 2 3 2" xfId="2559" xr:uid="{00000000-0005-0000-0000-0000C3090000}"/>
    <cellStyle name="쉼표 [0] 3 5 2 5 2 4" xfId="2560" xr:uid="{00000000-0005-0000-0000-0000C4090000}"/>
    <cellStyle name="쉼표 [0] 3 5 2 5 3" xfId="2561" xr:uid="{00000000-0005-0000-0000-0000C5090000}"/>
    <cellStyle name="쉼표 [0] 3 5 2 5 3 2" xfId="2562" xr:uid="{00000000-0005-0000-0000-0000C6090000}"/>
    <cellStyle name="쉼표 [0] 3 5 2 5 3 2 2" xfId="2563" xr:uid="{00000000-0005-0000-0000-0000C7090000}"/>
    <cellStyle name="쉼표 [0] 3 5 2 5 3 3" xfId="2564" xr:uid="{00000000-0005-0000-0000-0000C8090000}"/>
    <cellStyle name="쉼표 [0] 3 5 2 5 4" xfId="2565" xr:uid="{00000000-0005-0000-0000-0000C9090000}"/>
    <cellStyle name="쉼표 [0] 3 5 2 5 4 2" xfId="2566" xr:uid="{00000000-0005-0000-0000-0000CA090000}"/>
    <cellStyle name="쉼표 [0] 3 5 2 5 5" xfId="2567" xr:uid="{00000000-0005-0000-0000-0000CB090000}"/>
    <cellStyle name="쉼표 [0] 3 5 2 6" xfId="2568" xr:uid="{00000000-0005-0000-0000-0000CC090000}"/>
    <cellStyle name="쉼표 [0] 3 5 2 6 2" xfId="2569" xr:uid="{00000000-0005-0000-0000-0000CD090000}"/>
    <cellStyle name="쉼표 [0] 3 5 2 6 2 2" xfId="2570" xr:uid="{00000000-0005-0000-0000-0000CE090000}"/>
    <cellStyle name="쉼표 [0] 3 5 2 6 2 2 2" xfId="2571" xr:uid="{00000000-0005-0000-0000-0000CF090000}"/>
    <cellStyle name="쉼표 [0] 3 5 2 6 2 3" xfId="2572" xr:uid="{00000000-0005-0000-0000-0000D0090000}"/>
    <cellStyle name="쉼표 [0] 3 5 2 6 3" xfId="2573" xr:uid="{00000000-0005-0000-0000-0000D1090000}"/>
    <cellStyle name="쉼표 [0] 3 5 2 6 3 2" xfId="2574" xr:uid="{00000000-0005-0000-0000-0000D2090000}"/>
    <cellStyle name="쉼표 [0] 3 5 2 6 4" xfId="2575" xr:uid="{00000000-0005-0000-0000-0000D3090000}"/>
    <cellStyle name="쉼표 [0] 3 5 2 7" xfId="2576" xr:uid="{00000000-0005-0000-0000-0000D4090000}"/>
    <cellStyle name="쉼표 [0] 3 5 2 7 2" xfId="2577" xr:uid="{00000000-0005-0000-0000-0000D5090000}"/>
    <cellStyle name="쉼표 [0] 3 5 2 7 2 2" xfId="2578" xr:uid="{00000000-0005-0000-0000-0000D6090000}"/>
    <cellStyle name="쉼표 [0] 3 5 2 7 3" xfId="2579" xr:uid="{00000000-0005-0000-0000-0000D7090000}"/>
    <cellStyle name="쉼표 [0] 3 5 2 8" xfId="2580" xr:uid="{00000000-0005-0000-0000-0000D8090000}"/>
    <cellStyle name="쉼표 [0] 3 5 2 8 2" xfId="2581" xr:uid="{00000000-0005-0000-0000-0000D9090000}"/>
    <cellStyle name="쉼표 [0] 3 5 2 9" xfId="2582" xr:uid="{00000000-0005-0000-0000-0000DA090000}"/>
    <cellStyle name="쉼표 [0] 3 5 3" xfId="2583" xr:uid="{00000000-0005-0000-0000-0000DB090000}"/>
    <cellStyle name="쉼표 [0] 3 5 3 2" xfId="2584" xr:uid="{00000000-0005-0000-0000-0000DC090000}"/>
    <cellStyle name="쉼표 [0] 3 5 3 2 2" xfId="2585" xr:uid="{00000000-0005-0000-0000-0000DD090000}"/>
    <cellStyle name="쉼표 [0] 3 5 3 2 2 2" xfId="2586" xr:uid="{00000000-0005-0000-0000-0000DE090000}"/>
    <cellStyle name="쉼표 [0] 3 5 3 2 2 2 2" xfId="2587" xr:uid="{00000000-0005-0000-0000-0000DF090000}"/>
    <cellStyle name="쉼표 [0] 3 5 3 2 2 2 2 2" xfId="2588" xr:uid="{00000000-0005-0000-0000-0000E0090000}"/>
    <cellStyle name="쉼표 [0] 3 5 3 2 2 2 2 2 2" xfId="2589" xr:uid="{00000000-0005-0000-0000-0000E1090000}"/>
    <cellStyle name="쉼표 [0] 3 5 3 2 2 2 2 2 2 2" xfId="2590" xr:uid="{00000000-0005-0000-0000-0000E2090000}"/>
    <cellStyle name="쉼표 [0] 3 5 3 2 2 2 2 2 3" xfId="2591" xr:uid="{00000000-0005-0000-0000-0000E3090000}"/>
    <cellStyle name="쉼표 [0] 3 5 3 2 2 2 2 3" xfId="2592" xr:uid="{00000000-0005-0000-0000-0000E4090000}"/>
    <cellStyle name="쉼표 [0] 3 5 3 2 2 2 2 3 2" xfId="2593" xr:uid="{00000000-0005-0000-0000-0000E5090000}"/>
    <cellStyle name="쉼표 [0] 3 5 3 2 2 2 2 4" xfId="2594" xr:uid="{00000000-0005-0000-0000-0000E6090000}"/>
    <cellStyle name="쉼표 [0] 3 5 3 2 2 2 3" xfId="2595" xr:uid="{00000000-0005-0000-0000-0000E7090000}"/>
    <cellStyle name="쉼표 [0] 3 5 3 2 2 2 3 2" xfId="2596" xr:uid="{00000000-0005-0000-0000-0000E8090000}"/>
    <cellStyle name="쉼표 [0] 3 5 3 2 2 2 3 2 2" xfId="2597" xr:uid="{00000000-0005-0000-0000-0000E9090000}"/>
    <cellStyle name="쉼표 [0] 3 5 3 2 2 2 3 3" xfId="2598" xr:uid="{00000000-0005-0000-0000-0000EA090000}"/>
    <cellStyle name="쉼표 [0] 3 5 3 2 2 2 4" xfId="2599" xr:uid="{00000000-0005-0000-0000-0000EB090000}"/>
    <cellStyle name="쉼표 [0] 3 5 3 2 2 2 4 2" xfId="2600" xr:uid="{00000000-0005-0000-0000-0000EC090000}"/>
    <cellStyle name="쉼표 [0] 3 5 3 2 2 2 5" xfId="2601" xr:uid="{00000000-0005-0000-0000-0000ED090000}"/>
    <cellStyle name="쉼표 [0] 3 5 3 2 2 3" xfId="2602" xr:uid="{00000000-0005-0000-0000-0000EE090000}"/>
    <cellStyle name="쉼표 [0] 3 5 3 2 2 3 2" xfId="2603" xr:uid="{00000000-0005-0000-0000-0000EF090000}"/>
    <cellStyle name="쉼표 [0] 3 5 3 2 2 3 2 2" xfId="2604" xr:uid="{00000000-0005-0000-0000-0000F0090000}"/>
    <cellStyle name="쉼표 [0] 3 5 3 2 2 3 2 2 2" xfId="2605" xr:uid="{00000000-0005-0000-0000-0000F1090000}"/>
    <cellStyle name="쉼표 [0] 3 5 3 2 2 3 2 3" xfId="2606" xr:uid="{00000000-0005-0000-0000-0000F2090000}"/>
    <cellStyle name="쉼표 [0] 3 5 3 2 2 3 3" xfId="2607" xr:uid="{00000000-0005-0000-0000-0000F3090000}"/>
    <cellStyle name="쉼표 [0] 3 5 3 2 2 3 3 2" xfId="2608" xr:uid="{00000000-0005-0000-0000-0000F4090000}"/>
    <cellStyle name="쉼표 [0] 3 5 3 2 2 3 4" xfId="2609" xr:uid="{00000000-0005-0000-0000-0000F5090000}"/>
    <cellStyle name="쉼표 [0] 3 5 3 2 2 4" xfId="2610" xr:uid="{00000000-0005-0000-0000-0000F6090000}"/>
    <cellStyle name="쉼표 [0] 3 5 3 2 2 4 2" xfId="2611" xr:uid="{00000000-0005-0000-0000-0000F7090000}"/>
    <cellStyle name="쉼표 [0] 3 5 3 2 2 4 2 2" xfId="2612" xr:uid="{00000000-0005-0000-0000-0000F8090000}"/>
    <cellStyle name="쉼표 [0] 3 5 3 2 2 4 3" xfId="2613" xr:uid="{00000000-0005-0000-0000-0000F9090000}"/>
    <cellStyle name="쉼표 [0] 3 5 3 2 2 5" xfId="2614" xr:uid="{00000000-0005-0000-0000-0000FA090000}"/>
    <cellStyle name="쉼표 [0] 3 5 3 2 2 5 2" xfId="2615" xr:uid="{00000000-0005-0000-0000-0000FB090000}"/>
    <cellStyle name="쉼표 [0] 3 5 3 2 2 6" xfId="2616" xr:uid="{00000000-0005-0000-0000-0000FC090000}"/>
    <cellStyle name="쉼표 [0] 3 5 3 2 3" xfId="2617" xr:uid="{00000000-0005-0000-0000-0000FD090000}"/>
    <cellStyle name="쉼표 [0] 3 5 3 2 3 2" xfId="2618" xr:uid="{00000000-0005-0000-0000-0000FE090000}"/>
    <cellStyle name="쉼표 [0] 3 5 3 2 3 2 2" xfId="2619" xr:uid="{00000000-0005-0000-0000-0000FF090000}"/>
    <cellStyle name="쉼표 [0] 3 5 3 2 3 2 2 2" xfId="2620" xr:uid="{00000000-0005-0000-0000-0000000A0000}"/>
    <cellStyle name="쉼표 [0] 3 5 3 2 3 2 2 2 2" xfId="2621" xr:uid="{00000000-0005-0000-0000-0000010A0000}"/>
    <cellStyle name="쉼표 [0] 3 5 3 2 3 2 2 3" xfId="2622" xr:uid="{00000000-0005-0000-0000-0000020A0000}"/>
    <cellStyle name="쉼표 [0] 3 5 3 2 3 2 3" xfId="2623" xr:uid="{00000000-0005-0000-0000-0000030A0000}"/>
    <cellStyle name="쉼표 [0] 3 5 3 2 3 2 3 2" xfId="2624" xr:uid="{00000000-0005-0000-0000-0000040A0000}"/>
    <cellStyle name="쉼표 [0] 3 5 3 2 3 2 4" xfId="2625" xr:uid="{00000000-0005-0000-0000-0000050A0000}"/>
    <cellStyle name="쉼표 [0] 3 5 3 2 3 3" xfId="2626" xr:uid="{00000000-0005-0000-0000-0000060A0000}"/>
    <cellStyle name="쉼표 [0] 3 5 3 2 3 3 2" xfId="2627" xr:uid="{00000000-0005-0000-0000-0000070A0000}"/>
    <cellStyle name="쉼표 [0] 3 5 3 2 3 3 2 2" xfId="2628" xr:uid="{00000000-0005-0000-0000-0000080A0000}"/>
    <cellStyle name="쉼표 [0] 3 5 3 2 3 3 3" xfId="2629" xr:uid="{00000000-0005-0000-0000-0000090A0000}"/>
    <cellStyle name="쉼표 [0] 3 5 3 2 3 4" xfId="2630" xr:uid="{00000000-0005-0000-0000-00000A0A0000}"/>
    <cellStyle name="쉼표 [0] 3 5 3 2 3 4 2" xfId="2631" xr:uid="{00000000-0005-0000-0000-00000B0A0000}"/>
    <cellStyle name="쉼표 [0] 3 5 3 2 3 5" xfId="2632" xr:uid="{00000000-0005-0000-0000-00000C0A0000}"/>
    <cellStyle name="쉼표 [0] 3 5 3 2 4" xfId="2633" xr:uid="{00000000-0005-0000-0000-00000D0A0000}"/>
    <cellStyle name="쉼표 [0] 3 5 3 2 4 2" xfId="2634" xr:uid="{00000000-0005-0000-0000-00000E0A0000}"/>
    <cellStyle name="쉼표 [0] 3 5 3 2 4 2 2" xfId="2635" xr:uid="{00000000-0005-0000-0000-00000F0A0000}"/>
    <cellStyle name="쉼표 [0] 3 5 3 2 4 2 2 2" xfId="2636" xr:uid="{00000000-0005-0000-0000-0000100A0000}"/>
    <cellStyle name="쉼표 [0] 3 5 3 2 4 2 3" xfId="2637" xr:uid="{00000000-0005-0000-0000-0000110A0000}"/>
    <cellStyle name="쉼표 [0] 3 5 3 2 4 3" xfId="2638" xr:uid="{00000000-0005-0000-0000-0000120A0000}"/>
    <cellStyle name="쉼표 [0] 3 5 3 2 4 3 2" xfId="2639" xr:uid="{00000000-0005-0000-0000-0000130A0000}"/>
    <cellStyle name="쉼표 [0] 3 5 3 2 4 4" xfId="2640" xr:uid="{00000000-0005-0000-0000-0000140A0000}"/>
    <cellStyle name="쉼표 [0] 3 5 3 2 5" xfId="2641" xr:uid="{00000000-0005-0000-0000-0000150A0000}"/>
    <cellStyle name="쉼표 [0] 3 5 3 2 5 2" xfId="2642" xr:uid="{00000000-0005-0000-0000-0000160A0000}"/>
    <cellStyle name="쉼표 [0] 3 5 3 2 5 2 2" xfId="2643" xr:uid="{00000000-0005-0000-0000-0000170A0000}"/>
    <cellStyle name="쉼표 [0] 3 5 3 2 5 3" xfId="2644" xr:uid="{00000000-0005-0000-0000-0000180A0000}"/>
    <cellStyle name="쉼표 [0] 3 5 3 2 6" xfId="2645" xr:uid="{00000000-0005-0000-0000-0000190A0000}"/>
    <cellStyle name="쉼표 [0] 3 5 3 2 6 2" xfId="2646" xr:uid="{00000000-0005-0000-0000-00001A0A0000}"/>
    <cellStyle name="쉼표 [0] 3 5 3 2 7" xfId="2647" xr:uid="{00000000-0005-0000-0000-00001B0A0000}"/>
    <cellStyle name="쉼표 [0] 3 5 3 2 8" xfId="2648" xr:uid="{00000000-0005-0000-0000-00001C0A0000}"/>
    <cellStyle name="쉼표 [0] 3 5 3 3" xfId="2649" xr:uid="{00000000-0005-0000-0000-00001D0A0000}"/>
    <cellStyle name="쉼표 [0] 3 5 3 3 2" xfId="2650" xr:uid="{00000000-0005-0000-0000-00001E0A0000}"/>
    <cellStyle name="쉼표 [0] 3 5 3 3 2 2" xfId="2651" xr:uid="{00000000-0005-0000-0000-00001F0A0000}"/>
    <cellStyle name="쉼표 [0] 3 5 3 3 2 2 2" xfId="2652" xr:uid="{00000000-0005-0000-0000-0000200A0000}"/>
    <cellStyle name="쉼표 [0] 3 5 3 3 2 2 2 2" xfId="2653" xr:uid="{00000000-0005-0000-0000-0000210A0000}"/>
    <cellStyle name="쉼표 [0] 3 5 3 3 2 2 2 2 2" xfId="2654" xr:uid="{00000000-0005-0000-0000-0000220A0000}"/>
    <cellStyle name="쉼표 [0] 3 5 3 3 2 2 2 3" xfId="2655" xr:uid="{00000000-0005-0000-0000-0000230A0000}"/>
    <cellStyle name="쉼표 [0] 3 5 3 3 2 2 3" xfId="2656" xr:uid="{00000000-0005-0000-0000-0000240A0000}"/>
    <cellStyle name="쉼표 [0] 3 5 3 3 2 2 3 2" xfId="2657" xr:uid="{00000000-0005-0000-0000-0000250A0000}"/>
    <cellStyle name="쉼표 [0] 3 5 3 3 2 2 4" xfId="2658" xr:uid="{00000000-0005-0000-0000-0000260A0000}"/>
    <cellStyle name="쉼표 [0] 3 5 3 3 2 3" xfId="2659" xr:uid="{00000000-0005-0000-0000-0000270A0000}"/>
    <cellStyle name="쉼표 [0] 3 5 3 3 2 3 2" xfId="2660" xr:uid="{00000000-0005-0000-0000-0000280A0000}"/>
    <cellStyle name="쉼표 [0] 3 5 3 3 2 3 2 2" xfId="2661" xr:uid="{00000000-0005-0000-0000-0000290A0000}"/>
    <cellStyle name="쉼표 [0] 3 5 3 3 2 3 3" xfId="2662" xr:uid="{00000000-0005-0000-0000-00002A0A0000}"/>
    <cellStyle name="쉼표 [0] 3 5 3 3 2 4" xfId="2663" xr:uid="{00000000-0005-0000-0000-00002B0A0000}"/>
    <cellStyle name="쉼표 [0] 3 5 3 3 2 4 2" xfId="2664" xr:uid="{00000000-0005-0000-0000-00002C0A0000}"/>
    <cellStyle name="쉼표 [0] 3 5 3 3 2 5" xfId="2665" xr:uid="{00000000-0005-0000-0000-00002D0A0000}"/>
    <cellStyle name="쉼표 [0] 3 5 3 3 3" xfId="2666" xr:uid="{00000000-0005-0000-0000-00002E0A0000}"/>
    <cellStyle name="쉼표 [0] 3 5 3 3 3 2" xfId="2667" xr:uid="{00000000-0005-0000-0000-00002F0A0000}"/>
    <cellStyle name="쉼표 [0] 3 5 3 3 3 2 2" xfId="2668" xr:uid="{00000000-0005-0000-0000-0000300A0000}"/>
    <cellStyle name="쉼표 [0] 3 5 3 3 3 2 2 2" xfId="2669" xr:uid="{00000000-0005-0000-0000-0000310A0000}"/>
    <cellStyle name="쉼표 [0] 3 5 3 3 3 2 3" xfId="2670" xr:uid="{00000000-0005-0000-0000-0000320A0000}"/>
    <cellStyle name="쉼표 [0] 3 5 3 3 3 3" xfId="2671" xr:uid="{00000000-0005-0000-0000-0000330A0000}"/>
    <cellStyle name="쉼표 [0] 3 5 3 3 3 3 2" xfId="2672" xr:uid="{00000000-0005-0000-0000-0000340A0000}"/>
    <cellStyle name="쉼표 [0] 3 5 3 3 3 4" xfId="2673" xr:uid="{00000000-0005-0000-0000-0000350A0000}"/>
    <cellStyle name="쉼표 [0] 3 5 3 3 4" xfId="2674" xr:uid="{00000000-0005-0000-0000-0000360A0000}"/>
    <cellStyle name="쉼표 [0] 3 5 3 3 4 2" xfId="2675" xr:uid="{00000000-0005-0000-0000-0000370A0000}"/>
    <cellStyle name="쉼표 [0] 3 5 3 3 4 2 2" xfId="2676" xr:uid="{00000000-0005-0000-0000-0000380A0000}"/>
    <cellStyle name="쉼표 [0] 3 5 3 3 4 3" xfId="2677" xr:uid="{00000000-0005-0000-0000-0000390A0000}"/>
    <cellStyle name="쉼표 [0] 3 5 3 3 5" xfId="2678" xr:uid="{00000000-0005-0000-0000-00003A0A0000}"/>
    <cellStyle name="쉼표 [0] 3 5 3 3 5 2" xfId="2679" xr:uid="{00000000-0005-0000-0000-00003B0A0000}"/>
    <cellStyle name="쉼표 [0] 3 5 3 3 6" xfId="2680" xr:uid="{00000000-0005-0000-0000-00003C0A0000}"/>
    <cellStyle name="쉼표 [0] 3 5 3 4" xfId="2681" xr:uid="{00000000-0005-0000-0000-00003D0A0000}"/>
    <cellStyle name="쉼표 [0] 3 5 3 4 2" xfId="2682" xr:uid="{00000000-0005-0000-0000-00003E0A0000}"/>
    <cellStyle name="쉼표 [0] 3 5 3 4 2 2" xfId="2683" xr:uid="{00000000-0005-0000-0000-00003F0A0000}"/>
    <cellStyle name="쉼표 [0] 3 5 3 4 2 2 2" xfId="2684" xr:uid="{00000000-0005-0000-0000-0000400A0000}"/>
    <cellStyle name="쉼표 [0] 3 5 3 4 2 2 2 2" xfId="2685" xr:uid="{00000000-0005-0000-0000-0000410A0000}"/>
    <cellStyle name="쉼표 [0] 3 5 3 4 2 2 3" xfId="2686" xr:uid="{00000000-0005-0000-0000-0000420A0000}"/>
    <cellStyle name="쉼표 [0] 3 5 3 4 2 3" xfId="2687" xr:uid="{00000000-0005-0000-0000-0000430A0000}"/>
    <cellStyle name="쉼표 [0] 3 5 3 4 2 3 2" xfId="2688" xr:uid="{00000000-0005-0000-0000-0000440A0000}"/>
    <cellStyle name="쉼표 [0] 3 5 3 4 2 4" xfId="2689" xr:uid="{00000000-0005-0000-0000-0000450A0000}"/>
    <cellStyle name="쉼표 [0] 3 5 3 4 3" xfId="2690" xr:uid="{00000000-0005-0000-0000-0000460A0000}"/>
    <cellStyle name="쉼표 [0] 3 5 3 4 3 2" xfId="2691" xr:uid="{00000000-0005-0000-0000-0000470A0000}"/>
    <cellStyle name="쉼표 [0] 3 5 3 4 3 2 2" xfId="2692" xr:uid="{00000000-0005-0000-0000-0000480A0000}"/>
    <cellStyle name="쉼표 [0] 3 5 3 4 3 3" xfId="2693" xr:uid="{00000000-0005-0000-0000-0000490A0000}"/>
    <cellStyle name="쉼표 [0] 3 5 3 4 4" xfId="2694" xr:uid="{00000000-0005-0000-0000-00004A0A0000}"/>
    <cellStyle name="쉼표 [0] 3 5 3 4 4 2" xfId="2695" xr:uid="{00000000-0005-0000-0000-00004B0A0000}"/>
    <cellStyle name="쉼표 [0] 3 5 3 4 5" xfId="2696" xr:uid="{00000000-0005-0000-0000-00004C0A0000}"/>
    <cellStyle name="쉼표 [0] 3 5 3 5" xfId="2697" xr:uid="{00000000-0005-0000-0000-00004D0A0000}"/>
    <cellStyle name="쉼표 [0] 3 5 3 5 2" xfId="2698" xr:uid="{00000000-0005-0000-0000-00004E0A0000}"/>
    <cellStyle name="쉼표 [0] 3 5 3 5 2 2" xfId="2699" xr:uid="{00000000-0005-0000-0000-00004F0A0000}"/>
    <cellStyle name="쉼표 [0] 3 5 3 5 2 2 2" xfId="2700" xr:uid="{00000000-0005-0000-0000-0000500A0000}"/>
    <cellStyle name="쉼표 [0] 3 5 3 5 2 3" xfId="2701" xr:uid="{00000000-0005-0000-0000-0000510A0000}"/>
    <cellStyle name="쉼표 [0] 3 5 3 5 3" xfId="2702" xr:uid="{00000000-0005-0000-0000-0000520A0000}"/>
    <cellStyle name="쉼표 [0] 3 5 3 5 3 2" xfId="2703" xr:uid="{00000000-0005-0000-0000-0000530A0000}"/>
    <cellStyle name="쉼표 [0] 3 5 3 5 4" xfId="2704" xr:uid="{00000000-0005-0000-0000-0000540A0000}"/>
    <cellStyle name="쉼표 [0] 3 5 3 6" xfId="2705" xr:uid="{00000000-0005-0000-0000-0000550A0000}"/>
    <cellStyle name="쉼표 [0] 3 5 3 6 2" xfId="2706" xr:uid="{00000000-0005-0000-0000-0000560A0000}"/>
    <cellStyle name="쉼표 [0] 3 5 3 6 2 2" xfId="2707" xr:uid="{00000000-0005-0000-0000-0000570A0000}"/>
    <cellStyle name="쉼표 [0] 3 5 3 6 3" xfId="2708" xr:uid="{00000000-0005-0000-0000-0000580A0000}"/>
    <cellStyle name="쉼표 [0] 3 5 3 7" xfId="2709" xr:uid="{00000000-0005-0000-0000-0000590A0000}"/>
    <cellStyle name="쉼표 [0] 3 5 3 7 2" xfId="2710" xr:uid="{00000000-0005-0000-0000-00005A0A0000}"/>
    <cellStyle name="쉼표 [0] 3 5 3 8" xfId="2711" xr:uid="{00000000-0005-0000-0000-00005B0A0000}"/>
    <cellStyle name="쉼표 [0] 3 5 3 9" xfId="2712" xr:uid="{00000000-0005-0000-0000-00005C0A0000}"/>
    <cellStyle name="쉼표 [0] 3 5 4" xfId="2713" xr:uid="{00000000-0005-0000-0000-00005D0A0000}"/>
    <cellStyle name="쉼표 [0] 3 5 4 2" xfId="2714" xr:uid="{00000000-0005-0000-0000-00005E0A0000}"/>
    <cellStyle name="쉼표 [0] 3 5 4 2 2" xfId="2715" xr:uid="{00000000-0005-0000-0000-00005F0A0000}"/>
    <cellStyle name="쉼표 [0] 3 5 4 2 2 2" xfId="2716" xr:uid="{00000000-0005-0000-0000-0000600A0000}"/>
    <cellStyle name="쉼표 [0] 3 5 4 2 2 2 2" xfId="2717" xr:uid="{00000000-0005-0000-0000-0000610A0000}"/>
    <cellStyle name="쉼표 [0] 3 5 4 2 2 2 2 2" xfId="2718" xr:uid="{00000000-0005-0000-0000-0000620A0000}"/>
    <cellStyle name="쉼표 [0] 3 5 4 2 2 2 2 2 2" xfId="2719" xr:uid="{00000000-0005-0000-0000-0000630A0000}"/>
    <cellStyle name="쉼표 [0] 3 5 4 2 2 2 2 3" xfId="2720" xr:uid="{00000000-0005-0000-0000-0000640A0000}"/>
    <cellStyle name="쉼표 [0] 3 5 4 2 2 2 3" xfId="2721" xr:uid="{00000000-0005-0000-0000-0000650A0000}"/>
    <cellStyle name="쉼표 [0] 3 5 4 2 2 2 3 2" xfId="2722" xr:uid="{00000000-0005-0000-0000-0000660A0000}"/>
    <cellStyle name="쉼표 [0] 3 5 4 2 2 2 4" xfId="2723" xr:uid="{00000000-0005-0000-0000-0000670A0000}"/>
    <cellStyle name="쉼표 [0] 3 5 4 2 2 3" xfId="2724" xr:uid="{00000000-0005-0000-0000-0000680A0000}"/>
    <cellStyle name="쉼표 [0] 3 5 4 2 2 3 2" xfId="2725" xr:uid="{00000000-0005-0000-0000-0000690A0000}"/>
    <cellStyle name="쉼표 [0] 3 5 4 2 2 3 2 2" xfId="2726" xr:uid="{00000000-0005-0000-0000-00006A0A0000}"/>
    <cellStyle name="쉼표 [0] 3 5 4 2 2 3 3" xfId="2727" xr:uid="{00000000-0005-0000-0000-00006B0A0000}"/>
    <cellStyle name="쉼표 [0] 3 5 4 2 2 4" xfId="2728" xr:uid="{00000000-0005-0000-0000-00006C0A0000}"/>
    <cellStyle name="쉼표 [0] 3 5 4 2 2 4 2" xfId="2729" xr:uid="{00000000-0005-0000-0000-00006D0A0000}"/>
    <cellStyle name="쉼표 [0] 3 5 4 2 2 5" xfId="2730" xr:uid="{00000000-0005-0000-0000-00006E0A0000}"/>
    <cellStyle name="쉼표 [0] 3 5 4 2 3" xfId="2731" xr:uid="{00000000-0005-0000-0000-00006F0A0000}"/>
    <cellStyle name="쉼표 [0] 3 5 4 2 3 2" xfId="2732" xr:uid="{00000000-0005-0000-0000-0000700A0000}"/>
    <cellStyle name="쉼표 [0] 3 5 4 2 3 2 2" xfId="2733" xr:uid="{00000000-0005-0000-0000-0000710A0000}"/>
    <cellStyle name="쉼표 [0] 3 5 4 2 3 2 2 2" xfId="2734" xr:uid="{00000000-0005-0000-0000-0000720A0000}"/>
    <cellStyle name="쉼표 [0] 3 5 4 2 3 2 3" xfId="2735" xr:uid="{00000000-0005-0000-0000-0000730A0000}"/>
    <cellStyle name="쉼표 [0] 3 5 4 2 3 3" xfId="2736" xr:uid="{00000000-0005-0000-0000-0000740A0000}"/>
    <cellStyle name="쉼표 [0] 3 5 4 2 3 3 2" xfId="2737" xr:uid="{00000000-0005-0000-0000-0000750A0000}"/>
    <cellStyle name="쉼표 [0] 3 5 4 2 3 4" xfId="2738" xr:uid="{00000000-0005-0000-0000-0000760A0000}"/>
    <cellStyle name="쉼표 [0] 3 5 4 2 4" xfId="2739" xr:uid="{00000000-0005-0000-0000-0000770A0000}"/>
    <cellStyle name="쉼표 [0] 3 5 4 2 4 2" xfId="2740" xr:uid="{00000000-0005-0000-0000-0000780A0000}"/>
    <cellStyle name="쉼표 [0] 3 5 4 2 4 2 2" xfId="2741" xr:uid="{00000000-0005-0000-0000-0000790A0000}"/>
    <cellStyle name="쉼표 [0] 3 5 4 2 4 3" xfId="2742" xr:uid="{00000000-0005-0000-0000-00007A0A0000}"/>
    <cellStyle name="쉼표 [0] 3 5 4 2 5" xfId="2743" xr:uid="{00000000-0005-0000-0000-00007B0A0000}"/>
    <cellStyle name="쉼표 [0] 3 5 4 2 5 2" xfId="2744" xr:uid="{00000000-0005-0000-0000-00007C0A0000}"/>
    <cellStyle name="쉼표 [0] 3 5 4 2 6" xfId="2745" xr:uid="{00000000-0005-0000-0000-00007D0A0000}"/>
    <cellStyle name="쉼표 [0] 3 5 4 3" xfId="2746" xr:uid="{00000000-0005-0000-0000-00007E0A0000}"/>
    <cellStyle name="쉼표 [0] 3 5 4 3 2" xfId="2747" xr:uid="{00000000-0005-0000-0000-00007F0A0000}"/>
    <cellStyle name="쉼표 [0] 3 5 4 3 2 2" xfId="2748" xr:uid="{00000000-0005-0000-0000-0000800A0000}"/>
    <cellStyle name="쉼표 [0] 3 5 4 3 2 2 2" xfId="2749" xr:uid="{00000000-0005-0000-0000-0000810A0000}"/>
    <cellStyle name="쉼표 [0] 3 5 4 3 2 2 2 2" xfId="2750" xr:uid="{00000000-0005-0000-0000-0000820A0000}"/>
    <cellStyle name="쉼표 [0] 3 5 4 3 2 2 3" xfId="2751" xr:uid="{00000000-0005-0000-0000-0000830A0000}"/>
    <cellStyle name="쉼표 [0] 3 5 4 3 2 3" xfId="2752" xr:uid="{00000000-0005-0000-0000-0000840A0000}"/>
    <cellStyle name="쉼표 [0] 3 5 4 3 2 3 2" xfId="2753" xr:uid="{00000000-0005-0000-0000-0000850A0000}"/>
    <cellStyle name="쉼표 [0] 3 5 4 3 2 4" xfId="2754" xr:uid="{00000000-0005-0000-0000-0000860A0000}"/>
    <cellStyle name="쉼표 [0] 3 5 4 3 3" xfId="2755" xr:uid="{00000000-0005-0000-0000-0000870A0000}"/>
    <cellStyle name="쉼표 [0] 3 5 4 3 3 2" xfId="2756" xr:uid="{00000000-0005-0000-0000-0000880A0000}"/>
    <cellStyle name="쉼표 [0] 3 5 4 3 3 2 2" xfId="2757" xr:uid="{00000000-0005-0000-0000-0000890A0000}"/>
    <cellStyle name="쉼표 [0] 3 5 4 3 3 3" xfId="2758" xr:uid="{00000000-0005-0000-0000-00008A0A0000}"/>
    <cellStyle name="쉼표 [0] 3 5 4 3 4" xfId="2759" xr:uid="{00000000-0005-0000-0000-00008B0A0000}"/>
    <cellStyle name="쉼표 [0] 3 5 4 3 4 2" xfId="2760" xr:uid="{00000000-0005-0000-0000-00008C0A0000}"/>
    <cellStyle name="쉼표 [0] 3 5 4 3 5" xfId="2761" xr:uid="{00000000-0005-0000-0000-00008D0A0000}"/>
    <cellStyle name="쉼표 [0] 3 5 4 4" xfId="2762" xr:uid="{00000000-0005-0000-0000-00008E0A0000}"/>
    <cellStyle name="쉼표 [0] 3 5 4 4 2" xfId="2763" xr:uid="{00000000-0005-0000-0000-00008F0A0000}"/>
    <cellStyle name="쉼표 [0] 3 5 4 4 2 2" xfId="2764" xr:uid="{00000000-0005-0000-0000-0000900A0000}"/>
    <cellStyle name="쉼표 [0] 3 5 4 4 2 2 2" xfId="2765" xr:uid="{00000000-0005-0000-0000-0000910A0000}"/>
    <cellStyle name="쉼표 [0] 3 5 4 4 2 3" xfId="2766" xr:uid="{00000000-0005-0000-0000-0000920A0000}"/>
    <cellStyle name="쉼표 [0] 3 5 4 4 3" xfId="2767" xr:uid="{00000000-0005-0000-0000-0000930A0000}"/>
    <cellStyle name="쉼표 [0] 3 5 4 4 3 2" xfId="2768" xr:uid="{00000000-0005-0000-0000-0000940A0000}"/>
    <cellStyle name="쉼표 [0] 3 5 4 4 4" xfId="2769" xr:uid="{00000000-0005-0000-0000-0000950A0000}"/>
    <cellStyle name="쉼표 [0] 3 5 4 5" xfId="2770" xr:uid="{00000000-0005-0000-0000-0000960A0000}"/>
    <cellStyle name="쉼표 [0] 3 5 4 5 2" xfId="2771" xr:uid="{00000000-0005-0000-0000-0000970A0000}"/>
    <cellStyle name="쉼표 [0] 3 5 4 5 2 2" xfId="2772" xr:uid="{00000000-0005-0000-0000-0000980A0000}"/>
    <cellStyle name="쉼표 [0] 3 5 4 5 3" xfId="2773" xr:uid="{00000000-0005-0000-0000-0000990A0000}"/>
    <cellStyle name="쉼표 [0] 3 5 4 6" xfId="2774" xr:uid="{00000000-0005-0000-0000-00009A0A0000}"/>
    <cellStyle name="쉼표 [0] 3 5 4 6 2" xfId="2775" xr:uid="{00000000-0005-0000-0000-00009B0A0000}"/>
    <cellStyle name="쉼표 [0] 3 5 4 7" xfId="2776" xr:uid="{00000000-0005-0000-0000-00009C0A0000}"/>
    <cellStyle name="쉼표 [0] 3 5 4 8" xfId="2777" xr:uid="{00000000-0005-0000-0000-00009D0A0000}"/>
    <cellStyle name="쉼표 [0] 3 5 5" xfId="2778" xr:uid="{00000000-0005-0000-0000-00009E0A0000}"/>
    <cellStyle name="쉼표 [0] 3 5 5 2" xfId="2779" xr:uid="{00000000-0005-0000-0000-00009F0A0000}"/>
    <cellStyle name="쉼표 [0] 3 5 5 2 2" xfId="2780" xr:uid="{00000000-0005-0000-0000-0000A00A0000}"/>
    <cellStyle name="쉼표 [0] 3 5 5 2 2 2" xfId="2781" xr:uid="{00000000-0005-0000-0000-0000A10A0000}"/>
    <cellStyle name="쉼표 [0] 3 5 5 2 2 2 2" xfId="2782" xr:uid="{00000000-0005-0000-0000-0000A20A0000}"/>
    <cellStyle name="쉼표 [0] 3 5 5 2 2 2 2 2" xfId="2783" xr:uid="{00000000-0005-0000-0000-0000A30A0000}"/>
    <cellStyle name="쉼표 [0] 3 5 5 2 2 2 3" xfId="2784" xr:uid="{00000000-0005-0000-0000-0000A40A0000}"/>
    <cellStyle name="쉼표 [0] 3 5 5 2 2 3" xfId="2785" xr:uid="{00000000-0005-0000-0000-0000A50A0000}"/>
    <cellStyle name="쉼표 [0] 3 5 5 2 2 3 2" xfId="2786" xr:uid="{00000000-0005-0000-0000-0000A60A0000}"/>
    <cellStyle name="쉼표 [0] 3 5 5 2 2 4" xfId="2787" xr:uid="{00000000-0005-0000-0000-0000A70A0000}"/>
    <cellStyle name="쉼표 [0] 3 5 5 2 3" xfId="2788" xr:uid="{00000000-0005-0000-0000-0000A80A0000}"/>
    <cellStyle name="쉼표 [0] 3 5 5 2 3 2" xfId="2789" xr:uid="{00000000-0005-0000-0000-0000A90A0000}"/>
    <cellStyle name="쉼표 [0] 3 5 5 2 3 2 2" xfId="2790" xr:uid="{00000000-0005-0000-0000-0000AA0A0000}"/>
    <cellStyle name="쉼표 [0] 3 5 5 2 3 3" xfId="2791" xr:uid="{00000000-0005-0000-0000-0000AB0A0000}"/>
    <cellStyle name="쉼표 [0] 3 5 5 2 4" xfId="2792" xr:uid="{00000000-0005-0000-0000-0000AC0A0000}"/>
    <cellStyle name="쉼표 [0] 3 5 5 2 4 2" xfId="2793" xr:uid="{00000000-0005-0000-0000-0000AD0A0000}"/>
    <cellStyle name="쉼표 [0] 3 5 5 2 5" xfId="2794" xr:uid="{00000000-0005-0000-0000-0000AE0A0000}"/>
    <cellStyle name="쉼표 [0] 3 5 5 3" xfId="2795" xr:uid="{00000000-0005-0000-0000-0000AF0A0000}"/>
    <cellStyle name="쉼표 [0] 3 5 5 3 2" xfId="2796" xr:uid="{00000000-0005-0000-0000-0000B00A0000}"/>
    <cellStyle name="쉼표 [0] 3 5 5 3 2 2" xfId="2797" xr:uid="{00000000-0005-0000-0000-0000B10A0000}"/>
    <cellStyle name="쉼표 [0] 3 5 5 3 2 2 2" xfId="2798" xr:uid="{00000000-0005-0000-0000-0000B20A0000}"/>
    <cellStyle name="쉼표 [0] 3 5 5 3 2 3" xfId="2799" xr:uid="{00000000-0005-0000-0000-0000B30A0000}"/>
    <cellStyle name="쉼표 [0] 3 5 5 3 3" xfId="2800" xr:uid="{00000000-0005-0000-0000-0000B40A0000}"/>
    <cellStyle name="쉼표 [0] 3 5 5 3 3 2" xfId="2801" xr:uid="{00000000-0005-0000-0000-0000B50A0000}"/>
    <cellStyle name="쉼표 [0] 3 5 5 3 4" xfId="2802" xr:uid="{00000000-0005-0000-0000-0000B60A0000}"/>
    <cellStyle name="쉼표 [0] 3 5 5 4" xfId="2803" xr:uid="{00000000-0005-0000-0000-0000B70A0000}"/>
    <cellStyle name="쉼표 [0] 3 5 5 4 2" xfId="2804" xr:uid="{00000000-0005-0000-0000-0000B80A0000}"/>
    <cellStyle name="쉼표 [0] 3 5 5 4 2 2" xfId="2805" xr:uid="{00000000-0005-0000-0000-0000B90A0000}"/>
    <cellStyle name="쉼표 [0] 3 5 5 4 3" xfId="2806" xr:uid="{00000000-0005-0000-0000-0000BA0A0000}"/>
    <cellStyle name="쉼표 [0] 3 5 5 5" xfId="2807" xr:uid="{00000000-0005-0000-0000-0000BB0A0000}"/>
    <cellStyle name="쉼표 [0] 3 5 5 5 2" xfId="2808" xr:uid="{00000000-0005-0000-0000-0000BC0A0000}"/>
    <cellStyle name="쉼표 [0] 3 5 5 6" xfId="2809" xr:uid="{00000000-0005-0000-0000-0000BD0A0000}"/>
    <cellStyle name="쉼표 [0] 3 5 6" xfId="2810" xr:uid="{00000000-0005-0000-0000-0000BE0A0000}"/>
    <cellStyle name="쉼표 [0] 3 5 6 2" xfId="2811" xr:uid="{00000000-0005-0000-0000-0000BF0A0000}"/>
    <cellStyle name="쉼표 [0] 3 5 6 2 2" xfId="2812" xr:uid="{00000000-0005-0000-0000-0000C00A0000}"/>
    <cellStyle name="쉼표 [0] 3 5 6 2 2 2" xfId="2813" xr:uid="{00000000-0005-0000-0000-0000C10A0000}"/>
    <cellStyle name="쉼표 [0] 3 5 6 2 2 2 2" xfId="2814" xr:uid="{00000000-0005-0000-0000-0000C20A0000}"/>
    <cellStyle name="쉼표 [0] 3 5 6 2 2 3" xfId="2815" xr:uid="{00000000-0005-0000-0000-0000C30A0000}"/>
    <cellStyle name="쉼표 [0] 3 5 6 2 3" xfId="2816" xr:uid="{00000000-0005-0000-0000-0000C40A0000}"/>
    <cellStyle name="쉼표 [0] 3 5 6 2 3 2" xfId="2817" xr:uid="{00000000-0005-0000-0000-0000C50A0000}"/>
    <cellStyle name="쉼표 [0] 3 5 6 2 4" xfId="2818" xr:uid="{00000000-0005-0000-0000-0000C60A0000}"/>
    <cellStyle name="쉼표 [0] 3 5 6 3" xfId="2819" xr:uid="{00000000-0005-0000-0000-0000C70A0000}"/>
    <cellStyle name="쉼표 [0] 3 5 6 3 2" xfId="2820" xr:uid="{00000000-0005-0000-0000-0000C80A0000}"/>
    <cellStyle name="쉼표 [0] 3 5 6 3 2 2" xfId="2821" xr:uid="{00000000-0005-0000-0000-0000C90A0000}"/>
    <cellStyle name="쉼표 [0] 3 5 6 3 3" xfId="2822" xr:uid="{00000000-0005-0000-0000-0000CA0A0000}"/>
    <cellStyle name="쉼표 [0] 3 5 6 4" xfId="2823" xr:uid="{00000000-0005-0000-0000-0000CB0A0000}"/>
    <cellStyle name="쉼표 [0] 3 5 6 4 2" xfId="2824" xr:uid="{00000000-0005-0000-0000-0000CC0A0000}"/>
    <cellStyle name="쉼표 [0] 3 5 6 5" xfId="2825" xr:uid="{00000000-0005-0000-0000-0000CD0A0000}"/>
    <cellStyle name="쉼표 [0] 3 5 7" xfId="2826" xr:uid="{00000000-0005-0000-0000-0000CE0A0000}"/>
    <cellStyle name="쉼표 [0] 3 5 7 2" xfId="2827" xr:uid="{00000000-0005-0000-0000-0000CF0A0000}"/>
    <cellStyle name="쉼표 [0] 3 5 7 2 2" xfId="2828" xr:uid="{00000000-0005-0000-0000-0000D00A0000}"/>
    <cellStyle name="쉼표 [0] 3 5 7 2 2 2" xfId="2829" xr:uid="{00000000-0005-0000-0000-0000D10A0000}"/>
    <cellStyle name="쉼표 [0] 3 5 7 2 3" xfId="2830" xr:uid="{00000000-0005-0000-0000-0000D20A0000}"/>
    <cellStyle name="쉼표 [0] 3 5 7 3" xfId="2831" xr:uid="{00000000-0005-0000-0000-0000D30A0000}"/>
    <cellStyle name="쉼표 [0] 3 5 7 3 2" xfId="2832" xr:uid="{00000000-0005-0000-0000-0000D40A0000}"/>
    <cellStyle name="쉼표 [0] 3 5 7 4" xfId="2833" xr:uid="{00000000-0005-0000-0000-0000D50A0000}"/>
    <cellStyle name="쉼표 [0] 3 5 8" xfId="2834" xr:uid="{00000000-0005-0000-0000-0000D60A0000}"/>
    <cellStyle name="쉼표 [0] 3 5 8 2" xfId="2835" xr:uid="{00000000-0005-0000-0000-0000D70A0000}"/>
    <cellStyle name="쉼표 [0] 3 5 8 2 2" xfId="2836" xr:uid="{00000000-0005-0000-0000-0000D80A0000}"/>
    <cellStyle name="쉼표 [0] 3 5 8 3" xfId="2837" xr:uid="{00000000-0005-0000-0000-0000D90A0000}"/>
    <cellStyle name="쉼표 [0] 3 5 9" xfId="2838" xr:uid="{00000000-0005-0000-0000-0000DA0A0000}"/>
    <cellStyle name="쉼표 [0] 3 5 9 2" xfId="2839" xr:uid="{00000000-0005-0000-0000-0000DB0A0000}"/>
    <cellStyle name="쉼표 [0] 3 6" xfId="2840" xr:uid="{00000000-0005-0000-0000-0000DC0A0000}"/>
    <cellStyle name="쉼표 [0] 3 6 10" xfId="2841" xr:uid="{00000000-0005-0000-0000-0000DD0A0000}"/>
    <cellStyle name="쉼표 [0] 3 6 2" xfId="2842" xr:uid="{00000000-0005-0000-0000-0000DE0A0000}"/>
    <cellStyle name="쉼표 [0] 3 6 2 2" xfId="2843" xr:uid="{00000000-0005-0000-0000-0000DF0A0000}"/>
    <cellStyle name="쉼표 [0] 3 6 2 2 2" xfId="2844" xr:uid="{00000000-0005-0000-0000-0000E00A0000}"/>
    <cellStyle name="쉼표 [0] 3 6 2 2 2 2" xfId="2845" xr:uid="{00000000-0005-0000-0000-0000E10A0000}"/>
    <cellStyle name="쉼표 [0] 3 6 2 2 2 2 2" xfId="2846" xr:uid="{00000000-0005-0000-0000-0000E20A0000}"/>
    <cellStyle name="쉼표 [0] 3 6 2 2 2 2 2 2" xfId="2847" xr:uid="{00000000-0005-0000-0000-0000E30A0000}"/>
    <cellStyle name="쉼표 [0] 3 6 2 2 2 2 2 2 2" xfId="2848" xr:uid="{00000000-0005-0000-0000-0000E40A0000}"/>
    <cellStyle name="쉼표 [0] 3 6 2 2 2 2 2 2 2 2" xfId="2849" xr:uid="{00000000-0005-0000-0000-0000E50A0000}"/>
    <cellStyle name="쉼표 [0] 3 6 2 2 2 2 2 2 3" xfId="2850" xr:uid="{00000000-0005-0000-0000-0000E60A0000}"/>
    <cellStyle name="쉼표 [0] 3 6 2 2 2 2 2 3" xfId="2851" xr:uid="{00000000-0005-0000-0000-0000E70A0000}"/>
    <cellStyle name="쉼표 [0] 3 6 2 2 2 2 2 3 2" xfId="2852" xr:uid="{00000000-0005-0000-0000-0000E80A0000}"/>
    <cellStyle name="쉼표 [0] 3 6 2 2 2 2 2 4" xfId="2853" xr:uid="{00000000-0005-0000-0000-0000E90A0000}"/>
    <cellStyle name="쉼표 [0] 3 6 2 2 2 2 3" xfId="2854" xr:uid="{00000000-0005-0000-0000-0000EA0A0000}"/>
    <cellStyle name="쉼표 [0] 3 6 2 2 2 2 3 2" xfId="2855" xr:uid="{00000000-0005-0000-0000-0000EB0A0000}"/>
    <cellStyle name="쉼표 [0] 3 6 2 2 2 2 3 2 2" xfId="2856" xr:uid="{00000000-0005-0000-0000-0000EC0A0000}"/>
    <cellStyle name="쉼표 [0] 3 6 2 2 2 2 3 3" xfId="2857" xr:uid="{00000000-0005-0000-0000-0000ED0A0000}"/>
    <cellStyle name="쉼표 [0] 3 6 2 2 2 2 4" xfId="2858" xr:uid="{00000000-0005-0000-0000-0000EE0A0000}"/>
    <cellStyle name="쉼표 [0] 3 6 2 2 2 2 4 2" xfId="2859" xr:uid="{00000000-0005-0000-0000-0000EF0A0000}"/>
    <cellStyle name="쉼표 [0] 3 6 2 2 2 2 5" xfId="2860" xr:uid="{00000000-0005-0000-0000-0000F00A0000}"/>
    <cellStyle name="쉼표 [0] 3 6 2 2 2 3" xfId="2861" xr:uid="{00000000-0005-0000-0000-0000F10A0000}"/>
    <cellStyle name="쉼표 [0] 3 6 2 2 2 3 2" xfId="2862" xr:uid="{00000000-0005-0000-0000-0000F20A0000}"/>
    <cellStyle name="쉼표 [0] 3 6 2 2 2 3 2 2" xfId="2863" xr:uid="{00000000-0005-0000-0000-0000F30A0000}"/>
    <cellStyle name="쉼표 [0] 3 6 2 2 2 3 2 2 2" xfId="2864" xr:uid="{00000000-0005-0000-0000-0000F40A0000}"/>
    <cellStyle name="쉼표 [0] 3 6 2 2 2 3 2 3" xfId="2865" xr:uid="{00000000-0005-0000-0000-0000F50A0000}"/>
    <cellStyle name="쉼표 [0] 3 6 2 2 2 3 3" xfId="2866" xr:uid="{00000000-0005-0000-0000-0000F60A0000}"/>
    <cellStyle name="쉼표 [0] 3 6 2 2 2 3 3 2" xfId="2867" xr:uid="{00000000-0005-0000-0000-0000F70A0000}"/>
    <cellStyle name="쉼표 [0] 3 6 2 2 2 3 4" xfId="2868" xr:uid="{00000000-0005-0000-0000-0000F80A0000}"/>
    <cellStyle name="쉼표 [0] 3 6 2 2 2 4" xfId="2869" xr:uid="{00000000-0005-0000-0000-0000F90A0000}"/>
    <cellStyle name="쉼표 [0] 3 6 2 2 2 4 2" xfId="2870" xr:uid="{00000000-0005-0000-0000-0000FA0A0000}"/>
    <cellStyle name="쉼표 [0] 3 6 2 2 2 4 2 2" xfId="2871" xr:uid="{00000000-0005-0000-0000-0000FB0A0000}"/>
    <cellStyle name="쉼표 [0] 3 6 2 2 2 4 3" xfId="2872" xr:uid="{00000000-0005-0000-0000-0000FC0A0000}"/>
    <cellStyle name="쉼표 [0] 3 6 2 2 2 5" xfId="2873" xr:uid="{00000000-0005-0000-0000-0000FD0A0000}"/>
    <cellStyle name="쉼표 [0] 3 6 2 2 2 5 2" xfId="2874" xr:uid="{00000000-0005-0000-0000-0000FE0A0000}"/>
    <cellStyle name="쉼표 [0] 3 6 2 2 2 6" xfId="2875" xr:uid="{00000000-0005-0000-0000-0000FF0A0000}"/>
    <cellStyle name="쉼표 [0] 3 6 2 2 3" xfId="2876" xr:uid="{00000000-0005-0000-0000-0000000B0000}"/>
    <cellStyle name="쉼표 [0] 3 6 2 2 3 2" xfId="2877" xr:uid="{00000000-0005-0000-0000-0000010B0000}"/>
    <cellStyle name="쉼표 [0] 3 6 2 2 3 2 2" xfId="2878" xr:uid="{00000000-0005-0000-0000-0000020B0000}"/>
    <cellStyle name="쉼표 [0] 3 6 2 2 3 2 2 2" xfId="2879" xr:uid="{00000000-0005-0000-0000-0000030B0000}"/>
    <cellStyle name="쉼표 [0] 3 6 2 2 3 2 2 2 2" xfId="2880" xr:uid="{00000000-0005-0000-0000-0000040B0000}"/>
    <cellStyle name="쉼표 [0] 3 6 2 2 3 2 2 3" xfId="2881" xr:uid="{00000000-0005-0000-0000-0000050B0000}"/>
    <cellStyle name="쉼표 [0] 3 6 2 2 3 2 3" xfId="2882" xr:uid="{00000000-0005-0000-0000-0000060B0000}"/>
    <cellStyle name="쉼표 [0] 3 6 2 2 3 2 3 2" xfId="2883" xr:uid="{00000000-0005-0000-0000-0000070B0000}"/>
    <cellStyle name="쉼표 [0] 3 6 2 2 3 2 4" xfId="2884" xr:uid="{00000000-0005-0000-0000-0000080B0000}"/>
    <cellStyle name="쉼표 [0] 3 6 2 2 3 3" xfId="2885" xr:uid="{00000000-0005-0000-0000-0000090B0000}"/>
    <cellStyle name="쉼표 [0] 3 6 2 2 3 3 2" xfId="2886" xr:uid="{00000000-0005-0000-0000-00000A0B0000}"/>
    <cellStyle name="쉼표 [0] 3 6 2 2 3 3 2 2" xfId="2887" xr:uid="{00000000-0005-0000-0000-00000B0B0000}"/>
    <cellStyle name="쉼표 [0] 3 6 2 2 3 3 3" xfId="2888" xr:uid="{00000000-0005-0000-0000-00000C0B0000}"/>
    <cellStyle name="쉼표 [0] 3 6 2 2 3 4" xfId="2889" xr:uid="{00000000-0005-0000-0000-00000D0B0000}"/>
    <cellStyle name="쉼표 [0] 3 6 2 2 3 4 2" xfId="2890" xr:uid="{00000000-0005-0000-0000-00000E0B0000}"/>
    <cellStyle name="쉼표 [0] 3 6 2 2 3 5" xfId="2891" xr:uid="{00000000-0005-0000-0000-00000F0B0000}"/>
    <cellStyle name="쉼표 [0] 3 6 2 2 4" xfId="2892" xr:uid="{00000000-0005-0000-0000-0000100B0000}"/>
    <cellStyle name="쉼표 [0] 3 6 2 2 4 2" xfId="2893" xr:uid="{00000000-0005-0000-0000-0000110B0000}"/>
    <cellStyle name="쉼표 [0] 3 6 2 2 4 2 2" xfId="2894" xr:uid="{00000000-0005-0000-0000-0000120B0000}"/>
    <cellStyle name="쉼표 [0] 3 6 2 2 4 2 2 2" xfId="2895" xr:uid="{00000000-0005-0000-0000-0000130B0000}"/>
    <cellStyle name="쉼표 [0] 3 6 2 2 4 2 3" xfId="2896" xr:uid="{00000000-0005-0000-0000-0000140B0000}"/>
    <cellStyle name="쉼표 [0] 3 6 2 2 4 3" xfId="2897" xr:uid="{00000000-0005-0000-0000-0000150B0000}"/>
    <cellStyle name="쉼표 [0] 3 6 2 2 4 3 2" xfId="2898" xr:uid="{00000000-0005-0000-0000-0000160B0000}"/>
    <cellStyle name="쉼표 [0] 3 6 2 2 4 4" xfId="2899" xr:uid="{00000000-0005-0000-0000-0000170B0000}"/>
    <cellStyle name="쉼표 [0] 3 6 2 2 5" xfId="2900" xr:uid="{00000000-0005-0000-0000-0000180B0000}"/>
    <cellStyle name="쉼표 [0] 3 6 2 2 5 2" xfId="2901" xr:uid="{00000000-0005-0000-0000-0000190B0000}"/>
    <cellStyle name="쉼표 [0] 3 6 2 2 5 2 2" xfId="2902" xr:uid="{00000000-0005-0000-0000-00001A0B0000}"/>
    <cellStyle name="쉼표 [0] 3 6 2 2 5 3" xfId="2903" xr:uid="{00000000-0005-0000-0000-00001B0B0000}"/>
    <cellStyle name="쉼표 [0] 3 6 2 2 6" xfId="2904" xr:uid="{00000000-0005-0000-0000-00001C0B0000}"/>
    <cellStyle name="쉼표 [0] 3 6 2 2 6 2" xfId="2905" xr:uid="{00000000-0005-0000-0000-00001D0B0000}"/>
    <cellStyle name="쉼표 [0] 3 6 2 2 7" xfId="2906" xr:uid="{00000000-0005-0000-0000-00001E0B0000}"/>
    <cellStyle name="쉼표 [0] 3 6 2 2 8" xfId="2907" xr:uid="{00000000-0005-0000-0000-00001F0B0000}"/>
    <cellStyle name="쉼표 [0] 3 6 2 3" xfId="2908" xr:uid="{00000000-0005-0000-0000-0000200B0000}"/>
    <cellStyle name="쉼표 [0] 3 6 2 3 2" xfId="2909" xr:uid="{00000000-0005-0000-0000-0000210B0000}"/>
    <cellStyle name="쉼표 [0] 3 6 2 3 2 2" xfId="2910" xr:uid="{00000000-0005-0000-0000-0000220B0000}"/>
    <cellStyle name="쉼표 [0] 3 6 2 3 2 2 2" xfId="2911" xr:uid="{00000000-0005-0000-0000-0000230B0000}"/>
    <cellStyle name="쉼표 [0] 3 6 2 3 2 2 2 2" xfId="2912" xr:uid="{00000000-0005-0000-0000-0000240B0000}"/>
    <cellStyle name="쉼표 [0] 3 6 2 3 2 2 2 2 2" xfId="2913" xr:uid="{00000000-0005-0000-0000-0000250B0000}"/>
    <cellStyle name="쉼표 [0] 3 6 2 3 2 2 2 3" xfId="2914" xr:uid="{00000000-0005-0000-0000-0000260B0000}"/>
    <cellStyle name="쉼표 [0] 3 6 2 3 2 2 3" xfId="2915" xr:uid="{00000000-0005-0000-0000-0000270B0000}"/>
    <cellStyle name="쉼표 [0] 3 6 2 3 2 2 3 2" xfId="2916" xr:uid="{00000000-0005-0000-0000-0000280B0000}"/>
    <cellStyle name="쉼표 [0] 3 6 2 3 2 2 4" xfId="2917" xr:uid="{00000000-0005-0000-0000-0000290B0000}"/>
    <cellStyle name="쉼표 [0] 3 6 2 3 2 3" xfId="2918" xr:uid="{00000000-0005-0000-0000-00002A0B0000}"/>
    <cellStyle name="쉼표 [0] 3 6 2 3 2 3 2" xfId="2919" xr:uid="{00000000-0005-0000-0000-00002B0B0000}"/>
    <cellStyle name="쉼표 [0] 3 6 2 3 2 3 2 2" xfId="2920" xr:uid="{00000000-0005-0000-0000-00002C0B0000}"/>
    <cellStyle name="쉼표 [0] 3 6 2 3 2 3 3" xfId="2921" xr:uid="{00000000-0005-0000-0000-00002D0B0000}"/>
    <cellStyle name="쉼표 [0] 3 6 2 3 2 4" xfId="2922" xr:uid="{00000000-0005-0000-0000-00002E0B0000}"/>
    <cellStyle name="쉼표 [0] 3 6 2 3 2 4 2" xfId="2923" xr:uid="{00000000-0005-0000-0000-00002F0B0000}"/>
    <cellStyle name="쉼표 [0] 3 6 2 3 2 5" xfId="2924" xr:uid="{00000000-0005-0000-0000-0000300B0000}"/>
    <cellStyle name="쉼표 [0] 3 6 2 3 3" xfId="2925" xr:uid="{00000000-0005-0000-0000-0000310B0000}"/>
    <cellStyle name="쉼표 [0] 3 6 2 3 3 2" xfId="2926" xr:uid="{00000000-0005-0000-0000-0000320B0000}"/>
    <cellStyle name="쉼표 [0] 3 6 2 3 3 2 2" xfId="2927" xr:uid="{00000000-0005-0000-0000-0000330B0000}"/>
    <cellStyle name="쉼표 [0] 3 6 2 3 3 2 2 2" xfId="2928" xr:uid="{00000000-0005-0000-0000-0000340B0000}"/>
    <cellStyle name="쉼표 [0] 3 6 2 3 3 2 3" xfId="2929" xr:uid="{00000000-0005-0000-0000-0000350B0000}"/>
    <cellStyle name="쉼표 [0] 3 6 2 3 3 3" xfId="2930" xr:uid="{00000000-0005-0000-0000-0000360B0000}"/>
    <cellStyle name="쉼표 [0] 3 6 2 3 3 3 2" xfId="2931" xr:uid="{00000000-0005-0000-0000-0000370B0000}"/>
    <cellStyle name="쉼표 [0] 3 6 2 3 3 4" xfId="2932" xr:uid="{00000000-0005-0000-0000-0000380B0000}"/>
    <cellStyle name="쉼표 [0] 3 6 2 3 4" xfId="2933" xr:uid="{00000000-0005-0000-0000-0000390B0000}"/>
    <cellStyle name="쉼표 [0] 3 6 2 3 4 2" xfId="2934" xr:uid="{00000000-0005-0000-0000-00003A0B0000}"/>
    <cellStyle name="쉼표 [0] 3 6 2 3 4 2 2" xfId="2935" xr:uid="{00000000-0005-0000-0000-00003B0B0000}"/>
    <cellStyle name="쉼표 [0] 3 6 2 3 4 3" xfId="2936" xr:uid="{00000000-0005-0000-0000-00003C0B0000}"/>
    <cellStyle name="쉼표 [0] 3 6 2 3 5" xfId="2937" xr:uid="{00000000-0005-0000-0000-00003D0B0000}"/>
    <cellStyle name="쉼표 [0] 3 6 2 3 5 2" xfId="2938" xr:uid="{00000000-0005-0000-0000-00003E0B0000}"/>
    <cellStyle name="쉼표 [0] 3 6 2 3 6" xfId="2939" xr:uid="{00000000-0005-0000-0000-00003F0B0000}"/>
    <cellStyle name="쉼표 [0] 3 6 2 4" xfId="2940" xr:uid="{00000000-0005-0000-0000-0000400B0000}"/>
    <cellStyle name="쉼표 [0] 3 6 2 4 2" xfId="2941" xr:uid="{00000000-0005-0000-0000-0000410B0000}"/>
    <cellStyle name="쉼표 [0] 3 6 2 4 2 2" xfId="2942" xr:uid="{00000000-0005-0000-0000-0000420B0000}"/>
    <cellStyle name="쉼표 [0] 3 6 2 4 2 2 2" xfId="2943" xr:uid="{00000000-0005-0000-0000-0000430B0000}"/>
    <cellStyle name="쉼표 [0] 3 6 2 4 2 2 2 2" xfId="2944" xr:uid="{00000000-0005-0000-0000-0000440B0000}"/>
    <cellStyle name="쉼표 [0] 3 6 2 4 2 2 3" xfId="2945" xr:uid="{00000000-0005-0000-0000-0000450B0000}"/>
    <cellStyle name="쉼표 [0] 3 6 2 4 2 3" xfId="2946" xr:uid="{00000000-0005-0000-0000-0000460B0000}"/>
    <cellStyle name="쉼표 [0] 3 6 2 4 2 3 2" xfId="2947" xr:uid="{00000000-0005-0000-0000-0000470B0000}"/>
    <cellStyle name="쉼표 [0] 3 6 2 4 2 4" xfId="2948" xr:uid="{00000000-0005-0000-0000-0000480B0000}"/>
    <cellStyle name="쉼표 [0] 3 6 2 4 3" xfId="2949" xr:uid="{00000000-0005-0000-0000-0000490B0000}"/>
    <cellStyle name="쉼표 [0] 3 6 2 4 3 2" xfId="2950" xr:uid="{00000000-0005-0000-0000-00004A0B0000}"/>
    <cellStyle name="쉼표 [0] 3 6 2 4 3 2 2" xfId="2951" xr:uid="{00000000-0005-0000-0000-00004B0B0000}"/>
    <cellStyle name="쉼표 [0] 3 6 2 4 3 3" xfId="2952" xr:uid="{00000000-0005-0000-0000-00004C0B0000}"/>
    <cellStyle name="쉼표 [0] 3 6 2 4 4" xfId="2953" xr:uid="{00000000-0005-0000-0000-00004D0B0000}"/>
    <cellStyle name="쉼표 [0] 3 6 2 4 4 2" xfId="2954" xr:uid="{00000000-0005-0000-0000-00004E0B0000}"/>
    <cellStyle name="쉼표 [0] 3 6 2 4 5" xfId="2955" xr:uid="{00000000-0005-0000-0000-00004F0B0000}"/>
    <cellStyle name="쉼표 [0] 3 6 2 5" xfId="2956" xr:uid="{00000000-0005-0000-0000-0000500B0000}"/>
    <cellStyle name="쉼표 [0] 3 6 2 5 2" xfId="2957" xr:uid="{00000000-0005-0000-0000-0000510B0000}"/>
    <cellStyle name="쉼표 [0] 3 6 2 5 2 2" xfId="2958" xr:uid="{00000000-0005-0000-0000-0000520B0000}"/>
    <cellStyle name="쉼표 [0] 3 6 2 5 2 2 2" xfId="2959" xr:uid="{00000000-0005-0000-0000-0000530B0000}"/>
    <cellStyle name="쉼표 [0] 3 6 2 5 2 3" xfId="2960" xr:uid="{00000000-0005-0000-0000-0000540B0000}"/>
    <cellStyle name="쉼표 [0] 3 6 2 5 3" xfId="2961" xr:uid="{00000000-0005-0000-0000-0000550B0000}"/>
    <cellStyle name="쉼표 [0] 3 6 2 5 3 2" xfId="2962" xr:uid="{00000000-0005-0000-0000-0000560B0000}"/>
    <cellStyle name="쉼표 [0] 3 6 2 5 4" xfId="2963" xr:uid="{00000000-0005-0000-0000-0000570B0000}"/>
    <cellStyle name="쉼표 [0] 3 6 2 6" xfId="2964" xr:uid="{00000000-0005-0000-0000-0000580B0000}"/>
    <cellStyle name="쉼표 [0] 3 6 2 6 2" xfId="2965" xr:uid="{00000000-0005-0000-0000-0000590B0000}"/>
    <cellStyle name="쉼표 [0] 3 6 2 6 2 2" xfId="2966" xr:uid="{00000000-0005-0000-0000-00005A0B0000}"/>
    <cellStyle name="쉼표 [0] 3 6 2 6 3" xfId="2967" xr:uid="{00000000-0005-0000-0000-00005B0B0000}"/>
    <cellStyle name="쉼표 [0] 3 6 2 7" xfId="2968" xr:uid="{00000000-0005-0000-0000-00005C0B0000}"/>
    <cellStyle name="쉼표 [0] 3 6 2 7 2" xfId="2969" xr:uid="{00000000-0005-0000-0000-00005D0B0000}"/>
    <cellStyle name="쉼표 [0] 3 6 2 8" xfId="2970" xr:uid="{00000000-0005-0000-0000-00005E0B0000}"/>
    <cellStyle name="쉼표 [0] 3 6 2 9" xfId="2971" xr:uid="{00000000-0005-0000-0000-00005F0B0000}"/>
    <cellStyle name="쉼표 [0] 3 6 3" xfId="2972" xr:uid="{00000000-0005-0000-0000-0000600B0000}"/>
    <cellStyle name="쉼표 [0] 3 6 3 2" xfId="2973" xr:uid="{00000000-0005-0000-0000-0000610B0000}"/>
    <cellStyle name="쉼표 [0] 3 6 3 2 2" xfId="2974" xr:uid="{00000000-0005-0000-0000-0000620B0000}"/>
    <cellStyle name="쉼표 [0] 3 6 3 2 2 2" xfId="2975" xr:uid="{00000000-0005-0000-0000-0000630B0000}"/>
    <cellStyle name="쉼표 [0] 3 6 3 2 2 2 2" xfId="2976" xr:uid="{00000000-0005-0000-0000-0000640B0000}"/>
    <cellStyle name="쉼표 [0] 3 6 3 2 2 2 2 2" xfId="2977" xr:uid="{00000000-0005-0000-0000-0000650B0000}"/>
    <cellStyle name="쉼표 [0] 3 6 3 2 2 2 2 2 2" xfId="2978" xr:uid="{00000000-0005-0000-0000-0000660B0000}"/>
    <cellStyle name="쉼표 [0] 3 6 3 2 2 2 2 3" xfId="2979" xr:uid="{00000000-0005-0000-0000-0000670B0000}"/>
    <cellStyle name="쉼표 [0] 3 6 3 2 2 2 3" xfId="2980" xr:uid="{00000000-0005-0000-0000-0000680B0000}"/>
    <cellStyle name="쉼표 [0] 3 6 3 2 2 2 3 2" xfId="2981" xr:uid="{00000000-0005-0000-0000-0000690B0000}"/>
    <cellStyle name="쉼표 [0] 3 6 3 2 2 2 4" xfId="2982" xr:uid="{00000000-0005-0000-0000-00006A0B0000}"/>
    <cellStyle name="쉼표 [0] 3 6 3 2 2 3" xfId="2983" xr:uid="{00000000-0005-0000-0000-00006B0B0000}"/>
    <cellStyle name="쉼표 [0] 3 6 3 2 2 3 2" xfId="2984" xr:uid="{00000000-0005-0000-0000-00006C0B0000}"/>
    <cellStyle name="쉼표 [0] 3 6 3 2 2 3 2 2" xfId="2985" xr:uid="{00000000-0005-0000-0000-00006D0B0000}"/>
    <cellStyle name="쉼표 [0] 3 6 3 2 2 3 3" xfId="2986" xr:uid="{00000000-0005-0000-0000-00006E0B0000}"/>
    <cellStyle name="쉼표 [0] 3 6 3 2 2 4" xfId="2987" xr:uid="{00000000-0005-0000-0000-00006F0B0000}"/>
    <cellStyle name="쉼표 [0] 3 6 3 2 2 4 2" xfId="2988" xr:uid="{00000000-0005-0000-0000-0000700B0000}"/>
    <cellStyle name="쉼표 [0] 3 6 3 2 2 5" xfId="2989" xr:uid="{00000000-0005-0000-0000-0000710B0000}"/>
    <cellStyle name="쉼표 [0] 3 6 3 2 3" xfId="2990" xr:uid="{00000000-0005-0000-0000-0000720B0000}"/>
    <cellStyle name="쉼표 [0] 3 6 3 2 3 2" xfId="2991" xr:uid="{00000000-0005-0000-0000-0000730B0000}"/>
    <cellStyle name="쉼표 [0] 3 6 3 2 3 2 2" xfId="2992" xr:uid="{00000000-0005-0000-0000-0000740B0000}"/>
    <cellStyle name="쉼표 [0] 3 6 3 2 3 2 2 2" xfId="2993" xr:uid="{00000000-0005-0000-0000-0000750B0000}"/>
    <cellStyle name="쉼표 [0] 3 6 3 2 3 2 3" xfId="2994" xr:uid="{00000000-0005-0000-0000-0000760B0000}"/>
    <cellStyle name="쉼표 [0] 3 6 3 2 3 3" xfId="2995" xr:uid="{00000000-0005-0000-0000-0000770B0000}"/>
    <cellStyle name="쉼표 [0] 3 6 3 2 3 3 2" xfId="2996" xr:uid="{00000000-0005-0000-0000-0000780B0000}"/>
    <cellStyle name="쉼표 [0] 3 6 3 2 3 4" xfId="2997" xr:uid="{00000000-0005-0000-0000-0000790B0000}"/>
    <cellStyle name="쉼표 [0] 3 6 3 2 4" xfId="2998" xr:uid="{00000000-0005-0000-0000-00007A0B0000}"/>
    <cellStyle name="쉼표 [0] 3 6 3 2 4 2" xfId="2999" xr:uid="{00000000-0005-0000-0000-00007B0B0000}"/>
    <cellStyle name="쉼표 [0] 3 6 3 2 4 2 2" xfId="3000" xr:uid="{00000000-0005-0000-0000-00007C0B0000}"/>
    <cellStyle name="쉼표 [0] 3 6 3 2 4 3" xfId="3001" xr:uid="{00000000-0005-0000-0000-00007D0B0000}"/>
    <cellStyle name="쉼표 [0] 3 6 3 2 5" xfId="3002" xr:uid="{00000000-0005-0000-0000-00007E0B0000}"/>
    <cellStyle name="쉼표 [0] 3 6 3 2 5 2" xfId="3003" xr:uid="{00000000-0005-0000-0000-00007F0B0000}"/>
    <cellStyle name="쉼표 [0] 3 6 3 2 6" xfId="3004" xr:uid="{00000000-0005-0000-0000-0000800B0000}"/>
    <cellStyle name="쉼표 [0] 3 6 3 3" xfId="3005" xr:uid="{00000000-0005-0000-0000-0000810B0000}"/>
    <cellStyle name="쉼표 [0] 3 6 3 3 2" xfId="3006" xr:uid="{00000000-0005-0000-0000-0000820B0000}"/>
    <cellStyle name="쉼표 [0] 3 6 3 3 2 2" xfId="3007" xr:uid="{00000000-0005-0000-0000-0000830B0000}"/>
    <cellStyle name="쉼표 [0] 3 6 3 3 2 2 2" xfId="3008" xr:uid="{00000000-0005-0000-0000-0000840B0000}"/>
    <cellStyle name="쉼표 [0] 3 6 3 3 2 2 2 2" xfId="3009" xr:uid="{00000000-0005-0000-0000-0000850B0000}"/>
    <cellStyle name="쉼표 [0] 3 6 3 3 2 2 3" xfId="3010" xr:uid="{00000000-0005-0000-0000-0000860B0000}"/>
    <cellStyle name="쉼표 [0] 3 6 3 3 2 3" xfId="3011" xr:uid="{00000000-0005-0000-0000-0000870B0000}"/>
    <cellStyle name="쉼표 [0] 3 6 3 3 2 3 2" xfId="3012" xr:uid="{00000000-0005-0000-0000-0000880B0000}"/>
    <cellStyle name="쉼표 [0] 3 6 3 3 2 4" xfId="3013" xr:uid="{00000000-0005-0000-0000-0000890B0000}"/>
    <cellStyle name="쉼표 [0] 3 6 3 3 3" xfId="3014" xr:uid="{00000000-0005-0000-0000-00008A0B0000}"/>
    <cellStyle name="쉼표 [0] 3 6 3 3 3 2" xfId="3015" xr:uid="{00000000-0005-0000-0000-00008B0B0000}"/>
    <cellStyle name="쉼표 [0] 3 6 3 3 3 2 2" xfId="3016" xr:uid="{00000000-0005-0000-0000-00008C0B0000}"/>
    <cellStyle name="쉼표 [0] 3 6 3 3 3 3" xfId="3017" xr:uid="{00000000-0005-0000-0000-00008D0B0000}"/>
    <cellStyle name="쉼표 [0] 3 6 3 3 4" xfId="3018" xr:uid="{00000000-0005-0000-0000-00008E0B0000}"/>
    <cellStyle name="쉼표 [0] 3 6 3 3 4 2" xfId="3019" xr:uid="{00000000-0005-0000-0000-00008F0B0000}"/>
    <cellStyle name="쉼표 [0] 3 6 3 3 5" xfId="3020" xr:uid="{00000000-0005-0000-0000-0000900B0000}"/>
    <cellStyle name="쉼표 [0] 3 6 3 4" xfId="3021" xr:uid="{00000000-0005-0000-0000-0000910B0000}"/>
    <cellStyle name="쉼표 [0] 3 6 3 4 2" xfId="3022" xr:uid="{00000000-0005-0000-0000-0000920B0000}"/>
    <cellStyle name="쉼표 [0] 3 6 3 4 2 2" xfId="3023" xr:uid="{00000000-0005-0000-0000-0000930B0000}"/>
    <cellStyle name="쉼표 [0] 3 6 3 4 2 2 2" xfId="3024" xr:uid="{00000000-0005-0000-0000-0000940B0000}"/>
    <cellStyle name="쉼표 [0] 3 6 3 4 2 3" xfId="3025" xr:uid="{00000000-0005-0000-0000-0000950B0000}"/>
    <cellStyle name="쉼표 [0] 3 6 3 4 3" xfId="3026" xr:uid="{00000000-0005-0000-0000-0000960B0000}"/>
    <cellStyle name="쉼표 [0] 3 6 3 4 3 2" xfId="3027" xr:uid="{00000000-0005-0000-0000-0000970B0000}"/>
    <cellStyle name="쉼표 [0] 3 6 3 4 4" xfId="3028" xr:uid="{00000000-0005-0000-0000-0000980B0000}"/>
    <cellStyle name="쉼표 [0] 3 6 3 5" xfId="3029" xr:uid="{00000000-0005-0000-0000-0000990B0000}"/>
    <cellStyle name="쉼표 [0] 3 6 3 5 2" xfId="3030" xr:uid="{00000000-0005-0000-0000-00009A0B0000}"/>
    <cellStyle name="쉼표 [0] 3 6 3 5 2 2" xfId="3031" xr:uid="{00000000-0005-0000-0000-00009B0B0000}"/>
    <cellStyle name="쉼표 [0] 3 6 3 5 3" xfId="3032" xr:uid="{00000000-0005-0000-0000-00009C0B0000}"/>
    <cellStyle name="쉼표 [0] 3 6 3 6" xfId="3033" xr:uid="{00000000-0005-0000-0000-00009D0B0000}"/>
    <cellStyle name="쉼표 [0] 3 6 3 6 2" xfId="3034" xr:uid="{00000000-0005-0000-0000-00009E0B0000}"/>
    <cellStyle name="쉼표 [0] 3 6 3 7" xfId="3035" xr:uid="{00000000-0005-0000-0000-00009F0B0000}"/>
    <cellStyle name="쉼표 [0] 3 6 3 8" xfId="3036" xr:uid="{00000000-0005-0000-0000-0000A00B0000}"/>
    <cellStyle name="쉼표 [0] 3 6 4" xfId="3037" xr:uid="{00000000-0005-0000-0000-0000A10B0000}"/>
    <cellStyle name="쉼표 [0] 3 6 4 2" xfId="3038" xr:uid="{00000000-0005-0000-0000-0000A20B0000}"/>
    <cellStyle name="쉼표 [0] 3 6 4 2 2" xfId="3039" xr:uid="{00000000-0005-0000-0000-0000A30B0000}"/>
    <cellStyle name="쉼표 [0] 3 6 4 2 2 2" xfId="3040" xr:uid="{00000000-0005-0000-0000-0000A40B0000}"/>
    <cellStyle name="쉼표 [0] 3 6 4 2 2 2 2" xfId="3041" xr:uid="{00000000-0005-0000-0000-0000A50B0000}"/>
    <cellStyle name="쉼표 [0] 3 6 4 2 2 2 2 2" xfId="3042" xr:uid="{00000000-0005-0000-0000-0000A60B0000}"/>
    <cellStyle name="쉼표 [0] 3 6 4 2 2 2 3" xfId="3043" xr:uid="{00000000-0005-0000-0000-0000A70B0000}"/>
    <cellStyle name="쉼표 [0] 3 6 4 2 2 3" xfId="3044" xr:uid="{00000000-0005-0000-0000-0000A80B0000}"/>
    <cellStyle name="쉼표 [0] 3 6 4 2 2 3 2" xfId="3045" xr:uid="{00000000-0005-0000-0000-0000A90B0000}"/>
    <cellStyle name="쉼표 [0] 3 6 4 2 2 4" xfId="3046" xr:uid="{00000000-0005-0000-0000-0000AA0B0000}"/>
    <cellStyle name="쉼표 [0] 3 6 4 2 3" xfId="3047" xr:uid="{00000000-0005-0000-0000-0000AB0B0000}"/>
    <cellStyle name="쉼표 [0] 3 6 4 2 3 2" xfId="3048" xr:uid="{00000000-0005-0000-0000-0000AC0B0000}"/>
    <cellStyle name="쉼표 [0] 3 6 4 2 3 2 2" xfId="3049" xr:uid="{00000000-0005-0000-0000-0000AD0B0000}"/>
    <cellStyle name="쉼표 [0] 3 6 4 2 3 3" xfId="3050" xr:uid="{00000000-0005-0000-0000-0000AE0B0000}"/>
    <cellStyle name="쉼표 [0] 3 6 4 2 4" xfId="3051" xr:uid="{00000000-0005-0000-0000-0000AF0B0000}"/>
    <cellStyle name="쉼표 [0] 3 6 4 2 4 2" xfId="3052" xr:uid="{00000000-0005-0000-0000-0000B00B0000}"/>
    <cellStyle name="쉼표 [0] 3 6 4 2 5" xfId="3053" xr:uid="{00000000-0005-0000-0000-0000B10B0000}"/>
    <cellStyle name="쉼표 [0] 3 6 4 3" xfId="3054" xr:uid="{00000000-0005-0000-0000-0000B20B0000}"/>
    <cellStyle name="쉼표 [0] 3 6 4 3 2" xfId="3055" xr:uid="{00000000-0005-0000-0000-0000B30B0000}"/>
    <cellStyle name="쉼표 [0] 3 6 4 3 2 2" xfId="3056" xr:uid="{00000000-0005-0000-0000-0000B40B0000}"/>
    <cellStyle name="쉼표 [0] 3 6 4 3 2 2 2" xfId="3057" xr:uid="{00000000-0005-0000-0000-0000B50B0000}"/>
    <cellStyle name="쉼표 [0] 3 6 4 3 2 3" xfId="3058" xr:uid="{00000000-0005-0000-0000-0000B60B0000}"/>
    <cellStyle name="쉼표 [0] 3 6 4 3 3" xfId="3059" xr:uid="{00000000-0005-0000-0000-0000B70B0000}"/>
    <cellStyle name="쉼표 [0] 3 6 4 3 3 2" xfId="3060" xr:uid="{00000000-0005-0000-0000-0000B80B0000}"/>
    <cellStyle name="쉼표 [0] 3 6 4 3 4" xfId="3061" xr:uid="{00000000-0005-0000-0000-0000B90B0000}"/>
    <cellStyle name="쉼표 [0] 3 6 4 4" xfId="3062" xr:uid="{00000000-0005-0000-0000-0000BA0B0000}"/>
    <cellStyle name="쉼표 [0] 3 6 4 4 2" xfId="3063" xr:uid="{00000000-0005-0000-0000-0000BB0B0000}"/>
    <cellStyle name="쉼표 [0] 3 6 4 4 2 2" xfId="3064" xr:uid="{00000000-0005-0000-0000-0000BC0B0000}"/>
    <cellStyle name="쉼표 [0] 3 6 4 4 3" xfId="3065" xr:uid="{00000000-0005-0000-0000-0000BD0B0000}"/>
    <cellStyle name="쉼표 [0] 3 6 4 5" xfId="3066" xr:uid="{00000000-0005-0000-0000-0000BE0B0000}"/>
    <cellStyle name="쉼표 [0] 3 6 4 5 2" xfId="3067" xr:uid="{00000000-0005-0000-0000-0000BF0B0000}"/>
    <cellStyle name="쉼표 [0] 3 6 4 6" xfId="3068" xr:uid="{00000000-0005-0000-0000-0000C00B0000}"/>
    <cellStyle name="쉼표 [0] 3 6 5" xfId="3069" xr:uid="{00000000-0005-0000-0000-0000C10B0000}"/>
    <cellStyle name="쉼표 [0] 3 6 5 2" xfId="3070" xr:uid="{00000000-0005-0000-0000-0000C20B0000}"/>
    <cellStyle name="쉼표 [0] 3 6 5 2 2" xfId="3071" xr:uid="{00000000-0005-0000-0000-0000C30B0000}"/>
    <cellStyle name="쉼표 [0] 3 6 5 2 2 2" xfId="3072" xr:uid="{00000000-0005-0000-0000-0000C40B0000}"/>
    <cellStyle name="쉼표 [0] 3 6 5 2 2 2 2" xfId="3073" xr:uid="{00000000-0005-0000-0000-0000C50B0000}"/>
    <cellStyle name="쉼표 [0] 3 6 5 2 2 3" xfId="3074" xr:uid="{00000000-0005-0000-0000-0000C60B0000}"/>
    <cellStyle name="쉼표 [0] 3 6 5 2 3" xfId="3075" xr:uid="{00000000-0005-0000-0000-0000C70B0000}"/>
    <cellStyle name="쉼표 [0] 3 6 5 2 3 2" xfId="3076" xr:uid="{00000000-0005-0000-0000-0000C80B0000}"/>
    <cellStyle name="쉼표 [0] 3 6 5 2 4" xfId="3077" xr:uid="{00000000-0005-0000-0000-0000C90B0000}"/>
    <cellStyle name="쉼표 [0] 3 6 5 3" xfId="3078" xr:uid="{00000000-0005-0000-0000-0000CA0B0000}"/>
    <cellStyle name="쉼표 [0] 3 6 5 3 2" xfId="3079" xr:uid="{00000000-0005-0000-0000-0000CB0B0000}"/>
    <cellStyle name="쉼표 [0] 3 6 5 3 2 2" xfId="3080" xr:uid="{00000000-0005-0000-0000-0000CC0B0000}"/>
    <cellStyle name="쉼표 [0] 3 6 5 3 3" xfId="3081" xr:uid="{00000000-0005-0000-0000-0000CD0B0000}"/>
    <cellStyle name="쉼표 [0] 3 6 5 4" xfId="3082" xr:uid="{00000000-0005-0000-0000-0000CE0B0000}"/>
    <cellStyle name="쉼표 [0] 3 6 5 4 2" xfId="3083" xr:uid="{00000000-0005-0000-0000-0000CF0B0000}"/>
    <cellStyle name="쉼표 [0] 3 6 5 5" xfId="3084" xr:uid="{00000000-0005-0000-0000-0000D00B0000}"/>
    <cellStyle name="쉼표 [0] 3 6 6" xfId="3085" xr:uid="{00000000-0005-0000-0000-0000D10B0000}"/>
    <cellStyle name="쉼표 [0] 3 6 6 2" xfId="3086" xr:uid="{00000000-0005-0000-0000-0000D20B0000}"/>
    <cellStyle name="쉼표 [0] 3 6 6 2 2" xfId="3087" xr:uid="{00000000-0005-0000-0000-0000D30B0000}"/>
    <cellStyle name="쉼표 [0] 3 6 6 2 2 2" xfId="3088" xr:uid="{00000000-0005-0000-0000-0000D40B0000}"/>
    <cellStyle name="쉼표 [0] 3 6 6 2 3" xfId="3089" xr:uid="{00000000-0005-0000-0000-0000D50B0000}"/>
    <cellStyle name="쉼표 [0] 3 6 6 3" xfId="3090" xr:uid="{00000000-0005-0000-0000-0000D60B0000}"/>
    <cellStyle name="쉼표 [0] 3 6 6 3 2" xfId="3091" xr:uid="{00000000-0005-0000-0000-0000D70B0000}"/>
    <cellStyle name="쉼표 [0] 3 6 6 4" xfId="3092" xr:uid="{00000000-0005-0000-0000-0000D80B0000}"/>
    <cellStyle name="쉼표 [0] 3 6 7" xfId="3093" xr:uid="{00000000-0005-0000-0000-0000D90B0000}"/>
    <cellStyle name="쉼표 [0] 3 6 7 2" xfId="3094" xr:uid="{00000000-0005-0000-0000-0000DA0B0000}"/>
    <cellStyle name="쉼표 [0] 3 6 7 2 2" xfId="3095" xr:uid="{00000000-0005-0000-0000-0000DB0B0000}"/>
    <cellStyle name="쉼표 [0] 3 6 7 3" xfId="3096" xr:uid="{00000000-0005-0000-0000-0000DC0B0000}"/>
    <cellStyle name="쉼표 [0] 3 6 8" xfId="3097" xr:uid="{00000000-0005-0000-0000-0000DD0B0000}"/>
    <cellStyle name="쉼표 [0] 3 6 8 2" xfId="3098" xr:uid="{00000000-0005-0000-0000-0000DE0B0000}"/>
    <cellStyle name="쉼표 [0] 3 6 9" xfId="3099" xr:uid="{00000000-0005-0000-0000-0000DF0B0000}"/>
    <cellStyle name="쉼표 [0] 3 7" xfId="3100" xr:uid="{00000000-0005-0000-0000-0000E00B0000}"/>
    <cellStyle name="쉼표 [0] 3 7 2" xfId="3101" xr:uid="{00000000-0005-0000-0000-0000E10B0000}"/>
    <cellStyle name="쉼표 [0] 3 7 2 2" xfId="3102" xr:uid="{00000000-0005-0000-0000-0000E20B0000}"/>
    <cellStyle name="쉼표 [0] 3 7 2 2 2" xfId="3103" xr:uid="{00000000-0005-0000-0000-0000E30B0000}"/>
    <cellStyle name="쉼표 [0] 3 7 2 2 2 2" xfId="3104" xr:uid="{00000000-0005-0000-0000-0000E40B0000}"/>
    <cellStyle name="쉼표 [0] 3 7 2 2 2 2 2" xfId="3105" xr:uid="{00000000-0005-0000-0000-0000E50B0000}"/>
    <cellStyle name="쉼표 [0] 3 7 2 2 2 2 2 2" xfId="3106" xr:uid="{00000000-0005-0000-0000-0000E60B0000}"/>
    <cellStyle name="쉼표 [0] 3 7 2 2 2 2 2 2 2" xfId="3107" xr:uid="{00000000-0005-0000-0000-0000E70B0000}"/>
    <cellStyle name="쉼표 [0] 3 7 2 2 2 2 2 3" xfId="3108" xr:uid="{00000000-0005-0000-0000-0000E80B0000}"/>
    <cellStyle name="쉼표 [0] 3 7 2 2 2 2 3" xfId="3109" xr:uid="{00000000-0005-0000-0000-0000E90B0000}"/>
    <cellStyle name="쉼표 [0] 3 7 2 2 2 2 3 2" xfId="3110" xr:uid="{00000000-0005-0000-0000-0000EA0B0000}"/>
    <cellStyle name="쉼표 [0] 3 7 2 2 2 2 4" xfId="3111" xr:uid="{00000000-0005-0000-0000-0000EB0B0000}"/>
    <cellStyle name="쉼표 [0] 3 7 2 2 2 3" xfId="3112" xr:uid="{00000000-0005-0000-0000-0000EC0B0000}"/>
    <cellStyle name="쉼표 [0] 3 7 2 2 2 3 2" xfId="3113" xr:uid="{00000000-0005-0000-0000-0000ED0B0000}"/>
    <cellStyle name="쉼표 [0] 3 7 2 2 2 3 2 2" xfId="3114" xr:uid="{00000000-0005-0000-0000-0000EE0B0000}"/>
    <cellStyle name="쉼표 [0] 3 7 2 2 2 3 3" xfId="3115" xr:uid="{00000000-0005-0000-0000-0000EF0B0000}"/>
    <cellStyle name="쉼표 [0] 3 7 2 2 2 4" xfId="3116" xr:uid="{00000000-0005-0000-0000-0000F00B0000}"/>
    <cellStyle name="쉼표 [0] 3 7 2 2 2 4 2" xfId="3117" xr:uid="{00000000-0005-0000-0000-0000F10B0000}"/>
    <cellStyle name="쉼표 [0] 3 7 2 2 2 5" xfId="3118" xr:uid="{00000000-0005-0000-0000-0000F20B0000}"/>
    <cellStyle name="쉼표 [0] 3 7 2 2 3" xfId="3119" xr:uid="{00000000-0005-0000-0000-0000F30B0000}"/>
    <cellStyle name="쉼표 [0] 3 7 2 2 3 2" xfId="3120" xr:uid="{00000000-0005-0000-0000-0000F40B0000}"/>
    <cellStyle name="쉼표 [0] 3 7 2 2 3 2 2" xfId="3121" xr:uid="{00000000-0005-0000-0000-0000F50B0000}"/>
    <cellStyle name="쉼표 [0] 3 7 2 2 3 2 2 2" xfId="3122" xr:uid="{00000000-0005-0000-0000-0000F60B0000}"/>
    <cellStyle name="쉼표 [0] 3 7 2 2 3 2 3" xfId="3123" xr:uid="{00000000-0005-0000-0000-0000F70B0000}"/>
    <cellStyle name="쉼표 [0] 3 7 2 2 3 3" xfId="3124" xr:uid="{00000000-0005-0000-0000-0000F80B0000}"/>
    <cellStyle name="쉼표 [0] 3 7 2 2 3 3 2" xfId="3125" xr:uid="{00000000-0005-0000-0000-0000F90B0000}"/>
    <cellStyle name="쉼표 [0] 3 7 2 2 3 4" xfId="3126" xr:uid="{00000000-0005-0000-0000-0000FA0B0000}"/>
    <cellStyle name="쉼표 [0] 3 7 2 2 4" xfId="3127" xr:uid="{00000000-0005-0000-0000-0000FB0B0000}"/>
    <cellStyle name="쉼표 [0] 3 7 2 2 4 2" xfId="3128" xr:uid="{00000000-0005-0000-0000-0000FC0B0000}"/>
    <cellStyle name="쉼표 [0] 3 7 2 2 4 2 2" xfId="3129" xr:uid="{00000000-0005-0000-0000-0000FD0B0000}"/>
    <cellStyle name="쉼표 [0] 3 7 2 2 4 3" xfId="3130" xr:uid="{00000000-0005-0000-0000-0000FE0B0000}"/>
    <cellStyle name="쉼표 [0] 3 7 2 2 5" xfId="3131" xr:uid="{00000000-0005-0000-0000-0000FF0B0000}"/>
    <cellStyle name="쉼표 [0] 3 7 2 2 5 2" xfId="3132" xr:uid="{00000000-0005-0000-0000-0000000C0000}"/>
    <cellStyle name="쉼표 [0] 3 7 2 2 6" xfId="3133" xr:uid="{00000000-0005-0000-0000-0000010C0000}"/>
    <cellStyle name="쉼표 [0] 3 7 2 3" xfId="3134" xr:uid="{00000000-0005-0000-0000-0000020C0000}"/>
    <cellStyle name="쉼표 [0] 3 7 2 3 2" xfId="3135" xr:uid="{00000000-0005-0000-0000-0000030C0000}"/>
    <cellStyle name="쉼표 [0] 3 7 2 3 2 2" xfId="3136" xr:uid="{00000000-0005-0000-0000-0000040C0000}"/>
    <cellStyle name="쉼표 [0] 3 7 2 3 2 2 2" xfId="3137" xr:uid="{00000000-0005-0000-0000-0000050C0000}"/>
    <cellStyle name="쉼표 [0] 3 7 2 3 2 2 2 2" xfId="3138" xr:uid="{00000000-0005-0000-0000-0000060C0000}"/>
    <cellStyle name="쉼표 [0] 3 7 2 3 2 2 3" xfId="3139" xr:uid="{00000000-0005-0000-0000-0000070C0000}"/>
    <cellStyle name="쉼표 [0] 3 7 2 3 2 3" xfId="3140" xr:uid="{00000000-0005-0000-0000-0000080C0000}"/>
    <cellStyle name="쉼표 [0] 3 7 2 3 2 3 2" xfId="3141" xr:uid="{00000000-0005-0000-0000-0000090C0000}"/>
    <cellStyle name="쉼표 [0] 3 7 2 3 2 4" xfId="3142" xr:uid="{00000000-0005-0000-0000-00000A0C0000}"/>
    <cellStyle name="쉼표 [0] 3 7 2 3 3" xfId="3143" xr:uid="{00000000-0005-0000-0000-00000B0C0000}"/>
    <cellStyle name="쉼표 [0] 3 7 2 3 3 2" xfId="3144" xr:uid="{00000000-0005-0000-0000-00000C0C0000}"/>
    <cellStyle name="쉼표 [0] 3 7 2 3 3 2 2" xfId="3145" xr:uid="{00000000-0005-0000-0000-00000D0C0000}"/>
    <cellStyle name="쉼표 [0] 3 7 2 3 3 3" xfId="3146" xr:uid="{00000000-0005-0000-0000-00000E0C0000}"/>
    <cellStyle name="쉼표 [0] 3 7 2 3 4" xfId="3147" xr:uid="{00000000-0005-0000-0000-00000F0C0000}"/>
    <cellStyle name="쉼표 [0] 3 7 2 3 4 2" xfId="3148" xr:uid="{00000000-0005-0000-0000-0000100C0000}"/>
    <cellStyle name="쉼표 [0] 3 7 2 3 5" xfId="3149" xr:uid="{00000000-0005-0000-0000-0000110C0000}"/>
    <cellStyle name="쉼표 [0] 3 7 2 4" xfId="3150" xr:uid="{00000000-0005-0000-0000-0000120C0000}"/>
    <cellStyle name="쉼표 [0] 3 7 2 4 2" xfId="3151" xr:uid="{00000000-0005-0000-0000-0000130C0000}"/>
    <cellStyle name="쉼표 [0] 3 7 2 4 2 2" xfId="3152" xr:uid="{00000000-0005-0000-0000-0000140C0000}"/>
    <cellStyle name="쉼표 [0] 3 7 2 4 2 2 2" xfId="3153" xr:uid="{00000000-0005-0000-0000-0000150C0000}"/>
    <cellStyle name="쉼표 [0] 3 7 2 4 2 3" xfId="3154" xr:uid="{00000000-0005-0000-0000-0000160C0000}"/>
    <cellStyle name="쉼표 [0] 3 7 2 4 3" xfId="3155" xr:uid="{00000000-0005-0000-0000-0000170C0000}"/>
    <cellStyle name="쉼표 [0] 3 7 2 4 3 2" xfId="3156" xr:uid="{00000000-0005-0000-0000-0000180C0000}"/>
    <cellStyle name="쉼표 [0] 3 7 2 4 4" xfId="3157" xr:uid="{00000000-0005-0000-0000-0000190C0000}"/>
    <cellStyle name="쉼표 [0] 3 7 2 5" xfId="3158" xr:uid="{00000000-0005-0000-0000-00001A0C0000}"/>
    <cellStyle name="쉼표 [0] 3 7 2 5 2" xfId="3159" xr:uid="{00000000-0005-0000-0000-00001B0C0000}"/>
    <cellStyle name="쉼표 [0] 3 7 2 5 2 2" xfId="3160" xr:uid="{00000000-0005-0000-0000-00001C0C0000}"/>
    <cellStyle name="쉼표 [0] 3 7 2 5 3" xfId="3161" xr:uid="{00000000-0005-0000-0000-00001D0C0000}"/>
    <cellStyle name="쉼표 [0] 3 7 2 6" xfId="3162" xr:uid="{00000000-0005-0000-0000-00001E0C0000}"/>
    <cellStyle name="쉼표 [0] 3 7 2 6 2" xfId="3163" xr:uid="{00000000-0005-0000-0000-00001F0C0000}"/>
    <cellStyle name="쉼표 [0] 3 7 2 7" xfId="3164" xr:uid="{00000000-0005-0000-0000-0000200C0000}"/>
    <cellStyle name="쉼표 [0] 3 7 2 8" xfId="3165" xr:uid="{00000000-0005-0000-0000-0000210C0000}"/>
    <cellStyle name="쉼표 [0] 3 7 3" xfId="3166" xr:uid="{00000000-0005-0000-0000-0000220C0000}"/>
    <cellStyle name="쉼표 [0] 3 7 3 2" xfId="3167" xr:uid="{00000000-0005-0000-0000-0000230C0000}"/>
    <cellStyle name="쉼표 [0] 3 7 3 2 2" xfId="3168" xr:uid="{00000000-0005-0000-0000-0000240C0000}"/>
    <cellStyle name="쉼표 [0] 3 7 3 2 2 2" xfId="3169" xr:uid="{00000000-0005-0000-0000-0000250C0000}"/>
    <cellStyle name="쉼표 [0] 3 7 3 2 2 2 2" xfId="3170" xr:uid="{00000000-0005-0000-0000-0000260C0000}"/>
    <cellStyle name="쉼표 [0] 3 7 3 2 2 2 2 2" xfId="3171" xr:uid="{00000000-0005-0000-0000-0000270C0000}"/>
    <cellStyle name="쉼표 [0] 3 7 3 2 2 2 3" xfId="3172" xr:uid="{00000000-0005-0000-0000-0000280C0000}"/>
    <cellStyle name="쉼표 [0] 3 7 3 2 2 3" xfId="3173" xr:uid="{00000000-0005-0000-0000-0000290C0000}"/>
    <cellStyle name="쉼표 [0] 3 7 3 2 2 3 2" xfId="3174" xr:uid="{00000000-0005-0000-0000-00002A0C0000}"/>
    <cellStyle name="쉼표 [0] 3 7 3 2 2 4" xfId="3175" xr:uid="{00000000-0005-0000-0000-00002B0C0000}"/>
    <cellStyle name="쉼표 [0] 3 7 3 2 3" xfId="3176" xr:uid="{00000000-0005-0000-0000-00002C0C0000}"/>
    <cellStyle name="쉼표 [0] 3 7 3 2 3 2" xfId="3177" xr:uid="{00000000-0005-0000-0000-00002D0C0000}"/>
    <cellStyle name="쉼표 [0] 3 7 3 2 3 2 2" xfId="3178" xr:uid="{00000000-0005-0000-0000-00002E0C0000}"/>
    <cellStyle name="쉼표 [0] 3 7 3 2 3 3" xfId="3179" xr:uid="{00000000-0005-0000-0000-00002F0C0000}"/>
    <cellStyle name="쉼표 [0] 3 7 3 2 4" xfId="3180" xr:uid="{00000000-0005-0000-0000-0000300C0000}"/>
    <cellStyle name="쉼표 [0] 3 7 3 2 4 2" xfId="3181" xr:uid="{00000000-0005-0000-0000-0000310C0000}"/>
    <cellStyle name="쉼표 [0] 3 7 3 2 5" xfId="3182" xr:uid="{00000000-0005-0000-0000-0000320C0000}"/>
    <cellStyle name="쉼표 [0] 3 7 3 3" xfId="3183" xr:uid="{00000000-0005-0000-0000-0000330C0000}"/>
    <cellStyle name="쉼표 [0] 3 7 3 3 2" xfId="3184" xr:uid="{00000000-0005-0000-0000-0000340C0000}"/>
    <cellStyle name="쉼표 [0] 3 7 3 3 2 2" xfId="3185" xr:uid="{00000000-0005-0000-0000-0000350C0000}"/>
    <cellStyle name="쉼표 [0] 3 7 3 3 2 2 2" xfId="3186" xr:uid="{00000000-0005-0000-0000-0000360C0000}"/>
    <cellStyle name="쉼표 [0] 3 7 3 3 2 3" xfId="3187" xr:uid="{00000000-0005-0000-0000-0000370C0000}"/>
    <cellStyle name="쉼표 [0] 3 7 3 3 3" xfId="3188" xr:uid="{00000000-0005-0000-0000-0000380C0000}"/>
    <cellStyle name="쉼표 [0] 3 7 3 3 3 2" xfId="3189" xr:uid="{00000000-0005-0000-0000-0000390C0000}"/>
    <cellStyle name="쉼표 [0] 3 7 3 3 4" xfId="3190" xr:uid="{00000000-0005-0000-0000-00003A0C0000}"/>
    <cellStyle name="쉼표 [0] 3 7 3 4" xfId="3191" xr:uid="{00000000-0005-0000-0000-00003B0C0000}"/>
    <cellStyle name="쉼표 [0] 3 7 3 4 2" xfId="3192" xr:uid="{00000000-0005-0000-0000-00003C0C0000}"/>
    <cellStyle name="쉼표 [0] 3 7 3 4 2 2" xfId="3193" xr:uid="{00000000-0005-0000-0000-00003D0C0000}"/>
    <cellStyle name="쉼표 [0] 3 7 3 4 3" xfId="3194" xr:uid="{00000000-0005-0000-0000-00003E0C0000}"/>
    <cellStyle name="쉼표 [0] 3 7 3 5" xfId="3195" xr:uid="{00000000-0005-0000-0000-00003F0C0000}"/>
    <cellStyle name="쉼표 [0] 3 7 3 5 2" xfId="3196" xr:uid="{00000000-0005-0000-0000-0000400C0000}"/>
    <cellStyle name="쉼표 [0] 3 7 3 6" xfId="3197" xr:uid="{00000000-0005-0000-0000-0000410C0000}"/>
    <cellStyle name="쉼표 [0] 3 7 4" xfId="3198" xr:uid="{00000000-0005-0000-0000-0000420C0000}"/>
    <cellStyle name="쉼표 [0] 3 7 4 2" xfId="3199" xr:uid="{00000000-0005-0000-0000-0000430C0000}"/>
    <cellStyle name="쉼표 [0] 3 7 4 2 2" xfId="3200" xr:uid="{00000000-0005-0000-0000-0000440C0000}"/>
    <cellStyle name="쉼표 [0] 3 7 4 2 2 2" xfId="3201" xr:uid="{00000000-0005-0000-0000-0000450C0000}"/>
    <cellStyle name="쉼표 [0] 3 7 4 2 2 2 2" xfId="3202" xr:uid="{00000000-0005-0000-0000-0000460C0000}"/>
    <cellStyle name="쉼표 [0] 3 7 4 2 2 3" xfId="3203" xr:uid="{00000000-0005-0000-0000-0000470C0000}"/>
    <cellStyle name="쉼표 [0] 3 7 4 2 3" xfId="3204" xr:uid="{00000000-0005-0000-0000-0000480C0000}"/>
    <cellStyle name="쉼표 [0] 3 7 4 2 3 2" xfId="3205" xr:uid="{00000000-0005-0000-0000-0000490C0000}"/>
    <cellStyle name="쉼표 [0] 3 7 4 2 4" xfId="3206" xr:uid="{00000000-0005-0000-0000-00004A0C0000}"/>
    <cellStyle name="쉼표 [0] 3 7 4 3" xfId="3207" xr:uid="{00000000-0005-0000-0000-00004B0C0000}"/>
    <cellStyle name="쉼표 [0] 3 7 4 3 2" xfId="3208" xr:uid="{00000000-0005-0000-0000-00004C0C0000}"/>
    <cellStyle name="쉼표 [0] 3 7 4 3 2 2" xfId="3209" xr:uid="{00000000-0005-0000-0000-00004D0C0000}"/>
    <cellStyle name="쉼표 [0] 3 7 4 3 3" xfId="3210" xr:uid="{00000000-0005-0000-0000-00004E0C0000}"/>
    <cellStyle name="쉼표 [0] 3 7 4 4" xfId="3211" xr:uid="{00000000-0005-0000-0000-00004F0C0000}"/>
    <cellStyle name="쉼표 [0] 3 7 4 4 2" xfId="3212" xr:uid="{00000000-0005-0000-0000-0000500C0000}"/>
    <cellStyle name="쉼표 [0] 3 7 4 5" xfId="3213" xr:uid="{00000000-0005-0000-0000-0000510C0000}"/>
    <cellStyle name="쉼표 [0] 3 7 5" xfId="3214" xr:uid="{00000000-0005-0000-0000-0000520C0000}"/>
    <cellStyle name="쉼표 [0] 3 7 5 2" xfId="3215" xr:uid="{00000000-0005-0000-0000-0000530C0000}"/>
    <cellStyle name="쉼표 [0] 3 7 5 2 2" xfId="3216" xr:uid="{00000000-0005-0000-0000-0000540C0000}"/>
    <cellStyle name="쉼표 [0] 3 7 5 2 2 2" xfId="3217" xr:uid="{00000000-0005-0000-0000-0000550C0000}"/>
    <cellStyle name="쉼표 [0] 3 7 5 2 3" xfId="3218" xr:uid="{00000000-0005-0000-0000-0000560C0000}"/>
    <cellStyle name="쉼표 [0] 3 7 5 3" xfId="3219" xr:uid="{00000000-0005-0000-0000-0000570C0000}"/>
    <cellStyle name="쉼표 [0] 3 7 5 3 2" xfId="3220" xr:uid="{00000000-0005-0000-0000-0000580C0000}"/>
    <cellStyle name="쉼표 [0] 3 7 5 4" xfId="3221" xr:uid="{00000000-0005-0000-0000-0000590C0000}"/>
    <cellStyle name="쉼표 [0] 3 7 6" xfId="3222" xr:uid="{00000000-0005-0000-0000-00005A0C0000}"/>
    <cellStyle name="쉼표 [0] 3 7 6 2" xfId="3223" xr:uid="{00000000-0005-0000-0000-00005B0C0000}"/>
    <cellStyle name="쉼표 [0] 3 7 6 2 2" xfId="3224" xr:uid="{00000000-0005-0000-0000-00005C0C0000}"/>
    <cellStyle name="쉼표 [0] 3 7 6 3" xfId="3225" xr:uid="{00000000-0005-0000-0000-00005D0C0000}"/>
    <cellStyle name="쉼표 [0] 3 7 7" xfId="3226" xr:uid="{00000000-0005-0000-0000-00005E0C0000}"/>
    <cellStyle name="쉼표 [0] 3 7 7 2" xfId="3227" xr:uid="{00000000-0005-0000-0000-00005F0C0000}"/>
    <cellStyle name="쉼표 [0] 3 7 8" xfId="3228" xr:uid="{00000000-0005-0000-0000-0000600C0000}"/>
    <cellStyle name="쉼표 [0] 3 7 9" xfId="3229" xr:uid="{00000000-0005-0000-0000-0000610C0000}"/>
    <cellStyle name="쉼표 [0] 3 8" xfId="3230" xr:uid="{00000000-0005-0000-0000-0000620C0000}"/>
    <cellStyle name="쉼표 [0] 3 8 2" xfId="3231" xr:uid="{00000000-0005-0000-0000-0000630C0000}"/>
    <cellStyle name="쉼표 [0] 3 8 2 2" xfId="3232" xr:uid="{00000000-0005-0000-0000-0000640C0000}"/>
    <cellStyle name="쉼표 [0] 3 8 2 2 2" xfId="3233" xr:uid="{00000000-0005-0000-0000-0000650C0000}"/>
    <cellStyle name="쉼표 [0] 3 8 2 2 2 2" xfId="3234" xr:uid="{00000000-0005-0000-0000-0000660C0000}"/>
    <cellStyle name="쉼표 [0] 3 8 2 2 2 2 2" xfId="3235" xr:uid="{00000000-0005-0000-0000-0000670C0000}"/>
    <cellStyle name="쉼표 [0] 3 8 2 2 2 2 2 2" xfId="3236" xr:uid="{00000000-0005-0000-0000-0000680C0000}"/>
    <cellStyle name="쉼표 [0] 3 8 2 2 2 2 3" xfId="3237" xr:uid="{00000000-0005-0000-0000-0000690C0000}"/>
    <cellStyle name="쉼표 [0] 3 8 2 2 2 3" xfId="3238" xr:uid="{00000000-0005-0000-0000-00006A0C0000}"/>
    <cellStyle name="쉼표 [0] 3 8 2 2 2 3 2" xfId="3239" xr:uid="{00000000-0005-0000-0000-00006B0C0000}"/>
    <cellStyle name="쉼표 [0] 3 8 2 2 2 4" xfId="3240" xr:uid="{00000000-0005-0000-0000-00006C0C0000}"/>
    <cellStyle name="쉼표 [0] 3 8 2 2 3" xfId="3241" xr:uid="{00000000-0005-0000-0000-00006D0C0000}"/>
    <cellStyle name="쉼표 [0] 3 8 2 2 3 2" xfId="3242" xr:uid="{00000000-0005-0000-0000-00006E0C0000}"/>
    <cellStyle name="쉼표 [0] 3 8 2 2 3 2 2" xfId="3243" xr:uid="{00000000-0005-0000-0000-00006F0C0000}"/>
    <cellStyle name="쉼표 [0] 3 8 2 2 3 3" xfId="3244" xr:uid="{00000000-0005-0000-0000-0000700C0000}"/>
    <cellStyle name="쉼표 [0] 3 8 2 2 4" xfId="3245" xr:uid="{00000000-0005-0000-0000-0000710C0000}"/>
    <cellStyle name="쉼표 [0] 3 8 2 2 4 2" xfId="3246" xr:uid="{00000000-0005-0000-0000-0000720C0000}"/>
    <cellStyle name="쉼표 [0] 3 8 2 2 5" xfId="3247" xr:uid="{00000000-0005-0000-0000-0000730C0000}"/>
    <cellStyle name="쉼표 [0] 3 8 2 3" xfId="3248" xr:uid="{00000000-0005-0000-0000-0000740C0000}"/>
    <cellStyle name="쉼표 [0] 3 8 2 3 2" xfId="3249" xr:uid="{00000000-0005-0000-0000-0000750C0000}"/>
    <cellStyle name="쉼표 [0] 3 8 2 3 2 2" xfId="3250" xr:uid="{00000000-0005-0000-0000-0000760C0000}"/>
    <cellStyle name="쉼표 [0] 3 8 2 3 2 2 2" xfId="3251" xr:uid="{00000000-0005-0000-0000-0000770C0000}"/>
    <cellStyle name="쉼표 [0] 3 8 2 3 2 3" xfId="3252" xr:uid="{00000000-0005-0000-0000-0000780C0000}"/>
    <cellStyle name="쉼표 [0] 3 8 2 3 3" xfId="3253" xr:uid="{00000000-0005-0000-0000-0000790C0000}"/>
    <cellStyle name="쉼표 [0] 3 8 2 3 3 2" xfId="3254" xr:uid="{00000000-0005-0000-0000-00007A0C0000}"/>
    <cellStyle name="쉼표 [0] 3 8 2 3 4" xfId="3255" xr:uid="{00000000-0005-0000-0000-00007B0C0000}"/>
    <cellStyle name="쉼표 [0] 3 8 2 4" xfId="3256" xr:uid="{00000000-0005-0000-0000-00007C0C0000}"/>
    <cellStyle name="쉼표 [0] 3 8 2 4 2" xfId="3257" xr:uid="{00000000-0005-0000-0000-00007D0C0000}"/>
    <cellStyle name="쉼표 [0] 3 8 2 4 2 2" xfId="3258" xr:uid="{00000000-0005-0000-0000-00007E0C0000}"/>
    <cellStyle name="쉼표 [0] 3 8 2 4 3" xfId="3259" xr:uid="{00000000-0005-0000-0000-00007F0C0000}"/>
    <cellStyle name="쉼표 [0] 3 8 2 5" xfId="3260" xr:uid="{00000000-0005-0000-0000-0000800C0000}"/>
    <cellStyle name="쉼표 [0] 3 8 2 5 2" xfId="3261" xr:uid="{00000000-0005-0000-0000-0000810C0000}"/>
    <cellStyle name="쉼표 [0] 3 8 2 6" xfId="3262" xr:uid="{00000000-0005-0000-0000-0000820C0000}"/>
    <cellStyle name="쉼표 [0] 3 8 3" xfId="3263" xr:uid="{00000000-0005-0000-0000-0000830C0000}"/>
    <cellStyle name="쉼표 [0] 3 8 3 2" xfId="3264" xr:uid="{00000000-0005-0000-0000-0000840C0000}"/>
    <cellStyle name="쉼표 [0] 3 8 3 2 2" xfId="3265" xr:uid="{00000000-0005-0000-0000-0000850C0000}"/>
    <cellStyle name="쉼표 [0] 3 8 3 2 2 2" xfId="3266" xr:uid="{00000000-0005-0000-0000-0000860C0000}"/>
    <cellStyle name="쉼표 [0] 3 8 3 2 2 2 2" xfId="3267" xr:uid="{00000000-0005-0000-0000-0000870C0000}"/>
    <cellStyle name="쉼표 [0] 3 8 3 2 2 3" xfId="3268" xr:uid="{00000000-0005-0000-0000-0000880C0000}"/>
    <cellStyle name="쉼표 [0] 3 8 3 2 3" xfId="3269" xr:uid="{00000000-0005-0000-0000-0000890C0000}"/>
    <cellStyle name="쉼표 [0] 3 8 3 2 3 2" xfId="3270" xr:uid="{00000000-0005-0000-0000-00008A0C0000}"/>
    <cellStyle name="쉼표 [0] 3 8 3 2 4" xfId="3271" xr:uid="{00000000-0005-0000-0000-00008B0C0000}"/>
    <cellStyle name="쉼표 [0] 3 8 3 3" xfId="3272" xr:uid="{00000000-0005-0000-0000-00008C0C0000}"/>
    <cellStyle name="쉼표 [0] 3 8 3 3 2" xfId="3273" xr:uid="{00000000-0005-0000-0000-00008D0C0000}"/>
    <cellStyle name="쉼표 [0] 3 8 3 3 2 2" xfId="3274" xr:uid="{00000000-0005-0000-0000-00008E0C0000}"/>
    <cellStyle name="쉼표 [0] 3 8 3 3 3" xfId="3275" xr:uid="{00000000-0005-0000-0000-00008F0C0000}"/>
    <cellStyle name="쉼표 [0] 3 8 3 4" xfId="3276" xr:uid="{00000000-0005-0000-0000-0000900C0000}"/>
    <cellStyle name="쉼표 [0] 3 8 3 4 2" xfId="3277" xr:uid="{00000000-0005-0000-0000-0000910C0000}"/>
    <cellStyle name="쉼표 [0] 3 8 3 5" xfId="3278" xr:uid="{00000000-0005-0000-0000-0000920C0000}"/>
    <cellStyle name="쉼표 [0] 3 8 4" xfId="3279" xr:uid="{00000000-0005-0000-0000-0000930C0000}"/>
    <cellStyle name="쉼표 [0] 3 8 4 2" xfId="3280" xr:uid="{00000000-0005-0000-0000-0000940C0000}"/>
    <cellStyle name="쉼표 [0] 3 8 4 2 2" xfId="3281" xr:uid="{00000000-0005-0000-0000-0000950C0000}"/>
    <cellStyle name="쉼표 [0] 3 8 4 2 2 2" xfId="3282" xr:uid="{00000000-0005-0000-0000-0000960C0000}"/>
    <cellStyle name="쉼표 [0] 3 8 4 2 3" xfId="3283" xr:uid="{00000000-0005-0000-0000-0000970C0000}"/>
    <cellStyle name="쉼표 [0] 3 8 4 3" xfId="3284" xr:uid="{00000000-0005-0000-0000-0000980C0000}"/>
    <cellStyle name="쉼표 [0] 3 8 4 3 2" xfId="3285" xr:uid="{00000000-0005-0000-0000-0000990C0000}"/>
    <cellStyle name="쉼표 [0] 3 8 4 4" xfId="3286" xr:uid="{00000000-0005-0000-0000-00009A0C0000}"/>
    <cellStyle name="쉼표 [0] 3 8 5" xfId="3287" xr:uid="{00000000-0005-0000-0000-00009B0C0000}"/>
    <cellStyle name="쉼표 [0] 3 8 5 2" xfId="3288" xr:uid="{00000000-0005-0000-0000-00009C0C0000}"/>
    <cellStyle name="쉼표 [0] 3 8 5 2 2" xfId="3289" xr:uid="{00000000-0005-0000-0000-00009D0C0000}"/>
    <cellStyle name="쉼표 [0] 3 8 5 3" xfId="3290" xr:uid="{00000000-0005-0000-0000-00009E0C0000}"/>
    <cellStyle name="쉼표 [0] 3 8 6" xfId="3291" xr:uid="{00000000-0005-0000-0000-00009F0C0000}"/>
    <cellStyle name="쉼표 [0] 3 8 6 2" xfId="3292" xr:uid="{00000000-0005-0000-0000-0000A00C0000}"/>
    <cellStyle name="쉼표 [0] 3 8 7" xfId="3293" xr:uid="{00000000-0005-0000-0000-0000A10C0000}"/>
    <cellStyle name="쉼표 [0] 3 8 8" xfId="3294" xr:uid="{00000000-0005-0000-0000-0000A20C0000}"/>
    <cellStyle name="쉼표 [0] 3 9" xfId="3295" xr:uid="{00000000-0005-0000-0000-0000A30C0000}"/>
    <cellStyle name="쉼표 [0] 3 9 2" xfId="3296" xr:uid="{00000000-0005-0000-0000-0000A40C0000}"/>
    <cellStyle name="쉼표 [0] 3 9 2 2" xfId="3297" xr:uid="{00000000-0005-0000-0000-0000A50C0000}"/>
    <cellStyle name="쉼표 [0] 3 9 2 2 2" xfId="3298" xr:uid="{00000000-0005-0000-0000-0000A60C0000}"/>
    <cellStyle name="쉼표 [0] 3 9 2 2 2 2" xfId="3299" xr:uid="{00000000-0005-0000-0000-0000A70C0000}"/>
    <cellStyle name="쉼표 [0] 3 9 2 2 2 2 2" xfId="3300" xr:uid="{00000000-0005-0000-0000-0000A80C0000}"/>
    <cellStyle name="쉼표 [0] 3 9 2 2 2 3" xfId="3301" xr:uid="{00000000-0005-0000-0000-0000A90C0000}"/>
    <cellStyle name="쉼표 [0] 3 9 2 2 3" xfId="3302" xr:uid="{00000000-0005-0000-0000-0000AA0C0000}"/>
    <cellStyle name="쉼표 [0] 3 9 2 2 3 2" xfId="3303" xr:uid="{00000000-0005-0000-0000-0000AB0C0000}"/>
    <cellStyle name="쉼표 [0] 3 9 2 2 4" xfId="3304" xr:uid="{00000000-0005-0000-0000-0000AC0C0000}"/>
    <cellStyle name="쉼표 [0] 3 9 2 3" xfId="3305" xr:uid="{00000000-0005-0000-0000-0000AD0C0000}"/>
    <cellStyle name="쉼표 [0] 3 9 2 3 2" xfId="3306" xr:uid="{00000000-0005-0000-0000-0000AE0C0000}"/>
    <cellStyle name="쉼표 [0] 3 9 2 3 2 2" xfId="3307" xr:uid="{00000000-0005-0000-0000-0000AF0C0000}"/>
    <cellStyle name="쉼표 [0] 3 9 2 3 3" xfId="3308" xr:uid="{00000000-0005-0000-0000-0000B00C0000}"/>
    <cellStyle name="쉼표 [0] 3 9 2 4" xfId="3309" xr:uid="{00000000-0005-0000-0000-0000B10C0000}"/>
    <cellStyle name="쉼표 [0] 3 9 2 4 2" xfId="3310" xr:uid="{00000000-0005-0000-0000-0000B20C0000}"/>
    <cellStyle name="쉼표 [0] 3 9 2 5" xfId="3311" xr:uid="{00000000-0005-0000-0000-0000B30C0000}"/>
    <cellStyle name="쉼표 [0] 3 9 3" xfId="3312" xr:uid="{00000000-0005-0000-0000-0000B40C0000}"/>
    <cellStyle name="쉼표 [0] 3 9 3 2" xfId="3313" xr:uid="{00000000-0005-0000-0000-0000B50C0000}"/>
    <cellStyle name="쉼표 [0] 3 9 3 2 2" xfId="3314" xr:uid="{00000000-0005-0000-0000-0000B60C0000}"/>
    <cellStyle name="쉼표 [0] 3 9 3 2 2 2" xfId="3315" xr:uid="{00000000-0005-0000-0000-0000B70C0000}"/>
    <cellStyle name="쉼표 [0] 3 9 3 2 3" xfId="3316" xr:uid="{00000000-0005-0000-0000-0000B80C0000}"/>
    <cellStyle name="쉼표 [0] 3 9 3 3" xfId="3317" xr:uid="{00000000-0005-0000-0000-0000B90C0000}"/>
    <cellStyle name="쉼표 [0] 3 9 3 3 2" xfId="3318" xr:uid="{00000000-0005-0000-0000-0000BA0C0000}"/>
    <cellStyle name="쉼표 [0] 3 9 3 4" xfId="3319" xr:uid="{00000000-0005-0000-0000-0000BB0C0000}"/>
    <cellStyle name="쉼표 [0] 3 9 4" xfId="3320" xr:uid="{00000000-0005-0000-0000-0000BC0C0000}"/>
    <cellStyle name="쉼표 [0] 3 9 4 2" xfId="3321" xr:uid="{00000000-0005-0000-0000-0000BD0C0000}"/>
    <cellStyle name="쉼표 [0] 3 9 4 2 2" xfId="3322" xr:uid="{00000000-0005-0000-0000-0000BE0C0000}"/>
    <cellStyle name="쉼표 [0] 3 9 4 3" xfId="3323" xr:uid="{00000000-0005-0000-0000-0000BF0C0000}"/>
    <cellStyle name="쉼표 [0] 3 9 5" xfId="3324" xr:uid="{00000000-0005-0000-0000-0000C00C0000}"/>
    <cellStyle name="쉼표 [0] 3 9 5 2" xfId="3325" xr:uid="{00000000-0005-0000-0000-0000C10C0000}"/>
    <cellStyle name="쉼표 [0] 3 9 6" xfId="3326" xr:uid="{00000000-0005-0000-0000-0000C20C0000}"/>
    <cellStyle name="쉼표 [0] 4" xfId="9" xr:uid="{00000000-0005-0000-0000-0000C30C0000}"/>
    <cellStyle name="쉼표 [0] 4 10" xfId="3327" xr:uid="{00000000-0005-0000-0000-0000C40C0000}"/>
    <cellStyle name="쉼표 [0] 4 11" xfId="3328" xr:uid="{00000000-0005-0000-0000-0000C50C0000}"/>
    <cellStyle name="쉼표 [0] 4 2" xfId="3329" xr:uid="{00000000-0005-0000-0000-0000C60C0000}"/>
    <cellStyle name="쉼표 [0] 4 2 10" xfId="3330" xr:uid="{00000000-0005-0000-0000-0000C70C0000}"/>
    <cellStyle name="쉼표 [0] 4 2 2" xfId="3331" xr:uid="{00000000-0005-0000-0000-0000C80C0000}"/>
    <cellStyle name="쉼표 [0] 4 2 2 2" xfId="3332" xr:uid="{00000000-0005-0000-0000-0000C90C0000}"/>
    <cellStyle name="쉼표 [0] 4 2 2 2 2" xfId="3333" xr:uid="{00000000-0005-0000-0000-0000CA0C0000}"/>
    <cellStyle name="쉼표 [0] 4 2 2 2 2 2" xfId="3334" xr:uid="{00000000-0005-0000-0000-0000CB0C0000}"/>
    <cellStyle name="쉼표 [0] 4 2 2 2 2 2 2" xfId="3335" xr:uid="{00000000-0005-0000-0000-0000CC0C0000}"/>
    <cellStyle name="쉼표 [0] 4 2 2 2 2 2 2 2" xfId="3336" xr:uid="{00000000-0005-0000-0000-0000CD0C0000}"/>
    <cellStyle name="쉼표 [0] 4 2 2 2 2 2 2 2 2" xfId="3337" xr:uid="{00000000-0005-0000-0000-0000CE0C0000}"/>
    <cellStyle name="쉼표 [0] 4 2 2 2 2 2 2 2 2 2" xfId="3338" xr:uid="{00000000-0005-0000-0000-0000CF0C0000}"/>
    <cellStyle name="쉼표 [0] 4 2 2 2 2 2 2 2 3" xfId="3339" xr:uid="{00000000-0005-0000-0000-0000D00C0000}"/>
    <cellStyle name="쉼표 [0] 4 2 2 2 2 2 2 3" xfId="3340" xr:uid="{00000000-0005-0000-0000-0000D10C0000}"/>
    <cellStyle name="쉼표 [0] 4 2 2 2 2 2 2 3 2" xfId="3341" xr:uid="{00000000-0005-0000-0000-0000D20C0000}"/>
    <cellStyle name="쉼표 [0] 4 2 2 2 2 2 2 4" xfId="3342" xr:uid="{00000000-0005-0000-0000-0000D30C0000}"/>
    <cellStyle name="쉼표 [0] 4 2 2 2 2 2 3" xfId="3343" xr:uid="{00000000-0005-0000-0000-0000D40C0000}"/>
    <cellStyle name="쉼표 [0] 4 2 2 2 2 2 3 2" xfId="3344" xr:uid="{00000000-0005-0000-0000-0000D50C0000}"/>
    <cellStyle name="쉼표 [0] 4 2 2 2 2 2 3 2 2" xfId="3345" xr:uid="{00000000-0005-0000-0000-0000D60C0000}"/>
    <cellStyle name="쉼표 [0] 4 2 2 2 2 2 3 3" xfId="3346" xr:uid="{00000000-0005-0000-0000-0000D70C0000}"/>
    <cellStyle name="쉼표 [0] 4 2 2 2 2 2 4" xfId="3347" xr:uid="{00000000-0005-0000-0000-0000D80C0000}"/>
    <cellStyle name="쉼표 [0] 4 2 2 2 2 2 4 2" xfId="3348" xr:uid="{00000000-0005-0000-0000-0000D90C0000}"/>
    <cellStyle name="쉼표 [0] 4 2 2 2 2 2 5" xfId="3349" xr:uid="{00000000-0005-0000-0000-0000DA0C0000}"/>
    <cellStyle name="쉼표 [0] 4 2 2 2 2 3" xfId="3350" xr:uid="{00000000-0005-0000-0000-0000DB0C0000}"/>
    <cellStyle name="쉼표 [0] 4 2 2 2 2 3 2" xfId="3351" xr:uid="{00000000-0005-0000-0000-0000DC0C0000}"/>
    <cellStyle name="쉼표 [0] 4 2 2 2 2 3 2 2" xfId="3352" xr:uid="{00000000-0005-0000-0000-0000DD0C0000}"/>
    <cellStyle name="쉼표 [0] 4 2 2 2 2 3 2 2 2" xfId="3353" xr:uid="{00000000-0005-0000-0000-0000DE0C0000}"/>
    <cellStyle name="쉼표 [0] 4 2 2 2 2 3 2 3" xfId="3354" xr:uid="{00000000-0005-0000-0000-0000DF0C0000}"/>
    <cellStyle name="쉼표 [0] 4 2 2 2 2 3 3" xfId="3355" xr:uid="{00000000-0005-0000-0000-0000E00C0000}"/>
    <cellStyle name="쉼표 [0] 4 2 2 2 2 3 3 2" xfId="3356" xr:uid="{00000000-0005-0000-0000-0000E10C0000}"/>
    <cellStyle name="쉼표 [0] 4 2 2 2 2 3 4" xfId="3357" xr:uid="{00000000-0005-0000-0000-0000E20C0000}"/>
    <cellStyle name="쉼표 [0] 4 2 2 2 2 4" xfId="3358" xr:uid="{00000000-0005-0000-0000-0000E30C0000}"/>
    <cellStyle name="쉼표 [0] 4 2 2 2 2 4 2" xfId="3359" xr:uid="{00000000-0005-0000-0000-0000E40C0000}"/>
    <cellStyle name="쉼표 [0] 4 2 2 2 2 4 2 2" xfId="3360" xr:uid="{00000000-0005-0000-0000-0000E50C0000}"/>
    <cellStyle name="쉼표 [0] 4 2 2 2 2 4 3" xfId="3361" xr:uid="{00000000-0005-0000-0000-0000E60C0000}"/>
    <cellStyle name="쉼표 [0] 4 2 2 2 2 5" xfId="3362" xr:uid="{00000000-0005-0000-0000-0000E70C0000}"/>
    <cellStyle name="쉼표 [0] 4 2 2 2 2 5 2" xfId="3363" xr:uid="{00000000-0005-0000-0000-0000E80C0000}"/>
    <cellStyle name="쉼표 [0] 4 2 2 2 2 6" xfId="3364" xr:uid="{00000000-0005-0000-0000-0000E90C0000}"/>
    <cellStyle name="쉼표 [0] 4 2 2 2 3" xfId="3365" xr:uid="{00000000-0005-0000-0000-0000EA0C0000}"/>
    <cellStyle name="쉼표 [0] 4 2 2 2 3 2" xfId="3366" xr:uid="{00000000-0005-0000-0000-0000EB0C0000}"/>
    <cellStyle name="쉼표 [0] 4 2 2 2 3 2 2" xfId="3367" xr:uid="{00000000-0005-0000-0000-0000EC0C0000}"/>
    <cellStyle name="쉼표 [0] 4 2 2 2 3 2 2 2" xfId="3368" xr:uid="{00000000-0005-0000-0000-0000ED0C0000}"/>
    <cellStyle name="쉼표 [0] 4 2 2 2 3 2 2 2 2" xfId="3369" xr:uid="{00000000-0005-0000-0000-0000EE0C0000}"/>
    <cellStyle name="쉼표 [0] 4 2 2 2 3 2 2 3" xfId="3370" xr:uid="{00000000-0005-0000-0000-0000EF0C0000}"/>
    <cellStyle name="쉼표 [0] 4 2 2 2 3 2 3" xfId="3371" xr:uid="{00000000-0005-0000-0000-0000F00C0000}"/>
    <cellStyle name="쉼표 [0] 4 2 2 2 3 2 3 2" xfId="3372" xr:uid="{00000000-0005-0000-0000-0000F10C0000}"/>
    <cellStyle name="쉼표 [0] 4 2 2 2 3 2 4" xfId="3373" xr:uid="{00000000-0005-0000-0000-0000F20C0000}"/>
    <cellStyle name="쉼표 [0] 4 2 2 2 3 3" xfId="3374" xr:uid="{00000000-0005-0000-0000-0000F30C0000}"/>
    <cellStyle name="쉼표 [0] 4 2 2 2 3 3 2" xfId="3375" xr:uid="{00000000-0005-0000-0000-0000F40C0000}"/>
    <cellStyle name="쉼표 [0] 4 2 2 2 3 3 2 2" xfId="3376" xr:uid="{00000000-0005-0000-0000-0000F50C0000}"/>
    <cellStyle name="쉼표 [0] 4 2 2 2 3 3 3" xfId="3377" xr:uid="{00000000-0005-0000-0000-0000F60C0000}"/>
    <cellStyle name="쉼표 [0] 4 2 2 2 3 4" xfId="3378" xr:uid="{00000000-0005-0000-0000-0000F70C0000}"/>
    <cellStyle name="쉼표 [0] 4 2 2 2 3 4 2" xfId="3379" xr:uid="{00000000-0005-0000-0000-0000F80C0000}"/>
    <cellStyle name="쉼표 [0] 4 2 2 2 3 5" xfId="3380" xr:uid="{00000000-0005-0000-0000-0000F90C0000}"/>
    <cellStyle name="쉼표 [0] 4 2 2 2 4" xfId="3381" xr:uid="{00000000-0005-0000-0000-0000FA0C0000}"/>
    <cellStyle name="쉼표 [0] 4 2 2 2 4 2" xfId="3382" xr:uid="{00000000-0005-0000-0000-0000FB0C0000}"/>
    <cellStyle name="쉼표 [0] 4 2 2 2 4 2 2" xfId="3383" xr:uid="{00000000-0005-0000-0000-0000FC0C0000}"/>
    <cellStyle name="쉼표 [0] 4 2 2 2 4 2 2 2" xfId="3384" xr:uid="{00000000-0005-0000-0000-0000FD0C0000}"/>
    <cellStyle name="쉼표 [0] 4 2 2 2 4 2 3" xfId="3385" xr:uid="{00000000-0005-0000-0000-0000FE0C0000}"/>
    <cellStyle name="쉼표 [0] 4 2 2 2 4 3" xfId="3386" xr:uid="{00000000-0005-0000-0000-0000FF0C0000}"/>
    <cellStyle name="쉼표 [0] 4 2 2 2 4 3 2" xfId="3387" xr:uid="{00000000-0005-0000-0000-0000000D0000}"/>
    <cellStyle name="쉼표 [0] 4 2 2 2 4 4" xfId="3388" xr:uid="{00000000-0005-0000-0000-0000010D0000}"/>
    <cellStyle name="쉼표 [0] 4 2 2 2 5" xfId="3389" xr:uid="{00000000-0005-0000-0000-0000020D0000}"/>
    <cellStyle name="쉼표 [0] 4 2 2 2 5 2" xfId="3390" xr:uid="{00000000-0005-0000-0000-0000030D0000}"/>
    <cellStyle name="쉼표 [0] 4 2 2 2 5 2 2" xfId="3391" xr:uid="{00000000-0005-0000-0000-0000040D0000}"/>
    <cellStyle name="쉼표 [0] 4 2 2 2 5 3" xfId="3392" xr:uid="{00000000-0005-0000-0000-0000050D0000}"/>
    <cellStyle name="쉼표 [0] 4 2 2 2 6" xfId="3393" xr:uid="{00000000-0005-0000-0000-0000060D0000}"/>
    <cellStyle name="쉼표 [0] 4 2 2 2 6 2" xfId="3394" xr:uid="{00000000-0005-0000-0000-0000070D0000}"/>
    <cellStyle name="쉼표 [0] 4 2 2 2 7" xfId="3395" xr:uid="{00000000-0005-0000-0000-0000080D0000}"/>
    <cellStyle name="쉼표 [0] 4 2 2 2 8" xfId="3396" xr:uid="{00000000-0005-0000-0000-0000090D0000}"/>
    <cellStyle name="쉼표 [0] 4 2 2 3" xfId="3397" xr:uid="{00000000-0005-0000-0000-00000A0D0000}"/>
    <cellStyle name="쉼표 [0] 4 2 2 3 2" xfId="3398" xr:uid="{00000000-0005-0000-0000-00000B0D0000}"/>
    <cellStyle name="쉼표 [0] 4 2 2 3 2 2" xfId="3399" xr:uid="{00000000-0005-0000-0000-00000C0D0000}"/>
    <cellStyle name="쉼표 [0] 4 2 2 3 2 2 2" xfId="3400" xr:uid="{00000000-0005-0000-0000-00000D0D0000}"/>
    <cellStyle name="쉼표 [0] 4 2 2 3 2 2 2 2" xfId="3401" xr:uid="{00000000-0005-0000-0000-00000E0D0000}"/>
    <cellStyle name="쉼표 [0] 4 2 2 3 2 2 2 2 2" xfId="3402" xr:uid="{00000000-0005-0000-0000-00000F0D0000}"/>
    <cellStyle name="쉼표 [0] 4 2 2 3 2 2 2 3" xfId="3403" xr:uid="{00000000-0005-0000-0000-0000100D0000}"/>
    <cellStyle name="쉼표 [0] 4 2 2 3 2 2 3" xfId="3404" xr:uid="{00000000-0005-0000-0000-0000110D0000}"/>
    <cellStyle name="쉼표 [0] 4 2 2 3 2 2 3 2" xfId="3405" xr:uid="{00000000-0005-0000-0000-0000120D0000}"/>
    <cellStyle name="쉼표 [0] 4 2 2 3 2 2 4" xfId="3406" xr:uid="{00000000-0005-0000-0000-0000130D0000}"/>
    <cellStyle name="쉼표 [0] 4 2 2 3 2 3" xfId="3407" xr:uid="{00000000-0005-0000-0000-0000140D0000}"/>
    <cellStyle name="쉼표 [0] 4 2 2 3 2 3 2" xfId="3408" xr:uid="{00000000-0005-0000-0000-0000150D0000}"/>
    <cellStyle name="쉼표 [0] 4 2 2 3 2 3 2 2" xfId="3409" xr:uid="{00000000-0005-0000-0000-0000160D0000}"/>
    <cellStyle name="쉼표 [0] 4 2 2 3 2 3 3" xfId="3410" xr:uid="{00000000-0005-0000-0000-0000170D0000}"/>
    <cellStyle name="쉼표 [0] 4 2 2 3 2 4" xfId="3411" xr:uid="{00000000-0005-0000-0000-0000180D0000}"/>
    <cellStyle name="쉼표 [0] 4 2 2 3 2 4 2" xfId="3412" xr:uid="{00000000-0005-0000-0000-0000190D0000}"/>
    <cellStyle name="쉼표 [0] 4 2 2 3 2 5" xfId="3413" xr:uid="{00000000-0005-0000-0000-00001A0D0000}"/>
    <cellStyle name="쉼표 [0] 4 2 2 3 3" xfId="3414" xr:uid="{00000000-0005-0000-0000-00001B0D0000}"/>
    <cellStyle name="쉼표 [0] 4 2 2 3 3 2" xfId="3415" xr:uid="{00000000-0005-0000-0000-00001C0D0000}"/>
    <cellStyle name="쉼표 [0] 4 2 2 3 3 2 2" xfId="3416" xr:uid="{00000000-0005-0000-0000-00001D0D0000}"/>
    <cellStyle name="쉼표 [0] 4 2 2 3 3 2 2 2" xfId="3417" xr:uid="{00000000-0005-0000-0000-00001E0D0000}"/>
    <cellStyle name="쉼표 [0] 4 2 2 3 3 2 3" xfId="3418" xr:uid="{00000000-0005-0000-0000-00001F0D0000}"/>
    <cellStyle name="쉼표 [0] 4 2 2 3 3 3" xfId="3419" xr:uid="{00000000-0005-0000-0000-0000200D0000}"/>
    <cellStyle name="쉼표 [0] 4 2 2 3 3 3 2" xfId="3420" xr:uid="{00000000-0005-0000-0000-0000210D0000}"/>
    <cellStyle name="쉼표 [0] 4 2 2 3 3 4" xfId="3421" xr:uid="{00000000-0005-0000-0000-0000220D0000}"/>
    <cellStyle name="쉼표 [0] 4 2 2 3 4" xfId="3422" xr:uid="{00000000-0005-0000-0000-0000230D0000}"/>
    <cellStyle name="쉼표 [0] 4 2 2 3 4 2" xfId="3423" xr:uid="{00000000-0005-0000-0000-0000240D0000}"/>
    <cellStyle name="쉼표 [0] 4 2 2 3 4 2 2" xfId="3424" xr:uid="{00000000-0005-0000-0000-0000250D0000}"/>
    <cellStyle name="쉼표 [0] 4 2 2 3 4 3" xfId="3425" xr:uid="{00000000-0005-0000-0000-0000260D0000}"/>
    <cellStyle name="쉼표 [0] 4 2 2 3 5" xfId="3426" xr:uid="{00000000-0005-0000-0000-0000270D0000}"/>
    <cellStyle name="쉼표 [0] 4 2 2 3 5 2" xfId="3427" xr:uid="{00000000-0005-0000-0000-0000280D0000}"/>
    <cellStyle name="쉼표 [0] 4 2 2 3 6" xfId="3428" xr:uid="{00000000-0005-0000-0000-0000290D0000}"/>
    <cellStyle name="쉼표 [0] 4 2 2 4" xfId="3429" xr:uid="{00000000-0005-0000-0000-00002A0D0000}"/>
    <cellStyle name="쉼표 [0] 4 2 2 4 2" xfId="3430" xr:uid="{00000000-0005-0000-0000-00002B0D0000}"/>
    <cellStyle name="쉼표 [0] 4 2 2 4 2 2" xfId="3431" xr:uid="{00000000-0005-0000-0000-00002C0D0000}"/>
    <cellStyle name="쉼표 [0] 4 2 2 4 2 2 2" xfId="3432" xr:uid="{00000000-0005-0000-0000-00002D0D0000}"/>
    <cellStyle name="쉼표 [0] 4 2 2 4 2 2 2 2" xfId="3433" xr:uid="{00000000-0005-0000-0000-00002E0D0000}"/>
    <cellStyle name="쉼표 [0] 4 2 2 4 2 2 3" xfId="3434" xr:uid="{00000000-0005-0000-0000-00002F0D0000}"/>
    <cellStyle name="쉼표 [0] 4 2 2 4 2 3" xfId="3435" xr:uid="{00000000-0005-0000-0000-0000300D0000}"/>
    <cellStyle name="쉼표 [0] 4 2 2 4 2 3 2" xfId="3436" xr:uid="{00000000-0005-0000-0000-0000310D0000}"/>
    <cellStyle name="쉼표 [0] 4 2 2 4 2 4" xfId="3437" xr:uid="{00000000-0005-0000-0000-0000320D0000}"/>
    <cellStyle name="쉼표 [0] 4 2 2 4 3" xfId="3438" xr:uid="{00000000-0005-0000-0000-0000330D0000}"/>
    <cellStyle name="쉼표 [0] 4 2 2 4 3 2" xfId="3439" xr:uid="{00000000-0005-0000-0000-0000340D0000}"/>
    <cellStyle name="쉼표 [0] 4 2 2 4 3 2 2" xfId="3440" xr:uid="{00000000-0005-0000-0000-0000350D0000}"/>
    <cellStyle name="쉼표 [0] 4 2 2 4 3 3" xfId="3441" xr:uid="{00000000-0005-0000-0000-0000360D0000}"/>
    <cellStyle name="쉼표 [0] 4 2 2 4 4" xfId="3442" xr:uid="{00000000-0005-0000-0000-0000370D0000}"/>
    <cellStyle name="쉼표 [0] 4 2 2 4 4 2" xfId="3443" xr:uid="{00000000-0005-0000-0000-0000380D0000}"/>
    <cellStyle name="쉼표 [0] 4 2 2 4 5" xfId="3444" xr:uid="{00000000-0005-0000-0000-0000390D0000}"/>
    <cellStyle name="쉼표 [0] 4 2 2 5" xfId="3445" xr:uid="{00000000-0005-0000-0000-00003A0D0000}"/>
    <cellStyle name="쉼표 [0] 4 2 2 5 2" xfId="3446" xr:uid="{00000000-0005-0000-0000-00003B0D0000}"/>
    <cellStyle name="쉼표 [0] 4 2 2 5 2 2" xfId="3447" xr:uid="{00000000-0005-0000-0000-00003C0D0000}"/>
    <cellStyle name="쉼표 [0] 4 2 2 5 2 2 2" xfId="3448" xr:uid="{00000000-0005-0000-0000-00003D0D0000}"/>
    <cellStyle name="쉼표 [0] 4 2 2 5 2 3" xfId="3449" xr:uid="{00000000-0005-0000-0000-00003E0D0000}"/>
    <cellStyle name="쉼표 [0] 4 2 2 5 3" xfId="3450" xr:uid="{00000000-0005-0000-0000-00003F0D0000}"/>
    <cellStyle name="쉼표 [0] 4 2 2 5 3 2" xfId="3451" xr:uid="{00000000-0005-0000-0000-0000400D0000}"/>
    <cellStyle name="쉼표 [0] 4 2 2 5 4" xfId="3452" xr:uid="{00000000-0005-0000-0000-0000410D0000}"/>
    <cellStyle name="쉼표 [0] 4 2 2 6" xfId="3453" xr:uid="{00000000-0005-0000-0000-0000420D0000}"/>
    <cellStyle name="쉼표 [0] 4 2 2 6 2" xfId="3454" xr:uid="{00000000-0005-0000-0000-0000430D0000}"/>
    <cellStyle name="쉼표 [0] 4 2 2 6 2 2" xfId="3455" xr:uid="{00000000-0005-0000-0000-0000440D0000}"/>
    <cellStyle name="쉼표 [0] 4 2 2 6 3" xfId="3456" xr:uid="{00000000-0005-0000-0000-0000450D0000}"/>
    <cellStyle name="쉼표 [0] 4 2 2 7" xfId="3457" xr:uid="{00000000-0005-0000-0000-0000460D0000}"/>
    <cellStyle name="쉼표 [0] 4 2 2 7 2" xfId="3458" xr:uid="{00000000-0005-0000-0000-0000470D0000}"/>
    <cellStyle name="쉼표 [0] 4 2 2 8" xfId="3459" xr:uid="{00000000-0005-0000-0000-0000480D0000}"/>
    <cellStyle name="쉼표 [0] 4 2 2 9" xfId="3460" xr:uid="{00000000-0005-0000-0000-0000490D0000}"/>
    <cellStyle name="쉼표 [0] 4 2 3" xfId="3461" xr:uid="{00000000-0005-0000-0000-00004A0D0000}"/>
    <cellStyle name="쉼표 [0] 4 2 3 2" xfId="3462" xr:uid="{00000000-0005-0000-0000-00004B0D0000}"/>
    <cellStyle name="쉼표 [0] 4 2 3 2 2" xfId="3463" xr:uid="{00000000-0005-0000-0000-00004C0D0000}"/>
    <cellStyle name="쉼표 [0] 4 2 3 2 2 2" xfId="3464" xr:uid="{00000000-0005-0000-0000-00004D0D0000}"/>
    <cellStyle name="쉼표 [0] 4 2 3 2 2 2 2" xfId="3465" xr:uid="{00000000-0005-0000-0000-00004E0D0000}"/>
    <cellStyle name="쉼표 [0] 4 2 3 2 2 2 2 2" xfId="3466" xr:uid="{00000000-0005-0000-0000-00004F0D0000}"/>
    <cellStyle name="쉼표 [0] 4 2 3 2 2 2 2 2 2" xfId="3467" xr:uid="{00000000-0005-0000-0000-0000500D0000}"/>
    <cellStyle name="쉼표 [0] 4 2 3 2 2 2 2 3" xfId="3468" xr:uid="{00000000-0005-0000-0000-0000510D0000}"/>
    <cellStyle name="쉼표 [0] 4 2 3 2 2 2 3" xfId="3469" xr:uid="{00000000-0005-0000-0000-0000520D0000}"/>
    <cellStyle name="쉼표 [0] 4 2 3 2 2 2 3 2" xfId="3470" xr:uid="{00000000-0005-0000-0000-0000530D0000}"/>
    <cellStyle name="쉼표 [0] 4 2 3 2 2 2 4" xfId="3471" xr:uid="{00000000-0005-0000-0000-0000540D0000}"/>
    <cellStyle name="쉼표 [0] 4 2 3 2 2 3" xfId="3472" xr:uid="{00000000-0005-0000-0000-0000550D0000}"/>
    <cellStyle name="쉼표 [0] 4 2 3 2 2 3 2" xfId="3473" xr:uid="{00000000-0005-0000-0000-0000560D0000}"/>
    <cellStyle name="쉼표 [0] 4 2 3 2 2 3 2 2" xfId="3474" xr:uid="{00000000-0005-0000-0000-0000570D0000}"/>
    <cellStyle name="쉼표 [0] 4 2 3 2 2 3 3" xfId="3475" xr:uid="{00000000-0005-0000-0000-0000580D0000}"/>
    <cellStyle name="쉼표 [0] 4 2 3 2 2 4" xfId="3476" xr:uid="{00000000-0005-0000-0000-0000590D0000}"/>
    <cellStyle name="쉼표 [0] 4 2 3 2 2 4 2" xfId="3477" xr:uid="{00000000-0005-0000-0000-00005A0D0000}"/>
    <cellStyle name="쉼표 [0] 4 2 3 2 2 5" xfId="3478" xr:uid="{00000000-0005-0000-0000-00005B0D0000}"/>
    <cellStyle name="쉼표 [0] 4 2 3 2 3" xfId="3479" xr:uid="{00000000-0005-0000-0000-00005C0D0000}"/>
    <cellStyle name="쉼표 [0] 4 2 3 2 3 2" xfId="3480" xr:uid="{00000000-0005-0000-0000-00005D0D0000}"/>
    <cellStyle name="쉼표 [0] 4 2 3 2 3 2 2" xfId="3481" xr:uid="{00000000-0005-0000-0000-00005E0D0000}"/>
    <cellStyle name="쉼표 [0] 4 2 3 2 3 2 2 2" xfId="3482" xr:uid="{00000000-0005-0000-0000-00005F0D0000}"/>
    <cellStyle name="쉼표 [0] 4 2 3 2 3 2 3" xfId="3483" xr:uid="{00000000-0005-0000-0000-0000600D0000}"/>
    <cellStyle name="쉼표 [0] 4 2 3 2 3 3" xfId="3484" xr:uid="{00000000-0005-0000-0000-0000610D0000}"/>
    <cellStyle name="쉼표 [0] 4 2 3 2 3 3 2" xfId="3485" xr:uid="{00000000-0005-0000-0000-0000620D0000}"/>
    <cellStyle name="쉼표 [0] 4 2 3 2 3 4" xfId="3486" xr:uid="{00000000-0005-0000-0000-0000630D0000}"/>
    <cellStyle name="쉼표 [0] 4 2 3 2 4" xfId="3487" xr:uid="{00000000-0005-0000-0000-0000640D0000}"/>
    <cellStyle name="쉼표 [0] 4 2 3 2 4 2" xfId="3488" xr:uid="{00000000-0005-0000-0000-0000650D0000}"/>
    <cellStyle name="쉼표 [0] 4 2 3 2 4 2 2" xfId="3489" xr:uid="{00000000-0005-0000-0000-0000660D0000}"/>
    <cellStyle name="쉼표 [0] 4 2 3 2 4 3" xfId="3490" xr:uid="{00000000-0005-0000-0000-0000670D0000}"/>
    <cellStyle name="쉼표 [0] 4 2 3 2 5" xfId="3491" xr:uid="{00000000-0005-0000-0000-0000680D0000}"/>
    <cellStyle name="쉼표 [0] 4 2 3 2 5 2" xfId="3492" xr:uid="{00000000-0005-0000-0000-0000690D0000}"/>
    <cellStyle name="쉼표 [0] 4 2 3 2 6" xfId="3493" xr:uid="{00000000-0005-0000-0000-00006A0D0000}"/>
    <cellStyle name="쉼표 [0] 4 2 3 3" xfId="3494" xr:uid="{00000000-0005-0000-0000-00006B0D0000}"/>
    <cellStyle name="쉼표 [0] 4 2 3 3 2" xfId="3495" xr:uid="{00000000-0005-0000-0000-00006C0D0000}"/>
    <cellStyle name="쉼표 [0] 4 2 3 3 2 2" xfId="3496" xr:uid="{00000000-0005-0000-0000-00006D0D0000}"/>
    <cellStyle name="쉼표 [0] 4 2 3 3 2 2 2" xfId="3497" xr:uid="{00000000-0005-0000-0000-00006E0D0000}"/>
    <cellStyle name="쉼표 [0] 4 2 3 3 2 2 2 2" xfId="3498" xr:uid="{00000000-0005-0000-0000-00006F0D0000}"/>
    <cellStyle name="쉼표 [0] 4 2 3 3 2 2 3" xfId="3499" xr:uid="{00000000-0005-0000-0000-0000700D0000}"/>
    <cellStyle name="쉼표 [0] 4 2 3 3 2 3" xfId="3500" xr:uid="{00000000-0005-0000-0000-0000710D0000}"/>
    <cellStyle name="쉼표 [0] 4 2 3 3 2 3 2" xfId="3501" xr:uid="{00000000-0005-0000-0000-0000720D0000}"/>
    <cellStyle name="쉼표 [0] 4 2 3 3 2 4" xfId="3502" xr:uid="{00000000-0005-0000-0000-0000730D0000}"/>
    <cellStyle name="쉼표 [0] 4 2 3 3 3" xfId="3503" xr:uid="{00000000-0005-0000-0000-0000740D0000}"/>
    <cellStyle name="쉼표 [0] 4 2 3 3 3 2" xfId="3504" xr:uid="{00000000-0005-0000-0000-0000750D0000}"/>
    <cellStyle name="쉼표 [0] 4 2 3 3 3 2 2" xfId="3505" xr:uid="{00000000-0005-0000-0000-0000760D0000}"/>
    <cellStyle name="쉼표 [0] 4 2 3 3 3 3" xfId="3506" xr:uid="{00000000-0005-0000-0000-0000770D0000}"/>
    <cellStyle name="쉼표 [0] 4 2 3 3 4" xfId="3507" xr:uid="{00000000-0005-0000-0000-0000780D0000}"/>
    <cellStyle name="쉼표 [0] 4 2 3 3 4 2" xfId="3508" xr:uid="{00000000-0005-0000-0000-0000790D0000}"/>
    <cellStyle name="쉼표 [0] 4 2 3 3 5" xfId="3509" xr:uid="{00000000-0005-0000-0000-00007A0D0000}"/>
    <cellStyle name="쉼표 [0] 4 2 3 4" xfId="3510" xr:uid="{00000000-0005-0000-0000-00007B0D0000}"/>
    <cellStyle name="쉼표 [0] 4 2 3 4 2" xfId="3511" xr:uid="{00000000-0005-0000-0000-00007C0D0000}"/>
    <cellStyle name="쉼표 [0] 4 2 3 4 2 2" xfId="3512" xr:uid="{00000000-0005-0000-0000-00007D0D0000}"/>
    <cellStyle name="쉼표 [0] 4 2 3 4 2 2 2" xfId="3513" xr:uid="{00000000-0005-0000-0000-00007E0D0000}"/>
    <cellStyle name="쉼표 [0] 4 2 3 4 2 3" xfId="3514" xr:uid="{00000000-0005-0000-0000-00007F0D0000}"/>
    <cellStyle name="쉼표 [0] 4 2 3 4 3" xfId="3515" xr:uid="{00000000-0005-0000-0000-0000800D0000}"/>
    <cellStyle name="쉼표 [0] 4 2 3 4 3 2" xfId="3516" xr:uid="{00000000-0005-0000-0000-0000810D0000}"/>
    <cellStyle name="쉼표 [0] 4 2 3 4 4" xfId="3517" xr:uid="{00000000-0005-0000-0000-0000820D0000}"/>
    <cellStyle name="쉼표 [0] 4 2 3 5" xfId="3518" xr:uid="{00000000-0005-0000-0000-0000830D0000}"/>
    <cellStyle name="쉼표 [0] 4 2 3 5 2" xfId="3519" xr:uid="{00000000-0005-0000-0000-0000840D0000}"/>
    <cellStyle name="쉼표 [0] 4 2 3 5 2 2" xfId="3520" xr:uid="{00000000-0005-0000-0000-0000850D0000}"/>
    <cellStyle name="쉼표 [0] 4 2 3 5 3" xfId="3521" xr:uid="{00000000-0005-0000-0000-0000860D0000}"/>
    <cellStyle name="쉼표 [0] 4 2 3 6" xfId="3522" xr:uid="{00000000-0005-0000-0000-0000870D0000}"/>
    <cellStyle name="쉼표 [0] 4 2 3 6 2" xfId="3523" xr:uid="{00000000-0005-0000-0000-0000880D0000}"/>
    <cellStyle name="쉼표 [0] 4 2 3 7" xfId="3524" xr:uid="{00000000-0005-0000-0000-0000890D0000}"/>
    <cellStyle name="쉼표 [0] 4 2 3 8" xfId="3525" xr:uid="{00000000-0005-0000-0000-00008A0D0000}"/>
    <cellStyle name="쉼표 [0] 4 2 4" xfId="3526" xr:uid="{00000000-0005-0000-0000-00008B0D0000}"/>
    <cellStyle name="쉼표 [0] 4 2 4 2" xfId="3527" xr:uid="{00000000-0005-0000-0000-00008C0D0000}"/>
    <cellStyle name="쉼표 [0] 4 2 4 2 2" xfId="3528" xr:uid="{00000000-0005-0000-0000-00008D0D0000}"/>
    <cellStyle name="쉼표 [0] 4 2 4 2 2 2" xfId="3529" xr:uid="{00000000-0005-0000-0000-00008E0D0000}"/>
    <cellStyle name="쉼표 [0] 4 2 4 2 2 2 2" xfId="3530" xr:uid="{00000000-0005-0000-0000-00008F0D0000}"/>
    <cellStyle name="쉼표 [0] 4 2 4 2 2 2 2 2" xfId="3531" xr:uid="{00000000-0005-0000-0000-0000900D0000}"/>
    <cellStyle name="쉼표 [0] 4 2 4 2 2 2 3" xfId="3532" xr:uid="{00000000-0005-0000-0000-0000910D0000}"/>
    <cellStyle name="쉼표 [0] 4 2 4 2 2 3" xfId="3533" xr:uid="{00000000-0005-0000-0000-0000920D0000}"/>
    <cellStyle name="쉼표 [0] 4 2 4 2 2 3 2" xfId="3534" xr:uid="{00000000-0005-0000-0000-0000930D0000}"/>
    <cellStyle name="쉼표 [0] 4 2 4 2 2 4" xfId="3535" xr:uid="{00000000-0005-0000-0000-0000940D0000}"/>
    <cellStyle name="쉼표 [0] 4 2 4 2 3" xfId="3536" xr:uid="{00000000-0005-0000-0000-0000950D0000}"/>
    <cellStyle name="쉼표 [0] 4 2 4 2 3 2" xfId="3537" xr:uid="{00000000-0005-0000-0000-0000960D0000}"/>
    <cellStyle name="쉼표 [0] 4 2 4 2 3 2 2" xfId="3538" xr:uid="{00000000-0005-0000-0000-0000970D0000}"/>
    <cellStyle name="쉼표 [0] 4 2 4 2 3 3" xfId="3539" xr:uid="{00000000-0005-0000-0000-0000980D0000}"/>
    <cellStyle name="쉼표 [0] 4 2 4 2 4" xfId="3540" xr:uid="{00000000-0005-0000-0000-0000990D0000}"/>
    <cellStyle name="쉼표 [0] 4 2 4 2 4 2" xfId="3541" xr:uid="{00000000-0005-0000-0000-00009A0D0000}"/>
    <cellStyle name="쉼표 [0] 4 2 4 2 5" xfId="3542" xr:uid="{00000000-0005-0000-0000-00009B0D0000}"/>
    <cellStyle name="쉼표 [0] 4 2 4 3" xfId="3543" xr:uid="{00000000-0005-0000-0000-00009C0D0000}"/>
    <cellStyle name="쉼표 [0] 4 2 4 3 2" xfId="3544" xr:uid="{00000000-0005-0000-0000-00009D0D0000}"/>
    <cellStyle name="쉼표 [0] 4 2 4 3 2 2" xfId="3545" xr:uid="{00000000-0005-0000-0000-00009E0D0000}"/>
    <cellStyle name="쉼표 [0] 4 2 4 3 2 2 2" xfId="3546" xr:uid="{00000000-0005-0000-0000-00009F0D0000}"/>
    <cellStyle name="쉼표 [0] 4 2 4 3 2 3" xfId="3547" xr:uid="{00000000-0005-0000-0000-0000A00D0000}"/>
    <cellStyle name="쉼표 [0] 4 2 4 3 3" xfId="3548" xr:uid="{00000000-0005-0000-0000-0000A10D0000}"/>
    <cellStyle name="쉼표 [0] 4 2 4 3 3 2" xfId="3549" xr:uid="{00000000-0005-0000-0000-0000A20D0000}"/>
    <cellStyle name="쉼표 [0] 4 2 4 3 4" xfId="3550" xr:uid="{00000000-0005-0000-0000-0000A30D0000}"/>
    <cellStyle name="쉼표 [0] 4 2 4 4" xfId="3551" xr:uid="{00000000-0005-0000-0000-0000A40D0000}"/>
    <cellStyle name="쉼표 [0] 4 2 4 4 2" xfId="3552" xr:uid="{00000000-0005-0000-0000-0000A50D0000}"/>
    <cellStyle name="쉼표 [0] 4 2 4 4 2 2" xfId="3553" xr:uid="{00000000-0005-0000-0000-0000A60D0000}"/>
    <cellStyle name="쉼표 [0] 4 2 4 4 3" xfId="3554" xr:uid="{00000000-0005-0000-0000-0000A70D0000}"/>
    <cellStyle name="쉼표 [0] 4 2 4 5" xfId="3555" xr:uid="{00000000-0005-0000-0000-0000A80D0000}"/>
    <cellStyle name="쉼표 [0] 4 2 4 5 2" xfId="3556" xr:uid="{00000000-0005-0000-0000-0000A90D0000}"/>
    <cellStyle name="쉼표 [0] 4 2 4 6" xfId="3557" xr:uid="{00000000-0005-0000-0000-0000AA0D0000}"/>
    <cellStyle name="쉼표 [0] 4 2 5" xfId="3558" xr:uid="{00000000-0005-0000-0000-0000AB0D0000}"/>
    <cellStyle name="쉼표 [0] 4 2 5 2" xfId="3559" xr:uid="{00000000-0005-0000-0000-0000AC0D0000}"/>
    <cellStyle name="쉼표 [0] 4 2 5 2 2" xfId="3560" xr:uid="{00000000-0005-0000-0000-0000AD0D0000}"/>
    <cellStyle name="쉼표 [0] 4 2 5 2 2 2" xfId="3561" xr:uid="{00000000-0005-0000-0000-0000AE0D0000}"/>
    <cellStyle name="쉼표 [0] 4 2 5 2 2 2 2" xfId="3562" xr:uid="{00000000-0005-0000-0000-0000AF0D0000}"/>
    <cellStyle name="쉼표 [0] 4 2 5 2 2 3" xfId="3563" xr:uid="{00000000-0005-0000-0000-0000B00D0000}"/>
    <cellStyle name="쉼표 [0] 4 2 5 2 3" xfId="3564" xr:uid="{00000000-0005-0000-0000-0000B10D0000}"/>
    <cellStyle name="쉼표 [0] 4 2 5 2 3 2" xfId="3565" xr:uid="{00000000-0005-0000-0000-0000B20D0000}"/>
    <cellStyle name="쉼표 [0] 4 2 5 2 4" xfId="3566" xr:uid="{00000000-0005-0000-0000-0000B30D0000}"/>
    <cellStyle name="쉼표 [0] 4 2 5 3" xfId="3567" xr:uid="{00000000-0005-0000-0000-0000B40D0000}"/>
    <cellStyle name="쉼표 [0] 4 2 5 3 2" xfId="3568" xr:uid="{00000000-0005-0000-0000-0000B50D0000}"/>
    <cellStyle name="쉼표 [0] 4 2 5 3 2 2" xfId="3569" xr:uid="{00000000-0005-0000-0000-0000B60D0000}"/>
    <cellStyle name="쉼표 [0] 4 2 5 3 3" xfId="3570" xr:uid="{00000000-0005-0000-0000-0000B70D0000}"/>
    <cellStyle name="쉼표 [0] 4 2 5 4" xfId="3571" xr:uid="{00000000-0005-0000-0000-0000B80D0000}"/>
    <cellStyle name="쉼표 [0] 4 2 5 4 2" xfId="3572" xr:uid="{00000000-0005-0000-0000-0000B90D0000}"/>
    <cellStyle name="쉼표 [0] 4 2 5 5" xfId="3573" xr:uid="{00000000-0005-0000-0000-0000BA0D0000}"/>
    <cellStyle name="쉼표 [0] 4 2 6" xfId="3574" xr:uid="{00000000-0005-0000-0000-0000BB0D0000}"/>
    <cellStyle name="쉼표 [0] 4 2 6 2" xfId="3575" xr:uid="{00000000-0005-0000-0000-0000BC0D0000}"/>
    <cellStyle name="쉼표 [0] 4 2 6 2 2" xfId="3576" xr:uid="{00000000-0005-0000-0000-0000BD0D0000}"/>
    <cellStyle name="쉼표 [0] 4 2 6 2 2 2" xfId="3577" xr:uid="{00000000-0005-0000-0000-0000BE0D0000}"/>
    <cellStyle name="쉼표 [0] 4 2 6 2 3" xfId="3578" xr:uid="{00000000-0005-0000-0000-0000BF0D0000}"/>
    <cellStyle name="쉼표 [0] 4 2 6 3" xfId="3579" xr:uid="{00000000-0005-0000-0000-0000C00D0000}"/>
    <cellStyle name="쉼표 [0] 4 2 6 3 2" xfId="3580" xr:uid="{00000000-0005-0000-0000-0000C10D0000}"/>
    <cellStyle name="쉼표 [0] 4 2 6 4" xfId="3581" xr:uid="{00000000-0005-0000-0000-0000C20D0000}"/>
    <cellStyle name="쉼표 [0] 4 2 7" xfId="3582" xr:uid="{00000000-0005-0000-0000-0000C30D0000}"/>
    <cellStyle name="쉼표 [0] 4 2 7 2" xfId="3583" xr:uid="{00000000-0005-0000-0000-0000C40D0000}"/>
    <cellStyle name="쉼표 [0] 4 2 7 2 2" xfId="3584" xr:uid="{00000000-0005-0000-0000-0000C50D0000}"/>
    <cellStyle name="쉼표 [0] 4 2 7 3" xfId="3585" xr:uid="{00000000-0005-0000-0000-0000C60D0000}"/>
    <cellStyle name="쉼표 [0] 4 2 8" xfId="3586" xr:uid="{00000000-0005-0000-0000-0000C70D0000}"/>
    <cellStyle name="쉼표 [0] 4 2 8 2" xfId="3587" xr:uid="{00000000-0005-0000-0000-0000C80D0000}"/>
    <cellStyle name="쉼표 [0] 4 2 9" xfId="3588" xr:uid="{00000000-0005-0000-0000-0000C90D0000}"/>
    <cellStyle name="쉼표 [0] 4 3" xfId="3589" xr:uid="{00000000-0005-0000-0000-0000CA0D0000}"/>
    <cellStyle name="쉼표 [0] 4 3 2" xfId="3590" xr:uid="{00000000-0005-0000-0000-0000CB0D0000}"/>
    <cellStyle name="쉼표 [0] 4 3 2 2" xfId="3591" xr:uid="{00000000-0005-0000-0000-0000CC0D0000}"/>
    <cellStyle name="쉼표 [0] 4 3 2 2 2" xfId="3592" xr:uid="{00000000-0005-0000-0000-0000CD0D0000}"/>
    <cellStyle name="쉼표 [0] 4 3 2 2 2 2" xfId="3593" xr:uid="{00000000-0005-0000-0000-0000CE0D0000}"/>
    <cellStyle name="쉼표 [0] 4 3 2 2 2 2 2" xfId="3594" xr:uid="{00000000-0005-0000-0000-0000CF0D0000}"/>
    <cellStyle name="쉼표 [0] 4 3 2 2 2 2 2 2" xfId="3595" xr:uid="{00000000-0005-0000-0000-0000D00D0000}"/>
    <cellStyle name="쉼표 [0] 4 3 2 2 2 2 2 2 2" xfId="3596" xr:uid="{00000000-0005-0000-0000-0000D10D0000}"/>
    <cellStyle name="쉼표 [0] 4 3 2 2 2 2 2 3" xfId="3597" xr:uid="{00000000-0005-0000-0000-0000D20D0000}"/>
    <cellStyle name="쉼표 [0] 4 3 2 2 2 2 3" xfId="3598" xr:uid="{00000000-0005-0000-0000-0000D30D0000}"/>
    <cellStyle name="쉼표 [0] 4 3 2 2 2 2 3 2" xfId="3599" xr:uid="{00000000-0005-0000-0000-0000D40D0000}"/>
    <cellStyle name="쉼표 [0] 4 3 2 2 2 2 4" xfId="3600" xr:uid="{00000000-0005-0000-0000-0000D50D0000}"/>
    <cellStyle name="쉼표 [0] 4 3 2 2 2 3" xfId="3601" xr:uid="{00000000-0005-0000-0000-0000D60D0000}"/>
    <cellStyle name="쉼표 [0] 4 3 2 2 2 3 2" xfId="3602" xr:uid="{00000000-0005-0000-0000-0000D70D0000}"/>
    <cellStyle name="쉼표 [0] 4 3 2 2 2 3 2 2" xfId="3603" xr:uid="{00000000-0005-0000-0000-0000D80D0000}"/>
    <cellStyle name="쉼표 [0] 4 3 2 2 2 3 3" xfId="3604" xr:uid="{00000000-0005-0000-0000-0000D90D0000}"/>
    <cellStyle name="쉼표 [0] 4 3 2 2 2 4" xfId="3605" xr:uid="{00000000-0005-0000-0000-0000DA0D0000}"/>
    <cellStyle name="쉼표 [0] 4 3 2 2 2 4 2" xfId="3606" xr:uid="{00000000-0005-0000-0000-0000DB0D0000}"/>
    <cellStyle name="쉼표 [0] 4 3 2 2 2 5" xfId="3607" xr:uid="{00000000-0005-0000-0000-0000DC0D0000}"/>
    <cellStyle name="쉼표 [0] 4 3 2 2 3" xfId="3608" xr:uid="{00000000-0005-0000-0000-0000DD0D0000}"/>
    <cellStyle name="쉼표 [0] 4 3 2 2 3 2" xfId="3609" xr:uid="{00000000-0005-0000-0000-0000DE0D0000}"/>
    <cellStyle name="쉼표 [0] 4 3 2 2 3 2 2" xfId="3610" xr:uid="{00000000-0005-0000-0000-0000DF0D0000}"/>
    <cellStyle name="쉼표 [0] 4 3 2 2 3 2 2 2" xfId="3611" xr:uid="{00000000-0005-0000-0000-0000E00D0000}"/>
    <cellStyle name="쉼표 [0] 4 3 2 2 3 2 3" xfId="3612" xr:uid="{00000000-0005-0000-0000-0000E10D0000}"/>
    <cellStyle name="쉼표 [0] 4 3 2 2 3 3" xfId="3613" xr:uid="{00000000-0005-0000-0000-0000E20D0000}"/>
    <cellStyle name="쉼표 [0] 4 3 2 2 3 3 2" xfId="3614" xr:uid="{00000000-0005-0000-0000-0000E30D0000}"/>
    <cellStyle name="쉼표 [0] 4 3 2 2 3 4" xfId="3615" xr:uid="{00000000-0005-0000-0000-0000E40D0000}"/>
    <cellStyle name="쉼표 [0] 4 3 2 2 4" xfId="3616" xr:uid="{00000000-0005-0000-0000-0000E50D0000}"/>
    <cellStyle name="쉼표 [0] 4 3 2 2 4 2" xfId="3617" xr:uid="{00000000-0005-0000-0000-0000E60D0000}"/>
    <cellStyle name="쉼표 [0] 4 3 2 2 4 2 2" xfId="3618" xr:uid="{00000000-0005-0000-0000-0000E70D0000}"/>
    <cellStyle name="쉼표 [0] 4 3 2 2 4 3" xfId="3619" xr:uid="{00000000-0005-0000-0000-0000E80D0000}"/>
    <cellStyle name="쉼표 [0] 4 3 2 2 5" xfId="3620" xr:uid="{00000000-0005-0000-0000-0000E90D0000}"/>
    <cellStyle name="쉼표 [0] 4 3 2 2 5 2" xfId="3621" xr:uid="{00000000-0005-0000-0000-0000EA0D0000}"/>
    <cellStyle name="쉼표 [0] 4 3 2 2 6" xfId="3622" xr:uid="{00000000-0005-0000-0000-0000EB0D0000}"/>
    <cellStyle name="쉼표 [0] 4 3 2 3" xfId="3623" xr:uid="{00000000-0005-0000-0000-0000EC0D0000}"/>
    <cellStyle name="쉼표 [0] 4 3 2 3 2" xfId="3624" xr:uid="{00000000-0005-0000-0000-0000ED0D0000}"/>
    <cellStyle name="쉼표 [0] 4 3 2 3 2 2" xfId="3625" xr:uid="{00000000-0005-0000-0000-0000EE0D0000}"/>
    <cellStyle name="쉼표 [0] 4 3 2 3 2 2 2" xfId="3626" xr:uid="{00000000-0005-0000-0000-0000EF0D0000}"/>
    <cellStyle name="쉼표 [0] 4 3 2 3 2 2 2 2" xfId="3627" xr:uid="{00000000-0005-0000-0000-0000F00D0000}"/>
    <cellStyle name="쉼표 [0] 4 3 2 3 2 2 3" xfId="3628" xr:uid="{00000000-0005-0000-0000-0000F10D0000}"/>
    <cellStyle name="쉼표 [0] 4 3 2 3 2 3" xfId="3629" xr:uid="{00000000-0005-0000-0000-0000F20D0000}"/>
    <cellStyle name="쉼표 [0] 4 3 2 3 2 3 2" xfId="3630" xr:uid="{00000000-0005-0000-0000-0000F30D0000}"/>
    <cellStyle name="쉼표 [0] 4 3 2 3 2 4" xfId="3631" xr:uid="{00000000-0005-0000-0000-0000F40D0000}"/>
    <cellStyle name="쉼표 [0] 4 3 2 3 3" xfId="3632" xr:uid="{00000000-0005-0000-0000-0000F50D0000}"/>
    <cellStyle name="쉼표 [0] 4 3 2 3 3 2" xfId="3633" xr:uid="{00000000-0005-0000-0000-0000F60D0000}"/>
    <cellStyle name="쉼표 [0] 4 3 2 3 3 2 2" xfId="3634" xr:uid="{00000000-0005-0000-0000-0000F70D0000}"/>
    <cellStyle name="쉼표 [0] 4 3 2 3 3 3" xfId="3635" xr:uid="{00000000-0005-0000-0000-0000F80D0000}"/>
    <cellStyle name="쉼표 [0] 4 3 2 3 4" xfId="3636" xr:uid="{00000000-0005-0000-0000-0000F90D0000}"/>
    <cellStyle name="쉼표 [0] 4 3 2 3 4 2" xfId="3637" xr:uid="{00000000-0005-0000-0000-0000FA0D0000}"/>
    <cellStyle name="쉼표 [0] 4 3 2 3 5" xfId="3638" xr:uid="{00000000-0005-0000-0000-0000FB0D0000}"/>
    <cellStyle name="쉼표 [0] 4 3 2 4" xfId="3639" xr:uid="{00000000-0005-0000-0000-0000FC0D0000}"/>
    <cellStyle name="쉼표 [0] 4 3 2 4 2" xfId="3640" xr:uid="{00000000-0005-0000-0000-0000FD0D0000}"/>
    <cellStyle name="쉼표 [0] 4 3 2 4 2 2" xfId="3641" xr:uid="{00000000-0005-0000-0000-0000FE0D0000}"/>
    <cellStyle name="쉼표 [0] 4 3 2 4 2 2 2" xfId="3642" xr:uid="{00000000-0005-0000-0000-0000FF0D0000}"/>
    <cellStyle name="쉼표 [0] 4 3 2 4 2 3" xfId="3643" xr:uid="{00000000-0005-0000-0000-0000000E0000}"/>
    <cellStyle name="쉼표 [0] 4 3 2 4 3" xfId="3644" xr:uid="{00000000-0005-0000-0000-0000010E0000}"/>
    <cellStyle name="쉼표 [0] 4 3 2 4 3 2" xfId="3645" xr:uid="{00000000-0005-0000-0000-0000020E0000}"/>
    <cellStyle name="쉼표 [0] 4 3 2 4 4" xfId="3646" xr:uid="{00000000-0005-0000-0000-0000030E0000}"/>
    <cellStyle name="쉼표 [0] 4 3 2 5" xfId="3647" xr:uid="{00000000-0005-0000-0000-0000040E0000}"/>
    <cellStyle name="쉼표 [0] 4 3 2 5 2" xfId="3648" xr:uid="{00000000-0005-0000-0000-0000050E0000}"/>
    <cellStyle name="쉼표 [0] 4 3 2 5 2 2" xfId="3649" xr:uid="{00000000-0005-0000-0000-0000060E0000}"/>
    <cellStyle name="쉼표 [0] 4 3 2 5 3" xfId="3650" xr:uid="{00000000-0005-0000-0000-0000070E0000}"/>
    <cellStyle name="쉼표 [0] 4 3 2 6" xfId="3651" xr:uid="{00000000-0005-0000-0000-0000080E0000}"/>
    <cellStyle name="쉼표 [0] 4 3 2 6 2" xfId="3652" xr:uid="{00000000-0005-0000-0000-0000090E0000}"/>
    <cellStyle name="쉼표 [0] 4 3 2 7" xfId="3653" xr:uid="{00000000-0005-0000-0000-00000A0E0000}"/>
    <cellStyle name="쉼표 [0] 4 3 2 8" xfId="3654" xr:uid="{00000000-0005-0000-0000-00000B0E0000}"/>
    <cellStyle name="쉼표 [0] 4 3 3" xfId="3655" xr:uid="{00000000-0005-0000-0000-00000C0E0000}"/>
    <cellStyle name="쉼표 [0] 4 3 3 2" xfId="3656" xr:uid="{00000000-0005-0000-0000-00000D0E0000}"/>
    <cellStyle name="쉼표 [0] 4 3 3 2 2" xfId="3657" xr:uid="{00000000-0005-0000-0000-00000E0E0000}"/>
    <cellStyle name="쉼표 [0] 4 3 3 2 2 2" xfId="3658" xr:uid="{00000000-0005-0000-0000-00000F0E0000}"/>
    <cellStyle name="쉼표 [0] 4 3 3 2 2 2 2" xfId="3659" xr:uid="{00000000-0005-0000-0000-0000100E0000}"/>
    <cellStyle name="쉼표 [0] 4 3 3 2 2 2 2 2" xfId="3660" xr:uid="{00000000-0005-0000-0000-0000110E0000}"/>
    <cellStyle name="쉼표 [0] 4 3 3 2 2 2 3" xfId="3661" xr:uid="{00000000-0005-0000-0000-0000120E0000}"/>
    <cellStyle name="쉼표 [0] 4 3 3 2 2 3" xfId="3662" xr:uid="{00000000-0005-0000-0000-0000130E0000}"/>
    <cellStyle name="쉼표 [0] 4 3 3 2 2 3 2" xfId="3663" xr:uid="{00000000-0005-0000-0000-0000140E0000}"/>
    <cellStyle name="쉼표 [0] 4 3 3 2 2 4" xfId="3664" xr:uid="{00000000-0005-0000-0000-0000150E0000}"/>
    <cellStyle name="쉼표 [0] 4 3 3 2 3" xfId="3665" xr:uid="{00000000-0005-0000-0000-0000160E0000}"/>
    <cellStyle name="쉼표 [0] 4 3 3 2 3 2" xfId="3666" xr:uid="{00000000-0005-0000-0000-0000170E0000}"/>
    <cellStyle name="쉼표 [0] 4 3 3 2 3 2 2" xfId="3667" xr:uid="{00000000-0005-0000-0000-0000180E0000}"/>
    <cellStyle name="쉼표 [0] 4 3 3 2 3 3" xfId="3668" xr:uid="{00000000-0005-0000-0000-0000190E0000}"/>
    <cellStyle name="쉼표 [0] 4 3 3 2 4" xfId="3669" xr:uid="{00000000-0005-0000-0000-00001A0E0000}"/>
    <cellStyle name="쉼표 [0] 4 3 3 2 4 2" xfId="3670" xr:uid="{00000000-0005-0000-0000-00001B0E0000}"/>
    <cellStyle name="쉼표 [0] 4 3 3 2 5" xfId="3671" xr:uid="{00000000-0005-0000-0000-00001C0E0000}"/>
    <cellStyle name="쉼표 [0] 4 3 3 3" xfId="3672" xr:uid="{00000000-0005-0000-0000-00001D0E0000}"/>
    <cellStyle name="쉼표 [0] 4 3 3 3 2" xfId="3673" xr:uid="{00000000-0005-0000-0000-00001E0E0000}"/>
    <cellStyle name="쉼표 [0] 4 3 3 3 2 2" xfId="3674" xr:uid="{00000000-0005-0000-0000-00001F0E0000}"/>
    <cellStyle name="쉼표 [0] 4 3 3 3 2 2 2" xfId="3675" xr:uid="{00000000-0005-0000-0000-0000200E0000}"/>
    <cellStyle name="쉼표 [0] 4 3 3 3 2 3" xfId="3676" xr:uid="{00000000-0005-0000-0000-0000210E0000}"/>
    <cellStyle name="쉼표 [0] 4 3 3 3 3" xfId="3677" xr:uid="{00000000-0005-0000-0000-0000220E0000}"/>
    <cellStyle name="쉼표 [0] 4 3 3 3 3 2" xfId="3678" xr:uid="{00000000-0005-0000-0000-0000230E0000}"/>
    <cellStyle name="쉼표 [0] 4 3 3 3 4" xfId="3679" xr:uid="{00000000-0005-0000-0000-0000240E0000}"/>
    <cellStyle name="쉼표 [0] 4 3 3 4" xfId="3680" xr:uid="{00000000-0005-0000-0000-0000250E0000}"/>
    <cellStyle name="쉼표 [0] 4 3 3 4 2" xfId="3681" xr:uid="{00000000-0005-0000-0000-0000260E0000}"/>
    <cellStyle name="쉼표 [0] 4 3 3 4 2 2" xfId="3682" xr:uid="{00000000-0005-0000-0000-0000270E0000}"/>
    <cellStyle name="쉼표 [0] 4 3 3 4 3" xfId="3683" xr:uid="{00000000-0005-0000-0000-0000280E0000}"/>
    <cellStyle name="쉼표 [0] 4 3 3 5" xfId="3684" xr:uid="{00000000-0005-0000-0000-0000290E0000}"/>
    <cellStyle name="쉼표 [0] 4 3 3 5 2" xfId="3685" xr:uid="{00000000-0005-0000-0000-00002A0E0000}"/>
    <cellStyle name="쉼표 [0] 4 3 3 6" xfId="3686" xr:uid="{00000000-0005-0000-0000-00002B0E0000}"/>
    <cellStyle name="쉼표 [0] 4 3 4" xfId="3687" xr:uid="{00000000-0005-0000-0000-00002C0E0000}"/>
    <cellStyle name="쉼표 [0] 4 3 4 2" xfId="3688" xr:uid="{00000000-0005-0000-0000-00002D0E0000}"/>
    <cellStyle name="쉼표 [0] 4 3 4 2 2" xfId="3689" xr:uid="{00000000-0005-0000-0000-00002E0E0000}"/>
    <cellStyle name="쉼표 [0] 4 3 4 2 2 2" xfId="3690" xr:uid="{00000000-0005-0000-0000-00002F0E0000}"/>
    <cellStyle name="쉼표 [0] 4 3 4 2 2 2 2" xfId="3691" xr:uid="{00000000-0005-0000-0000-0000300E0000}"/>
    <cellStyle name="쉼표 [0] 4 3 4 2 2 3" xfId="3692" xr:uid="{00000000-0005-0000-0000-0000310E0000}"/>
    <cellStyle name="쉼표 [0] 4 3 4 2 3" xfId="3693" xr:uid="{00000000-0005-0000-0000-0000320E0000}"/>
    <cellStyle name="쉼표 [0] 4 3 4 2 3 2" xfId="3694" xr:uid="{00000000-0005-0000-0000-0000330E0000}"/>
    <cellStyle name="쉼표 [0] 4 3 4 2 4" xfId="3695" xr:uid="{00000000-0005-0000-0000-0000340E0000}"/>
    <cellStyle name="쉼표 [0] 4 3 4 3" xfId="3696" xr:uid="{00000000-0005-0000-0000-0000350E0000}"/>
    <cellStyle name="쉼표 [0] 4 3 4 3 2" xfId="3697" xr:uid="{00000000-0005-0000-0000-0000360E0000}"/>
    <cellStyle name="쉼표 [0] 4 3 4 3 2 2" xfId="3698" xr:uid="{00000000-0005-0000-0000-0000370E0000}"/>
    <cellStyle name="쉼표 [0] 4 3 4 3 3" xfId="3699" xr:uid="{00000000-0005-0000-0000-0000380E0000}"/>
    <cellStyle name="쉼표 [0] 4 3 4 4" xfId="3700" xr:uid="{00000000-0005-0000-0000-0000390E0000}"/>
    <cellStyle name="쉼표 [0] 4 3 4 4 2" xfId="3701" xr:uid="{00000000-0005-0000-0000-00003A0E0000}"/>
    <cellStyle name="쉼표 [0] 4 3 4 5" xfId="3702" xr:uid="{00000000-0005-0000-0000-00003B0E0000}"/>
    <cellStyle name="쉼표 [0] 4 3 5" xfId="3703" xr:uid="{00000000-0005-0000-0000-00003C0E0000}"/>
    <cellStyle name="쉼표 [0] 4 3 5 2" xfId="3704" xr:uid="{00000000-0005-0000-0000-00003D0E0000}"/>
    <cellStyle name="쉼표 [0] 4 3 5 2 2" xfId="3705" xr:uid="{00000000-0005-0000-0000-00003E0E0000}"/>
    <cellStyle name="쉼표 [0] 4 3 5 2 2 2" xfId="3706" xr:uid="{00000000-0005-0000-0000-00003F0E0000}"/>
    <cellStyle name="쉼표 [0] 4 3 5 2 3" xfId="3707" xr:uid="{00000000-0005-0000-0000-0000400E0000}"/>
    <cellStyle name="쉼표 [0] 4 3 5 3" xfId="3708" xr:uid="{00000000-0005-0000-0000-0000410E0000}"/>
    <cellStyle name="쉼표 [0] 4 3 5 3 2" xfId="3709" xr:uid="{00000000-0005-0000-0000-0000420E0000}"/>
    <cellStyle name="쉼표 [0] 4 3 5 4" xfId="3710" xr:uid="{00000000-0005-0000-0000-0000430E0000}"/>
    <cellStyle name="쉼표 [0] 4 3 6" xfId="3711" xr:uid="{00000000-0005-0000-0000-0000440E0000}"/>
    <cellStyle name="쉼표 [0] 4 3 6 2" xfId="3712" xr:uid="{00000000-0005-0000-0000-0000450E0000}"/>
    <cellStyle name="쉼표 [0] 4 3 6 2 2" xfId="3713" xr:uid="{00000000-0005-0000-0000-0000460E0000}"/>
    <cellStyle name="쉼표 [0] 4 3 6 3" xfId="3714" xr:uid="{00000000-0005-0000-0000-0000470E0000}"/>
    <cellStyle name="쉼표 [0] 4 3 7" xfId="3715" xr:uid="{00000000-0005-0000-0000-0000480E0000}"/>
    <cellStyle name="쉼표 [0] 4 3 7 2" xfId="3716" xr:uid="{00000000-0005-0000-0000-0000490E0000}"/>
    <cellStyle name="쉼표 [0] 4 3 8" xfId="3717" xr:uid="{00000000-0005-0000-0000-00004A0E0000}"/>
    <cellStyle name="쉼표 [0] 4 3 9" xfId="3718" xr:uid="{00000000-0005-0000-0000-00004B0E0000}"/>
    <cellStyle name="쉼표 [0] 4 4" xfId="3719" xr:uid="{00000000-0005-0000-0000-00004C0E0000}"/>
    <cellStyle name="쉼표 [0] 4 4 2" xfId="3720" xr:uid="{00000000-0005-0000-0000-00004D0E0000}"/>
    <cellStyle name="쉼표 [0] 4 4 2 2" xfId="3721" xr:uid="{00000000-0005-0000-0000-00004E0E0000}"/>
    <cellStyle name="쉼표 [0] 4 4 2 2 2" xfId="3722" xr:uid="{00000000-0005-0000-0000-00004F0E0000}"/>
    <cellStyle name="쉼표 [0] 4 4 2 2 2 2" xfId="3723" xr:uid="{00000000-0005-0000-0000-0000500E0000}"/>
    <cellStyle name="쉼표 [0] 4 4 2 2 2 2 2" xfId="3724" xr:uid="{00000000-0005-0000-0000-0000510E0000}"/>
    <cellStyle name="쉼표 [0] 4 4 2 2 2 2 2 2" xfId="3725" xr:uid="{00000000-0005-0000-0000-0000520E0000}"/>
    <cellStyle name="쉼표 [0] 4 4 2 2 2 2 3" xfId="3726" xr:uid="{00000000-0005-0000-0000-0000530E0000}"/>
    <cellStyle name="쉼표 [0] 4 4 2 2 2 3" xfId="3727" xr:uid="{00000000-0005-0000-0000-0000540E0000}"/>
    <cellStyle name="쉼표 [0] 4 4 2 2 2 3 2" xfId="3728" xr:uid="{00000000-0005-0000-0000-0000550E0000}"/>
    <cellStyle name="쉼표 [0] 4 4 2 2 2 4" xfId="3729" xr:uid="{00000000-0005-0000-0000-0000560E0000}"/>
    <cellStyle name="쉼표 [0] 4 4 2 2 3" xfId="3730" xr:uid="{00000000-0005-0000-0000-0000570E0000}"/>
    <cellStyle name="쉼표 [0] 4 4 2 2 3 2" xfId="3731" xr:uid="{00000000-0005-0000-0000-0000580E0000}"/>
    <cellStyle name="쉼표 [0] 4 4 2 2 3 2 2" xfId="3732" xr:uid="{00000000-0005-0000-0000-0000590E0000}"/>
    <cellStyle name="쉼표 [0] 4 4 2 2 3 3" xfId="3733" xr:uid="{00000000-0005-0000-0000-00005A0E0000}"/>
    <cellStyle name="쉼표 [0] 4 4 2 2 4" xfId="3734" xr:uid="{00000000-0005-0000-0000-00005B0E0000}"/>
    <cellStyle name="쉼표 [0] 4 4 2 2 4 2" xfId="3735" xr:uid="{00000000-0005-0000-0000-00005C0E0000}"/>
    <cellStyle name="쉼표 [0] 4 4 2 2 5" xfId="3736" xr:uid="{00000000-0005-0000-0000-00005D0E0000}"/>
    <cellStyle name="쉼표 [0] 4 4 2 3" xfId="3737" xr:uid="{00000000-0005-0000-0000-00005E0E0000}"/>
    <cellStyle name="쉼표 [0] 4 4 2 3 2" xfId="3738" xr:uid="{00000000-0005-0000-0000-00005F0E0000}"/>
    <cellStyle name="쉼표 [0] 4 4 2 3 2 2" xfId="3739" xr:uid="{00000000-0005-0000-0000-0000600E0000}"/>
    <cellStyle name="쉼표 [0] 4 4 2 3 2 2 2" xfId="3740" xr:uid="{00000000-0005-0000-0000-0000610E0000}"/>
    <cellStyle name="쉼표 [0] 4 4 2 3 2 3" xfId="3741" xr:uid="{00000000-0005-0000-0000-0000620E0000}"/>
    <cellStyle name="쉼표 [0] 4 4 2 3 3" xfId="3742" xr:uid="{00000000-0005-0000-0000-0000630E0000}"/>
    <cellStyle name="쉼표 [0] 4 4 2 3 3 2" xfId="3743" xr:uid="{00000000-0005-0000-0000-0000640E0000}"/>
    <cellStyle name="쉼표 [0] 4 4 2 3 4" xfId="3744" xr:uid="{00000000-0005-0000-0000-0000650E0000}"/>
    <cellStyle name="쉼표 [0] 4 4 2 4" xfId="3745" xr:uid="{00000000-0005-0000-0000-0000660E0000}"/>
    <cellStyle name="쉼표 [0] 4 4 2 4 2" xfId="3746" xr:uid="{00000000-0005-0000-0000-0000670E0000}"/>
    <cellStyle name="쉼표 [0] 4 4 2 4 2 2" xfId="3747" xr:uid="{00000000-0005-0000-0000-0000680E0000}"/>
    <cellStyle name="쉼표 [0] 4 4 2 4 3" xfId="3748" xr:uid="{00000000-0005-0000-0000-0000690E0000}"/>
    <cellStyle name="쉼표 [0] 4 4 2 5" xfId="3749" xr:uid="{00000000-0005-0000-0000-00006A0E0000}"/>
    <cellStyle name="쉼표 [0] 4 4 2 5 2" xfId="3750" xr:uid="{00000000-0005-0000-0000-00006B0E0000}"/>
    <cellStyle name="쉼표 [0] 4 4 2 6" xfId="3751" xr:uid="{00000000-0005-0000-0000-00006C0E0000}"/>
    <cellStyle name="쉼표 [0] 4 4 3" xfId="3752" xr:uid="{00000000-0005-0000-0000-00006D0E0000}"/>
    <cellStyle name="쉼표 [0] 4 4 3 2" xfId="3753" xr:uid="{00000000-0005-0000-0000-00006E0E0000}"/>
    <cellStyle name="쉼표 [0] 4 4 3 2 2" xfId="3754" xr:uid="{00000000-0005-0000-0000-00006F0E0000}"/>
    <cellStyle name="쉼표 [0] 4 4 3 2 2 2" xfId="3755" xr:uid="{00000000-0005-0000-0000-0000700E0000}"/>
    <cellStyle name="쉼표 [0] 4 4 3 2 2 2 2" xfId="3756" xr:uid="{00000000-0005-0000-0000-0000710E0000}"/>
    <cellStyle name="쉼표 [0] 4 4 3 2 2 3" xfId="3757" xr:uid="{00000000-0005-0000-0000-0000720E0000}"/>
    <cellStyle name="쉼표 [0] 4 4 3 2 3" xfId="3758" xr:uid="{00000000-0005-0000-0000-0000730E0000}"/>
    <cellStyle name="쉼표 [0] 4 4 3 2 3 2" xfId="3759" xr:uid="{00000000-0005-0000-0000-0000740E0000}"/>
    <cellStyle name="쉼표 [0] 4 4 3 2 4" xfId="3760" xr:uid="{00000000-0005-0000-0000-0000750E0000}"/>
    <cellStyle name="쉼표 [0] 4 4 3 3" xfId="3761" xr:uid="{00000000-0005-0000-0000-0000760E0000}"/>
    <cellStyle name="쉼표 [0] 4 4 3 3 2" xfId="3762" xr:uid="{00000000-0005-0000-0000-0000770E0000}"/>
    <cellStyle name="쉼표 [0] 4 4 3 3 2 2" xfId="3763" xr:uid="{00000000-0005-0000-0000-0000780E0000}"/>
    <cellStyle name="쉼표 [0] 4 4 3 3 3" xfId="3764" xr:uid="{00000000-0005-0000-0000-0000790E0000}"/>
    <cellStyle name="쉼표 [0] 4 4 3 4" xfId="3765" xr:uid="{00000000-0005-0000-0000-00007A0E0000}"/>
    <cellStyle name="쉼표 [0] 4 4 3 4 2" xfId="3766" xr:uid="{00000000-0005-0000-0000-00007B0E0000}"/>
    <cellStyle name="쉼표 [0] 4 4 3 5" xfId="3767" xr:uid="{00000000-0005-0000-0000-00007C0E0000}"/>
    <cellStyle name="쉼표 [0] 4 4 4" xfId="3768" xr:uid="{00000000-0005-0000-0000-00007D0E0000}"/>
    <cellStyle name="쉼표 [0] 4 4 4 2" xfId="3769" xr:uid="{00000000-0005-0000-0000-00007E0E0000}"/>
    <cellStyle name="쉼표 [0] 4 4 4 2 2" xfId="3770" xr:uid="{00000000-0005-0000-0000-00007F0E0000}"/>
    <cellStyle name="쉼표 [0] 4 4 4 2 2 2" xfId="3771" xr:uid="{00000000-0005-0000-0000-0000800E0000}"/>
    <cellStyle name="쉼표 [0] 4 4 4 2 3" xfId="3772" xr:uid="{00000000-0005-0000-0000-0000810E0000}"/>
    <cellStyle name="쉼표 [0] 4 4 4 3" xfId="3773" xr:uid="{00000000-0005-0000-0000-0000820E0000}"/>
    <cellStyle name="쉼표 [0] 4 4 4 3 2" xfId="3774" xr:uid="{00000000-0005-0000-0000-0000830E0000}"/>
    <cellStyle name="쉼표 [0] 4 4 4 4" xfId="3775" xr:uid="{00000000-0005-0000-0000-0000840E0000}"/>
    <cellStyle name="쉼표 [0] 4 4 5" xfId="3776" xr:uid="{00000000-0005-0000-0000-0000850E0000}"/>
    <cellStyle name="쉼표 [0] 4 4 5 2" xfId="3777" xr:uid="{00000000-0005-0000-0000-0000860E0000}"/>
    <cellStyle name="쉼표 [0] 4 4 5 2 2" xfId="3778" xr:uid="{00000000-0005-0000-0000-0000870E0000}"/>
    <cellStyle name="쉼표 [0] 4 4 5 3" xfId="3779" xr:uid="{00000000-0005-0000-0000-0000880E0000}"/>
    <cellStyle name="쉼표 [0] 4 4 6" xfId="3780" xr:uid="{00000000-0005-0000-0000-0000890E0000}"/>
    <cellStyle name="쉼표 [0] 4 4 6 2" xfId="3781" xr:uid="{00000000-0005-0000-0000-00008A0E0000}"/>
    <cellStyle name="쉼표 [0] 4 4 7" xfId="3782" xr:uid="{00000000-0005-0000-0000-00008B0E0000}"/>
    <cellStyle name="쉼표 [0] 4 4 8" xfId="3783" xr:uid="{00000000-0005-0000-0000-00008C0E0000}"/>
    <cellStyle name="쉼표 [0] 4 5" xfId="3784" xr:uid="{00000000-0005-0000-0000-00008D0E0000}"/>
    <cellStyle name="쉼표 [0] 4 5 2" xfId="3785" xr:uid="{00000000-0005-0000-0000-00008E0E0000}"/>
    <cellStyle name="쉼표 [0] 4 5 2 2" xfId="3786" xr:uid="{00000000-0005-0000-0000-00008F0E0000}"/>
    <cellStyle name="쉼표 [0] 4 5 2 2 2" xfId="3787" xr:uid="{00000000-0005-0000-0000-0000900E0000}"/>
    <cellStyle name="쉼표 [0] 4 5 2 2 2 2" xfId="3788" xr:uid="{00000000-0005-0000-0000-0000910E0000}"/>
    <cellStyle name="쉼표 [0] 4 5 2 2 2 2 2" xfId="3789" xr:uid="{00000000-0005-0000-0000-0000920E0000}"/>
    <cellStyle name="쉼표 [0] 4 5 2 2 2 3" xfId="3790" xr:uid="{00000000-0005-0000-0000-0000930E0000}"/>
    <cellStyle name="쉼표 [0] 4 5 2 2 3" xfId="3791" xr:uid="{00000000-0005-0000-0000-0000940E0000}"/>
    <cellStyle name="쉼표 [0] 4 5 2 2 3 2" xfId="3792" xr:uid="{00000000-0005-0000-0000-0000950E0000}"/>
    <cellStyle name="쉼표 [0] 4 5 2 2 4" xfId="3793" xr:uid="{00000000-0005-0000-0000-0000960E0000}"/>
    <cellStyle name="쉼표 [0] 4 5 2 3" xfId="3794" xr:uid="{00000000-0005-0000-0000-0000970E0000}"/>
    <cellStyle name="쉼표 [0] 4 5 2 3 2" xfId="3795" xr:uid="{00000000-0005-0000-0000-0000980E0000}"/>
    <cellStyle name="쉼표 [0] 4 5 2 3 2 2" xfId="3796" xr:uid="{00000000-0005-0000-0000-0000990E0000}"/>
    <cellStyle name="쉼표 [0] 4 5 2 3 3" xfId="3797" xr:uid="{00000000-0005-0000-0000-00009A0E0000}"/>
    <cellStyle name="쉼표 [0] 4 5 2 4" xfId="3798" xr:uid="{00000000-0005-0000-0000-00009B0E0000}"/>
    <cellStyle name="쉼표 [0] 4 5 2 4 2" xfId="3799" xr:uid="{00000000-0005-0000-0000-00009C0E0000}"/>
    <cellStyle name="쉼표 [0] 4 5 2 5" xfId="3800" xr:uid="{00000000-0005-0000-0000-00009D0E0000}"/>
    <cellStyle name="쉼표 [0] 4 5 3" xfId="3801" xr:uid="{00000000-0005-0000-0000-00009E0E0000}"/>
    <cellStyle name="쉼표 [0] 4 5 3 2" xfId="3802" xr:uid="{00000000-0005-0000-0000-00009F0E0000}"/>
    <cellStyle name="쉼표 [0] 4 5 3 2 2" xfId="3803" xr:uid="{00000000-0005-0000-0000-0000A00E0000}"/>
    <cellStyle name="쉼표 [0] 4 5 3 2 2 2" xfId="3804" xr:uid="{00000000-0005-0000-0000-0000A10E0000}"/>
    <cellStyle name="쉼표 [0] 4 5 3 2 3" xfId="3805" xr:uid="{00000000-0005-0000-0000-0000A20E0000}"/>
    <cellStyle name="쉼표 [0] 4 5 3 3" xfId="3806" xr:uid="{00000000-0005-0000-0000-0000A30E0000}"/>
    <cellStyle name="쉼표 [0] 4 5 3 3 2" xfId="3807" xr:uid="{00000000-0005-0000-0000-0000A40E0000}"/>
    <cellStyle name="쉼표 [0] 4 5 3 4" xfId="3808" xr:uid="{00000000-0005-0000-0000-0000A50E0000}"/>
    <cellStyle name="쉼표 [0] 4 5 4" xfId="3809" xr:uid="{00000000-0005-0000-0000-0000A60E0000}"/>
    <cellStyle name="쉼표 [0] 4 5 4 2" xfId="3810" xr:uid="{00000000-0005-0000-0000-0000A70E0000}"/>
    <cellStyle name="쉼표 [0] 4 5 4 2 2" xfId="3811" xr:uid="{00000000-0005-0000-0000-0000A80E0000}"/>
    <cellStyle name="쉼표 [0] 4 5 4 3" xfId="3812" xr:uid="{00000000-0005-0000-0000-0000A90E0000}"/>
    <cellStyle name="쉼표 [0] 4 5 5" xfId="3813" xr:uid="{00000000-0005-0000-0000-0000AA0E0000}"/>
    <cellStyle name="쉼표 [0] 4 5 5 2" xfId="3814" xr:uid="{00000000-0005-0000-0000-0000AB0E0000}"/>
    <cellStyle name="쉼표 [0] 4 5 6" xfId="3815" xr:uid="{00000000-0005-0000-0000-0000AC0E0000}"/>
    <cellStyle name="쉼표 [0] 4 6" xfId="3816" xr:uid="{00000000-0005-0000-0000-0000AD0E0000}"/>
    <cellStyle name="쉼표 [0] 4 6 2" xfId="3817" xr:uid="{00000000-0005-0000-0000-0000AE0E0000}"/>
    <cellStyle name="쉼표 [0] 4 6 2 2" xfId="3818" xr:uid="{00000000-0005-0000-0000-0000AF0E0000}"/>
    <cellStyle name="쉼표 [0] 4 6 2 2 2" xfId="3819" xr:uid="{00000000-0005-0000-0000-0000B00E0000}"/>
    <cellStyle name="쉼표 [0] 4 6 2 2 2 2" xfId="3820" xr:uid="{00000000-0005-0000-0000-0000B10E0000}"/>
    <cellStyle name="쉼표 [0] 4 6 2 2 3" xfId="3821" xr:uid="{00000000-0005-0000-0000-0000B20E0000}"/>
    <cellStyle name="쉼표 [0] 4 6 2 3" xfId="3822" xr:uid="{00000000-0005-0000-0000-0000B30E0000}"/>
    <cellStyle name="쉼표 [0] 4 6 2 3 2" xfId="3823" xr:uid="{00000000-0005-0000-0000-0000B40E0000}"/>
    <cellStyle name="쉼표 [0] 4 6 2 4" xfId="3824" xr:uid="{00000000-0005-0000-0000-0000B50E0000}"/>
    <cellStyle name="쉼표 [0] 4 6 3" xfId="3825" xr:uid="{00000000-0005-0000-0000-0000B60E0000}"/>
    <cellStyle name="쉼표 [0] 4 6 3 2" xfId="3826" xr:uid="{00000000-0005-0000-0000-0000B70E0000}"/>
    <cellStyle name="쉼표 [0] 4 6 3 2 2" xfId="3827" xr:uid="{00000000-0005-0000-0000-0000B80E0000}"/>
    <cellStyle name="쉼표 [0] 4 6 3 3" xfId="3828" xr:uid="{00000000-0005-0000-0000-0000B90E0000}"/>
    <cellStyle name="쉼표 [0] 4 6 4" xfId="3829" xr:uid="{00000000-0005-0000-0000-0000BA0E0000}"/>
    <cellStyle name="쉼표 [0] 4 6 4 2" xfId="3830" xr:uid="{00000000-0005-0000-0000-0000BB0E0000}"/>
    <cellStyle name="쉼표 [0] 4 6 5" xfId="3831" xr:uid="{00000000-0005-0000-0000-0000BC0E0000}"/>
    <cellStyle name="쉼표 [0] 4 7" xfId="3832" xr:uid="{00000000-0005-0000-0000-0000BD0E0000}"/>
    <cellStyle name="쉼표 [0] 4 7 2" xfId="3833" xr:uid="{00000000-0005-0000-0000-0000BE0E0000}"/>
    <cellStyle name="쉼표 [0] 4 7 2 2" xfId="3834" xr:uid="{00000000-0005-0000-0000-0000BF0E0000}"/>
    <cellStyle name="쉼표 [0] 4 7 2 2 2" xfId="3835" xr:uid="{00000000-0005-0000-0000-0000C00E0000}"/>
    <cellStyle name="쉼표 [0] 4 7 2 3" xfId="3836" xr:uid="{00000000-0005-0000-0000-0000C10E0000}"/>
    <cellStyle name="쉼표 [0] 4 7 3" xfId="3837" xr:uid="{00000000-0005-0000-0000-0000C20E0000}"/>
    <cellStyle name="쉼표 [0] 4 7 3 2" xfId="3838" xr:uid="{00000000-0005-0000-0000-0000C30E0000}"/>
    <cellStyle name="쉼표 [0] 4 7 4" xfId="3839" xr:uid="{00000000-0005-0000-0000-0000C40E0000}"/>
    <cellStyle name="쉼표 [0] 4 8" xfId="3840" xr:uid="{00000000-0005-0000-0000-0000C50E0000}"/>
    <cellStyle name="쉼표 [0] 4 8 2" xfId="3841" xr:uid="{00000000-0005-0000-0000-0000C60E0000}"/>
    <cellStyle name="쉼표 [0] 4 8 2 2" xfId="3842" xr:uid="{00000000-0005-0000-0000-0000C70E0000}"/>
    <cellStyle name="쉼표 [0] 4 8 3" xfId="3843" xr:uid="{00000000-0005-0000-0000-0000C80E0000}"/>
    <cellStyle name="쉼표 [0] 4 9" xfId="3844" xr:uid="{00000000-0005-0000-0000-0000C90E0000}"/>
    <cellStyle name="쉼표 [0] 4 9 2" xfId="3845" xr:uid="{00000000-0005-0000-0000-0000CA0E0000}"/>
    <cellStyle name="쉼표 [0] 5" xfId="67" xr:uid="{00000000-0005-0000-0000-0000CB0E0000}"/>
    <cellStyle name="쉼표 [0] 5 10" xfId="3846" xr:uid="{00000000-0005-0000-0000-0000CC0E0000}"/>
    <cellStyle name="쉼표 [0] 5 11" xfId="3847" xr:uid="{00000000-0005-0000-0000-0000CD0E0000}"/>
    <cellStyle name="쉼표 [0] 5 2" xfId="3848" xr:uid="{00000000-0005-0000-0000-0000CE0E0000}"/>
    <cellStyle name="쉼표 [0] 5 2 10" xfId="3849" xr:uid="{00000000-0005-0000-0000-0000CF0E0000}"/>
    <cellStyle name="쉼표 [0] 5 2 2" xfId="3850" xr:uid="{00000000-0005-0000-0000-0000D00E0000}"/>
    <cellStyle name="쉼표 [0] 5 2 2 2" xfId="3851" xr:uid="{00000000-0005-0000-0000-0000D10E0000}"/>
    <cellStyle name="쉼표 [0] 5 2 2 2 2" xfId="3852" xr:uid="{00000000-0005-0000-0000-0000D20E0000}"/>
    <cellStyle name="쉼표 [0] 5 2 2 2 2 2" xfId="3853" xr:uid="{00000000-0005-0000-0000-0000D30E0000}"/>
    <cellStyle name="쉼표 [0] 5 2 2 2 2 2 2" xfId="3854" xr:uid="{00000000-0005-0000-0000-0000D40E0000}"/>
    <cellStyle name="쉼표 [0] 5 2 2 2 2 2 2 2" xfId="3855" xr:uid="{00000000-0005-0000-0000-0000D50E0000}"/>
    <cellStyle name="쉼표 [0] 5 2 2 2 2 2 2 2 2" xfId="3856" xr:uid="{00000000-0005-0000-0000-0000D60E0000}"/>
    <cellStyle name="쉼표 [0] 5 2 2 2 2 2 2 2 2 2" xfId="3857" xr:uid="{00000000-0005-0000-0000-0000D70E0000}"/>
    <cellStyle name="쉼표 [0] 5 2 2 2 2 2 2 2 3" xfId="3858" xr:uid="{00000000-0005-0000-0000-0000D80E0000}"/>
    <cellStyle name="쉼표 [0] 5 2 2 2 2 2 2 3" xfId="3859" xr:uid="{00000000-0005-0000-0000-0000D90E0000}"/>
    <cellStyle name="쉼표 [0] 5 2 2 2 2 2 2 3 2" xfId="3860" xr:uid="{00000000-0005-0000-0000-0000DA0E0000}"/>
    <cellStyle name="쉼표 [0] 5 2 2 2 2 2 2 4" xfId="3861" xr:uid="{00000000-0005-0000-0000-0000DB0E0000}"/>
    <cellStyle name="쉼표 [0] 5 2 2 2 2 2 3" xfId="3862" xr:uid="{00000000-0005-0000-0000-0000DC0E0000}"/>
    <cellStyle name="쉼표 [0] 5 2 2 2 2 2 3 2" xfId="3863" xr:uid="{00000000-0005-0000-0000-0000DD0E0000}"/>
    <cellStyle name="쉼표 [0] 5 2 2 2 2 2 3 2 2" xfId="3864" xr:uid="{00000000-0005-0000-0000-0000DE0E0000}"/>
    <cellStyle name="쉼표 [0] 5 2 2 2 2 2 3 3" xfId="3865" xr:uid="{00000000-0005-0000-0000-0000DF0E0000}"/>
    <cellStyle name="쉼표 [0] 5 2 2 2 2 2 4" xfId="3866" xr:uid="{00000000-0005-0000-0000-0000E00E0000}"/>
    <cellStyle name="쉼표 [0] 5 2 2 2 2 2 4 2" xfId="3867" xr:uid="{00000000-0005-0000-0000-0000E10E0000}"/>
    <cellStyle name="쉼표 [0] 5 2 2 2 2 2 5" xfId="3868" xr:uid="{00000000-0005-0000-0000-0000E20E0000}"/>
    <cellStyle name="쉼표 [0] 5 2 2 2 2 3" xfId="3869" xr:uid="{00000000-0005-0000-0000-0000E30E0000}"/>
    <cellStyle name="쉼표 [0] 5 2 2 2 2 3 2" xfId="3870" xr:uid="{00000000-0005-0000-0000-0000E40E0000}"/>
    <cellStyle name="쉼표 [0] 5 2 2 2 2 3 2 2" xfId="3871" xr:uid="{00000000-0005-0000-0000-0000E50E0000}"/>
    <cellStyle name="쉼표 [0] 5 2 2 2 2 3 2 2 2" xfId="3872" xr:uid="{00000000-0005-0000-0000-0000E60E0000}"/>
    <cellStyle name="쉼표 [0] 5 2 2 2 2 3 2 3" xfId="3873" xr:uid="{00000000-0005-0000-0000-0000E70E0000}"/>
    <cellStyle name="쉼표 [0] 5 2 2 2 2 3 3" xfId="3874" xr:uid="{00000000-0005-0000-0000-0000E80E0000}"/>
    <cellStyle name="쉼표 [0] 5 2 2 2 2 3 3 2" xfId="3875" xr:uid="{00000000-0005-0000-0000-0000E90E0000}"/>
    <cellStyle name="쉼표 [0] 5 2 2 2 2 3 4" xfId="3876" xr:uid="{00000000-0005-0000-0000-0000EA0E0000}"/>
    <cellStyle name="쉼표 [0] 5 2 2 2 2 4" xfId="3877" xr:uid="{00000000-0005-0000-0000-0000EB0E0000}"/>
    <cellStyle name="쉼표 [0] 5 2 2 2 2 4 2" xfId="3878" xr:uid="{00000000-0005-0000-0000-0000EC0E0000}"/>
    <cellStyle name="쉼표 [0] 5 2 2 2 2 4 2 2" xfId="3879" xr:uid="{00000000-0005-0000-0000-0000ED0E0000}"/>
    <cellStyle name="쉼표 [0] 5 2 2 2 2 4 3" xfId="3880" xr:uid="{00000000-0005-0000-0000-0000EE0E0000}"/>
    <cellStyle name="쉼표 [0] 5 2 2 2 2 5" xfId="3881" xr:uid="{00000000-0005-0000-0000-0000EF0E0000}"/>
    <cellStyle name="쉼표 [0] 5 2 2 2 2 5 2" xfId="3882" xr:uid="{00000000-0005-0000-0000-0000F00E0000}"/>
    <cellStyle name="쉼표 [0] 5 2 2 2 2 6" xfId="3883" xr:uid="{00000000-0005-0000-0000-0000F10E0000}"/>
    <cellStyle name="쉼표 [0] 5 2 2 2 3" xfId="3884" xr:uid="{00000000-0005-0000-0000-0000F20E0000}"/>
    <cellStyle name="쉼표 [0] 5 2 2 2 3 2" xfId="3885" xr:uid="{00000000-0005-0000-0000-0000F30E0000}"/>
    <cellStyle name="쉼표 [0] 5 2 2 2 3 2 2" xfId="3886" xr:uid="{00000000-0005-0000-0000-0000F40E0000}"/>
    <cellStyle name="쉼표 [0] 5 2 2 2 3 2 2 2" xfId="3887" xr:uid="{00000000-0005-0000-0000-0000F50E0000}"/>
    <cellStyle name="쉼표 [0] 5 2 2 2 3 2 2 2 2" xfId="3888" xr:uid="{00000000-0005-0000-0000-0000F60E0000}"/>
    <cellStyle name="쉼표 [0] 5 2 2 2 3 2 2 3" xfId="3889" xr:uid="{00000000-0005-0000-0000-0000F70E0000}"/>
    <cellStyle name="쉼표 [0] 5 2 2 2 3 2 3" xfId="3890" xr:uid="{00000000-0005-0000-0000-0000F80E0000}"/>
    <cellStyle name="쉼표 [0] 5 2 2 2 3 2 3 2" xfId="3891" xr:uid="{00000000-0005-0000-0000-0000F90E0000}"/>
    <cellStyle name="쉼표 [0] 5 2 2 2 3 2 4" xfId="3892" xr:uid="{00000000-0005-0000-0000-0000FA0E0000}"/>
    <cellStyle name="쉼표 [0] 5 2 2 2 3 3" xfId="3893" xr:uid="{00000000-0005-0000-0000-0000FB0E0000}"/>
    <cellStyle name="쉼표 [0] 5 2 2 2 3 3 2" xfId="3894" xr:uid="{00000000-0005-0000-0000-0000FC0E0000}"/>
    <cellStyle name="쉼표 [0] 5 2 2 2 3 3 2 2" xfId="3895" xr:uid="{00000000-0005-0000-0000-0000FD0E0000}"/>
    <cellStyle name="쉼표 [0] 5 2 2 2 3 3 3" xfId="3896" xr:uid="{00000000-0005-0000-0000-0000FE0E0000}"/>
    <cellStyle name="쉼표 [0] 5 2 2 2 3 4" xfId="3897" xr:uid="{00000000-0005-0000-0000-0000FF0E0000}"/>
    <cellStyle name="쉼표 [0] 5 2 2 2 3 4 2" xfId="3898" xr:uid="{00000000-0005-0000-0000-0000000F0000}"/>
    <cellStyle name="쉼표 [0] 5 2 2 2 3 5" xfId="3899" xr:uid="{00000000-0005-0000-0000-0000010F0000}"/>
    <cellStyle name="쉼표 [0] 5 2 2 2 4" xfId="3900" xr:uid="{00000000-0005-0000-0000-0000020F0000}"/>
    <cellStyle name="쉼표 [0] 5 2 2 2 4 2" xfId="3901" xr:uid="{00000000-0005-0000-0000-0000030F0000}"/>
    <cellStyle name="쉼표 [0] 5 2 2 2 4 2 2" xfId="3902" xr:uid="{00000000-0005-0000-0000-0000040F0000}"/>
    <cellStyle name="쉼표 [0] 5 2 2 2 4 2 2 2" xfId="3903" xr:uid="{00000000-0005-0000-0000-0000050F0000}"/>
    <cellStyle name="쉼표 [0] 5 2 2 2 4 2 3" xfId="3904" xr:uid="{00000000-0005-0000-0000-0000060F0000}"/>
    <cellStyle name="쉼표 [0] 5 2 2 2 4 3" xfId="3905" xr:uid="{00000000-0005-0000-0000-0000070F0000}"/>
    <cellStyle name="쉼표 [0] 5 2 2 2 4 3 2" xfId="3906" xr:uid="{00000000-0005-0000-0000-0000080F0000}"/>
    <cellStyle name="쉼표 [0] 5 2 2 2 4 4" xfId="3907" xr:uid="{00000000-0005-0000-0000-0000090F0000}"/>
    <cellStyle name="쉼표 [0] 5 2 2 2 5" xfId="3908" xr:uid="{00000000-0005-0000-0000-00000A0F0000}"/>
    <cellStyle name="쉼표 [0] 5 2 2 2 5 2" xfId="3909" xr:uid="{00000000-0005-0000-0000-00000B0F0000}"/>
    <cellStyle name="쉼표 [0] 5 2 2 2 5 2 2" xfId="3910" xr:uid="{00000000-0005-0000-0000-00000C0F0000}"/>
    <cellStyle name="쉼표 [0] 5 2 2 2 5 3" xfId="3911" xr:uid="{00000000-0005-0000-0000-00000D0F0000}"/>
    <cellStyle name="쉼표 [0] 5 2 2 2 6" xfId="3912" xr:uid="{00000000-0005-0000-0000-00000E0F0000}"/>
    <cellStyle name="쉼표 [0] 5 2 2 2 6 2" xfId="3913" xr:uid="{00000000-0005-0000-0000-00000F0F0000}"/>
    <cellStyle name="쉼표 [0] 5 2 2 2 7" xfId="3914" xr:uid="{00000000-0005-0000-0000-0000100F0000}"/>
    <cellStyle name="쉼표 [0] 5 2 2 2 8" xfId="3915" xr:uid="{00000000-0005-0000-0000-0000110F0000}"/>
    <cellStyle name="쉼표 [0] 5 2 2 3" xfId="3916" xr:uid="{00000000-0005-0000-0000-0000120F0000}"/>
    <cellStyle name="쉼표 [0] 5 2 2 3 2" xfId="3917" xr:uid="{00000000-0005-0000-0000-0000130F0000}"/>
    <cellStyle name="쉼표 [0] 5 2 2 3 2 2" xfId="3918" xr:uid="{00000000-0005-0000-0000-0000140F0000}"/>
    <cellStyle name="쉼표 [0] 5 2 2 3 2 2 2" xfId="3919" xr:uid="{00000000-0005-0000-0000-0000150F0000}"/>
    <cellStyle name="쉼표 [0] 5 2 2 3 2 2 2 2" xfId="3920" xr:uid="{00000000-0005-0000-0000-0000160F0000}"/>
    <cellStyle name="쉼표 [0] 5 2 2 3 2 2 2 2 2" xfId="3921" xr:uid="{00000000-0005-0000-0000-0000170F0000}"/>
    <cellStyle name="쉼표 [0] 5 2 2 3 2 2 2 3" xfId="3922" xr:uid="{00000000-0005-0000-0000-0000180F0000}"/>
    <cellStyle name="쉼표 [0] 5 2 2 3 2 2 3" xfId="3923" xr:uid="{00000000-0005-0000-0000-0000190F0000}"/>
    <cellStyle name="쉼표 [0] 5 2 2 3 2 2 3 2" xfId="3924" xr:uid="{00000000-0005-0000-0000-00001A0F0000}"/>
    <cellStyle name="쉼표 [0] 5 2 2 3 2 2 4" xfId="3925" xr:uid="{00000000-0005-0000-0000-00001B0F0000}"/>
    <cellStyle name="쉼표 [0] 5 2 2 3 2 3" xfId="3926" xr:uid="{00000000-0005-0000-0000-00001C0F0000}"/>
    <cellStyle name="쉼표 [0] 5 2 2 3 2 3 2" xfId="3927" xr:uid="{00000000-0005-0000-0000-00001D0F0000}"/>
    <cellStyle name="쉼표 [0] 5 2 2 3 2 3 2 2" xfId="3928" xr:uid="{00000000-0005-0000-0000-00001E0F0000}"/>
    <cellStyle name="쉼표 [0] 5 2 2 3 2 3 3" xfId="3929" xr:uid="{00000000-0005-0000-0000-00001F0F0000}"/>
    <cellStyle name="쉼표 [0] 5 2 2 3 2 4" xfId="3930" xr:uid="{00000000-0005-0000-0000-0000200F0000}"/>
    <cellStyle name="쉼표 [0] 5 2 2 3 2 4 2" xfId="3931" xr:uid="{00000000-0005-0000-0000-0000210F0000}"/>
    <cellStyle name="쉼표 [0] 5 2 2 3 2 5" xfId="3932" xr:uid="{00000000-0005-0000-0000-0000220F0000}"/>
    <cellStyle name="쉼표 [0] 5 2 2 3 3" xfId="3933" xr:uid="{00000000-0005-0000-0000-0000230F0000}"/>
    <cellStyle name="쉼표 [0] 5 2 2 3 3 2" xfId="3934" xr:uid="{00000000-0005-0000-0000-0000240F0000}"/>
    <cellStyle name="쉼표 [0] 5 2 2 3 3 2 2" xfId="3935" xr:uid="{00000000-0005-0000-0000-0000250F0000}"/>
    <cellStyle name="쉼표 [0] 5 2 2 3 3 2 2 2" xfId="3936" xr:uid="{00000000-0005-0000-0000-0000260F0000}"/>
    <cellStyle name="쉼표 [0] 5 2 2 3 3 2 3" xfId="3937" xr:uid="{00000000-0005-0000-0000-0000270F0000}"/>
    <cellStyle name="쉼표 [0] 5 2 2 3 3 3" xfId="3938" xr:uid="{00000000-0005-0000-0000-0000280F0000}"/>
    <cellStyle name="쉼표 [0] 5 2 2 3 3 3 2" xfId="3939" xr:uid="{00000000-0005-0000-0000-0000290F0000}"/>
    <cellStyle name="쉼표 [0] 5 2 2 3 3 4" xfId="3940" xr:uid="{00000000-0005-0000-0000-00002A0F0000}"/>
    <cellStyle name="쉼표 [0] 5 2 2 3 4" xfId="3941" xr:uid="{00000000-0005-0000-0000-00002B0F0000}"/>
    <cellStyle name="쉼표 [0] 5 2 2 3 4 2" xfId="3942" xr:uid="{00000000-0005-0000-0000-00002C0F0000}"/>
    <cellStyle name="쉼표 [0] 5 2 2 3 4 2 2" xfId="3943" xr:uid="{00000000-0005-0000-0000-00002D0F0000}"/>
    <cellStyle name="쉼표 [0] 5 2 2 3 4 3" xfId="3944" xr:uid="{00000000-0005-0000-0000-00002E0F0000}"/>
    <cellStyle name="쉼표 [0] 5 2 2 3 5" xfId="3945" xr:uid="{00000000-0005-0000-0000-00002F0F0000}"/>
    <cellStyle name="쉼표 [0] 5 2 2 3 5 2" xfId="3946" xr:uid="{00000000-0005-0000-0000-0000300F0000}"/>
    <cellStyle name="쉼표 [0] 5 2 2 3 6" xfId="3947" xr:uid="{00000000-0005-0000-0000-0000310F0000}"/>
    <cellStyle name="쉼표 [0] 5 2 2 4" xfId="3948" xr:uid="{00000000-0005-0000-0000-0000320F0000}"/>
    <cellStyle name="쉼표 [0] 5 2 2 4 2" xfId="3949" xr:uid="{00000000-0005-0000-0000-0000330F0000}"/>
    <cellStyle name="쉼표 [0] 5 2 2 4 2 2" xfId="3950" xr:uid="{00000000-0005-0000-0000-0000340F0000}"/>
    <cellStyle name="쉼표 [0] 5 2 2 4 2 2 2" xfId="3951" xr:uid="{00000000-0005-0000-0000-0000350F0000}"/>
    <cellStyle name="쉼표 [0] 5 2 2 4 2 2 2 2" xfId="3952" xr:uid="{00000000-0005-0000-0000-0000360F0000}"/>
    <cellStyle name="쉼표 [0] 5 2 2 4 2 2 3" xfId="3953" xr:uid="{00000000-0005-0000-0000-0000370F0000}"/>
    <cellStyle name="쉼표 [0] 5 2 2 4 2 3" xfId="3954" xr:uid="{00000000-0005-0000-0000-0000380F0000}"/>
    <cellStyle name="쉼표 [0] 5 2 2 4 2 3 2" xfId="3955" xr:uid="{00000000-0005-0000-0000-0000390F0000}"/>
    <cellStyle name="쉼표 [0] 5 2 2 4 2 4" xfId="3956" xr:uid="{00000000-0005-0000-0000-00003A0F0000}"/>
    <cellStyle name="쉼표 [0] 5 2 2 4 3" xfId="3957" xr:uid="{00000000-0005-0000-0000-00003B0F0000}"/>
    <cellStyle name="쉼표 [0] 5 2 2 4 3 2" xfId="3958" xr:uid="{00000000-0005-0000-0000-00003C0F0000}"/>
    <cellStyle name="쉼표 [0] 5 2 2 4 3 2 2" xfId="3959" xr:uid="{00000000-0005-0000-0000-00003D0F0000}"/>
    <cellStyle name="쉼표 [0] 5 2 2 4 3 3" xfId="3960" xr:uid="{00000000-0005-0000-0000-00003E0F0000}"/>
    <cellStyle name="쉼표 [0] 5 2 2 4 4" xfId="3961" xr:uid="{00000000-0005-0000-0000-00003F0F0000}"/>
    <cellStyle name="쉼표 [0] 5 2 2 4 4 2" xfId="3962" xr:uid="{00000000-0005-0000-0000-0000400F0000}"/>
    <cellStyle name="쉼표 [0] 5 2 2 4 5" xfId="3963" xr:uid="{00000000-0005-0000-0000-0000410F0000}"/>
    <cellStyle name="쉼표 [0] 5 2 2 5" xfId="3964" xr:uid="{00000000-0005-0000-0000-0000420F0000}"/>
    <cellStyle name="쉼표 [0] 5 2 2 5 2" xfId="3965" xr:uid="{00000000-0005-0000-0000-0000430F0000}"/>
    <cellStyle name="쉼표 [0] 5 2 2 5 2 2" xfId="3966" xr:uid="{00000000-0005-0000-0000-0000440F0000}"/>
    <cellStyle name="쉼표 [0] 5 2 2 5 2 2 2" xfId="3967" xr:uid="{00000000-0005-0000-0000-0000450F0000}"/>
    <cellStyle name="쉼표 [0] 5 2 2 5 2 3" xfId="3968" xr:uid="{00000000-0005-0000-0000-0000460F0000}"/>
    <cellStyle name="쉼표 [0] 5 2 2 5 3" xfId="3969" xr:uid="{00000000-0005-0000-0000-0000470F0000}"/>
    <cellStyle name="쉼표 [0] 5 2 2 5 3 2" xfId="3970" xr:uid="{00000000-0005-0000-0000-0000480F0000}"/>
    <cellStyle name="쉼표 [0] 5 2 2 5 4" xfId="3971" xr:uid="{00000000-0005-0000-0000-0000490F0000}"/>
    <cellStyle name="쉼표 [0] 5 2 2 6" xfId="3972" xr:uid="{00000000-0005-0000-0000-00004A0F0000}"/>
    <cellStyle name="쉼표 [0] 5 2 2 6 2" xfId="3973" xr:uid="{00000000-0005-0000-0000-00004B0F0000}"/>
    <cellStyle name="쉼표 [0] 5 2 2 6 2 2" xfId="3974" xr:uid="{00000000-0005-0000-0000-00004C0F0000}"/>
    <cellStyle name="쉼표 [0] 5 2 2 6 3" xfId="3975" xr:uid="{00000000-0005-0000-0000-00004D0F0000}"/>
    <cellStyle name="쉼표 [0] 5 2 2 7" xfId="3976" xr:uid="{00000000-0005-0000-0000-00004E0F0000}"/>
    <cellStyle name="쉼표 [0] 5 2 2 7 2" xfId="3977" xr:uid="{00000000-0005-0000-0000-00004F0F0000}"/>
    <cellStyle name="쉼표 [0] 5 2 2 8" xfId="3978" xr:uid="{00000000-0005-0000-0000-0000500F0000}"/>
    <cellStyle name="쉼표 [0] 5 2 2 9" xfId="3979" xr:uid="{00000000-0005-0000-0000-0000510F0000}"/>
    <cellStyle name="쉼표 [0] 5 2 3" xfId="3980" xr:uid="{00000000-0005-0000-0000-0000520F0000}"/>
    <cellStyle name="쉼표 [0] 5 2 3 2" xfId="3981" xr:uid="{00000000-0005-0000-0000-0000530F0000}"/>
    <cellStyle name="쉼표 [0] 5 2 3 2 2" xfId="3982" xr:uid="{00000000-0005-0000-0000-0000540F0000}"/>
    <cellStyle name="쉼표 [0] 5 2 3 2 2 2" xfId="3983" xr:uid="{00000000-0005-0000-0000-0000550F0000}"/>
    <cellStyle name="쉼표 [0] 5 2 3 2 2 2 2" xfId="3984" xr:uid="{00000000-0005-0000-0000-0000560F0000}"/>
    <cellStyle name="쉼표 [0] 5 2 3 2 2 2 2 2" xfId="3985" xr:uid="{00000000-0005-0000-0000-0000570F0000}"/>
    <cellStyle name="쉼표 [0] 5 2 3 2 2 2 2 2 2" xfId="3986" xr:uid="{00000000-0005-0000-0000-0000580F0000}"/>
    <cellStyle name="쉼표 [0] 5 2 3 2 2 2 2 3" xfId="3987" xr:uid="{00000000-0005-0000-0000-0000590F0000}"/>
    <cellStyle name="쉼표 [0] 5 2 3 2 2 2 3" xfId="3988" xr:uid="{00000000-0005-0000-0000-00005A0F0000}"/>
    <cellStyle name="쉼표 [0] 5 2 3 2 2 2 3 2" xfId="3989" xr:uid="{00000000-0005-0000-0000-00005B0F0000}"/>
    <cellStyle name="쉼표 [0] 5 2 3 2 2 2 4" xfId="3990" xr:uid="{00000000-0005-0000-0000-00005C0F0000}"/>
    <cellStyle name="쉼표 [0] 5 2 3 2 2 3" xfId="3991" xr:uid="{00000000-0005-0000-0000-00005D0F0000}"/>
    <cellStyle name="쉼표 [0] 5 2 3 2 2 3 2" xfId="3992" xr:uid="{00000000-0005-0000-0000-00005E0F0000}"/>
    <cellStyle name="쉼표 [0] 5 2 3 2 2 3 2 2" xfId="3993" xr:uid="{00000000-0005-0000-0000-00005F0F0000}"/>
    <cellStyle name="쉼표 [0] 5 2 3 2 2 3 3" xfId="3994" xr:uid="{00000000-0005-0000-0000-0000600F0000}"/>
    <cellStyle name="쉼표 [0] 5 2 3 2 2 4" xfId="3995" xr:uid="{00000000-0005-0000-0000-0000610F0000}"/>
    <cellStyle name="쉼표 [0] 5 2 3 2 2 4 2" xfId="3996" xr:uid="{00000000-0005-0000-0000-0000620F0000}"/>
    <cellStyle name="쉼표 [0] 5 2 3 2 2 5" xfId="3997" xr:uid="{00000000-0005-0000-0000-0000630F0000}"/>
    <cellStyle name="쉼표 [0] 5 2 3 2 3" xfId="3998" xr:uid="{00000000-0005-0000-0000-0000640F0000}"/>
    <cellStyle name="쉼표 [0] 5 2 3 2 3 2" xfId="3999" xr:uid="{00000000-0005-0000-0000-0000650F0000}"/>
    <cellStyle name="쉼표 [0] 5 2 3 2 3 2 2" xfId="4000" xr:uid="{00000000-0005-0000-0000-0000660F0000}"/>
    <cellStyle name="쉼표 [0] 5 2 3 2 3 2 2 2" xfId="4001" xr:uid="{00000000-0005-0000-0000-0000670F0000}"/>
    <cellStyle name="쉼표 [0] 5 2 3 2 3 2 3" xfId="4002" xr:uid="{00000000-0005-0000-0000-0000680F0000}"/>
    <cellStyle name="쉼표 [0] 5 2 3 2 3 3" xfId="4003" xr:uid="{00000000-0005-0000-0000-0000690F0000}"/>
    <cellStyle name="쉼표 [0] 5 2 3 2 3 3 2" xfId="4004" xr:uid="{00000000-0005-0000-0000-00006A0F0000}"/>
    <cellStyle name="쉼표 [0] 5 2 3 2 3 4" xfId="4005" xr:uid="{00000000-0005-0000-0000-00006B0F0000}"/>
    <cellStyle name="쉼표 [0] 5 2 3 2 4" xfId="4006" xr:uid="{00000000-0005-0000-0000-00006C0F0000}"/>
    <cellStyle name="쉼표 [0] 5 2 3 2 4 2" xfId="4007" xr:uid="{00000000-0005-0000-0000-00006D0F0000}"/>
    <cellStyle name="쉼표 [0] 5 2 3 2 4 2 2" xfId="4008" xr:uid="{00000000-0005-0000-0000-00006E0F0000}"/>
    <cellStyle name="쉼표 [0] 5 2 3 2 4 3" xfId="4009" xr:uid="{00000000-0005-0000-0000-00006F0F0000}"/>
    <cellStyle name="쉼표 [0] 5 2 3 2 5" xfId="4010" xr:uid="{00000000-0005-0000-0000-0000700F0000}"/>
    <cellStyle name="쉼표 [0] 5 2 3 2 5 2" xfId="4011" xr:uid="{00000000-0005-0000-0000-0000710F0000}"/>
    <cellStyle name="쉼표 [0] 5 2 3 2 6" xfId="4012" xr:uid="{00000000-0005-0000-0000-0000720F0000}"/>
    <cellStyle name="쉼표 [0] 5 2 3 3" xfId="4013" xr:uid="{00000000-0005-0000-0000-0000730F0000}"/>
    <cellStyle name="쉼표 [0] 5 2 3 3 2" xfId="4014" xr:uid="{00000000-0005-0000-0000-0000740F0000}"/>
    <cellStyle name="쉼표 [0] 5 2 3 3 2 2" xfId="4015" xr:uid="{00000000-0005-0000-0000-0000750F0000}"/>
    <cellStyle name="쉼표 [0] 5 2 3 3 2 2 2" xfId="4016" xr:uid="{00000000-0005-0000-0000-0000760F0000}"/>
    <cellStyle name="쉼표 [0] 5 2 3 3 2 2 2 2" xfId="4017" xr:uid="{00000000-0005-0000-0000-0000770F0000}"/>
    <cellStyle name="쉼표 [0] 5 2 3 3 2 2 3" xfId="4018" xr:uid="{00000000-0005-0000-0000-0000780F0000}"/>
    <cellStyle name="쉼표 [0] 5 2 3 3 2 3" xfId="4019" xr:uid="{00000000-0005-0000-0000-0000790F0000}"/>
    <cellStyle name="쉼표 [0] 5 2 3 3 2 3 2" xfId="4020" xr:uid="{00000000-0005-0000-0000-00007A0F0000}"/>
    <cellStyle name="쉼표 [0] 5 2 3 3 2 4" xfId="4021" xr:uid="{00000000-0005-0000-0000-00007B0F0000}"/>
    <cellStyle name="쉼표 [0] 5 2 3 3 3" xfId="4022" xr:uid="{00000000-0005-0000-0000-00007C0F0000}"/>
    <cellStyle name="쉼표 [0] 5 2 3 3 3 2" xfId="4023" xr:uid="{00000000-0005-0000-0000-00007D0F0000}"/>
    <cellStyle name="쉼표 [0] 5 2 3 3 3 2 2" xfId="4024" xr:uid="{00000000-0005-0000-0000-00007E0F0000}"/>
    <cellStyle name="쉼표 [0] 5 2 3 3 3 3" xfId="4025" xr:uid="{00000000-0005-0000-0000-00007F0F0000}"/>
    <cellStyle name="쉼표 [0] 5 2 3 3 4" xfId="4026" xr:uid="{00000000-0005-0000-0000-0000800F0000}"/>
    <cellStyle name="쉼표 [0] 5 2 3 3 4 2" xfId="4027" xr:uid="{00000000-0005-0000-0000-0000810F0000}"/>
    <cellStyle name="쉼표 [0] 5 2 3 3 5" xfId="4028" xr:uid="{00000000-0005-0000-0000-0000820F0000}"/>
    <cellStyle name="쉼표 [0] 5 2 3 4" xfId="4029" xr:uid="{00000000-0005-0000-0000-0000830F0000}"/>
    <cellStyle name="쉼표 [0] 5 2 3 4 2" xfId="4030" xr:uid="{00000000-0005-0000-0000-0000840F0000}"/>
    <cellStyle name="쉼표 [0] 5 2 3 4 2 2" xfId="4031" xr:uid="{00000000-0005-0000-0000-0000850F0000}"/>
    <cellStyle name="쉼표 [0] 5 2 3 4 2 2 2" xfId="4032" xr:uid="{00000000-0005-0000-0000-0000860F0000}"/>
    <cellStyle name="쉼표 [0] 5 2 3 4 2 3" xfId="4033" xr:uid="{00000000-0005-0000-0000-0000870F0000}"/>
    <cellStyle name="쉼표 [0] 5 2 3 4 3" xfId="4034" xr:uid="{00000000-0005-0000-0000-0000880F0000}"/>
    <cellStyle name="쉼표 [0] 5 2 3 4 3 2" xfId="4035" xr:uid="{00000000-0005-0000-0000-0000890F0000}"/>
    <cellStyle name="쉼표 [0] 5 2 3 4 4" xfId="4036" xr:uid="{00000000-0005-0000-0000-00008A0F0000}"/>
    <cellStyle name="쉼표 [0] 5 2 3 5" xfId="4037" xr:uid="{00000000-0005-0000-0000-00008B0F0000}"/>
    <cellStyle name="쉼표 [0] 5 2 3 5 2" xfId="4038" xr:uid="{00000000-0005-0000-0000-00008C0F0000}"/>
    <cellStyle name="쉼표 [0] 5 2 3 5 2 2" xfId="4039" xr:uid="{00000000-0005-0000-0000-00008D0F0000}"/>
    <cellStyle name="쉼표 [0] 5 2 3 5 3" xfId="4040" xr:uid="{00000000-0005-0000-0000-00008E0F0000}"/>
    <cellStyle name="쉼표 [0] 5 2 3 6" xfId="4041" xr:uid="{00000000-0005-0000-0000-00008F0F0000}"/>
    <cellStyle name="쉼표 [0] 5 2 3 6 2" xfId="4042" xr:uid="{00000000-0005-0000-0000-0000900F0000}"/>
    <cellStyle name="쉼표 [0] 5 2 3 7" xfId="4043" xr:uid="{00000000-0005-0000-0000-0000910F0000}"/>
    <cellStyle name="쉼표 [0] 5 2 3 8" xfId="4044" xr:uid="{00000000-0005-0000-0000-0000920F0000}"/>
    <cellStyle name="쉼표 [0] 5 2 4" xfId="4045" xr:uid="{00000000-0005-0000-0000-0000930F0000}"/>
    <cellStyle name="쉼표 [0] 5 2 4 2" xfId="4046" xr:uid="{00000000-0005-0000-0000-0000940F0000}"/>
    <cellStyle name="쉼표 [0] 5 2 4 2 2" xfId="4047" xr:uid="{00000000-0005-0000-0000-0000950F0000}"/>
    <cellStyle name="쉼표 [0] 5 2 4 2 2 2" xfId="4048" xr:uid="{00000000-0005-0000-0000-0000960F0000}"/>
    <cellStyle name="쉼표 [0] 5 2 4 2 2 2 2" xfId="4049" xr:uid="{00000000-0005-0000-0000-0000970F0000}"/>
    <cellStyle name="쉼표 [0] 5 2 4 2 2 2 2 2" xfId="4050" xr:uid="{00000000-0005-0000-0000-0000980F0000}"/>
    <cellStyle name="쉼표 [0] 5 2 4 2 2 2 3" xfId="4051" xr:uid="{00000000-0005-0000-0000-0000990F0000}"/>
    <cellStyle name="쉼표 [0] 5 2 4 2 2 3" xfId="4052" xr:uid="{00000000-0005-0000-0000-00009A0F0000}"/>
    <cellStyle name="쉼표 [0] 5 2 4 2 2 3 2" xfId="4053" xr:uid="{00000000-0005-0000-0000-00009B0F0000}"/>
    <cellStyle name="쉼표 [0] 5 2 4 2 2 4" xfId="4054" xr:uid="{00000000-0005-0000-0000-00009C0F0000}"/>
    <cellStyle name="쉼표 [0] 5 2 4 2 3" xfId="4055" xr:uid="{00000000-0005-0000-0000-00009D0F0000}"/>
    <cellStyle name="쉼표 [0] 5 2 4 2 3 2" xfId="4056" xr:uid="{00000000-0005-0000-0000-00009E0F0000}"/>
    <cellStyle name="쉼표 [0] 5 2 4 2 3 2 2" xfId="4057" xr:uid="{00000000-0005-0000-0000-00009F0F0000}"/>
    <cellStyle name="쉼표 [0] 5 2 4 2 3 3" xfId="4058" xr:uid="{00000000-0005-0000-0000-0000A00F0000}"/>
    <cellStyle name="쉼표 [0] 5 2 4 2 4" xfId="4059" xr:uid="{00000000-0005-0000-0000-0000A10F0000}"/>
    <cellStyle name="쉼표 [0] 5 2 4 2 4 2" xfId="4060" xr:uid="{00000000-0005-0000-0000-0000A20F0000}"/>
    <cellStyle name="쉼표 [0] 5 2 4 2 5" xfId="4061" xr:uid="{00000000-0005-0000-0000-0000A30F0000}"/>
    <cellStyle name="쉼표 [0] 5 2 4 3" xfId="4062" xr:uid="{00000000-0005-0000-0000-0000A40F0000}"/>
    <cellStyle name="쉼표 [0] 5 2 4 3 2" xfId="4063" xr:uid="{00000000-0005-0000-0000-0000A50F0000}"/>
    <cellStyle name="쉼표 [0] 5 2 4 3 2 2" xfId="4064" xr:uid="{00000000-0005-0000-0000-0000A60F0000}"/>
    <cellStyle name="쉼표 [0] 5 2 4 3 2 2 2" xfId="4065" xr:uid="{00000000-0005-0000-0000-0000A70F0000}"/>
    <cellStyle name="쉼표 [0] 5 2 4 3 2 3" xfId="4066" xr:uid="{00000000-0005-0000-0000-0000A80F0000}"/>
    <cellStyle name="쉼표 [0] 5 2 4 3 3" xfId="4067" xr:uid="{00000000-0005-0000-0000-0000A90F0000}"/>
    <cellStyle name="쉼표 [0] 5 2 4 3 3 2" xfId="4068" xr:uid="{00000000-0005-0000-0000-0000AA0F0000}"/>
    <cellStyle name="쉼표 [0] 5 2 4 3 4" xfId="4069" xr:uid="{00000000-0005-0000-0000-0000AB0F0000}"/>
    <cellStyle name="쉼표 [0] 5 2 4 4" xfId="4070" xr:uid="{00000000-0005-0000-0000-0000AC0F0000}"/>
    <cellStyle name="쉼표 [0] 5 2 4 4 2" xfId="4071" xr:uid="{00000000-0005-0000-0000-0000AD0F0000}"/>
    <cellStyle name="쉼표 [0] 5 2 4 4 2 2" xfId="4072" xr:uid="{00000000-0005-0000-0000-0000AE0F0000}"/>
    <cellStyle name="쉼표 [0] 5 2 4 4 3" xfId="4073" xr:uid="{00000000-0005-0000-0000-0000AF0F0000}"/>
    <cellStyle name="쉼표 [0] 5 2 4 5" xfId="4074" xr:uid="{00000000-0005-0000-0000-0000B00F0000}"/>
    <cellStyle name="쉼표 [0] 5 2 4 5 2" xfId="4075" xr:uid="{00000000-0005-0000-0000-0000B10F0000}"/>
    <cellStyle name="쉼표 [0] 5 2 4 6" xfId="4076" xr:uid="{00000000-0005-0000-0000-0000B20F0000}"/>
    <cellStyle name="쉼표 [0] 5 2 5" xfId="4077" xr:uid="{00000000-0005-0000-0000-0000B30F0000}"/>
    <cellStyle name="쉼표 [0] 5 2 5 2" xfId="4078" xr:uid="{00000000-0005-0000-0000-0000B40F0000}"/>
    <cellStyle name="쉼표 [0] 5 2 5 2 2" xfId="4079" xr:uid="{00000000-0005-0000-0000-0000B50F0000}"/>
    <cellStyle name="쉼표 [0] 5 2 5 2 2 2" xfId="4080" xr:uid="{00000000-0005-0000-0000-0000B60F0000}"/>
    <cellStyle name="쉼표 [0] 5 2 5 2 2 2 2" xfId="4081" xr:uid="{00000000-0005-0000-0000-0000B70F0000}"/>
    <cellStyle name="쉼표 [0] 5 2 5 2 2 3" xfId="4082" xr:uid="{00000000-0005-0000-0000-0000B80F0000}"/>
    <cellStyle name="쉼표 [0] 5 2 5 2 3" xfId="4083" xr:uid="{00000000-0005-0000-0000-0000B90F0000}"/>
    <cellStyle name="쉼표 [0] 5 2 5 2 3 2" xfId="4084" xr:uid="{00000000-0005-0000-0000-0000BA0F0000}"/>
    <cellStyle name="쉼표 [0] 5 2 5 2 4" xfId="4085" xr:uid="{00000000-0005-0000-0000-0000BB0F0000}"/>
    <cellStyle name="쉼표 [0] 5 2 5 3" xfId="4086" xr:uid="{00000000-0005-0000-0000-0000BC0F0000}"/>
    <cellStyle name="쉼표 [0] 5 2 5 3 2" xfId="4087" xr:uid="{00000000-0005-0000-0000-0000BD0F0000}"/>
    <cellStyle name="쉼표 [0] 5 2 5 3 2 2" xfId="4088" xr:uid="{00000000-0005-0000-0000-0000BE0F0000}"/>
    <cellStyle name="쉼표 [0] 5 2 5 3 3" xfId="4089" xr:uid="{00000000-0005-0000-0000-0000BF0F0000}"/>
    <cellStyle name="쉼표 [0] 5 2 5 4" xfId="4090" xr:uid="{00000000-0005-0000-0000-0000C00F0000}"/>
    <cellStyle name="쉼표 [0] 5 2 5 4 2" xfId="4091" xr:uid="{00000000-0005-0000-0000-0000C10F0000}"/>
    <cellStyle name="쉼표 [0] 5 2 5 5" xfId="4092" xr:uid="{00000000-0005-0000-0000-0000C20F0000}"/>
    <cellStyle name="쉼표 [0] 5 2 6" xfId="4093" xr:uid="{00000000-0005-0000-0000-0000C30F0000}"/>
    <cellStyle name="쉼표 [0] 5 2 6 2" xfId="4094" xr:uid="{00000000-0005-0000-0000-0000C40F0000}"/>
    <cellStyle name="쉼표 [0] 5 2 6 2 2" xfId="4095" xr:uid="{00000000-0005-0000-0000-0000C50F0000}"/>
    <cellStyle name="쉼표 [0] 5 2 6 2 2 2" xfId="4096" xr:uid="{00000000-0005-0000-0000-0000C60F0000}"/>
    <cellStyle name="쉼표 [0] 5 2 6 2 3" xfId="4097" xr:uid="{00000000-0005-0000-0000-0000C70F0000}"/>
    <cellStyle name="쉼표 [0] 5 2 6 3" xfId="4098" xr:uid="{00000000-0005-0000-0000-0000C80F0000}"/>
    <cellStyle name="쉼표 [0] 5 2 6 3 2" xfId="4099" xr:uid="{00000000-0005-0000-0000-0000C90F0000}"/>
    <cellStyle name="쉼표 [0] 5 2 6 4" xfId="4100" xr:uid="{00000000-0005-0000-0000-0000CA0F0000}"/>
    <cellStyle name="쉼표 [0] 5 2 7" xfId="4101" xr:uid="{00000000-0005-0000-0000-0000CB0F0000}"/>
    <cellStyle name="쉼표 [0] 5 2 7 2" xfId="4102" xr:uid="{00000000-0005-0000-0000-0000CC0F0000}"/>
    <cellStyle name="쉼표 [0] 5 2 7 2 2" xfId="4103" xr:uid="{00000000-0005-0000-0000-0000CD0F0000}"/>
    <cellStyle name="쉼표 [0] 5 2 7 3" xfId="4104" xr:uid="{00000000-0005-0000-0000-0000CE0F0000}"/>
    <cellStyle name="쉼표 [0] 5 2 8" xfId="4105" xr:uid="{00000000-0005-0000-0000-0000CF0F0000}"/>
    <cellStyle name="쉼표 [0] 5 2 8 2" xfId="4106" xr:uid="{00000000-0005-0000-0000-0000D00F0000}"/>
    <cellStyle name="쉼표 [0] 5 2 9" xfId="4107" xr:uid="{00000000-0005-0000-0000-0000D10F0000}"/>
    <cellStyle name="쉼표 [0] 5 3" xfId="4108" xr:uid="{00000000-0005-0000-0000-0000D20F0000}"/>
    <cellStyle name="쉼표 [0] 5 3 2" xfId="4109" xr:uid="{00000000-0005-0000-0000-0000D30F0000}"/>
    <cellStyle name="쉼표 [0] 5 3 2 2" xfId="4110" xr:uid="{00000000-0005-0000-0000-0000D40F0000}"/>
    <cellStyle name="쉼표 [0] 5 3 2 2 2" xfId="4111" xr:uid="{00000000-0005-0000-0000-0000D50F0000}"/>
    <cellStyle name="쉼표 [0] 5 3 2 2 2 2" xfId="4112" xr:uid="{00000000-0005-0000-0000-0000D60F0000}"/>
    <cellStyle name="쉼표 [0] 5 3 2 2 2 2 2" xfId="4113" xr:uid="{00000000-0005-0000-0000-0000D70F0000}"/>
    <cellStyle name="쉼표 [0] 5 3 2 2 2 2 2 2" xfId="4114" xr:uid="{00000000-0005-0000-0000-0000D80F0000}"/>
    <cellStyle name="쉼표 [0] 5 3 2 2 2 2 2 2 2" xfId="4115" xr:uid="{00000000-0005-0000-0000-0000D90F0000}"/>
    <cellStyle name="쉼표 [0] 5 3 2 2 2 2 2 3" xfId="4116" xr:uid="{00000000-0005-0000-0000-0000DA0F0000}"/>
    <cellStyle name="쉼표 [0] 5 3 2 2 2 2 3" xfId="4117" xr:uid="{00000000-0005-0000-0000-0000DB0F0000}"/>
    <cellStyle name="쉼표 [0] 5 3 2 2 2 2 3 2" xfId="4118" xr:uid="{00000000-0005-0000-0000-0000DC0F0000}"/>
    <cellStyle name="쉼표 [0] 5 3 2 2 2 2 4" xfId="4119" xr:uid="{00000000-0005-0000-0000-0000DD0F0000}"/>
    <cellStyle name="쉼표 [0] 5 3 2 2 2 3" xfId="4120" xr:uid="{00000000-0005-0000-0000-0000DE0F0000}"/>
    <cellStyle name="쉼표 [0] 5 3 2 2 2 3 2" xfId="4121" xr:uid="{00000000-0005-0000-0000-0000DF0F0000}"/>
    <cellStyle name="쉼표 [0] 5 3 2 2 2 3 2 2" xfId="4122" xr:uid="{00000000-0005-0000-0000-0000E00F0000}"/>
    <cellStyle name="쉼표 [0] 5 3 2 2 2 3 3" xfId="4123" xr:uid="{00000000-0005-0000-0000-0000E10F0000}"/>
    <cellStyle name="쉼표 [0] 5 3 2 2 2 4" xfId="4124" xr:uid="{00000000-0005-0000-0000-0000E20F0000}"/>
    <cellStyle name="쉼표 [0] 5 3 2 2 2 4 2" xfId="4125" xr:uid="{00000000-0005-0000-0000-0000E30F0000}"/>
    <cellStyle name="쉼표 [0] 5 3 2 2 2 5" xfId="4126" xr:uid="{00000000-0005-0000-0000-0000E40F0000}"/>
    <cellStyle name="쉼표 [0] 5 3 2 2 3" xfId="4127" xr:uid="{00000000-0005-0000-0000-0000E50F0000}"/>
    <cellStyle name="쉼표 [0] 5 3 2 2 3 2" xfId="4128" xr:uid="{00000000-0005-0000-0000-0000E60F0000}"/>
    <cellStyle name="쉼표 [0] 5 3 2 2 3 2 2" xfId="4129" xr:uid="{00000000-0005-0000-0000-0000E70F0000}"/>
    <cellStyle name="쉼표 [0] 5 3 2 2 3 2 2 2" xfId="4130" xr:uid="{00000000-0005-0000-0000-0000E80F0000}"/>
    <cellStyle name="쉼표 [0] 5 3 2 2 3 2 3" xfId="4131" xr:uid="{00000000-0005-0000-0000-0000E90F0000}"/>
    <cellStyle name="쉼표 [0] 5 3 2 2 3 3" xfId="4132" xr:uid="{00000000-0005-0000-0000-0000EA0F0000}"/>
    <cellStyle name="쉼표 [0] 5 3 2 2 3 3 2" xfId="4133" xr:uid="{00000000-0005-0000-0000-0000EB0F0000}"/>
    <cellStyle name="쉼표 [0] 5 3 2 2 3 4" xfId="4134" xr:uid="{00000000-0005-0000-0000-0000EC0F0000}"/>
    <cellStyle name="쉼표 [0] 5 3 2 2 4" xfId="4135" xr:uid="{00000000-0005-0000-0000-0000ED0F0000}"/>
    <cellStyle name="쉼표 [0] 5 3 2 2 4 2" xfId="4136" xr:uid="{00000000-0005-0000-0000-0000EE0F0000}"/>
    <cellStyle name="쉼표 [0] 5 3 2 2 4 2 2" xfId="4137" xr:uid="{00000000-0005-0000-0000-0000EF0F0000}"/>
    <cellStyle name="쉼표 [0] 5 3 2 2 4 3" xfId="4138" xr:uid="{00000000-0005-0000-0000-0000F00F0000}"/>
    <cellStyle name="쉼표 [0] 5 3 2 2 5" xfId="4139" xr:uid="{00000000-0005-0000-0000-0000F10F0000}"/>
    <cellStyle name="쉼표 [0] 5 3 2 2 5 2" xfId="4140" xr:uid="{00000000-0005-0000-0000-0000F20F0000}"/>
    <cellStyle name="쉼표 [0] 5 3 2 2 6" xfId="4141" xr:uid="{00000000-0005-0000-0000-0000F30F0000}"/>
    <cellStyle name="쉼표 [0] 5 3 2 3" xfId="4142" xr:uid="{00000000-0005-0000-0000-0000F40F0000}"/>
    <cellStyle name="쉼표 [0] 5 3 2 3 2" xfId="4143" xr:uid="{00000000-0005-0000-0000-0000F50F0000}"/>
    <cellStyle name="쉼표 [0] 5 3 2 3 2 2" xfId="4144" xr:uid="{00000000-0005-0000-0000-0000F60F0000}"/>
    <cellStyle name="쉼표 [0] 5 3 2 3 2 2 2" xfId="4145" xr:uid="{00000000-0005-0000-0000-0000F70F0000}"/>
    <cellStyle name="쉼표 [0] 5 3 2 3 2 2 2 2" xfId="4146" xr:uid="{00000000-0005-0000-0000-0000F80F0000}"/>
    <cellStyle name="쉼표 [0] 5 3 2 3 2 2 3" xfId="4147" xr:uid="{00000000-0005-0000-0000-0000F90F0000}"/>
    <cellStyle name="쉼표 [0] 5 3 2 3 2 3" xfId="4148" xr:uid="{00000000-0005-0000-0000-0000FA0F0000}"/>
    <cellStyle name="쉼표 [0] 5 3 2 3 2 3 2" xfId="4149" xr:uid="{00000000-0005-0000-0000-0000FB0F0000}"/>
    <cellStyle name="쉼표 [0] 5 3 2 3 2 4" xfId="4150" xr:uid="{00000000-0005-0000-0000-0000FC0F0000}"/>
    <cellStyle name="쉼표 [0] 5 3 2 3 3" xfId="4151" xr:uid="{00000000-0005-0000-0000-0000FD0F0000}"/>
    <cellStyle name="쉼표 [0] 5 3 2 3 3 2" xfId="4152" xr:uid="{00000000-0005-0000-0000-0000FE0F0000}"/>
    <cellStyle name="쉼표 [0] 5 3 2 3 3 2 2" xfId="4153" xr:uid="{00000000-0005-0000-0000-0000FF0F0000}"/>
    <cellStyle name="쉼표 [0] 5 3 2 3 3 3" xfId="4154" xr:uid="{00000000-0005-0000-0000-000000100000}"/>
    <cellStyle name="쉼표 [0] 5 3 2 3 4" xfId="4155" xr:uid="{00000000-0005-0000-0000-000001100000}"/>
    <cellStyle name="쉼표 [0] 5 3 2 3 4 2" xfId="4156" xr:uid="{00000000-0005-0000-0000-000002100000}"/>
    <cellStyle name="쉼표 [0] 5 3 2 3 5" xfId="4157" xr:uid="{00000000-0005-0000-0000-000003100000}"/>
    <cellStyle name="쉼표 [0] 5 3 2 4" xfId="4158" xr:uid="{00000000-0005-0000-0000-000004100000}"/>
    <cellStyle name="쉼표 [0] 5 3 2 4 2" xfId="4159" xr:uid="{00000000-0005-0000-0000-000005100000}"/>
    <cellStyle name="쉼표 [0] 5 3 2 4 2 2" xfId="4160" xr:uid="{00000000-0005-0000-0000-000006100000}"/>
    <cellStyle name="쉼표 [0] 5 3 2 4 2 2 2" xfId="4161" xr:uid="{00000000-0005-0000-0000-000007100000}"/>
    <cellStyle name="쉼표 [0] 5 3 2 4 2 3" xfId="4162" xr:uid="{00000000-0005-0000-0000-000008100000}"/>
    <cellStyle name="쉼표 [0] 5 3 2 4 3" xfId="4163" xr:uid="{00000000-0005-0000-0000-000009100000}"/>
    <cellStyle name="쉼표 [0] 5 3 2 4 3 2" xfId="4164" xr:uid="{00000000-0005-0000-0000-00000A100000}"/>
    <cellStyle name="쉼표 [0] 5 3 2 4 4" xfId="4165" xr:uid="{00000000-0005-0000-0000-00000B100000}"/>
    <cellStyle name="쉼표 [0] 5 3 2 5" xfId="4166" xr:uid="{00000000-0005-0000-0000-00000C100000}"/>
    <cellStyle name="쉼표 [0] 5 3 2 5 2" xfId="4167" xr:uid="{00000000-0005-0000-0000-00000D100000}"/>
    <cellStyle name="쉼표 [0] 5 3 2 5 2 2" xfId="4168" xr:uid="{00000000-0005-0000-0000-00000E100000}"/>
    <cellStyle name="쉼표 [0] 5 3 2 5 3" xfId="4169" xr:uid="{00000000-0005-0000-0000-00000F100000}"/>
    <cellStyle name="쉼표 [0] 5 3 2 6" xfId="4170" xr:uid="{00000000-0005-0000-0000-000010100000}"/>
    <cellStyle name="쉼표 [0] 5 3 2 6 2" xfId="4171" xr:uid="{00000000-0005-0000-0000-000011100000}"/>
    <cellStyle name="쉼표 [0] 5 3 2 7" xfId="4172" xr:uid="{00000000-0005-0000-0000-000012100000}"/>
    <cellStyle name="쉼표 [0] 5 3 2 8" xfId="4173" xr:uid="{00000000-0005-0000-0000-000013100000}"/>
    <cellStyle name="쉼표 [0] 5 3 3" xfId="4174" xr:uid="{00000000-0005-0000-0000-000014100000}"/>
    <cellStyle name="쉼표 [0] 5 3 3 2" xfId="4175" xr:uid="{00000000-0005-0000-0000-000015100000}"/>
    <cellStyle name="쉼표 [0] 5 3 3 2 2" xfId="4176" xr:uid="{00000000-0005-0000-0000-000016100000}"/>
    <cellStyle name="쉼표 [0] 5 3 3 2 2 2" xfId="4177" xr:uid="{00000000-0005-0000-0000-000017100000}"/>
    <cellStyle name="쉼표 [0] 5 3 3 2 2 2 2" xfId="4178" xr:uid="{00000000-0005-0000-0000-000018100000}"/>
    <cellStyle name="쉼표 [0] 5 3 3 2 2 2 2 2" xfId="4179" xr:uid="{00000000-0005-0000-0000-000019100000}"/>
    <cellStyle name="쉼표 [0] 5 3 3 2 2 2 3" xfId="4180" xr:uid="{00000000-0005-0000-0000-00001A100000}"/>
    <cellStyle name="쉼표 [0] 5 3 3 2 2 3" xfId="4181" xr:uid="{00000000-0005-0000-0000-00001B100000}"/>
    <cellStyle name="쉼표 [0] 5 3 3 2 2 3 2" xfId="4182" xr:uid="{00000000-0005-0000-0000-00001C100000}"/>
    <cellStyle name="쉼표 [0] 5 3 3 2 2 4" xfId="4183" xr:uid="{00000000-0005-0000-0000-00001D100000}"/>
    <cellStyle name="쉼표 [0] 5 3 3 2 3" xfId="4184" xr:uid="{00000000-0005-0000-0000-00001E100000}"/>
    <cellStyle name="쉼표 [0] 5 3 3 2 3 2" xfId="4185" xr:uid="{00000000-0005-0000-0000-00001F100000}"/>
    <cellStyle name="쉼표 [0] 5 3 3 2 3 2 2" xfId="4186" xr:uid="{00000000-0005-0000-0000-000020100000}"/>
    <cellStyle name="쉼표 [0] 5 3 3 2 3 3" xfId="4187" xr:uid="{00000000-0005-0000-0000-000021100000}"/>
    <cellStyle name="쉼표 [0] 5 3 3 2 4" xfId="4188" xr:uid="{00000000-0005-0000-0000-000022100000}"/>
    <cellStyle name="쉼표 [0] 5 3 3 2 4 2" xfId="4189" xr:uid="{00000000-0005-0000-0000-000023100000}"/>
    <cellStyle name="쉼표 [0] 5 3 3 2 5" xfId="4190" xr:uid="{00000000-0005-0000-0000-000024100000}"/>
    <cellStyle name="쉼표 [0] 5 3 3 3" xfId="4191" xr:uid="{00000000-0005-0000-0000-000025100000}"/>
    <cellStyle name="쉼표 [0] 5 3 3 3 2" xfId="4192" xr:uid="{00000000-0005-0000-0000-000026100000}"/>
    <cellStyle name="쉼표 [0] 5 3 3 3 2 2" xfId="4193" xr:uid="{00000000-0005-0000-0000-000027100000}"/>
    <cellStyle name="쉼표 [0] 5 3 3 3 2 2 2" xfId="4194" xr:uid="{00000000-0005-0000-0000-000028100000}"/>
    <cellStyle name="쉼표 [0] 5 3 3 3 2 3" xfId="4195" xr:uid="{00000000-0005-0000-0000-000029100000}"/>
    <cellStyle name="쉼표 [0] 5 3 3 3 3" xfId="4196" xr:uid="{00000000-0005-0000-0000-00002A100000}"/>
    <cellStyle name="쉼표 [0] 5 3 3 3 3 2" xfId="4197" xr:uid="{00000000-0005-0000-0000-00002B100000}"/>
    <cellStyle name="쉼표 [0] 5 3 3 3 4" xfId="4198" xr:uid="{00000000-0005-0000-0000-00002C100000}"/>
    <cellStyle name="쉼표 [0] 5 3 3 4" xfId="4199" xr:uid="{00000000-0005-0000-0000-00002D100000}"/>
    <cellStyle name="쉼표 [0] 5 3 3 4 2" xfId="4200" xr:uid="{00000000-0005-0000-0000-00002E100000}"/>
    <cellStyle name="쉼표 [0] 5 3 3 4 2 2" xfId="4201" xr:uid="{00000000-0005-0000-0000-00002F100000}"/>
    <cellStyle name="쉼표 [0] 5 3 3 4 3" xfId="4202" xr:uid="{00000000-0005-0000-0000-000030100000}"/>
    <cellStyle name="쉼표 [0] 5 3 3 5" xfId="4203" xr:uid="{00000000-0005-0000-0000-000031100000}"/>
    <cellStyle name="쉼표 [0] 5 3 3 5 2" xfId="4204" xr:uid="{00000000-0005-0000-0000-000032100000}"/>
    <cellStyle name="쉼표 [0] 5 3 3 6" xfId="4205" xr:uid="{00000000-0005-0000-0000-000033100000}"/>
    <cellStyle name="쉼표 [0] 5 3 4" xfId="4206" xr:uid="{00000000-0005-0000-0000-000034100000}"/>
    <cellStyle name="쉼표 [0] 5 3 4 2" xfId="4207" xr:uid="{00000000-0005-0000-0000-000035100000}"/>
    <cellStyle name="쉼표 [0] 5 3 4 2 2" xfId="4208" xr:uid="{00000000-0005-0000-0000-000036100000}"/>
    <cellStyle name="쉼표 [0] 5 3 4 2 2 2" xfId="4209" xr:uid="{00000000-0005-0000-0000-000037100000}"/>
    <cellStyle name="쉼표 [0] 5 3 4 2 2 2 2" xfId="4210" xr:uid="{00000000-0005-0000-0000-000038100000}"/>
    <cellStyle name="쉼표 [0] 5 3 4 2 2 3" xfId="4211" xr:uid="{00000000-0005-0000-0000-000039100000}"/>
    <cellStyle name="쉼표 [0] 5 3 4 2 3" xfId="4212" xr:uid="{00000000-0005-0000-0000-00003A100000}"/>
    <cellStyle name="쉼표 [0] 5 3 4 2 3 2" xfId="4213" xr:uid="{00000000-0005-0000-0000-00003B100000}"/>
    <cellStyle name="쉼표 [0] 5 3 4 2 4" xfId="4214" xr:uid="{00000000-0005-0000-0000-00003C100000}"/>
    <cellStyle name="쉼표 [0] 5 3 4 3" xfId="4215" xr:uid="{00000000-0005-0000-0000-00003D100000}"/>
    <cellStyle name="쉼표 [0] 5 3 4 3 2" xfId="4216" xr:uid="{00000000-0005-0000-0000-00003E100000}"/>
    <cellStyle name="쉼표 [0] 5 3 4 3 2 2" xfId="4217" xr:uid="{00000000-0005-0000-0000-00003F100000}"/>
    <cellStyle name="쉼표 [0] 5 3 4 3 3" xfId="4218" xr:uid="{00000000-0005-0000-0000-000040100000}"/>
    <cellStyle name="쉼표 [0] 5 3 4 4" xfId="4219" xr:uid="{00000000-0005-0000-0000-000041100000}"/>
    <cellStyle name="쉼표 [0] 5 3 4 4 2" xfId="4220" xr:uid="{00000000-0005-0000-0000-000042100000}"/>
    <cellStyle name="쉼표 [0] 5 3 4 5" xfId="4221" xr:uid="{00000000-0005-0000-0000-000043100000}"/>
    <cellStyle name="쉼표 [0] 5 3 5" xfId="4222" xr:uid="{00000000-0005-0000-0000-000044100000}"/>
    <cellStyle name="쉼표 [0] 5 3 5 2" xfId="4223" xr:uid="{00000000-0005-0000-0000-000045100000}"/>
    <cellStyle name="쉼표 [0] 5 3 5 2 2" xfId="4224" xr:uid="{00000000-0005-0000-0000-000046100000}"/>
    <cellStyle name="쉼표 [0] 5 3 5 2 2 2" xfId="4225" xr:uid="{00000000-0005-0000-0000-000047100000}"/>
    <cellStyle name="쉼표 [0] 5 3 5 2 3" xfId="4226" xr:uid="{00000000-0005-0000-0000-000048100000}"/>
    <cellStyle name="쉼표 [0] 5 3 5 3" xfId="4227" xr:uid="{00000000-0005-0000-0000-000049100000}"/>
    <cellStyle name="쉼표 [0] 5 3 5 3 2" xfId="4228" xr:uid="{00000000-0005-0000-0000-00004A100000}"/>
    <cellStyle name="쉼표 [0] 5 3 5 4" xfId="4229" xr:uid="{00000000-0005-0000-0000-00004B100000}"/>
    <cellStyle name="쉼표 [0] 5 3 6" xfId="4230" xr:uid="{00000000-0005-0000-0000-00004C100000}"/>
    <cellStyle name="쉼표 [0] 5 3 6 2" xfId="4231" xr:uid="{00000000-0005-0000-0000-00004D100000}"/>
    <cellStyle name="쉼표 [0] 5 3 6 2 2" xfId="4232" xr:uid="{00000000-0005-0000-0000-00004E100000}"/>
    <cellStyle name="쉼표 [0] 5 3 6 3" xfId="4233" xr:uid="{00000000-0005-0000-0000-00004F100000}"/>
    <cellStyle name="쉼표 [0] 5 3 7" xfId="4234" xr:uid="{00000000-0005-0000-0000-000050100000}"/>
    <cellStyle name="쉼표 [0] 5 3 7 2" xfId="4235" xr:uid="{00000000-0005-0000-0000-000051100000}"/>
    <cellStyle name="쉼표 [0] 5 3 8" xfId="4236" xr:uid="{00000000-0005-0000-0000-000052100000}"/>
    <cellStyle name="쉼표 [0] 5 3 9" xfId="4237" xr:uid="{00000000-0005-0000-0000-000053100000}"/>
    <cellStyle name="쉼표 [0] 5 4" xfId="4238" xr:uid="{00000000-0005-0000-0000-000054100000}"/>
    <cellStyle name="쉼표 [0] 5 4 2" xfId="4239" xr:uid="{00000000-0005-0000-0000-000055100000}"/>
    <cellStyle name="쉼표 [0] 5 4 2 2" xfId="4240" xr:uid="{00000000-0005-0000-0000-000056100000}"/>
    <cellStyle name="쉼표 [0] 5 4 2 2 2" xfId="4241" xr:uid="{00000000-0005-0000-0000-000057100000}"/>
    <cellStyle name="쉼표 [0] 5 4 2 2 2 2" xfId="4242" xr:uid="{00000000-0005-0000-0000-000058100000}"/>
    <cellStyle name="쉼표 [0] 5 4 2 2 2 2 2" xfId="4243" xr:uid="{00000000-0005-0000-0000-000059100000}"/>
    <cellStyle name="쉼표 [0] 5 4 2 2 2 2 2 2" xfId="4244" xr:uid="{00000000-0005-0000-0000-00005A100000}"/>
    <cellStyle name="쉼표 [0] 5 4 2 2 2 2 3" xfId="4245" xr:uid="{00000000-0005-0000-0000-00005B100000}"/>
    <cellStyle name="쉼표 [0] 5 4 2 2 2 3" xfId="4246" xr:uid="{00000000-0005-0000-0000-00005C100000}"/>
    <cellStyle name="쉼표 [0] 5 4 2 2 2 3 2" xfId="4247" xr:uid="{00000000-0005-0000-0000-00005D100000}"/>
    <cellStyle name="쉼표 [0] 5 4 2 2 2 4" xfId="4248" xr:uid="{00000000-0005-0000-0000-00005E100000}"/>
    <cellStyle name="쉼표 [0] 5 4 2 2 3" xfId="4249" xr:uid="{00000000-0005-0000-0000-00005F100000}"/>
    <cellStyle name="쉼표 [0] 5 4 2 2 3 2" xfId="4250" xr:uid="{00000000-0005-0000-0000-000060100000}"/>
    <cellStyle name="쉼표 [0] 5 4 2 2 3 2 2" xfId="4251" xr:uid="{00000000-0005-0000-0000-000061100000}"/>
    <cellStyle name="쉼표 [0] 5 4 2 2 3 3" xfId="4252" xr:uid="{00000000-0005-0000-0000-000062100000}"/>
    <cellStyle name="쉼표 [0] 5 4 2 2 4" xfId="4253" xr:uid="{00000000-0005-0000-0000-000063100000}"/>
    <cellStyle name="쉼표 [0] 5 4 2 2 4 2" xfId="4254" xr:uid="{00000000-0005-0000-0000-000064100000}"/>
    <cellStyle name="쉼표 [0] 5 4 2 2 5" xfId="4255" xr:uid="{00000000-0005-0000-0000-000065100000}"/>
    <cellStyle name="쉼표 [0] 5 4 2 3" xfId="4256" xr:uid="{00000000-0005-0000-0000-000066100000}"/>
    <cellStyle name="쉼표 [0] 5 4 2 3 2" xfId="4257" xr:uid="{00000000-0005-0000-0000-000067100000}"/>
    <cellStyle name="쉼표 [0] 5 4 2 3 2 2" xfId="4258" xr:uid="{00000000-0005-0000-0000-000068100000}"/>
    <cellStyle name="쉼표 [0] 5 4 2 3 2 2 2" xfId="4259" xr:uid="{00000000-0005-0000-0000-000069100000}"/>
    <cellStyle name="쉼표 [0] 5 4 2 3 2 3" xfId="4260" xr:uid="{00000000-0005-0000-0000-00006A100000}"/>
    <cellStyle name="쉼표 [0] 5 4 2 3 3" xfId="4261" xr:uid="{00000000-0005-0000-0000-00006B100000}"/>
    <cellStyle name="쉼표 [0] 5 4 2 3 3 2" xfId="4262" xr:uid="{00000000-0005-0000-0000-00006C100000}"/>
    <cellStyle name="쉼표 [0] 5 4 2 3 4" xfId="4263" xr:uid="{00000000-0005-0000-0000-00006D100000}"/>
    <cellStyle name="쉼표 [0] 5 4 2 4" xfId="4264" xr:uid="{00000000-0005-0000-0000-00006E100000}"/>
    <cellStyle name="쉼표 [0] 5 4 2 4 2" xfId="4265" xr:uid="{00000000-0005-0000-0000-00006F100000}"/>
    <cellStyle name="쉼표 [0] 5 4 2 4 2 2" xfId="4266" xr:uid="{00000000-0005-0000-0000-000070100000}"/>
    <cellStyle name="쉼표 [0] 5 4 2 4 3" xfId="4267" xr:uid="{00000000-0005-0000-0000-000071100000}"/>
    <cellStyle name="쉼표 [0] 5 4 2 5" xfId="4268" xr:uid="{00000000-0005-0000-0000-000072100000}"/>
    <cellStyle name="쉼표 [0] 5 4 2 5 2" xfId="4269" xr:uid="{00000000-0005-0000-0000-000073100000}"/>
    <cellStyle name="쉼표 [0] 5 4 2 6" xfId="4270" xr:uid="{00000000-0005-0000-0000-000074100000}"/>
    <cellStyle name="쉼표 [0] 5 4 3" xfId="4271" xr:uid="{00000000-0005-0000-0000-000075100000}"/>
    <cellStyle name="쉼표 [0] 5 4 3 2" xfId="4272" xr:uid="{00000000-0005-0000-0000-000076100000}"/>
    <cellStyle name="쉼표 [0] 5 4 3 2 2" xfId="4273" xr:uid="{00000000-0005-0000-0000-000077100000}"/>
    <cellStyle name="쉼표 [0] 5 4 3 2 2 2" xfId="4274" xr:uid="{00000000-0005-0000-0000-000078100000}"/>
    <cellStyle name="쉼표 [0] 5 4 3 2 2 2 2" xfId="4275" xr:uid="{00000000-0005-0000-0000-000079100000}"/>
    <cellStyle name="쉼표 [0] 5 4 3 2 2 3" xfId="4276" xr:uid="{00000000-0005-0000-0000-00007A100000}"/>
    <cellStyle name="쉼표 [0] 5 4 3 2 3" xfId="4277" xr:uid="{00000000-0005-0000-0000-00007B100000}"/>
    <cellStyle name="쉼표 [0] 5 4 3 2 3 2" xfId="4278" xr:uid="{00000000-0005-0000-0000-00007C100000}"/>
    <cellStyle name="쉼표 [0] 5 4 3 2 4" xfId="4279" xr:uid="{00000000-0005-0000-0000-00007D100000}"/>
    <cellStyle name="쉼표 [0] 5 4 3 3" xfId="4280" xr:uid="{00000000-0005-0000-0000-00007E100000}"/>
    <cellStyle name="쉼표 [0] 5 4 3 3 2" xfId="4281" xr:uid="{00000000-0005-0000-0000-00007F100000}"/>
    <cellStyle name="쉼표 [0] 5 4 3 3 2 2" xfId="4282" xr:uid="{00000000-0005-0000-0000-000080100000}"/>
    <cellStyle name="쉼표 [0] 5 4 3 3 3" xfId="4283" xr:uid="{00000000-0005-0000-0000-000081100000}"/>
    <cellStyle name="쉼표 [0] 5 4 3 4" xfId="4284" xr:uid="{00000000-0005-0000-0000-000082100000}"/>
    <cellStyle name="쉼표 [0] 5 4 3 4 2" xfId="4285" xr:uid="{00000000-0005-0000-0000-000083100000}"/>
    <cellStyle name="쉼표 [0] 5 4 3 5" xfId="4286" xr:uid="{00000000-0005-0000-0000-000084100000}"/>
    <cellStyle name="쉼표 [0] 5 4 4" xfId="4287" xr:uid="{00000000-0005-0000-0000-000085100000}"/>
    <cellStyle name="쉼표 [0] 5 4 4 2" xfId="4288" xr:uid="{00000000-0005-0000-0000-000086100000}"/>
    <cellStyle name="쉼표 [0] 5 4 4 2 2" xfId="4289" xr:uid="{00000000-0005-0000-0000-000087100000}"/>
    <cellStyle name="쉼표 [0] 5 4 4 2 2 2" xfId="4290" xr:uid="{00000000-0005-0000-0000-000088100000}"/>
    <cellStyle name="쉼표 [0] 5 4 4 2 3" xfId="4291" xr:uid="{00000000-0005-0000-0000-000089100000}"/>
    <cellStyle name="쉼표 [0] 5 4 4 3" xfId="4292" xr:uid="{00000000-0005-0000-0000-00008A100000}"/>
    <cellStyle name="쉼표 [0] 5 4 4 3 2" xfId="4293" xr:uid="{00000000-0005-0000-0000-00008B100000}"/>
    <cellStyle name="쉼표 [0] 5 4 4 4" xfId="4294" xr:uid="{00000000-0005-0000-0000-00008C100000}"/>
    <cellStyle name="쉼표 [0] 5 4 5" xfId="4295" xr:uid="{00000000-0005-0000-0000-00008D100000}"/>
    <cellStyle name="쉼표 [0] 5 4 5 2" xfId="4296" xr:uid="{00000000-0005-0000-0000-00008E100000}"/>
    <cellStyle name="쉼표 [0] 5 4 5 2 2" xfId="4297" xr:uid="{00000000-0005-0000-0000-00008F100000}"/>
    <cellStyle name="쉼표 [0] 5 4 5 3" xfId="4298" xr:uid="{00000000-0005-0000-0000-000090100000}"/>
    <cellStyle name="쉼표 [0] 5 4 6" xfId="4299" xr:uid="{00000000-0005-0000-0000-000091100000}"/>
    <cellStyle name="쉼표 [0] 5 4 6 2" xfId="4300" xr:uid="{00000000-0005-0000-0000-000092100000}"/>
    <cellStyle name="쉼표 [0] 5 4 7" xfId="4301" xr:uid="{00000000-0005-0000-0000-000093100000}"/>
    <cellStyle name="쉼표 [0] 5 4 8" xfId="4302" xr:uid="{00000000-0005-0000-0000-000094100000}"/>
    <cellStyle name="쉼표 [0] 5 5" xfId="4303" xr:uid="{00000000-0005-0000-0000-000095100000}"/>
    <cellStyle name="쉼표 [0] 5 5 2" xfId="4304" xr:uid="{00000000-0005-0000-0000-000096100000}"/>
    <cellStyle name="쉼표 [0] 5 5 2 2" xfId="4305" xr:uid="{00000000-0005-0000-0000-000097100000}"/>
    <cellStyle name="쉼표 [0] 5 5 2 2 2" xfId="4306" xr:uid="{00000000-0005-0000-0000-000098100000}"/>
    <cellStyle name="쉼표 [0] 5 5 2 2 2 2" xfId="4307" xr:uid="{00000000-0005-0000-0000-000099100000}"/>
    <cellStyle name="쉼표 [0] 5 5 2 2 2 2 2" xfId="4308" xr:uid="{00000000-0005-0000-0000-00009A100000}"/>
    <cellStyle name="쉼표 [0] 5 5 2 2 2 3" xfId="4309" xr:uid="{00000000-0005-0000-0000-00009B100000}"/>
    <cellStyle name="쉼표 [0] 5 5 2 2 3" xfId="4310" xr:uid="{00000000-0005-0000-0000-00009C100000}"/>
    <cellStyle name="쉼표 [0] 5 5 2 2 3 2" xfId="4311" xr:uid="{00000000-0005-0000-0000-00009D100000}"/>
    <cellStyle name="쉼표 [0] 5 5 2 2 4" xfId="4312" xr:uid="{00000000-0005-0000-0000-00009E100000}"/>
    <cellStyle name="쉼표 [0] 5 5 2 3" xfId="4313" xr:uid="{00000000-0005-0000-0000-00009F100000}"/>
    <cellStyle name="쉼표 [0] 5 5 2 3 2" xfId="4314" xr:uid="{00000000-0005-0000-0000-0000A0100000}"/>
    <cellStyle name="쉼표 [0] 5 5 2 3 2 2" xfId="4315" xr:uid="{00000000-0005-0000-0000-0000A1100000}"/>
    <cellStyle name="쉼표 [0] 5 5 2 3 3" xfId="4316" xr:uid="{00000000-0005-0000-0000-0000A2100000}"/>
    <cellStyle name="쉼표 [0] 5 5 2 4" xfId="4317" xr:uid="{00000000-0005-0000-0000-0000A3100000}"/>
    <cellStyle name="쉼표 [0] 5 5 2 4 2" xfId="4318" xr:uid="{00000000-0005-0000-0000-0000A4100000}"/>
    <cellStyle name="쉼표 [0] 5 5 2 5" xfId="4319" xr:uid="{00000000-0005-0000-0000-0000A5100000}"/>
    <cellStyle name="쉼표 [0] 5 5 3" xfId="4320" xr:uid="{00000000-0005-0000-0000-0000A6100000}"/>
    <cellStyle name="쉼표 [0] 5 5 3 2" xfId="4321" xr:uid="{00000000-0005-0000-0000-0000A7100000}"/>
    <cellStyle name="쉼표 [0] 5 5 3 2 2" xfId="4322" xr:uid="{00000000-0005-0000-0000-0000A8100000}"/>
    <cellStyle name="쉼표 [0] 5 5 3 2 2 2" xfId="4323" xr:uid="{00000000-0005-0000-0000-0000A9100000}"/>
    <cellStyle name="쉼표 [0] 5 5 3 2 3" xfId="4324" xr:uid="{00000000-0005-0000-0000-0000AA100000}"/>
    <cellStyle name="쉼표 [0] 5 5 3 3" xfId="4325" xr:uid="{00000000-0005-0000-0000-0000AB100000}"/>
    <cellStyle name="쉼표 [0] 5 5 3 3 2" xfId="4326" xr:uid="{00000000-0005-0000-0000-0000AC100000}"/>
    <cellStyle name="쉼표 [0] 5 5 3 4" xfId="4327" xr:uid="{00000000-0005-0000-0000-0000AD100000}"/>
    <cellStyle name="쉼표 [0] 5 5 4" xfId="4328" xr:uid="{00000000-0005-0000-0000-0000AE100000}"/>
    <cellStyle name="쉼표 [0] 5 5 4 2" xfId="4329" xr:uid="{00000000-0005-0000-0000-0000AF100000}"/>
    <cellStyle name="쉼표 [0] 5 5 4 2 2" xfId="4330" xr:uid="{00000000-0005-0000-0000-0000B0100000}"/>
    <cellStyle name="쉼표 [0] 5 5 4 3" xfId="4331" xr:uid="{00000000-0005-0000-0000-0000B1100000}"/>
    <cellStyle name="쉼표 [0] 5 5 5" xfId="4332" xr:uid="{00000000-0005-0000-0000-0000B2100000}"/>
    <cellStyle name="쉼표 [0] 5 5 5 2" xfId="4333" xr:uid="{00000000-0005-0000-0000-0000B3100000}"/>
    <cellStyle name="쉼표 [0] 5 5 6" xfId="4334" xr:uid="{00000000-0005-0000-0000-0000B4100000}"/>
    <cellStyle name="쉼표 [0] 5 6" xfId="4335" xr:uid="{00000000-0005-0000-0000-0000B5100000}"/>
    <cellStyle name="쉼표 [0] 5 6 2" xfId="4336" xr:uid="{00000000-0005-0000-0000-0000B6100000}"/>
    <cellStyle name="쉼표 [0] 5 6 2 2" xfId="4337" xr:uid="{00000000-0005-0000-0000-0000B7100000}"/>
    <cellStyle name="쉼표 [0] 5 6 2 2 2" xfId="4338" xr:uid="{00000000-0005-0000-0000-0000B8100000}"/>
    <cellStyle name="쉼표 [0] 5 6 2 2 2 2" xfId="4339" xr:uid="{00000000-0005-0000-0000-0000B9100000}"/>
    <cellStyle name="쉼표 [0] 5 6 2 2 3" xfId="4340" xr:uid="{00000000-0005-0000-0000-0000BA100000}"/>
    <cellStyle name="쉼표 [0] 5 6 2 3" xfId="4341" xr:uid="{00000000-0005-0000-0000-0000BB100000}"/>
    <cellStyle name="쉼표 [0] 5 6 2 3 2" xfId="4342" xr:uid="{00000000-0005-0000-0000-0000BC100000}"/>
    <cellStyle name="쉼표 [0] 5 6 2 4" xfId="4343" xr:uid="{00000000-0005-0000-0000-0000BD100000}"/>
    <cellStyle name="쉼표 [0] 5 6 3" xfId="4344" xr:uid="{00000000-0005-0000-0000-0000BE100000}"/>
    <cellStyle name="쉼표 [0] 5 6 3 2" xfId="4345" xr:uid="{00000000-0005-0000-0000-0000BF100000}"/>
    <cellStyle name="쉼표 [0] 5 6 3 2 2" xfId="4346" xr:uid="{00000000-0005-0000-0000-0000C0100000}"/>
    <cellStyle name="쉼표 [0] 5 6 3 3" xfId="4347" xr:uid="{00000000-0005-0000-0000-0000C1100000}"/>
    <cellStyle name="쉼표 [0] 5 6 4" xfId="4348" xr:uid="{00000000-0005-0000-0000-0000C2100000}"/>
    <cellStyle name="쉼표 [0] 5 6 4 2" xfId="4349" xr:uid="{00000000-0005-0000-0000-0000C3100000}"/>
    <cellStyle name="쉼표 [0] 5 6 5" xfId="4350" xr:uid="{00000000-0005-0000-0000-0000C4100000}"/>
    <cellStyle name="쉼표 [0] 5 7" xfId="4351" xr:uid="{00000000-0005-0000-0000-0000C5100000}"/>
    <cellStyle name="쉼표 [0] 5 7 2" xfId="4352" xr:uid="{00000000-0005-0000-0000-0000C6100000}"/>
    <cellStyle name="쉼표 [0] 5 7 2 2" xfId="4353" xr:uid="{00000000-0005-0000-0000-0000C7100000}"/>
    <cellStyle name="쉼표 [0] 5 7 2 2 2" xfId="4354" xr:uid="{00000000-0005-0000-0000-0000C8100000}"/>
    <cellStyle name="쉼표 [0] 5 7 2 3" xfId="4355" xr:uid="{00000000-0005-0000-0000-0000C9100000}"/>
    <cellStyle name="쉼표 [0] 5 7 3" xfId="4356" xr:uid="{00000000-0005-0000-0000-0000CA100000}"/>
    <cellStyle name="쉼표 [0] 5 7 3 2" xfId="4357" xr:uid="{00000000-0005-0000-0000-0000CB100000}"/>
    <cellStyle name="쉼표 [0] 5 7 4" xfId="4358" xr:uid="{00000000-0005-0000-0000-0000CC100000}"/>
    <cellStyle name="쉼표 [0] 5 8" xfId="4359" xr:uid="{00000000-0005-0000-0000-0000CD100000}"/>
    <cellStyle name="쉼표 [0] 5 8 2" xfId="4360" xr:uid="{00000000-0005-0000-0000-0000CE100000}"/>
    <cellStyle name="쉼표 [0] 5 8 2 2" xfId="4361" xr:uid="{00000000-0005-0000-0000-0000CF100000}"/>
    <cellStyle name="쉼표 [0] 5 8 3" xfId="4362" xr:uid="{00000000-0005-0000-0000-0000D0100000}"/>
    <cellStyle name="쉼표 [0] 5 9" xfId="4363" xr:uid="{00000000-0005-0000-0000-0000D1100000}"/>
    <cellStyle name="쉼표 [0] 5 9 2" xfId="4364" xr:uid="{00000000-0005-0000-0000-0000D2100000}"/>
    <cellStyle name="쉼표 [0] 6" xfId="4365" xr:uid="{00000000-0005-0000-0000-0000D3100000}"/>
    <cellStyle name="쉼표 [0] 6 10" xfId="4366" xr:uid="{00000000-0005-0000-0000-0000D4100000}"/>
    <cellStyle name="쉼표 [0] 6 11" xfId="4367" xr:uid="{00000000-0005-0000-0000-0000D5100000}"/>
    <cellStyle name="쉼표 [0] 6 13" xfId="4368" xr:uid="{00000000-0005-0000-0000-0000D6100000}"/>
    <cellStyle name="쉼표 [0] 6 2" xfId="4369" xr:uid="{00000000-0005-0000-0000-0000D7100000}"/>
    <cellStyle name="쉼표 [0] 6 2 10" xfId="4370" xr:uid="{00000000-0005-0000-0000-0000D8100000}"/>
    <cellStyle name="쉼표 [0] 6 2 2" xfId="4371" xr:uid="{00000000-0005-0000-0000-0000D9100000}"/>
    <cellStyle name="쉼표 [0] 6 2 2 2" xfId="4372" xr:uid="{00000000-0005-0000-0000-0000DA100000}"/>
    <cellStyle name="쉼표 [0] 6 2 2 2 2" xfId="4373" xr:uid="{00000000-0005-0000-0000-0000DB100000}"/>
    <cellStyle name="쉼표 [0] 6 2 2 2 2 2" xfId="4374" xr:uid="{00000000-0005-0000-0000-0000DC100000}"/>
    <cellStyle name="쉼표 [0] 6 2 2 2 2 2 2" xfId="4375" xr:uid="{00000000-0005-0000-0000-0000DD100000}"/>
    <cellStyle name="쉼표 [0] 6 2 2 2 2 2 2 2" xfId="4376" xr:uid="{00000000-0005-0000-0000-0000DE100000}"/>
    <cellStyle name="쉼표 [0] 6 2 2 2 2 2 2 2 2" xfId="4377" xr:uid="{00000000-0005-0000-0000-0000DF100000}"/>
    <cellStyle name="쉼표 [0] 6 2 2 2 2 2 2 2 2 2" xfId="4378" xr:uid="{00000000-0005-0000-0000-0000E0100000}"/>
    <cellStyle name="쉼표 [0] 6 2 2 2 2 2 2 2 3" xfId="4379" xr:uid="{00000000-0005-0000-0000-0000E1100000}"/>
    <cellStyle name="쉼표 [0] 6 2 2 2 2 2 2 3" xfId="4380" xr:uid="{00000000-0005-0000-0000-0000E2100000}"/>
    <cellStyle name="쉼표 [0] 6 2 2 2 2 2 2 3 2" xfId="4381" xr:uid="{00000000-0005-0000-0000-0000E3100000}"/>
    <cellStyle name="쉼표 [0] 6 2 2 2 2 2 2 4" xfId="4382" xr:uid="{00000000-0005-0000-0000-0000E4100000}"/>
    <cellStyle name="쉼표 [0] 6 2 2 2 2 2 3" xfId="4383" xr:uid="{00000000-0005-0000-0000-0000E5100000}"/>
    <cellStyle name="쉼표 [0] 6 2 2 2 2 2 3 2" xfId="4384" xr:uid="{00000000-0005-0000-0000-0000E6100000}"/>
    <cellStyle name="쉼표 [0] 6 2 2 2 2 2 3 2 2" xfId="4385" xr:uid="{00000000-0005-0000-0000-0000E7100000}"/>
    <cellStyle name="쉼표 [0] 6 2 2 2 2 2 3 3" xfId="4386" xr:uid="{00000000-0005-0000-0000-0000E8100000}"/>
    <cellStyle name="쉼표 [0] 6 2 2 2 2 2 4" xfId="4387" xr:uid="{00000000-0005-0000-0000-0000E9100000}"/>
    <cellStyle name="쉼표 [0] 6 2 2 2 2 2 4 2" xfId="4388" xr:uid="{00000000-0005-0000-0000-0000EA100000}"/>
    <cellStyle name="쉼표 [0] 6 2 2 2 2 2 5" xfId="4389" xr:uid="{00000000-0005-0000-0000-0000EB100000}"/>
    <cellStyle name="쉼표 [0] 6 2 2 2 2 3" xfId="4390" xr:uid="{00000000-0005-0000-0000-0000EC100000}"/>
    <cellStyle name="쉼표 [0] 6 2 2 2 2 3 2" xfId="4391" xr:uid="{00000000-0005-0000-0000-0000ED100000}"/>
    <cellStyle name="쉼표 [0] 6 2 2 2 2 3 2 2" xfId="4392" xr:uid="{00000000-0005-0000-0000-0000EE100000}"/>
    <cellStyle name="쉼표 [0] 6 2 2 2 2 3 2 2 2" xfId="4393" xr:uid="{00000000-0005-0000-0000-0000EF100000}"/>
    <cellStyle name="쉼표 [0] 6 2 2 2 2 3 2 3" xfId="4394" xr:uid="{00000000-0005-0000-0000-0000F0100000}"/>
    <cellStyle name="쉼표 [0] 6 2 2 2 2 3 3" xfId="4395" xr:uid="{00000000-0005-0000-0000-0000F1100000}"/>
    <cellStyle name="쉼표 [0] 6 2 2 2 2 3 3 2" xfId="4396" xr:uid="{00000000-0005-0000-0000-0000F2100000}"/>
    <cellStyle name="쉼표 [0] 6 2 2 2 2 3 4" xfId="4397" xr:uid="{00000000-0005-0000-0000-0000F3100000}"/>
    <cellStyle name="쉼표 [0] 6 2 2 2 2 4" xfId="4398" xr:uid="{00000000-0005-0000-0000-0000F4100000}"/>
    <cellStyle name="쉼표 [0] 6 2 2 2 2 4 2" xfId="4399" xr:uid="{00000000-0005-0000-0000-0000F5100000}"/>
    <cellStyle name="쉼표 [0] 6 2 2 2 2 4 2 2" xfId="4400" xr:uid="{00000000-0005-0000-0000-0000F6100000}"/>
    <cellStyle name="쉼표 [0] 6 2 2 2 2 4 3" xfId="4401" xr:uid="{00000000-0005-0000-0000-0000F7100000}"/>
    <cellStyle name="쉼표 [0] 6 2 2 2 2 5" xfId="4402" xr:uid="{00000000-0005-0000-0000-0000F8100000}"/>
    <cellStyle name="쉼표 [0] 6 2 2 2 2 5 2" xfId="4403" xr:uid="{00000000-0005-0000-0000-0000F9100000}"/>
    <cellStyle name="쉼표 [0] 6 2 2 2 2 6" xfId="4404" xr:uid="{00000000-0005-0000-0000-0000FA100000}"/>
    <cellStyle name="쉼표 [0] 6 2 2 2 3" xfId="4405" xr:uid="{00000000-0005-0000-0000-0000FB100000}"/>
    <cellStyle name="쉼표 [0] 6 2 2 2 3 2" xfId="4406" xr:uid="{00000000-0005-0000-0000-0000FC100000}"/>
    <cellStyle name="쉼표 [0] 6 2 2 2 3 2 2" xfId="4407" xr:uid="{00000000-0005-0000-0000-0000FD100000}"/>
    <cellStyle name="쉼표 [0] 6 2 2 2 3 2 2 2" xfId="4408" xr:uid="{00000000-0005-0000-0000-0000FE100000}"/>
    <cellStyle name="쉼표 [0] 6 2 2 2 3 2 2 2 2" xfId="4409" xr:uid="{00000000-0005-0000-0000-0000FF100000}"/>
    <cellStyle name="쉼표 [0] 6 2 2 2 3 2 2 3" xfId="4410" xr:uid="{00000000-0005-0000-0000-000000110000}"/>
    <cellStyle name="쉼표 [0] 6 2 2 2 3 2 3" xfId="4411" xr:uid="{00000000-0005-0000-0000-000001110000}"/>
    <cellStyle name="쉼표 [0] 6 2 2 2 3 2 3 2" xfId="4412" xr:uid="{00000000-0005-0000-0000-000002110000}"/>
    <cellStyle name="쉼표 [0] 6 2 2 2 3 2 4" xfId="4413" xr:uid="{00000000-0005-0000-0000-000003110000}"/>
    <cellStyle name="쉼표 [0] 6 2 2 2 3 3" xfId="4414" xr:uid="{00000000-0005-0000-0000-000004110000}"/>
    <cellStyle name="쉼표 [0] 6 2 2 2 3 3 2" xfId="4415" xr:uid="{00000000-0005-0000-0000-000005110000}"/>
    <cellStyle name="쉼표 [0] 6 2 2 2 3 3 2 2" xfId="4416" xr:uid="{00000000-0005-0000-0000-000006110000}"/>
    <cellStyle name="쉼표 [0] 6 2 2 2 3 3 3" xfId="4417" xr:uid="{00000000-0005-0000-0000-000007110000}"/>
    <cellStyle name="쉼표 [0] 6 2 2 2 3 4" xfId="4418" xr:uid="{00000000-0005-0000-0000-000008110000}"/>
    <cellStyle name="쉼표 [0] 6 2 2 2 3 4 2" xfId="4419" xr:uid="{00000000-0005-0000-0000-000009110000}"/>
    <cellStyle name="쉼표 [0] 6 2 2 2 3 5" xfId="4420" xr:uid="{00000000-0005-0000-0000-00000A110000}"/>
    <cellStyle name="쉼표 [0] 6 2 2 2 4" xfId="4421" xr:uid="{00000000-0005-0000-0000-00000B110000}"/>
    <cellStyle name="쉼표 [0] 6 2 2 2 4 2" xfId="4422" xr:uid="{00000000-0005-0000-0000-00000C110000}"/>
    <cellStyle name="쉼표 [0] 6 2 2 2 4 2 2" xfId="4423" xr:uid="{00000000-0005-0000-0000-00000D110000}"/>
    <cellStyle name="쉼표 [0] 6 2 2 2 4 2 2 2" xfId="4424" xr:uid="{00000000-0005-0000-0000-00000E110000}"/>
    <cellStyle name="쉼표 [0] 6 2 2 2 4 2 3" xfId="4425" xr:uid="{00000000-0005-0000-0000-00000F110000}"/>
    <cellStyle name="쉼표 [0] 6 2 2 2 4 3" xfId="4426" xr:uid="{00000000-0005-0000-0000-000010110000}"/>
    <cellStyle name="쉼표 [0] 6 2 2 2 4 3 2" xfId="4427" xr:uid="{00000000-0005-0000-0000-000011110000}"/>
    <cellStyle name="쉼표 [0] 6 2 2 2 4 4" xfId="4428" xr:uid="{00000000-0005-0000-0000-000012110000}"/>
    <cellStyle name="쉼표 [0] 6 2 2 2 5" xfId="4429" xr:uid="{00000000-0005-0000-0000-000013110000}"/>
    <cellStyle name="쉼표 [0] 6 2 2 2 5 2" xfId="4430" xr:uid="{00000000-0005-0000-0000-000014110000}"/>
    <cellStyle name="쉼표 [0] 6 2 2 2 5 2 2" xfId="4431" xr:uid="{00000000-0005-0000-0000-000015110000}"/>
    <cellStyle name="쉼표 [0] 6 2 2 2 5 3" xfId="4432" xr:uid="{00000000-0005-0000-0000-000016110000}"/>
    <cellStyle name="쉼표 [0] 6 2 2 2 6" xfId="4433" xr:uid="{00000000-0005-0000-0000-000017110000}"/>
    <cellStyle name="쉼표 [0] 6 2 2 2 6 2" xfId="4434" xr:uid="{00000000-0005-0000-0000-000018110000}"/>
    <cellStyle name="쉼표 [0] 6 2 2 2 7" xfId="4435" xr:uid="{00000000-0005-0000-0000-000019110000}"/>
    <cellStyle name="쉼표 [0] 6 2 2 2 8" xfId="4436" xr:uid="{00000000-0005-0000-0000-00001A110000}"/>
    <cellStyle name="쉼표 [0] 6 2 2 3" xfId="4437" xr:uid="{00000000-0005-0000-0000-00001B110000}"/>
    <cellStyle name="쉼표 [0] 6 2 2 3 2" xfId="4438" xr:uid="{00000000-0005-0000-0000-00001C110000}"/>
    <cellStyle name="쉼표 [0] 6 2 2 3 2 2" xfId="4439" xr:uid="{00000000-0005-0000-0000-00001D110000}"/>
    <cellStyle name="쉼표 [0] 6 2 2 3 2 2 2" xfId="4440" xr:uid="{00000000-0005-0000-0000-00001E110000}"/>
    <cellStyle name="쉼표 [0] 6 2 2 3 2 2 2 2" xfId="4441" xr:uid="{00000000-0005-0000-0000-00001F110000}"/>
    <cellStyle name="쉼표 [0] 6 2 2 3 2 2 2 2 2" xfId="4442" xr:uid="{00000000-0005-0000-0000-000020110000}"/>
    <cellStyle name="쉼표 [0] 6 2 2 3 2 2 2 3" xfId="4443" xr:uid="{00000000-0005-0000-0000-000021110000}"/>
    <cellStyle name="쉼표 [0] 6 2 2 3 2 2 3" xfId="4444" xr:uid="{00000000-0005-0000-0000-000022110000}"/>
    <cellStyle name="쉼표 [0] 6 2 2 3 2 2 3 2" xfId="4445" xr:uid="{00000000-0005-0000-0000-000023110000}"/>
    <cellStyle name="쉼표 [0] 6 2 2 3 2 2 4" xfId="4446" xr:uid="{00000000-0005-0000-0000-000024110000}"/>
    <cellStyle name="쉼표 [0] 6 2 2 3 2 3" xfId="4447" xr:uid="{00000000-0005-0000-0000-000025110000}"/>
    <cellStyle name="쉼표 [0] 6 2 2 3 2 3 2" xfId="4448" xr:uid="{00000000-0005-0000-0000-000026110000}"/>
    <cellStyle name="쉼표 [0] 6 2 2 3 2 3 2 2" xfId="4449" xr:uid="{00000000-0005-0000-0000-000027110000}"/>
    <cellStyle name="쉼표 [0] 6 2 2 3 2 3 3" xfId="4450" xr:uid="{00000000-0005-0000-0000-000028110000}"/>
    <cellStyle name="쉼표 [0] 6 2 2 3 2 4" xfId="4451" xr:uid="{00000000-0005-0000-0000-000029110000}"/>
    <cellStyle name="쉼표 [0] 6 2 2 3 2 4 2" xfId="4452" xr:uid="{00000000-0005-0000-0000-00002A110000}"/>
    <cellStyle name="쉼표 [0] 6 2 2 3 2 5" xfId="4453" xr:uid="{00000000-0005-0000-0000-00002B110000}"/>
    <cellStyle name="쉼표 [0] 6 2 2 3 3" xfId="4454" xr:uid="{00000000-0005-0000-0000-00002C110000}"/>
    <cellStyle name="쉼표 [0] 6 2 2 3 3 2" xfId="4455" xr:uid="{00000000-0005-0000-0000-00002D110000}"/>
    <cellStyle name="쉼표 [0] 6 2 2 3 3 2 2" xfId="4456" xr:uid="{00000000-0005-0000-0000-00002E110000}"/>
    <cellStyle name="쉼표 [0] 6 2 2 3 3 2 2 2" xfId="4457" xr:uid="{00000000-0005-0000-0000-00002F110000}"/>
    <cellStyle name="쉼표 [0] 6 2 2 3 3 2 3" xfId="4458" xr:uid="{00000000-0005-0000-0000-000030110000}"/>
    <cellStyle name="쉼표 [0] 6 2 2 3 3 3" xfId="4459" xr:uid="{00000000-0005-0000-0000-000031110000}"/>
    <cellStyle name="쉼표 [0] 6 2 2 3 3 3 2" xfId="4460" xr:uid="{00000000-0005-0000-0000-000032110000}"/>
    <cellStyle name="쉼표 [0] 6 2 2 3 3 4" xfId="4461" xr:uid="{00000000-0005-0000-0000-000033110000}"/>
    <cellStyle name="쉼표 [0] 6 2 2 3 4" xfId="4462" xr:uid="{00000000-0005-0000-0000-000034110000}"/>
    <cellStyle name="쉼표 [0] 6 2 2 3 4 2" xfId="4463" xr:uid="{00000000-0005-0000-0000-000035110000}"/>
    <cellStyle name="쉼표 [0] 6 2 2 3 4 2 2" xfId="4464" xr:uid="{00000000-0005-0000-0000-000036110000}"/>
    <cellStyle name="쉼표 [0] 6 2 2 3 4 3" xfId="4465" xr:uid="{00000000-0005-0000-0000-000037110000}"/>
    <cellStyle name="쉼표 [0] 6 2 2 3 5" xfId="4466" xr:uid="{00000000-0005-0000-0000-000038110000}"/>
    <cellStyle name="쉼표 [0] 6 2 2 3 5 2" xfId="4467" xr:uid="{00000000-0005-0000-0000-000039110000}"/>
    <cellStyle name="쉼표 [0] 6 2 2 3 6" xfId="4468" xr:uid="{00000000-0005-0000-0000-00003A110000}"/>
    <cellStyle name="쉼표 [0] 6 2 2 4" xfId="4469" xr:uid="{00000000-0005-0000-0000-00003B110000}"/>
    <cellStyle name="쉼표 [0] 6 2 2 4 2" xfId="4470" xr:uid="{00000000-0005-0000-0000-00003C110000}"/>
    <cellStyle name="쉼표 [0] 6 2 2 4 2 2" xfId="4471" xr:uid="{00000000-0005-0000-0000-00003D110000}"/>
    <cellStyle name="쉼표 [0] 6 2 2 4 2 2 2" xfId="4472" xr:uid="{00000000-0005-0000-0000-00003E110000}"/>
    <cellStyle name="쉼표 [0] 6 2 2 4 2 2 2 2" xfId="4473" xr:uid="{00000000-0005-0000-0000-00003F110000}"/>
    <cellStyle name="쉼표 [0] 6 2 2 4 2 2 3" xfId="4474" xr:uid="{00000000-0005-0000-0000-000040110000}"/>
    <cellStyle name="쉼표 [0] 6 2 2 4 2 3" xfId="4475" xr:uid="{00000000-0005-0000-0000-000041110000}"/>
    <cellStyle name="쉼표 [0] 6 2 2 4 2 3 2" xfId="4476" xr:uid="{00000000-0005-0000-0000-000042110000}"/>
    <cellStyle name="쉼표 [0] 6 2 2 4 2 4" xfId="4477" xr:uid="{00000000-0005-0000-0000-000043110000}"/>
    <cellStyle name="쉼표 [0] 6 2 2 4 3" xfId="4478" xr:uid="{00000000-0005-0000-0000-000044110000}"/>
    <cellStyle name="쉼표 [0] 6 2 2 4 3 2" xfId="4479" xr:uid="{00000000-0005-0000-0000-000045110000}"/>
    <cellStyle name="쉼표 [0] 6 2 2 4 3 2 2" xfId="4480" xr:uid="{00000000-0005-0000-0000-000046110000}"/>
    <cellStyle name="쉼표 [0] 6 2 2 4 3 3" xfId="4481" xr:uid="{00000000-0005-0000-0000-000047110000}"/>
    <cellStyle name="쉼표 [0] 6 2 2 4 4" xfId="4482" xr:uid="{00000000-0005-0000-0000-000048110000}"/>
    <cellStyle name="쉼표 [0] 6 2 2 4 4 2" xfId="4483" xr:uid="{00000000-0005-0000-0000-000049110000}"/>
    <cellStyle name="쉼표 [0] 6 2 2 4 5" xfId="4484" xr:uid="{00000000-0005-0000-0000-00004A110000}"/>
    <cellStyle name="쉼표 [0] 6 2 2 5" xfId="4485" xr:uid="{00000000-0005-0000-0000-00004B110000}"/>
    <cellStyle name="쉼표 [0] 6 2 2 5 2" xfId="4486" xr:uid="{00000000-0005-0000-0000-00004C110000}"/>
    <cellStyle name="쉼표 [0] 6 2 2 5 2 2" xfId="4487" xr:uid="{00000000-0005-0000-0000-00004D110000}"/>
    <cellStyle name="쉼표 [0] 6 2 2 5 2 2 2" xfId="4488" xr:uid="{00000000-0005-0000-0000-00004E110000}"/>
    <cellStyle name="쉼표 [0] 6 2 2 5 2 3" xfId="4489" xr:uid="{00000000-0005-0000-0000-00004F110000}"/>
    <cellStyle name="쉼표 [0] 6 2 2 5 3" xfId="4490" xr:uid="{00000000-0005-0000-0000-000050110000}"/>
    <cellStyle name="쉼표 [0] 6 2 2 5 3 2" xfId="4491" xr:uid="{00000000-0005-0000-0000-000051110000}"/>
    <cellStyle name="쉼표 [0] 6 2 2 5 4" xfId="4492" xr:uid="{00000000-0005-0000-0000-000052110000}"/>
    <cellStyle name="쉼표 [0] 6 2 2 6" xfId="4493" xr:uid="{00000000-0005-0000-0000-000053110000}"/>
    <cellStyle name="쉼표 [0] 6 2 2 6 2" xfId="4494" xr:uid="{00000000-0005-0000-0000-000054110000}"/>
    <cellStyle name="쉼표 [0] 6 2 2 6 2 2" xfId="4495" xr:uid="{00000000-0005-0000-0000-000055110000}"/>
    <cellStyle name="쉼표 [0] 6 2 2 6 3" xfId="4496" xr:uid="{00000000-0005-0000-0000-000056110000}"/>
    <cellStyle name="쉼표 [0] 6 2 2 7" xfId="4497" xr:uid="{00000000-0005-0000-0000-000057110000}"/>
    <cellStyle name="쉼표 [0] 6 2 2 7 2" xfId="4498" xr:uid="{00000000-0005-0000-0000-000058110000}"/>
    <cellStyle name="쉼표 [0] 6 2 2 8" xfId="4499" xr:uid="{00000000-0005-0000-0000-000059110000}"/>
    <cellStyle name="쉼표 [0] 6 2 2 9" xfId="4500" xr:uid="{00000000-0005-0000-0000-00005A110000}"/>
    <cellStyle name="쉼표 [0] 6 2 3" xfId="4501" xr:uid="{00000000-0005-0000-0000-00005B110000}"/>
    <cellStyle name="쉼표 [0] 6 2 3 2" xfId="4502" xr:uid="{00000000-0005-0000-0000-00005C110000}"/>
    <cellStyle name="쉼표 [0] 6 2 3 2 2" xfId="4503" xr:uid="{00000000-0005-0000-0000-00005D110000}"/>
    <cellStyle name="쉼표 [0] 6 2 3 2 2 2" xfId="4504" xr:uid="{00000000-0005-0000-0000-00005E110000}"/>
    <cellStyle name="쉼표 [0] 6 2 3 2 2 2 2" xfId="4505" xr:uid="{00000000-0005-0000-0000-00005F110000}"/>
    <cellStyle name="쉼표 [0] 6 2 3 2 2 2 2 2" xfId="4506" xr:uid="{00000000-0005-0000-0000-000060110000}"/>
    <cellStyle name="쉼표 [0] 6 2 3 2 2 2 2 2 2" xfId="4507" xr:uid="{00000000-0005-0000-0000-000061110000}"/>
    <cellStyle name="쉼표 [0] 6 2 3 2 2 2 2 3" xfId="4508" xr:uid="{00000000-0005-0000-0000-000062110000}"/>
    <cellStyle name="쉼표 [0] 6 2 3 2 2 2 3" xfId="4509" xr:uid="{00000000-0005-0000-0000-000063110000}"/>
    <cellStyle name="쉼표 [0] 6 2 3 2 2 2 3 2" xfId="4510" xr:uid="{00000000-0005-0000-0000-000064110000}"/>
    <cellStyle name="쉼표 [0] 6 2 3 2 2 2 4" xfId="4511" xr:uid="{00000000-0005-0000-0000-000065110000}"/>
    <cellStyle name="쉼표 [0] 6 2 3 2 2 3" xfId="4512" xr:uid="{00000000-0005-0000-0000-000066110000}"/>
    <cellStyle name="쉼표 [0] 6 2 3 2 2 3 2" xfId="4513" xr:uid="{00000000-0005-0000-0000-000067110000}"/>
    <cellStyle name="쉼표 [0] 6 2 3 2 2 3 2 2" xfId="4514" xr:uid="{00000000-0005-0000-0000-000068110000}"/>
    <cellStyle name="쉼표 [0] 6 2 3 2 2 3 3" xfId="4515" xr:uid="{00000000-0005-0000-0000-000069110000}"/>
    <cellStyle name="쉼표 [0] 6 2 3 2 2 4" xfId="4516" xr:uid="{00000000-0005-0000-0000-00006A110000}"/>
    <cellStyle name="쉼표 [0] 6 2 3 2 2 4 2" xfId="4517" xr:uid="{00000000-0005-0000-0000-00006B110000}"/>
    <cellStyle name="쉼표 [0] 6 2 3 2 2 5" xfId="4518" xr:uid="{00000000-0005-0000-0000-00006C110000}"/>
    <cellStyle name="쉼표 [0] 6 2 3 2 3" xfId="4519" xr:uid="{00000000-0005-0000-0000-00006D110000}"/>
    <cellStyle name="쉼표 [0] 6 2 3 2 3 2" xfId="4520" xr:uid="{00000000-0005-0000-0000-00006E110000}"/>
    <cellStyle name="쉼표 [0] 6 2 3 2 3 2 2" xfId="4521" xr:uid="{00000000-0005-0000-0000-00006F110000}"/>
    <cellStyle name="쉼표 [0] 6 2 3 2 3 2 2 2" xfId="4522" xr:uid="{00000000-0005-0000-0000-000070110000}"/>
    <cellStyle name="쉼표 [0] 6 2 3 2 3 2 3" xfId="4523" xr:uid="{00000000-0005-0000-0000-000071110000}"/>
    <cellStyle name="쉼표 [0] 6 2 3 2 3 3" xfId="4524" xr:uid="{00000000-0005-0000-0000-000072110000}"/>
    <cellStyle name="쉼표 [0] 6 2 3 2 3 3 2" xfId="4525" xr:uid="{00000000-0005-0000-0000-000073110000}"/>
    <cellStyle name="쉼표 [0] 6 2 3 2 3 4" xfId="4526" xr:uid="{00000000-0005-0000-0000-000074110000}"/>
    <cellStyle name="쉼표 [0] 6 2 3 2 4" xfId="4527" xr:uid="{00000000-0005-0000-0000-000075110000}"/>
    <cellStyle name="쉼표 [0] 6 2 3 2 4 2" xfId="4528" xr:uid="{00000000-0005-0000-0000-000076110000}"/>
    <cellStyle name="쉼표 [0] 6 2 3 2 4 2 2" xfId="4529" xr:uid="{00000000-0005-0000-0000-000077110000}"/>
    <cellStyle name="쉼표 [0] 6 2 3 2 4 3" xfId="4530" xr:uid="{00000000-0005-0000-0000-000078110000}"/>
    <cellStyle name="쉼표 [0] 6 2 3 2 5" xfId="4531" xr:uid="{00000000-0005-0000-0000-000079110000}"/>
    <cellStyle name="쉼표 [0] 6 2 3 2 5 2" xfId="4532" xr:uid="{00000000-0005-0000-0000-00007A110000}"/>
    <cellStyle name="쉼표 [0] 6 2 3 2 6" xfId="4533" xr:uid="{00000000-0005-0000-0000-00007B110000}"/>
    <cellStyle name="쉼표 [0] 6 2 3 3" xfId="4534" xr:uid="{00000000-0005-0000-0000-00007C110000}"/>
    <cellStyle name="쉼표 [0] 6 2 3 3 2" xfId="4535" xr:uid="{00000000-0005-0000-0000-00007D110000}"/>
    <cellStyle name="쉼표 [0] 6 2 3 3 2 2" xfId="4536" xr:uid="{00000000-0005-0000-0000-00007E110000}"/>
    <cellStyle name="쉼표 [0] 6 2 3 3 2 2 2" xfId="4537" xr:uid="{00000000-0005-0000-0000-00007F110000}"/>
    <cellStyle name="쉼표 [0] 6 2 3 3 2 2 2 2" xfId="4538" xr:uid="{00000000-0005-0000-0000-000080110000}"/>
    <cellStyle name="쉼표 [0] 6 2 3 3 2 2 3" xfId="4539" xr:uid="{00000000-0005-0000-0000-000081110000}"/>
    <cellStyle name="쉼표 [0] 6 2 3 3 2 3" xfId="4540" xr:uid="{00000000-0005-0000-0000-000082110000}"/>
    <cellStyle name="쉼표 [0] 6 2 3 3 2 3 2" xfId="4541" xr:uid="{00000000-0005-0000-0000-000083110000}"/>
    <cellStyle name="쉼표 [0] 6 2 3 3 2 4" xfId="4542" xr:uid="{00000000-0005-0000-0000-000084110000}"/>
    <cellStyle name="쉼표 [0] 6 2 3 3 3" xfId="4543" xr:uid="{00000000-0005-0000-0000-000085110000}"/>
    <cellStyle name="쉼표 [0] 6 2 3 3 3 2" xfId="4544" xr:uid="{00000000-0005-0000-0000-000086110000}"/>
    <cellStyle name="쉼표 [0] 6 2 3 3 3 2 2" xfId="4545" xr:uid="{00000000-0005-0000-0000-000087110000}"/>
    <cellStyle name="쉼표 [0] 6 2 3 3 3 3" xfId="4546" xr:uid="{00000000-0005-0000-0000-000088110000}"/>
    <cellStyle name="쉼표 [0] 6 2 3 3 4" xfId="4547" xr:uid="{00000000-0005-0000-0000-000089110000}"/>
    <cellStyle name="쉼표 [0] 6 2 3 3 4 2" xfId="4548" xr:uid="{00000000-0005-0000-0000-00008A110000}"/>
    <cellStyle name="쉼표 [0] 6 2 3 3 5" xfId="4549" xr:uid="{00000000-0005-0000-0000-00008B110000}"/>
    <cellStyle name="쉼표 [0] 6 2 3 4" xfId="4550" xr:uid="{00000000-0005-0000-0000-00008C110000}"/>
    <cellStyle name="쉼표 [0] 6 2 3 4 2" xfId="4551" xr:uid="{00000000-0005-0000-0000-00008D110000}"/>
    <cellStyle name="쉼표 [0] 6 2 3 4 2 2" xfId="4552" xr:uid="{00000000-0005-0000-0000-00008E110000}"/>
    <cellStyle name="쉼표 [0] 6 2 3 4 2 2 2" xfId="4553" xr:uid="{00000000-0005-0000-0000-00008F110000}"/>
    <cellStyle name="쉼표 [0] 6 2 3 4 2 3" xfId="4554" xr:uid="{00000000-0005-0000-0000-000090110000}"/>
    <cellStyle name="쉼표 [0] 6 2 3 4 3" xfId="4555" xr:uid="{00000000-0005-0000-0000-000091110000}"/>
    <cellStyle name="쉼표 [0] 6 2 3 4 3 2" xfId="4556" xr:uid="{00000000-0005-0000-0000-000092110000}"/>
    <cellStyle name="쉼표 [0] 6 2 3 4 4" xfId="4557" xr:uid="{00000000-0005-0000-0000-000093110000}"/>
    <cellStyle name="쉼표 [0] 6 2 3 5" xfId="4558" xr:uid="{00000000-0005-0000-0000-000094110000}"/>
    <cellStyle name="쉼표 [0] 6 2 3 5 2" xfId="4559" xr:uid="{00000000-0005-0000-0000-000095110000}"/>
    <cellStyle name="쉼표 [0] 6 2 3 5 2 2" xfId="4560" xr:uid="{00000000-0005-0000-0000-000096110000}"/>
    <cellStyle name="쉼표 [0] 6 2 3 5 3" xfId="4561" xr:uid="{00000000-0005-0000-0000-000097110000}"/>
    <cellStyle name="쉼표 [0] 6 2 3 6" xfId="4562" xr:uid="{00000000-0005-0000-0000-000098110000}"/>
    <cellStyle name="쉼표 [0] 6 2 3 6 2" xfId="4563" xr:uid="{00000000-0005-0000-0000-000099110000}"/>
    <cellStyle name="쉼표 [0] 6 2 3 7" xfId="4564" xr:uid="{00000000-0005-0000-0000-00009A110000}"/>
    <cellStyle name="쉼표 [0] 6 2 3 8" xfId="4565" xr:uid="{00000000-0005-0000-0000-00009B110000}"/>
    <cellStyle name="쉼표 [0] 6 2 4" xfId="4566" xr:uid="{00000000-0005-0000-0000-00009C110000}"/>
    <cellStyle name="쉼표 [0] 6 2 4 2" xfId="4567" xr:uid="{00000000-0005-0000-0000-00009D110000}"/>
    <cellStyle name="쉼표 [0] 6 2 4 2 2" xfId="4568" xr:uid="{00000000-0005-0000-0000-00009E110000}"/>
    <cellStyle name="쉼표 [0] 6 2 4 2 2 2" xfId="4569" xr:uid="{00000000-0005-0000-0000-00009F110000}"/>
    <cellStyle name="쉼표 [0] 6 2 4 2 2 2 2" xfId="4570" xr:uid="{00000000-0005-0000-0000-0000A0110000}"/>
    <cellStyle name="쉼표 [0] 6 2 4 2 2 2 2 2" xfId="4571" xr:uid="{00000000-0005-0000-0000-0000A1110000}"/>
    <cellStyle name="쉼표 [0] 6 2 4 2 2 2 3" xfId="4572" xr:uid="{00000000-0005-0000-0000-0000A2110000}"/>
    <cellStyle name="쉼표 [0] 6 2 4 2 2 3" xfId="4573" xr:uid="{00000000-0005-0000-0000-0000A3110000}"/>
    <cellStyle name="쉼표 [0] 6 2 4 2 2 3 2" xfId="4574" xr:uid="{00000000-0005-0000-0000-0000A4110000}"/>
    <cellStyle name="쉼표 [0] 6 2 4 2 2 4" xfId="4575" xr:uid="{00000000-0005-0000-0000-0000A5110000}"/>
    <cellStyle name="쉼표 [0] 6 2 4 2 3" xfId="4576" xr:uid="{00000000-0005-0000-0000-0000A6110000}"/>
    <cellStyle name="쉼표 [0] 6 2 4 2 3 2" xfId="4577" xr:uid="{00000000-0005-0000-0000-0000A7110000}"/>
    <cellStyle name="쉼표 [0] 6 2 4 2 3 2 2" xfId="4578" xr:uid="{00000000-0005-0000-0000-0000A8110000}"/>
    <cellStyle name="쉼표 [0] 6 2 4 2 3 3" xfId="4579" xr:uid="{00000000-0005-0000-0000-0000A9110000}"/>
    <cellStyle name="쉼표 [0] 6 2 4 2 4" xfId="4580" xr:uid="{00000000-0005-0000-0000-0000AA110000}"/>
    <cellStyle name="쉼표 [0] 6 2 4 2 4 2" xfId="4581" xr:uid="{00000000-0005-0000-0000-0000AB110000}"/>
    <cellStyle name="쉼표 [0] 6 2 4 2 5" xfId="4582" xr:uid="{00000000-0005-0000-0000-0000AC110000}"/>
    <cellStyle name="쉼표 [0] 6 2 4 3" xfId="4583" xr:uid="{00000000-0005-0000-0000-0000AD110000}"/>
    <cellStyle name="쉼표 [0] 6 2 4 3 2" xfId="4584" xr:uid="{00000000-0005-0000-0000-0000AE110000}"/>
    <cellStyle name="쉼표 [0] 6 2 4 3 2 2" xfId="4585" xr:uid="{00000000-0005-0000-0000-0000AF110000}"/>
    <cellStyle name="쉼표 [0] 6 2 4 3 2 2 2" xfId="4586" xr:uid="{00000000-0005-0000-0000-0000B0110000}"/>
    <cellStyle name="쉼표 [0] 6 2 4 3 2 3" xfId="4587" xr:uid="{00000000-0005-0000-0000-0000B1110000}"/>
    <cellStyle name="쉼표 [0] 6 2 4 3 3" xfId="4588" xr:uid="{00000000-0005-0000-0000-0000B2110000}"/>
    <cellStyle name="쉼표 [0] 6 2 4 3 3 2" xfId="4589" xr:uid="{00000000-0005-0000-0000-0000B3110000}"/>
    <cellStyle name="쉼표 [0] 6 2 4 3 4" xfId="4590" xr:uid="{00000000-0005-0000-0000-0000B4110000}"/>
    <cellStyle name="쉼표 [0] 6 2 4 4" xfId="4591" xr:uid="{00000000-0005-0000-0000-0000B5110000}"/>
    <cellStyle name="쉼표 [0] 6 2 4 4 2" xfId="4592" xr:uid="{00000000-0005-0000-0000-0000B6110000}"/>
    <cellStyle name="쉼표 [0] 6 2 4 4 2 2" xfId="4593" xr:uid="{00000000-0005-0000-0000-0000B7110000}"/>
    <cellStyle name="쉼표 [0] 6 2 4 4 3" xfId="4594" xr:uid="{00000000-0005-0000-0000-0000B8110000}"/>
    <cellStyle name="쉼표 [0] 6 2 4 5" xfId="4595" xr:uid="{00000000-0005-0000-0000-0000B9110000}"/>
    <cellStyle name="쉼표 [0] 6 2 4 5 2" xfId="4596" xr:uid="{00000000-0005-0000-0000-0000BA110000}"/>
    <cellStyle name="쉼표 [0] 6 2 4 6" xfId="4597" xr:uid="{00000000-0005-0000-0000-0000BB110000}"/>
    <cellStyle name="쉼표 [0] 6 2 5" xfId="4598" xr:uid="{00000000-0005-0000-0000-0000BC110000}"/>
    <cellStyle name="쉼표 [0] 6 2 5 2" xfId="4599" xr:uid="{00000000-0005-0000-0000-0000BD110000}"/>
    <cellStyle name="쉼표 [0] 6 2 5 2 2" xfId="4600" xr:uid="{00000000-0005-0000-0000-0000BE110000}"/>
    <cellStyle name="쉼표 [0] 6 2 5 2 2 2" xfId="4601" xr:uid="{00000000-0005-0000-0000-0000BF110000}"/>
    <cellStyle name="쉼표 [0] 6 2 5 2 2 2 2" xfId="4602" xr:uid="{00000000-0005-0000-0000-0000C0110000}"/>
    <cellStyle name="쉼표 [0] 6 2 5 2 2 3" xfId="4603" xr:uid="{00000000-0005-0000-0000-0000C1110000}"/>
    <cellStyle name="쉼표 [0] 6 2 5 2 3" xfId="4604" xr:uid="{00000000-0005-0000-0000-0000C2110000}"/>
    <cellStyle name="쉼표 [0] 6 2 5 2 3 2" xfId="4605" xr:uid="{00000000-0005-0000-0000-0000C3110000}"/>
    <cellStyle name="쉼표 [0] 6 2 5 2 4" xfId="4606" xr:uid="{00000000-0005-0000-0000-0000C4110000}"/>
    <cellStyle name="쉼표 [0] 6 2 5 3" xfId="4607" xr:uid="{00000000-0005-0000-0000-0000C5110000}"/>
    <cellStyle name="쉼표 [0] 6 2 5 3 2" xfId="4608" xr:uid="{00000000-0005-0000-0000-0000C6110000}"/>
    <cellStyle name="쉼표 [0] 6 2 5 3 2 2" xfId="4609" xr:uid="{00000000-0005-0000-0000-0000C7110000}"/>
    <cellStyle name="쉼표 [0] 6 2 5 3 3" xfId="4610" xr:uid="{00000000-0005-0000-0000-0000C8110000}"/>
    <cellStyle name="쉼표 [0] 6 2 5 4" xfId="4611" xr:uid="{00000000-0005-0000-0000-0000C9110000}"/>
    <cellStyle name="쉼표 [0] 6 2 5 4 2" xfId="4612" xr:uid="{00000000-0005-0000-0000-0000CA110000}"/>
    <cellStyle name="쉼표 [0] 6 2 5 5" xfId="4613" xr:uid="{00000000-0005-0000-0000-0000CB110000}"/>
    <cellStyle name="쉼표 [0] 6 2 6" xfId="4614" xr:uid="{00000000-0005-0000-0000-0000CC110000}"/>
    <cellStyle name="쉼표 [0] 6 2 6 2" xfId="4615" xr:uid="{00000000-0005-0000-0000-0000CD110000}"/>
    <cellStyle name="쉼표 [0] 6 2 6 2 2" xfId="4616" xr:uid="{00000000-0005-0000-0000-0000CE110000}"/>
    <cellStyle name="쉼표 [0] 6 2 6 2 2 2" xfId="4617" xr:uid="{00000000-0005-0000-0000-0000CF110000}"/>
    <cellStyle name="쉼표 [0] 6 2 6 2 3" xfId="4618" xr:uid="{00000000-0005-0000-0000-0000D0110000}"/>
    <cellStyle name="쉼표 [0] 6 2 6 3" xfId="4619" xr:uid="{00000000-0005-0000-0000-0000D1110000}"/>
    <cellStyle name="쉼표 [0] 6 2 6 3 2" xfId="4620" xr:uid="{00000000-0005-0000-0000-0000D2110000}"/>
    <cellStyle name="쉼표 [0] 6 2 6 4" xfId="4621" xr:uid="{00000000-0005-0000-0000-0000D3110000}"/>
    <cellStyle name="쉼표 [0] 6 2 7" xfId="4622" xr:uid="{00000000-0005-0000-0000-0000D4110000}"/>
    <cellStyle name="쉼표 [0] 6 2 7 2" xfId="4623" xr:uid="{00000000-0005-0000-0000-0000D5110000}"/>
    <cellStyle name="쉼표 [0] 6 2 7 2 2" xfId="4624" xr:uid="{00000000-0005-0000-0000-0000D6110000}"/>
    <cellStyle name="쉼표 [0] 6 2 7 3" xfId="4625" xr:uid="{00000000-0005-0000-0000-0000D7110000}"/>
    <cellStyle name="쉼표 [0] 6 2 8" xfId="4626" xr:uid="{00000000-0005-0000-0000-0000D8110000}"/>
    <cellStyle name="쉼표 [0] 6 2 8 2" xfId="4627" xr:uid="{00000000-0005-0000-0000-0000D9110000}"/>
    <cellStyle name="쉼표 [0] 6 2 9" xfId="4628" xr:uid="{00000000-0005-0000-0000-0000DA110000}"/>
    <cellStyle name="쉼표 [0] 6 3" xfId="4629" xr:uid="{00000000-0005-0000-0000-0000DB110000}"/>
    <cellStyle name="쉼표 [0] 6 3 2" xfId="4630" xr:uid="{00000000-0005-0000-0000-0000DC110000}"/>
    <cellStyle name="쉼표 [0] 6 3 2 2" xfId="4631" xr:uid="{00000000-0005-0000-0000-0000DD110000}"/>
    <cellStyle name="쉼표 [0] 6 3 2 2 2" xfId="4632" xr:uid="{00000000-0005-0000-0000-0000DE110000}"/>
    <cellStyle name="쉼표 [0] 6 3 2 2 2 2" xfId="4633" xr:uid="{00000000-0005-0000-0000-0000DF110000}"/>
    <cellStyle name="쉼표 [0] 6 3 2 2 2 2 2" xfId="4634" xr:uid="{00000000-0005-0000-0000-0000E0110000}"/>
    <cellStyle name="쉼표 [0] 6 3 2 2 2 2 2 2" xfId="4635" xr:uid="{00000000-0005-0000-0000-0000E1110000}"/>
    <cellStyle name="쉼표 [0] 6 3 2 2 2 2 2 2 2" xfId="4636" xr:uid="{00000000-0005-0000-0000-0000E2110000}"/>
    <cellStyle name="쉼표 [0] 6 3 2 2 2 2 2 3" xfId="4637" xr:uid="{00000000-0005-0000-0000-0000E3110000}"/>
    <cellStyle name="쉼표 [0] 6 3 2 2 2 2 3" xfId="4638" xr:uid="{00000000-0005-0000-0000-0000E4110000}"/>
    <cellStyle name="쉼표 [0] 6 3 2 2 2 2 3 2" xfId="4639" xr:uid="{00000000-0005-0000-0000-0000E5110000}"/>
    <cellStyle name="쉼표 [0] 6 3 2 2 2 2 4" xfId="4640" xr:uid="{00000000-0005-0000-0000-0000E6110000}"/>
    <cellStyle name="쉼표 [0] 6 3 2 2 2 3" xfId="4641" xr:uid="{00000000-0005-0000-0000-0000E7110000}"/>
    <cellStyle name="쉼표 [0] 6 3 2 2 2 3 2" xfId="4642" xr:uid="{00000000-0005-0000-0000-0000E8110000}"/>
    <cellStyle name="쉼표 [0] 6 3 2 2 2 3 2 2" xfId="4643" xr:uid="{00000000-0005-0000-0000-0000E9110000}"/>
    <cellStyle name="쉼표 [0] 6 3 2 2 2 3 3" xfId="4644" xr:uid="{00000000-0005-0000-0000-0000EA110000}"/>
    <cellStyle name="쉼표 [0] 6 3 2 2 2 4" xfId="4645" xr:uid="{00000000-0005-0000-0000-0000EB110000}"/>
    <cellStyle name="쉼표 [0] 6 3 2 2 2 4 2" xfId="4646" xr:uid="{00000000-0005-0000-0000-0000EC110000}"/>
    <cellStyle name="쉼표 [0] 6 3 2 2 2 5" xfId="4647" xr:uid="{00000000-0005-0000-0000-0000ED110000}"/>
    <cellStyle name="쉼표 [0] 6 3 2 2 3" xfId="4648" xr:uid="{00000000-0005-0000-0000-0000EE110000}"/>
    <cellStyle name="쉼표 [0] 6 3 2 2 3 2" xfId="4649" xr:uid="{00000000-0005-0000-0000-0000EF110000}"/>
    <cellStyle name="쉼표 [0] 6 3 2 2 3 2 2" xfId="4650" xr:uid="{00000000-0005-0000-0000-0000F0110000}"/>
    <cellStyle name="쉼표 [0] 6 3 2 2 3 2 2 2" xfId="4651" xr:uid="{00000000-0005-0000-0000-0000F1110000}"/>
    <cellStyle name="쉼표 [0] 6 3 2 2 3 2 3" xfId="4652" xr:uid="{00000000-0005-0000-0000-0000F2110000}"/>
    <cellStyle name="쉼표 [0] 6 3 2 2 3 3" xfId="4653" xr:uid="{00000000-0005-0000-0000-0000F3110000}"/>
    <cellStyle name="쉼표 [0] 6 3 2 2 3 3 2" xfId="4654" xr:uid="{00000000-0005-0000-0000-0000F4110000}"/>
    <cellStyle name="쉼표 [0] 6 3 2 2 3 4" xfId="4655" xr:uid="{00000000-0005-0000-0000-0000F5110000}"/>
    <cellStyle name="쉼표 [0] 6 3 2 2 4" xfId="4656" xr:uid="{00000000-0005-0000-0000-0000F6110000}"/>
    <cellStyle name="쉼표 [0] 6 3 2 2 4 2" xfId="4657" xr:uid="{00000000-0005-0000-0000-0000F7110000}"/>
    <cellStyle name="쉼표 [0] 6 3 2 2 4 2 2" xfId="4658" xr:uid="{00000000-0005-0000-0000-0000F8110000}"/>
    <cellStyle name="쉼표 [0] 6 3 2 2 4 3" xfId="4659" xr:uid="{00000000-0005-0000-0000-0000F9110000}"/>
    <cellStyle name="쉼표 [0] 6 3 2 2 5" xfId="4660" xr:uid="{00000000-0005-0000-0000-0000FA110000}"/>
    <cellStyle name="쉼표 [0] 6 3 2 2 5 2" xfId="4661" xr:uid="{00000000-0005-0000-0000-0000FB110000}"/>
    <cellStyle name="쉼표 [0] 6 3 2 2 6" xfId="4662" xr:uid="{00000000-0005-0000-0000-0000FC110000}"/>
    <cellStyle name="쉼표 [0] 6 3 2 3" xfId="4663" xr:uid="{00000000-0005-0000-0000-0000FD110000}"/>
    <cellStyle name="쉼표 [0] 6 3 2 3 2" xfId="4664" xr:uid="{00000000-0005-0000-0000-0000FE110000}"/>
    <cellStyle name="쉼표 [0] 6 3 2 3 2 2" xfId="4665" xr:uid="{00000000-0005-0000-0000-0000FF110000}"/>
    <cellStyle name="쉼표 [0] 6 3 2 3 2 2 2" xfId="4666" xr:uid="{00000000-0005-0000-0000-000000120000}"/>
    <cellStyle name="쉼표 [0] 6 3 2 3 2 2 2 2" xfId="4667" xr:uid="{00000000-0005-0000-0000-000001120000}"/>
    <cellStyle name="쉼표 [0] 6 3 2 3 2 2 3" xfId="4668" xr:uid="{00000000-0005-0000-0000-000002120000}"/>
    <cellStyle name="쉼표 [0] 6 3 2 3 2 3" xfId="4669" xr:uid="{00000000-0005-0000-0000-000003120000}"/>
    <cellStyle name="쉼표 [0] 6 3 2 3 2 3 2" xfId="4670" xr:uid="{00000000-0005-0000-0000-000004120000}"/>
    <cellStyle name="쉼표 [0] 6 3 2 3 2 4" xfId="4671" xr:uid="{00000000-0005-0000-0000-000005120000}"/>
    <cellStyle name="쉼표 [0] 6 3 2 3 3" xfId="4672" xr:uid="{00000000-0005-0000-0000-000006120000}"/>
    <cellStyle name="쉼표 [0] 6 3 2 3 3 2" xfId="4673" xr:uid="{00000000-0005-0000-0000-000007120000}"/>
    <cellStyle name="쉼표 [0] 6 3 2 3 3 2 2" xfId="4674" xr:uid="{00000000-0005-0000-0000-000008120000}"/>
    <cellStyle name="쉼표 [0] 6 3 2 3 3 3" xfId="4675" xr:uid="{00000000-0005-0000-0000-000009120000}"/>
    <cellStyle name="쉼표 [0] 6 3 2 3 4" xfId="4676" xr:uid="{00000000-0005-0000-0000-00000A120000}"/>
    <cellStyle name="쉼표 [0] 6 3 2 3 4 2" xfId="4677" xr:uid="{00000000-0005-0000-0000-00000B120000}"/>
    <cellStyle name="쉼표 [0] 6 3 2 3 5" xfId="4678" xr:uid="{00000000-0005-0000-0000-00000C120000}"/>
    <cellStyle name="쉼표 [0] 6 3 2 4" xfId="4679" xr:uid="{00000000-0005-0000-0000-00000D120000}"/>
    <cellStyle name="쉼표 [0] 6 3 2 4 2" xfId="4680" xr:uid="{00000000-0005-0000-0000-00000E120000}"/>
    <cellStyle name="쉼표 [0] 6 3 2 4 2 2" xfId="4681" xr:uid="{00000000-0005-0000-0000-00000F120000}"/>
    <cellStyle name="쉼표 [0] 6 3 2 4 2 2 2" xfId="4682" xr:uid="{00000000-0005-0000-0000-000010120000}"/>
    <cellStyle name="쉼표 [0] 6 3 2 4 2 3" xfId="4683" xr:uid="{00000000-0005-0000-0000-000011120000}"/>
    <cellStyle name="쉼표 [0] 6 3 2 4 3" xfId="4684" xr:uid="{00000000-0005-0000-0000-000012120000}"/>
    <cellStyle name="쉼표 [0] 6 3 2 4 3 2" xfId="4685" xr:uid="{00000000-0005-0000-0000-000013120000}"/>
    <cellStyle name="쉼표 [0] 6 3 2 4 4" xfId="4686" xr:uid="{00000000-0005-0000-0000-000014120000}"/>
    <cellStyle name="쉼표 [0] 6 3 2 5" xfId="4687" xr:uid="{00000000-0005-0000-0000-000015120000}"/>
    <cellStyle name="쉼표 [0] 6 3 2 5 2" xfId="4688" xr:uid="{00000000-0005-0000-0000-000016120000}"/>
    <cellStyle name="쉼표 [0] 6 3 2 5 2 2" xfId="4689" xr:uid="{00000000-0005-0000-0000-000017120000}"/>
    <cellStyle name="쉼표 [0] 6 3 2 5 3" xfId="4690" xr:uid="{00000000-0005-0000-0000-000018120000}"/>
    <cellStyle name="쉼표 [0] 6 3 2 6" xfId="4691" xr:uid="{00000000-0005-0000-0000-000019120000}"/>
    <cellStyle name="쉼표 [0] 6 3 2 6 2" xfId="4692" xr:uid="{00000000-0005-0000-0000-00001A120000}"/>
    <cellStyle name="쉼표 [0] 6 3 2 7" xfId="4693" xr:uid="{00000000-0005-0000-0000-00001B120000}"/>
    <cellStyle name="쉼표 [0] 6 3 2 8" xfId="4694" xr:uid="{00000000-0005-0000-0000-00001C120000}"/>
    <cellStyle name="쉼표 [0] 6 3 3" xfId="4695" xr:uid="{00000000-0005-0000-0000-00001D120000}"/>
    <cellStyle name="쉼표 [0] 6 3 3 2" xfId="4696" xr:uid="{00000000-0005-0000-0000-00001E120000}"/>
    <cellStyle name="쉼표 [0] 6 3 3 2 2" xfId="4697" xr:uid="{00000000-0005-0000-0000-00001F120000}"/>
    <cellStyle name="쉼표 [0] 6 3 3 2 2 2" xfId="4698" xr:uid="{00000000-0005-0000-0000-000020120000}"/>
    <cellStyle name="쉼표 [0] 6 3 3 2 2 2 2" xfId="4699" xr:uid="{00000000-0005-0000-0000-000021120000}"/>
    <cellStyle name="쉼표 [0] 6 3 3 2 2 2 2 2" xfId="4700" xr:uid="{00000000-0005-0000-0000-000022120000}"/>
    <cellStyle name="쉼표 [0] 6 3 3 2 2 2 3" xfId="4701" xr:uid="{00000000-0005-0000-0000-000023120000}"/>
    <cellStyle name="쉼표 [0] 6 3 3 2 2 3" xfId="4702" xr:uid="{00000000-0005-0000-0000-000024120000}"/>
    <cellStyle name="쉼표 [0] 6 3 3 2 2 3 2" xfId="4703" xr:uid="{00000000-0005-0000-0000-000025120000}"/>
    <cellStyle name="쉼표 [0] 6 3 3 2 2 4" xfId="4704" xr:uid="{00000000-0005-0000-0000-000026120000}"/>
    <cellStyle name="쉼표 [0] 6 3 3 2 3" xfId="4705" xr:uid="{00000000-0005-0000-0000-000027120000}"/>
    <cellStyle name="쉼표 [0] 6 3 3 2 3 2" xfId="4706" xr:uid="{00000000-0005-0000-0000-000028120000}"/>
    <cellStyle name="쉼표 [0] 6 3 3 2 3 2 2" xfId="4707" xr:uid="{00000000-0005-0000-0000-000029120000}"/>
    <cellStyle name="쉼표 [0] 6 3 3 2 3 3" xfId="4708" xr:uid="{00000000-0005-0000-0000-00002A120000}"/>
    <cellStyle name="쉼표 [0] 6 3 3 2 4" xfId="4709" xr:uid="{00000000-0005-0000-0000-00002B120000}"/>
    <cellStyle name="쉼표 [0] 6 3 3 2 4 2" xfId="4710" xr:uid="{00000000-0005-0000-0000-00002C120000}"/>
    <cellStyle name="쉼표 [0] 6 3 3 2 5" xfId="4711" xr:uid="{00000000-0005-0000-0000-00002D120000}"/>
    <cellStyle name="쉼표 [0] 6 3 3 3" xfId="4712" xr:uid="{00000000-0005-0000-0000-00002E120000}"/>
    <cellStyle name="쉼표 [0] 6 3 3 3 2" xfId="4713" xr:uid="{00000000-0005-0000-0000-00002F120000}"/>
    <cellStyle name="쉼표 [0] 6 3 3 3 2 2" xfId="4714" xr:uid="{00000000-0005-0000-0000-000030120000}"/>
    <cellStyle name="쉼표 [0] 6 3 3 3 2 2 2" xfId="4715" xr:uid="{00000000-0005-0000-0000-000031120000}"/>
    <cellStyle name="쉼표 [0] 6 3 3 3 2 3" xfId="4716" xr:uid="{00000000-0005-0000-0000-000032120000}"/>
    <cellStyle name="쉼표 [0] 6 3 3 3 3" xfId="4717" xr:uid="{00000000-0005-0000-0000-000033120000}"/>
    <cellStyle name="쉼표 [0] 6 3 3 3 3 2" xfId="4718" xr:uid="{00000000-0005-0000-0000-000034120000}"/>
    <cellStyle name="쉼표 [0] 6 3 3 3 4" xfId="4719" xr:uid="{00000000-0005-0000-0000-000035120000}"/>
    <cellStyle name="쉼표 [0] 6 3 3 4" xfId="4720" xr:uid="{00000000-0005-0000-0000-000036120000}"/>
    <cellStyle name="쉼표 [0] 6 3 3 4 2" xfId="4721" xr:uid="{00000000-0005-0000-0000-000037120000}"/>
    <cellStyle name="쉼표 [0] 6 3 3 4 2 2" xfId="4722" xr:uid="{00000000-0005-0000-0000-000038120000}"/>
    <cellStyle name="쉼표 [0] 6 3 3 4 3" xfId="4723" xr:uid="{00000000-0005-0000-0000-000039120000}"/>
    <cellStyle name="쉼표 [0] 6 3 3 5" xfId="4724" xr:uid="{00000000-0005-0000-0000-00003A120000}"/>
    <cellStyle name="쉼표 [0] 6 3 3 5 2" xfId="4725" xr:uid="{00000000-0005-0000-0000-00003B120000}"/>
    <cellStyle name="쉼표 [0] 6 3 3 6" xfId="4726" xr:uid="{00000000-0005-0000-0000-00003C120000}"/>
    <cellStyle name="쉼표 [0] 6 3 4" xfId="4727" xr:uid="{00000000-0005-0000-0000-00003D120000}"/>
    <cellStyle name="쉼표 [0] 6 3 4 2" xfId="4728" xr:uid="{00000000-0005-0000-0000-00003E120000}"/>
    <cellStyle name="쉼표 [0] 6 3 4 2 2" xfId="4729" xr:uid="{00000000-0005-0000-0000-00003F120000}"/>
    <cellStyle name="쉼표 [0] 6 3 4 2 2 2" xfId="4730" xr:uid="{00000000-0005-0000-0000-000040120000}"/>
    <cellStyle name="쉼표 [0] 6 3 4 2 2 2 2" xfId="4731" xr:uid="{00000000-0005-0000-0000-000041120000}"/>
    <cellStyle name="쉼표 [0] 6 3 4 2 2 3" xfId="4732" xr:uid="{00000000-0005-0000-0000-000042120000}"/>
    <cellStyle name="쉼표 [0] 6 3 4 2 3" xfId="4733" xr:uid="{00000000-0005-0000-0000-000043120000}"/>
    <cellStyle name="쉼표 [0] 6 3 4 2 3 2" xfId="4734" xr:uid="{00000000-0005-0000-0000-000044120000}"/>
    <cellStyle name="쉼표 [0] 6 3 4 2 4" xfId="4735" xr:uid="{00000000-0005-0000-0000-000045120000}"/>
    <cellStyle name="쉼표 [0] 6 3 4 3" xfId="4736" xr:uid="{00000000-0005-0000-0000-000046120000}"/>
    <cellStyle name="쉼표 [0] 6 3 4 3 2" xfId="4737" xr:uid="{00000000-0005-0000-0000-000047120000}"/>
    <cellStyle name="쉼표 [0] 6 3 4 3 2 2" xfId="4738" xr:uid="{00000000-0005-0000-0000-000048120000}"/>
    <cellStyle name="쉼표 [0] 6 3 4 3 3" xfId="4739" xr:uid="{00000000-0005-0000-0000-000049120000}"/>
    <cellStyle name="쉼표 [0] 6 3 4 4" xfId="4740" xr:uid="{00000000-0005-0000-0000-00004A120000}"/>
    <cellStyle name="쉼표 [0] 6 3 4 4 2" xfId="4741" xr:uid="{00000000-0005-0000-0000-00004B120000}"/>
    <cellStyle name="쉼표 [0] 6 3 4 5" xfId="4742" xr:uid="{00000000-0005-0000-0000-00004C120000}"/>
    <cellStyle name="쉼표 [0] 6 3 5" xfId="4743" xr:uid="{00000000-0005-0000-0000-00004D120000}"/>
    <cellStyle name="쉼표 [0] 6 3 5 2" xfId="4744" xr:uid="{00000000-0005-0000-0000-00004E120000}"/>
    <cellStyle name="쉼표 [0] 6 3 5 2 2" xfId="4745" xr:uid="{00000000-0005-0000-0000-00004F120000}"/>
    <cellStyle name="쉼표 [0] 6 3 5 2 2 2" xfId="4746" xr:uid="{00000000-0005-0000-0000-000050120000}"/>
    <cellStyle name="쉼표 [0] 6 3 5 2 3" xfId="4747" xr:uid="{00000000-0005-0000-0000-000051120000}"/>
    <cellStyle name="쉼표 [0] 6 3 5 3" xfId="4748" xr:uid="{00000000-0005-0000-0000-000052120000}"/>
    <cellStyle name="쉼표 [0] 6 3 5 3 2" xfId="4749" xr:uid="{00000000-0005-0000-0000-000053120000}"/>
    <cellStyle name="쉼표 [0] 6 3 5 4" xfId="4750" xr:uid="{00000000-0005-0000-0000-000054120000}"/>
    <cellStyle name="쉼표 [0] 6 3 6" xfId="4751" xr:uid="{00000000-0005-0000-0000-000055120000}"/>
    <cellStyle name="쉼표 [0] 6 3 6 2" xfId="4752" xr:uid="{00000000-0005-0000-0000-000056120000}"/>
    <cellStyle name="쉼표 [0] 6 3 6 2 2" xfId="4753" xr:uid="{00000000-0005-0000-0000-000057120000}"/>
    <cellStyle name="쉼표 [0] 6 3 6 3" xfId="4754" xr:uid="{00000000-0005-0000-0000-000058120000}"/>
    <cellStyle name="쉼표 [0] 6 3 7" xfId="4755" xr:uid="{00000000-0005-0000-0000-000059120000}"/>
    <cellStyle name="쉼표 [0] 6 3 7 2" xfId="4756" xr:uid="{00000000-0005-0000-0000-00005A120000}"/>
    <cellStyle name="쉼표 [0] 6 3 8" xfId="4757" xr:uid="{00000000-0005-0000-0000-00005B120000}"/>
    <cellStyle name="쉼표 [0] 6 3 9" xfId="4758" xr:uid="{00000000-0005-0000-0000-00005C120000}"/>
    <cellStyle name="쉼표 [0] 6 4" xfId="4759" xr:uid="{00000000-0005-0000-0000-00005D120000}"/>
    <cellStyle name="쉼표 [0] 6 4 2" xfId="4760" xr:uid="{00000000-0005-0000-0000-00005E120000}"/>
    <cellStyle name="쉼표 [0] 6 4 2 2" xfId="4761" xr:uid="{00000000-0005-0000-0000-00005F120000}"/>
    <cellStyle name="쉼표 [0] 6 4 2 2 2" xfId="4762" xr:uid="{00000000-0005-0000-0000-000060120000}"/>
    <cellStyle name="쉼표 [0] 6 4 2 2 2 2" xfId="4763" xr:uid="{00000000-0005-0000-0000-000061120000}"/>
    <cellStyle name="쉼표 [0] 6 4 2 2 2 2 2" xfId="4764" xr:uid="{00000000-0005-0000-0000-000062120000}"/>
    <cellStyle name="쉼표 [0] 6 4 2 2 2 2 2 2" xfId="4765" xr:uid="{00000000-0005-0000-0000-000063120000}"/>
    <cellStyle name="쉼표 [0] 6 4 2 2 2 2 3" xfId="4766" xr:uid="{00000000-0005-0000-0000-000064120000}"/>
    <cellStyle name="쉼표 [0] 6 4 2 2 2 3" xfId="4767" xr:uid="{00000000-0005-0000-0000-000065120000}"/>
    <cellStyle name="쉼표 [0] 6 4 2 2 2 3 2" xfId="4768" xr:uid="{00000000-0005-0000-0000-000066120000}"/>
    <cellStyle name="쉼표 [0] 6 4 2 2 2 4" xfId="4769" xr:uid="{00000000-0005-0000-0000-000067120000}"/>
    <cellStyle name="쉼표 [0] 6 4 2 2 3" xfId="4770" xr:uid="{00000000-0005-0000-0000-000068120000}"/>
    <cellStyle name="쉼표 [0] 6 4 2 2 3 2" xfId="4771" xr:uid="{00000000-0005-0000-0000-000069120000}"/>
    <cellStyle name="쉼표 [0] 6 4 2 2 3 2 2" xfId="4772" xr:uid="{00000000-0005-0000-0000-00006A120000}"/>
    <cellStyle name="쉼표 [0] 6 4 2 2 3 3" xfId="4773" xr:uid="{00000000-0005-0000-0000-00006B120000}"/>
    <cellStyle name="쉼표 [0] 6 4 2 2 4" xfId="4774" xr:uid="{00000000-0005-0000-0000-00006C120000}"/>
    <cellStyle name="쉼표 [0] 6 4 2 2 4 2" xfId="4775" xr:uid="{00000000-0005-0000-0000-00006D120000}"/>
    <cellStyle name="쉼표 [0] 6 4 2 2 5" xfId="4776" xr:uid="{00000000-0005-0000-0000-00006E120000}"/>
    <cellStyle name="쉼표 [0] 6 4 2 3" xfId="4777" xr:uid="{00000000-0005-0000-0000-00006F120000}"/>
    <cellStyle name="쉼표 [0] 6 4 2 3 2" xfId="4778" xr:uid="{00000000-0005-0000-0000-000070120000}"/>
    <cellStyle name="쉼표 [0] 6 4 2 3 2 2" xfId="4779" xr:uid="{00000000-0005-0000-0000-000071120000}"/>
    <cellStyle name="쉼표 [0] 6 4 2 3 2 2 2" xfId="4780" xr:uid="{00000000-0005-0000-0000-000072120000}"/>
    <cellStyle name="쉼표 [0] 6 4 2 3 2 3" xfId="4781" xr:uid="{00000000-0005-0000-0000-000073120000}"/>
    <cellStyle name="쉼표 [0] 6 4 2 3 3" xfId="4782" xr:uid="{00000000-0005-0000-0000-000074120000}"/>
    <cellStyle name="쉼표 [0] 6 4 2 3 3 2" xfId="4783" xr:uid="{00000000-0005-0000-0000-000075120000}"/>
    <cellStyle name="쉼표 [0] 6 4 2 3 4" xfId="4784" xr:uid="{00000000-0005-0000-0000-000076120000}"/>
    <cellStyle name="쉼표 [0] 6 4 2 4" xfId="4785" xr:uid="{00000000-0005-0000-0000-000077120000}"/>
    <cellStyle name="쉼표 [0] 6 4 2 4 2" xfId="4786" xr:uid="{00000000-0005-0000-0000-000078120000}"/>
    <cellStyle name="쉼표 [0] 6 4 2 4 2 2" xfId="4787" xr:uid="{00000000-0005-0000-0000-000079120000}"/>
    <cellStyle name="쉼표 [0] 6 4 2 4 3" xfId="4788" xr:uid="{00000000-0005-0000-0000-00007A120000}"/>
    <cellStyle name="쉼표 [0] 6 4 2 5" xfId="4789" xr:uid="{00000000-0005-0000-0000-00007B120000}"/>
    <cellStyle name="쉼표 [0] 6 4 2 5 2" xfId="4790" xr:uid="{00000000-0005-0000-0000-00007C120000}"/>
    <cellStyle name="쉼표 [0] 6 4 2 6" xfId="4791" xr:uid="{00000000-0005-0000-0000-00007D120000}"/>
    <cellStyle name="쉼표 [0] 6 4 3" xfId="4792" xr:uid="{00000000-0005-0000-0000-00007E120000}"/>
    <cellStyle name="쉼표 [0] 6 4 3 2" xfId="4793" xr:uid="{00000000-0005-0000-0000-00007F120000}"/>
    <cellStyle name="쉼표 [0] 6 4 3 2 2" xfId="4794" xr:uid="{00000000-0005-0000-0000-000080120000}"/>
    <cellStyle name="쉼표 [0] 6 4 3 2 2 2" xfId="4795" xr:uid="{00000000-0005-0000-0000-000081120000}"/>
    <cellStyle name="쉼표 [0] 6 4 3 2 2 2 2" xfId="4796" xr:uid="{00000000-0005-0000-0000-000082120000}"/>
    <cellStyle name="쉼표 [0] 6 4 3 2 2 3" xfId="4797" xr:uid="{00000000-0005-0000-0000-000083120000}"/>
    <cellStyle name="쉼표 [0] 6 4 3 2 3" xfId="4798" xr:uid="{00000000-0005-0000-0000-000084120000}"/>
    <cellStyle name="쉼표 [0] 6 4 3 2 3 2" xfId="4799" xr:uid="{00000000-0005-0000-0000-000085120000}"/>
    <cellStyle name="쉼표 [0] 6 4 3 2 4" xfId="4800" xr:uid="{00000000-0005-0000-0000-000086120000}"/>
    <cellStyle name="쉼표 [0] 6 4 3 3" xfId="4801" xr:uid="{00000000-0005-0000-0000-000087120000}"/>
    <cellStyle name="쉼표 [0] 6 4 3 3 2" xfId="4802" xr:uid="{00000000-0005-0000-0000-000088120000}"/>
    <cellStyle name="쉼표 [0] 6 4 3 3 2 2" xfId="4803" xr:uid="{00000000-0005-0000-0000-000089120000}"/>
    <cellStyle name="쉼표 [0] 6 4 3 3 3" xfId="4804" xr:uid="{00000000-0005-0000-0000-00008A120000}"/>
    <cellStyle name="쉼표 [0] 6 4 3 4" xfId="4805" xr:uid="{00000000-0005-0000-0000-00008B120000}"/>
    <cellStyle name="쉼표 [0] 6 4 3 4 2" xfId="4806" xr:uid="{00000000-0005-0000-0000-00008C120000}"/>
    <cellStyle name="쉼표 [0] 6 4 3 5" xfId="4807" xr:uid="{00000000-0005-0000-0000-00008D120000}"/>
    <cellStyle name="쉼표 [0] 6 4 4" xfId="4808" xr:uid="{00000000-0005-0000-0000-00008E120000}"/>
    <cellStyle name="쉼표 [0] 6 4 4 2" xfId="4809" xr:uid="{00000000-0005-0000-0000-00008F120000}"/>
    <cellStyle name="쉼표 [0] 6 4 4 2 2" xfId="4810" xr:uid="{00000000-0005-0000-0000-000090120000}"/>
    <cellStyle name="쉼표 [0] 6 4 4 2 2 2" xfId="4811" xr:uid="{00000000-0005-0000-0000-000091120000}"/>
    <cellStyle name="쉼표 [0] 6 4 4 2 3" xfId="4812" xr:uid="{00000000-0005-0000-0000-000092120000}"/>
    <cellStyle name="쉼표 [0] 6 4 4 3" xfId="4813" xr:uid="{00000000-0005-0000-0000-000093120000}"/>
    <cellStyle name="쉼표 [0] 6 4 4 3 2" xfId="4814" xr:uid="{00000000-0005-0000-0000-000094120000}"/>
    <cellStyle name="쉼표 [0] 6 4 4 4" xfId="4815" xr:uid="{00000000-0005-0000-0000-000095120000}"/>
    <cellStyle name="쉼표 [0] 6 4 5" xfId="4816" xr:uid="{00000000-0005-0000-0000-000096120000}"/>
    <cellStyle name="쉼표 [0] 6 4 5 2" xfId="4817" xr:uid="{00000000-0005-0000-0000-000097120000}"/>
    <cellStyle name="쉼표 [0] 6 4 5 2 2" xfId="4818" xr:uid="{00000000-0005-0000-0000-000098120000}"/>
    <cellStyle name="쉼표 [0] 6 4 5 3" xfId="4819" xr:uid="{00000000-0005-0000-0000-000099120000}"/>
    <cellStyle name="쉼표 [0] 6 4 6" xfId="4820" xr:uid="{00000000-0005-0000-0000-00009A120000}"/>
    <cellStyle name="쉼표 [0] 6 4 6 2" xfId="4821" xr:uid="{00000000-0005-0000-0000-00009B120000}"/>
    <cellStyle name="쉼표 [0] 6 4 7" xfId="4822" xr:uid="{00000000-0005-0000-0000-00009C120000}"/>
    <cellStyle name="쉼표 [0] 6 4 8" xfId="4823" xr:uid="{00000000-0005-0000-0000-00009D120000}"/>
    <cellStyle name="쉼표 [0] 6 5" xfId="4824" xr:uid="{00000000-0005-0000-0000-00009E120000}"/>
    <cellStyle name="쉼표 [0] 6 5 2" xfId="4825" xr:uid="{00000000-0005-0000-0000-00009F120000}"/>
    <cellStyle name="쉼표 [0] 6 5 2 2" xfId="4826" xr:uid="{00000000-0005-0000-0000-0000A0120000}"/>
    <cellStyle name="쉼표 [0] 6 5 2 2 2" xfId="4827" xr:uid="{00000000-0005-0000-0000-0000A1120000}"/>
    <cellStyle name="쉼표 [0] 6 5 2 2 2 2" xfId="4828" xr:uid="{00000000-0005-0000-0000-0000A2120000}"/>
    <cellStyle name="쉼표 [0] 6 5 2 2 2 2 2" xfId="4829" xr:uid="{00000000-0005-0000-0000-0000A3120000}"/>
    <cellStyle name="쉼표 [0] 6 5 2 2 2 3" xfId="4830" xr:uid="{00000000-0005-0000-0000-0000A4120000}"/>
    <cellStyle name="쉼표 [0] 6 5 2 2 3" xfId="4831" xr:uid="{00000000-0005-0000-0000-0000A5120000}"/>
    <cellStyle name="쉼표 [0] 6 5 2 2 3 2" xfId="4832" xr:uid="{00000000-0005-0000-0000-0000A6120000}"/>
    <cellStyle name="쉼표 [0] 6 5 2 2 4" xfId="4833" xr:uid="{00000000-0005-0000-0000-0000A7120000}"/>
    <cellStyle name="쉼표 [0] 6 5 2 3" xfId="4834" xr:uid="{00000000-0005-0000-0000-0000A8120000}"/>
    <cellStyle name="쉼표 [0] 6 5 2 3 2" xfId="4835" xr:uid="{00000000-0005-0000-0000-0000A9120000}"/>
    <cellStyle name="쉼표 [0] 6 5 2 3 2 2" xfId="4836" xr:uid="{00000000-0005-0000-0000-0000AA120000}"/>
    <cellStyle name="쉼표 [0] 6 5 2 3 3" xfId="4837" xr:uid="{00000000-0005-0000-0000-0000AB120000}"/>
    <cellStyle name="쉼표 [0] 6 5 2 4" xfId="4838" xr:uid="{00000000-0005-0000-0000-0000AC120000}"/>
    <cellStyle name="쉼표 [0] 6 5 2 4 2" xfId="4839" xr:uid="{00000000-0005-0000-0000-0000AD120000}"/>
    <cellStyle name="쉼표 [0] 6 5 2 5" xfId="4840" xr:uid="{00000000-0005-0000-0000-0000AE120000}"/>
    <cellStyle name="쉼표 [0] 6 5 3" xfId="4841" xr:uid="{00000000-0005-0000-0000-0000AF120000}"/>
    <cellStyle name="쉼표 [0] 6 5 3 2" xfId="4842" xr:uid="{00000000-0005-0000-0000-0000B0120000}"/>
    <cellStyle name="쉼표 [0] 6 5 3 2 2" xfId="4843" xr:uid="{00000000-0005-0000-0000-0000B1120000}"/>
    <cellStyle name="쉼표 [0] 6 5 3 2 2 2" xfId="4844" xr:uid="{00000000-0005-0000-0000-0000B2120000}"/>
    <cellStyle name="쉼표 [0] 6 5 3 2 3" xfId="4845" xr:uid="{00000000-0005-0000-0000-0000B3120000}"/>
    <cellStyle name="쉼표 [0] 6 5 3 3" xfId="4846" xr:uid="{00000000-0005-0000-0000-0000B4120000}"/>
    <cellStyle name="쉼표 [0] 6 5 3 3 2" xfId="4847" xr:uid="{00000000-0005-0000-0000-0000B5120000}"/>
    <cellStyle name="쉼표 [0] 6 5 3 4" xfId="4848" xr:uid="{00000000-0005-0000-0000-0000B6120000}"/>
    <cellStyle name="쉼표 [0] 6 5 4" xfId="4849" xr:uid="{00000000-0005-0000-0000-0000B7120000}"/>
    <cellStyle name="쉼표 [0] 6 5 4 2" xfId="4850" xr:uid="{00000000-0005-0000-0000-0000B8120000}"/>
    <cellStyle name="쉼표 [0] 6 5 4 2 2" xfId="4851" xr:uid="{00000000-0005-0000-0000-0000B9120000}"/>
    <cellStyle name="쉼표 [0] 6 5 4 3" xfId="4852" xr:uid="{00000000-0005-0000-0000-0000BA120000}"/>
    <cellStyle name="쉼표 [0] 6 5 5" xfId="4853" xr:uid="{00000000-0005-0000-0000-0000BB120000}"/>
    <cellStyle name="쉼표 [0] 6 5 5 2" xfId="4854" xr:uid="{00000000-0005-0000-0000-0000BC120000}"/>
    <cellStyle name="쉼표 [0] 6 5 6" xfId="4855" xr:uid="{00000000-0005-0000-0000-0000BD120000}"/>
    <cellStyle name="쉼표 [0] 6 6" xfId="4856" xr:uid="{00000000-0005-0000-0000-0000BE120000}"/>
    <cellStyle name="쉼표 [0] 6 6 2" xfId="4857" xr:uid="{00000000-0005-0000-0000-0000BF120000}"/>
    <cellStyle name="쉼표 [0] 6 6 2 2" xfId="4858" xr:uid="{00000000-0005-0000-0000-0000C0120000}"/>
    <cellStyle name="쉼표 [0] 6 6 2 2 2" xfId="4859" xr:uid="{00000000-0005-0000-0000-0000C1120000}"/>
    <cellStyle name="쉼표 [0] 6 6 2 2 2 2" xfId="4860" xr:uid="{00000000-0005-0000-0000-0000C2120000}"/>
    <cellStyle name="쉼표 [0] 6 6 2 2 3" xfId="4861" xr:uid="{00000000-0005-0000-0000-0000C3120000}"/>
    <cellStyle name="쉼표 [0] 6 6 2 3" xfId="4862" xr:uid="{00000000-0005-0000-0000-0000C4120000}"/>
    <cellStyle name="쉼표 [0] 6 6 2 3 2" xfId="4863" xr:uid="{00000000-0005-0000-0000-0000C5120000}"/>
    <cellStyle name="쉼표 [0] 6 6 2 4" xfId="4864" xr:uid="{00000000-0005-0000-0000-0000C6120000}"/>
    <cellStyle name="쉼표 [0] 6 6 3" xfId="4865" xr:uid="{00000000-0005-0000-0000-0000C7120000}"/>
    <cellStyle name="쉼표 [0] 6 6 3 2" xfId="4866" xr:uid="{00000000-0005-0000-0000-0000C8120000}"/>
    <cellStyle name="쉼표 [0] 6 6 3 2 2" xfId="4867" xr:uid="{00000000-0005-0000-0000-0000C9120000}"/>
    <cellStyle name="쉼표 [0] 6 6 3 3" xfId="4868" xr:uid="{00000000-0005-0000-0000-0000CA120000}"/>
    <cellStyle name="쉼표 [0] 6 6 4" xfId="4869" xr:uid="{00000000-0005-0000-0000-0000CB120000}"/>
    <cellStyle name="쉼표 [0] 6 6 4 2" xfId="4870" xr:uid="{00000000-0005-0000-0000-0000CC120000}"/>
    <cellStyle name="쉼표 [0] 6 6 5" xfId="4871" xr:uid="{00000000-0005-0000-0000-0000CD120000}"/>
    <cellStyle name="쉼표 [0] 6 7" xfId="4872" xr:uid="{00000000-0005-0000-0000-0000CE120000}"/>
    <cellStyle name="쉼표 [0] 6 7 2" xfId="4873" xr:uid="{00000000-0005-0000-0000-0000CF120000}"/>
    <cellStyle name="쉼표 [0] 6 7 2 2" xfId="4874" xr:uid="{00000000-0005-0000-0000-0000D0120000}"/>
    <cellStyle name="쉼표 [0] 6 7 2 2 2" xfId="4875" xr:uid="{00000000-0005-0000-0000-0000D1120000}"/>
    <cellStyle name="쉼표 [0] 6 7 2 3" xfId="4876" xr:uid="{00000000-0005-0000-0000-0000D2120000}"/>
    <cellStyle name="쉼표 [0] 6 7 3" xfId="4877" xr:uid="{00000000-0005-0000-0000-0000D3120000}"/>
    <cellStyle name="쉼표 [0] 6 7 3 2" xfId="4878" xr:uid="{00000000-0005-0000-0000-0000D4120000}"/>
    <cellStyle name="쉼표 [0] 6 7 4" xfId="4879" xr:uid="{00000000-0005-0000-0000-0000D5120000}"/>
    <cellStyle name="쉼표 [0] 6 8" xfId="4880" xr:uid="{00000000-0005-0000-0000-0000D6120000}"/>
    <cellStyle name="쉼표 [0] 6 8 2" xfId="4881" xr:uid="{00000000-0005-0000-0000-0000D7120000}"/>
    <cellStyle name="쉼표 [0] 6 8 2 2" xfId="4882" xr:uid="{00000000-0005-0000-0000-0000D8120000}"/>
    <cellStyle name="쉼표 [0] 6 8 3" xfId="4883" xr:uid="{00000000-0005-0000-0000-0000D9120000}"/>
    <cellStyle name="쉼표 [0] 6 9" xfId="4884" xr:uid="{00000000-0005-0000-0000-0000DA120000}"/>
    <cellStyle name="쉼표 [0] 6 9 2" xfId="4885" xr:uid="{00000000-0005-0000-0000-0000DB120000}"/>
    <cellStyle name="쉼표 [0] 7" xfId="4886" xr:uid="{00000000-0005-0000-0000-0000DC120000}"/>
    <cellStyle name="쉼표 [0] 7 2" xfId="4887" xr:uid="{00000000-0005-0000-0000-0000DD120000}"/>
    <cellStyle name="쉼표 [0] 7 2 2" xfId="4888" xr:uid="{00000000-0005-0000-0000-0000DE120000}"/>
    <cellStyle name="쉼표 [0] 7 2 2 2" xfId="4889" xr:uid="{00000000-0005-0000-0000-0000DF120000}"/>
    <cellStyle name="쉼표 [0] 7 2 2 2 2" xfId="4890" xr:uid="{00000000-0005-0000-0000-0000E0120000}"/>
    <cellStyle name="쉼표 [0] 7 2 2 2 2 2" xfId="4891" xr:uid="{00000000-0005-0000-0000-0000E1120000}"/>
    <cellStyle name="쉼표 [0] 7 2 2 2 2 2 2" xfId="4892" xr:uid="{00000000-0005-0000-0000-0000E2120000}"/>
    <cellStyle name="쉼표 [0] 7 2 2 2 2 2 2 2" xfId="4893" xr:uid="{00000000-0005-0000-0000-0000E3120000}"/>
    <cellStyle name="쉼표 [0] 7 2 2 2 2 2 3" xfId="4894" xr:uid="{00000000-0005-0000-0000-0000E4120000}"/>
    <cellStyle name="쉼표 [0] 7 2 2 2 2 3" xfId="4895" xr:uid="{00000000-0005-0000-0000-0000E5120000}"/>
    <cellStyle name="쉼표 [0] 7 2 2 2 2 3 2" xfId="4896" xr:uid="{00000000-0005-0000-0000-0000E6120000}"/>
    <cellStyle name="쉼표 [0] 7 2 2 2 2 4" xfId="4897" xr:uid="{00000000-0005-0000-0000-0000E7120000}"/>
    <cellStyle name="쉼표 [0] 7 2 2 2 3" xfId="4898" xr:uid="{00000000-0005-0000-0000-0000E8120000}"/>
    <cellStyle name="쉼표 [0] 7 2 2 2 3 2" xfId="4899" xr:uid="{00000000-0005-0000-0000-0000E9120000}"/>
    <cellStyle name="쉼표 [0] 7 2 2 2 3 2 2" xfId="4900" xr:uid="{00000000-0005-0000-0000-0000EA120000}"/>
    <cellStyle name="쉼표 [0] 7 2 2 2 3 3" xfId="4901" xr:uid="{00000000-0005-0000-0000-0000EB120000}"/>
    <cellStyle name="쉼표 [0] 7 2 2 2 4" xfId="4902" xr:uid="{00000000-0005-0000-0000-0000EC120000}"/>
    <cellStyle name="쉼표 [0] 7 2 2 2 4 2" xfId="4903" xr:uid="{00000000-0005-0000-0000-0000ED120000}"/>
    <cellStyle name="쉼표 [0] 7 2 2 2 5" xfId="4904" xr:uid="{00000000-0005-0000-0000-0000EE120000}"/>
    <cellStyle name="쉼표 [0] 7 2 2 3" xfId="4905" xr:uid="{00000000-0005-0000-0000-0000EF120000}"/>
    <cellStyle name="쉼표 [0] 7 2 2 3 2" xfId="4906" xr:uid="{00000000-0005-0000-0000-0000F0120000}"/>
    <cellStyle name="쉼표 [0] 7 2 2 3 2 2" xfId="4907" xr:uid="{00000000-0005-0000-0000-0000F1120000}"/>
    <cellStyle name="쉼표 [0] 7 2 2 3 2 2 2" xfId="4908" xr:uid="{00000000-0005-0000-0000-0000F2120000}"/>
    <cellStyle name="쉼표 [0] 7 2 2 3 2 3" xfId="4909" xr:uid="{00000000-0005-0000-0000-0000F3120000}"/>
    <cellStyle name="쉼표 [0] 7 2 2 3 3" xfId="4910" xr:uid="{00000000-0005-0000-0000-0000F4120000}"/>
    <cellStyle name="쉼표 [0] 7 2 2 3 3 2" xfId="4911" xr:uid="{00000000-0005-0000-0000-0000F5120000}"/>
    <cellStyle name="쉼표 [0] 7 2 2 3 4" xfId="4912" xr:uid="{00000000-0005-0000-0000-0000F6120000}"/>
    <cellStyle name="쉼표 [0] 7 2 2 4" xfId="4913" xr:uid="{00000000-0005-0000-0000-0000F7120000}"/>
    <cellStyle name="쉼표 [0] 7 2 2 4 2" xfId="4914" xr:uid="{00000000-0005-0000-0000-0000F8120000}"/>
    <cellStyle name="쉼표 [0] 7 2 2 4 2 2" xfId="4915" xr:uid="{00000000-0005-0000-0000-0000F9120000}"/>
    <cellStyle name="쉼표 [0] 7 2 2 4 3" xfId="4916" xr:uid="{00000000-0005-0000-0000-0000FA120000}"/>
    <cellStyle name="쉼표 [0] 7 2 2 5" xfId="4917" xr:uid="{00000000-0005-0000-0000-0000FB120000}"/>
    <cellStyle name="쉼표 [0] 7 2 2 5 2" xfId="4918" xr:uid="{00000000-0005-0000-0000-0000FC120000}"/>
    <cellStyle name="쉼표 [0] 7 2 2 6" xfId="4919" xr:uid="{00000000-0005-0000-0000-0000FD120000}"/>
    <cellStyle name="쉼표 [0] 7 2 3" xfId="4920" xr:uid="{00000000-0005-0000-0000-0000FE120000}"/>
    <cellStyle name="쉼표 [0] 7 2 3 2" xfId="4921" xr:uid="{00000000-0005-0000-0000-0000FF120000}"/>
    <cellStyle name="쉼표 [0] 7 2 3 2 2" xfId="4922" xr:uid="{00000000-0005-0000-0000-000000130000}"/>
    <cellStyle name="쉼표 [0] 7 2 3 2 2 2" xfId="4923" xr:uid="{00000000-0005-0000-0000-000001130000}"/>
    <cellStyle name="쉼표 [0] 7 2 3 2 2 2 2" xfId="4924" xr:uid="{00000000-0005-0000-0000-000002130000}"/>
    <cellStyle name="쉼표 [0] 7 2 3 2 2 3" xfId="4925" xr:uid="{00000000-0005-0000-0000-000003130000}"/>
    <cellStyle name="쉼표 [0] 7 2 3 2 3" xfId="4926" xr:uid="{00000000-0005-0000-0000-000004130000}"/>
    <cellStyle name="쉼표 [0] 7 2 3 2 3 2" xfId="4927" xr:uid="{00000000-0005-0000-0000-000005130000}"/>
    <cellStyle name="쉼표 [0] 7 2 3 2 4" xfId="4928" xr:uid="{00000000-0005-0000-0000-000006130000}"/>
    <cellStyle name="쉼표 [0] 7 2 3 3" xfId="4929" xr:uid="{00000000-0005-0000-0000-000007130000}"/>
    <cellStyle name="쉼표 [0] 7 2 3 3 2" xfId="4930" xr:uid="{00000000-0005-0000-0000-000008130000}"/>
    <cellStyle name="쉼표 [0] 7 2 3 3 2 2" xfId="4931" xr:uid="{00000000-0005-0000-0000-000009130000}"/>
    <cellStyle name="쉼표 [0] 7 2 3 3 3" xfId="4932" xr:uid="{00000000-0005-0000-0000-00000A130000}"/>
    <cellStyle name="쉼표 [0] 7 2 3 4" xfId="4933" xr:uid="{00000000-0005-0000-0000-00000B130000}"/>
    <cellStyle name="쉼표 [0] 7 2 3 4 2" xfId="4934" xr:uid="{00000000-0005-0000-0000-00000C130000}"/>
    <cellStyle name="쉼표 [0] 7 2 3 5" xfId="4935" xr:uid="{00000000-0005-0000-0000-00000D130000}"/>
    <cellStyle name="쉼표 [0] 7 2 4" xfId="4936" xr:uid="{00000000-0005-0000-0000-00000E130000}"/>
    <cellStyle name="쉼표 [0] 7 2 4 2" xfId="4937" xr:uid="{00000000-0005-0000-0000-00000F130000}"/>
    <cellStyle name="쉼표 [0] 7 2 4 2 2" xfId="4938" xr:uid="{00000000-0005-0000-0000-000010130000}"/>
    <cellStyle name="쉼표 [0] 7 2 4 2 2 2" xfId="4939" xr:uid="{00000000-0005-0000-0000-000011130000}"/>
    <cellStyle name="쉼표 [0] 7 2 4 2 3" xfId="4940" xr:uid="{00000000-0005-0000-0000-000012130000}"/>
    <cellStyle name="쉼표 [0] 7 2 4 3" xfId="4941" xr:uid="{00000000-0005-0000-0000-000013130000}"/>
    <cellStyle name="쉼표 [0] 7 2 4 3 2" xfId="4942" xr:uid="{00000000-0005-0000-0000-000014130000}"/>
    <cellStyle name="쉼표 [0] 7 2 4 4" xfId="4943" xr:uid="{00000000-0005-0000-0000-000015130000}"/>
    <cellStyle name="쉼표 [0] 7 2 5" xfId="4944" xr:uid="{00000000-0005-0000-0000-000016130000}"/>
    <cellStyle name="쉼표 [0] 7 2 5 2" xfId="4945" xr:uid="{00000000-0005-0000-0000-000017130000}"/>
    <cellStyle name="쉼표 [0] 7 2 5 2 2" xfId="4946" xr:uid="{00000000-0005-0000-0000-000018130000}"/>
    <cellStyle name="쉼표 [0] 7 2 5 3" xfId="4947" xr:uid="{00000000-0005-0000-0000-000019130000}"/>
    <cellStyle name="쉼표 [0] 7 2 6" xfId="4948" xr:uid="{00000000-0005-0000-0000-00001A130000}"/>
    <cellStyle name="쉼표 [0] 7 2 6 2" xfId="4949" xr:uid="{00000000-0005-0000-0000-00001B130000}"/>
    <cellStyle name="쉼표 [0] 7 2 7" xfId="4950" xr:uid="{00000000-0005-0000-0000-00001C130000}"/>
    <cellStyle name="쉼표 [0] 7 2 8" xfId="4951" xr:uid="{00000000-0005-0000-0000-00001D130000}"/>
    <cellStyle name="쉼표 [0] 7 3" xfId="4952" xr:uid="{00000000-0005-0000-0000-00001E130000}"/>
    <cellStyle name="쉼표 [0] 7 3 2" xfId="4953" xr:uid="{00000000-0005-0000-0000-00001F130000}"/>
    <cellStyle name="쉼표 [0] 7 3 2 2" xfId="4954" xr:uid="{00000000-0005-0000-0000-000020130000}"/>
    <cellStyle name="쉼표 [0] 7 3 2 2 2" xfId="4955" xr:uid="{00000000-0005-0000-0000-000021130000}"/>
    <cellStyle name="쉼표 [0] 7 3 2 2 2 2" xfId="4956" xr:uid="{00000000-0005-0000-0000-000022130000}"/>
    <cellStyle name="쉼표 [0] 7 3 2 2 2 2 2" xfId="4957" xr:uid="{00000000-0005-0000-0000-000023130000}"/>
    <cellStyle name="쉼표 [0] 7 3 2 2 2 3" xfId="4958" xr:uid="{00000000-0005-0000-0000-000024130000}"/>
    <cellStyle name="쉼표 [0] 7 3 2 2 3" xfId="4959" xr:uid="{00000000-0005-0000-0000-000025130000}"/>
    <cellStyle name="쉼표 [0] 7 3 2 2 3 2" xfId="4960" xr:uid="{00000000-0005-0000-0000-000026130000}"/>
    <cellStyle name="쉼표 [0] 7 3 2 2 4" xfId="4961" xr:uid="{00000000-0005-0000-0000-000027130000}"/>
    <cellStyle name="쉼표 [0] 7 3 2 3" xfId="4962" xr:uid="{00000000-0005-0000-0000-000028130000}"/>
    <cellStyle name="쉼표 [0] 7 3 2 3 2" xfId="4963" xr:uid="{00000000-0005-0000-0000-000029130000}"/>
    <cellStyle name="쉼표 [0] 7 3 2 3 2 2" xfId="4964" xr:uid="{00000000-0005-0000-0000-00002A130000}"/>
    <cellStyle name="쉼표 [0] 7 3 2 3 3" xfId="4965" xr:uid="{00000000-0005-0000-0000-00002B130000}"/>
    <cellStyle name="쉼표 [0] 7 3 2 4" xfId="4966" xr:uid="{00000000-0005-0000-0000-00002C130000}"/>
    <cellStyle name="쉼표 [0] 7 3 2 4 2" xfId="4967" xr:uid="{00000000-0005-0000-0000-00002D130000}"/>
    <cellStyle name="쉼표 [0] 7 3 2 5" xfId="4968" xr:uid="{00000000-0005-0000-0000-00002E130000}"/>
    <cellStyle name="쉼표 [0] 7 3 3" xfId="4969" xr:uid="{00000000-0005-0000-0000-00002F130000}"/>
    <cellStyle name="쉼표 [0] 7 3 3 2" xfId="4970" xr:uid="{00000000-0005-0000-0000-000030130000}"/>
    <cellStyle name="쉼표 [0] 7 3 3 2 2" xfId="4971" xr:uid="{00000000-0005-0000-0000-000031130000}"/>
    <cellStyle name="쉼표 [0] 7 3 3 2 2 2" xfId="4972" xr:uid="{00000000-0005-0000-0000-000032130000}"/>
    <cellStyle name="쉼표 [0] 7 3 3 2 3" xfId="4973" xr:uid="{00000000-0005-0000-0000-000033130000}"/>
    <cellStyle name="쉼표 [0] 7 3 3 3" xfId="4974" xr:uid="{00000000-0005-0000-0000-000034130000}"/>
    <cellStyle name="쉼표 [0] 7 3 3 3 2" xfId="4975" xr:uid="{00000000-0005-0000-0000-000035130000}"/>
    <cellStyle name="쉼표 [0] 7 3 3 4" xfId="4976" xr:uid="{00000000-0005-0000-0000-000036130000}"/>
    <cellStyle name="쉼표 [0] 7 3 4" xfId="4977" xr:uid="{00000000-0005-0000-0000-000037130000}"/>
    <cellStyle name="쉼표 [0] 7 3 4 2" xfId="4978" xr:uid="{00000000-0005-0000-0000-000038130000}"/>
    <cellStyle name="쉼표 [0] 7 3 4 2 2" xfId="4979" xr:uid="{00000000-0005-0000-0000-000039130000}"/>
    <cellStyle name="쉼표 [0] 7 3 4 3" xfId="4980" xr:uid="{00000000-0005-0000-0000-00003A130000}"/>
    <cellStyle name="쉼표 [0] 7 3 5" xfId="4981" xr:uid="{00000000-0005-0000-0000-00003B130000}"/>
    <cellStyle name="쉼표 [0] 7 3 5 2" xfId="4982" xr:uid="{00000000-0005-0000-0000-00003C130000}"/>
    <cellStyle name="쉼표 [0] 7 3 6" xfId="4983" xr:uid="{00000000-0005-0000-0000-00003D130000}"/>
    <cellStyle name="쉼표 [0] 7 4" xfId="4984" xr:uid="{00000000-0005-0000-0000-00003E130000}"/>
    <cellStyle name="쉼표 [0] 7 4 2" xfId="4985" xr:uid="{00000000-0005-0000-0000-00003F130000}"/>
    <cellStyle name="쉼표 [0] 7 4 2 2" xfId="4986" xr:uid="{00000000-0005-0000-0000-000040130000}"/>
    <cellStyle name="쉼표 [0] 7 4 2 2 2" xfId="4987" xr:uid="{00000000-0005-0000-0000-000041130000}"/>
    <cellStyle name="쉼표 [0] 7 4 2 2 2 2" xfId="4988" xr:uid="{00000000-0005-0000-0000-000042130000}"/>
    <cellStyle name="쉼표 [0] 7 4 2 2 3" xfId="4989" xr:uid="{00000000-0005-0000-0000-000043130000}"/>
    <cellStyle name="쉼표 [0] 7 4 2 3" xfId="4990" xr:uid="{00000000-0005-0000-0000-000044130000}"/>
    <cellStyle name="쉼표 [0] 7 4 2 3 2" xfId="4991" xr:uid="{00000000-0005-0000-0000-000045130000}"/>
    <cellStyle name="쉼표 [0] 7 4 2 4" xfId="4992" xr:uid="{00000000-0005-0000-0000-000046130000}"/>
    <cellStyle name="쉼표 [0] 7 4 3" xfId="4993" xr:uid="{00000000-0005-0000-0000-000047130000}"/>
    <cellStyle name="쉼표 [0] 7 4 3 2" xfId="4994" xr:uid="{00000000-0005-0000-0000-000048130000}"/>
    <cellStyle name="쉼표 [0] 7 4 3 2 2" xfId="4995" xr:uid="{00000000-0005-0000-0000-000049130000}"/>
    <cellStyle name="쉼표 [0] 7 4 3 3" xfId="4996" xr:uid="{00000000-0005-0000-0000-00004A130000}"/>
    <cellStyle name="쉼표 [0] 7 4 4" xfId="4997" xr:uid="{00000000-0005-0000-0000-00004B130000}"/>
    <cellStyle name="쉼표 [0] 7 4 4 2" xfId="4998" xr:uid="{00000000-0005-0000-0000-00004C130000}"/>
    <cellStyle name="쉼표 [0] 7 4 5" xfId="4999" xr:uid="{00000000-0005-0000-0000-00004D130000}"/>
    <cellStyle name="쉼표 [0] 7 5" xfId="5000" xr:uid="{00000000-0005-0000-0000-00004E130000}"/>
    <cellStyle name="쉼표 [0] 7 5 2" xfId="5001" xr:uid="{00000000-0005-0000-0000-00004F130000}"/>
    <cellStyle name="쉼표 [0] 7 5 2 2" xfId="5002" xr:uid="{00000000-0005-0000-0000-000050130000}"/>
    <cellStyle name="쉼표 [0] 7 5 2 2 2" xfId="5003" xr:uid="{00000000-0005-0000-0000-000051130000}"/>
    <cellStyle name="쉼표 [0] 7 5 2 3" xfId="5004" xr:uid="{00000000-0005-0000-0000-000052130000}"/>
    <cellStyle name="쉼표 [0] 7 5 3" xfId="5005" xr:uid="{00000000-0005-0000-0000-000053130000}"/>
    <cellStyle name="쉼표 [0] 7 5 3 2" xfId="5006" xr:uid="{00000000-0005-0000-0000-000054130000}"/>
    <cellStyle name="쉼표 [0] 7 5 4" xfId="5007" xr:uid="{00000000-0005-0000-0000-000055130000}"/>
    <cellStyle name="쉼표 [0] 7 6" xfId="5008" xr:uid="{00000000-0005-0000-0000-000056130000}"/>
    <cellStyle name="쉼표 [0] 7 6 2" xfId="5009" xr:uid="{00000000-0005-0000-0000-000057130000}"/>
    <cellStyle name="쉼표 [0] 7 6 2 2" xfId="5010" xr:uid="{00000000-0005-0000-0000-000058130000}"/>
    <cellStyle name="쉼표 [0] 7 6 3" xfId="5011" xr:uid="{00000000-0005-0000-0000-000059130000}"/>
    <cellStyle name="쉼표 [0] 7 7" xfId="5012" xr:uid="{00000000-0005-0000-0000-00005A130000}"/>
    <cellStyle name="쉼표 [0] 7 7 2" xfId="5013" xr:uid="{00000000-0005-0000-0000-00005B130000}"/>
    <cellStyle name="쉼표 [0] 7 8" xfId="5014" xr:uid="{00000000-0005-0000-0000-00005C130000}"/>
    <cellStyle name="쉼표 [0] 7 9" xfId="5015" xr:uid="{00000000-0005-0000-0000-00005D130000}"/>
    <cellStyle name="쉼표 [0] 8" xfId="5016" xr:uid="{00000000-0005-0000-0000-00005E130000}"/>
    <cellStyle name="쉼표 [0] 8 2" xfId="5017" xr:uid="{00000000-0005-0000-0000-00005F130000}"/>
    <cellStyle name="쉼표 [0] 8 2 2" xfId="5018" xr:uid="{00000000-0005-0000-0000-000060130000}"/>
    <cellStyle name="쉼표 [0] 8 2 2 2" xfId="5019" xr:uid="{00000000-0005-0000-0000-000061130000}"/>
    <cellStyle name="쉼표 [0] 8 2 2 2 2" xfId="5020" xr:uid="{00000000-0005-0000-0000-000062130000}"/>
    <cellStyle name="쉼표 [0] 8 2 2 2 2 2" xfId="5021" xr:uid="{00000000-0005-0000-0000-000063130000}"/>
    <cellStyle name="쉼표 [0] 8 2 2 2 2 2 2" xfId="5022" xr:uid="{00000000-0005-0000-0000-000064130000}"/>
    <cellStyle name="쉼표 [0] 8 2 2 2 2 3" xfId="5023" xr:uid="{00000000-0005-0000-0000-000065130000}"/>
    <cellStyle name="쉼표 [0] 8 2 2 2 3" xfId="5024" xr:uid="{00000000-0005-0000-0000-000066130000}"/>
    <cellStyle name="쉼표 [0] 8 2 2 2 3 2" xfId="5025" xr:uid="{00000000-0005-0000-0000-000067130000}"/>
    <cellStyle name="쉼표 [0] 8 2 2 2 4" xfId="5026" xr:uid="{00000000-0005-0000-0000-000068130000}"/>
    <cellStyle name="쉼표 [0] 8 2 2 3" xfId="5027" xr:uid="{00000000-0005-0000-0000-000069130000}"/>
    <cellStyle name="쉼표 [0] 8 2 2 3 2" xfId="5028" xr:uid="{00000000-0005-0000-0000-00006A130000}"/>
    <cellStyle name="쉼표 [0] 8 2 2 3 2 2" xfId="5029" xr:uid="{00000000-0005-0000-0000-00006B130000}"/>
    <cellStyle name="쉼표 [0] 8 2 2 3 3" xfId="5030" xr:uid="{00000000-0005-0000-0000-00006C130000}"/>
    <cellStyle name="쉼표 [0] 8 2 2 4" xfId="5031" xr:uid="{00000000-0005-0000-0000-00006D130000}"/>
    <cellStyle name="쉼표 [0] 8 2 2 4 2" xfId="5032" xr:uid="{00000000-0005-0000-0000-00006E130000}"/>
    <cellStyle name="쉼표 [0] 8 2 2 5" xfId="5033" xr:uid="{00000000-0005-0000-0000-00006F130000}"/>
    <cellStyle name="쉼표 [0] 8 2 3" xfId="5034" xr:uid="{00000000-0005-0000-0000-000070130000}"/>
    <cellStyle name="쉼표 [0] 8 2 3 2" xfId="5035" xr:uid="{00000000-0005-0000-0000-000071130000}"/>
    <cellStyle name="쉼표 [0] 8 2 3 2 2" xfId="5036" xr:uid="{00000000-0005-0000-0000-000072130000}"/>
    <cellStyle name="쉼표 [0] 8 2 3 2 2 2" xfId="5037" xr:uid="{00000000-0005-0000-0000-000073130000}"/>
    <cellStyle name="쉼표 [0] 8 2 3 2 3" xfId="5038" xr:uid="{00000000-0005-0000-0000-000074130000}"/>
    <cellStyle name="쉼표 [0] 8 2 3 3" xfId="5039" xr:uid="{00000000-0005-0000-0000-000075130000}"/>
    <cellStyle name="쉼표 [0] 8 2 3 3 2" xfId="5040" xr:uid="{00000000-0005-0000-0000-000076130000}"/>
    <cellStyle name="쉼표 [0] 8 2 3 4" xfId="5041" xr:uid="{00000000-0005-0000-0000-000077130000}"/>
    <cellStyle name="쉼표 [0] 8 2 4" xfId="5042" xr:uid="{00000000-0005-0000-0000-000078130000}"/>
    <cellStyle name="쉼표 [0] 8 2 4 2" xfId="5043" xr:uid="{00000000-0005-0000-0000-000079130000}"/>
    <cellStyle name="쉼표 [0] 8 2 4 2 2" xfId="5044" xr:uid="{00000000-0005-0000-0000-00007A130000}"/>
    <cellStyle name="쉼표 [0] 8 2 4 3" xfId="5045" xr:uid="{00000000-0005-0000-0000-00007B130000}"/>
    <cellStyle name="쉼표 [0] 8 2 5" xfId="5046" xr:uid="{00000000-0005-0000-0000-00007C130000}"/>
    <cellStyle name="쉼표 [0] 8 2 5 2" xfId="5047" xr:uid="{00000000-0005-0000-0000-00007D130000}"/>
    <cellStyle name="쉼표 [0] 8 2 6" xfId="5048" xr:uid="{00000000-0005-0000-0000-00007E130000}"/>
    <cellStyle name="쉼표 [0] 8 3" xfId="5049" xr:uid="{00000000-0005-0000-0000-00007F130000}"/>
    <cellStyle name="쉼표 [0] 8 3 2" xfId="5050" xr:uid="{00000000-0005-0000-0000-000080130000}"/>
    <cellStyle name="쉼표 [0] 8 3 2 2" xfId="5051" xr:uid="{00000000-0005-0000-0000-000081130000}"/>
    <cellStyle name="쉼표 [0] 8 3 2 2 2" xfId="5052" xr:uid="{00000000-0005-0000-0000-000082130000}"/>
    <cellStyle name="쉼표 [0] 8 3 2 2 2 2" xfId="5053" xr:uid="{00000000-0005-0000-0000-000083130000}"/>
    <cellStyle name="쉼표 [0] 8 3 2 2 3" xfId="5054" xr:uid="{00000000-0005-0000-0000-000084130000}"/>
    <cellStyle name="쉼표 [0] 8 3 2 3" xfId="5055" xr:uid="{00000000-0005-0000-0000-000085130000}"/>
    <cellStyle name="쉼표 [0] 8 3 2 3 2" xfId="5056" xr:uid="{00000000-0005-0000-0000-000086130000}"/>
    <cellStyle name="쉼표 [0] 8 3 2 4" xfId="5057" xr:uid="{00000000-0005-0000-0000-000087130000}"/>
    <cellStyle name="쉼표 [0] 8 3 3" xfId="5058" xr:uid="{00000000-0005-0000-0000-000088130000}"/>
    <cellStyle name="쉼표 [0] 8 3 3 2" xfId="5059" xr:uid="{00000000-0005-0000-0000-000089130000}"/>
    <cellStyle name="쉼표 [0] 8 3 3 2 2" xfId="5060" xr:uid="{00000000-0005-0000-0000-00008A130000}"/>
    <cellStyle name="쉼표 [0] 8 3 3 3" xfId="5061" xr:uid="{00000000-0005-0000-0000-00008B130000}"/>
    <cellStyle name="쉼표 [0] 8 3 4" xfId="5062" xr:uid="{00000000-0005-0000-0000-00008C130000}"/>
    <cellStyle name="쉼표 [0] 8 3 4 2" xfId="5063" xr:uid="{00000000-0005-0000-0000-00008D130000}"/>
    <cellStyle name="쉼표 [0] 8 3 5" xfId="5064" xr:uid="{00000000-0005-0000-0000-00008E130000}"/>
    <cellStyle name="쉼표 [0] 8 4" xfId="5065" xr:uid="{00000000-0005-0000-0000-00008F130000}"/>
    <cellStyle name="쉼표 [0] 8 4 2" xfId="5066" xr:uid="{00000000-0005-0000-0000-000090130000}"/>
    <cellStyle name="쉼표 [0] 8 4 2 2" xfId="5067" xr:uid="{00000000-0005-0000-0000-000091130000}"/>
    <cellStyle name="쉼표 [0] 8 4 2 2 2" xfId="5068" xr:uid="{00000000-0005-0000-0000-000092130000}"/>
    <cellStyle name="쉼표 [0] 8 4 2 3" xfId="5069" xr:uid="{00000000-0005-0000-0000-000093130000}"/>
    <cellStyle name="쉼표 [0] 8 4 3" xfId="5070" xr:uid="{00000000-0005-0000-0000-000094130000}"/>
    <cellStyle name="쉼표 [0] 8 4 3 2" xfId="5071" xr:uid="{00000000-0005-0000-0000-000095130000}"/>
    <cellStyle name="쉼표 [0] 8 4 4" xfId="5072" xr:uid="{00000000-0005-0000-0000-000096130000}"/>
    <cellStyle name="쉼표 [0] 8 5" xfId="5073" xr:uid="{00000000-0005-0000-0000-000097130000}"/>
    <cellStyle name="쉼표 [0] 8 5 2" xfId="5074" xr:uid="{00000000-0005-0000-0000-000098130000}"/>
    <cellStyle name="쉼표 [0] 8 5 2 2" xfId="5075" xr:uid="{00000000-0005-0000-0000-000099130000}"/>
    <cellStyle name="쉼표 [0] 8 5 3" xfId="5076" xr:uid="{00000000-0005-0000-0000-00009A130000}"/>
    <cellStyle name="쉼표 [0] 8 6" xfId="5077" xr:uid="{00000000-0005-0000-0000-00009B130000}"/>
    <cellStyle name="쉼표 [0] 8 6 2" xfId="5078" xr:uid="{00000000-0005-0000-0000-00009C130000}"/>
    <cellStyle name="쉼표 [0] 8 7" xfId="5079" xr:uid="{00000000-0005-0000-0000-00009D130000}"/>
    <cellStyle name="쉼표 [0] 8 8" xfId="5080" xr:uid="{00000000-0005-0000-0000-00009E130000}"/>
    <cellStyle name="쉼표 [0] 9" xfId="5081" xr:uid="{00000000-0005-0000-0000-00009F130000}"/>
    <cellStyle name="쉼표 [0] 9 2" xfId="5082" xr:uid="{00000000-0005-0000-0000-0000A0130000}"/>
    <cellStyle name="쉼표 [0] 9 2 2" xfId="5083" xr:uid="{00000000-0005-0000-0000-0000A1130000}"/>
    <cellStyle name="쉼표 [0] 9 2 2 2" xfId="5084" xr:uid="{00000000-0005-0000-0000-0000A2130000}"/>
    <cellStyle name="쉼표 [0] 9 2 2 2 2" xfId="5085" xr:uid="{00000000-0005-0000-0000-0000A3130000}"/>
    <cellStyle name="쉼표 [0] 9 2 2 2 2 2" xfId="5086" xr:uid="{00000000-0005-0000-0000-0000A4130000}"/>
    <cellStyle name="쉼표 [0] 9 2 2 2 3" xfId="5087" xr:uid="{00000000-0005-0000-0000-0000A5130000}"/>
    <cellStyle name="쉼표 [0] 9 2 2 3" xfId="5088" xr:uid="{00000000-0005-0000-0000-0000A6130000}"/>
    <cellStyle name="쉼표 [0] 9 2 2 3 2" xfId="5089" xr:uid="{00000000-0005-0000-0000-0000A7130000}"/>
    <cellStyle name="쉼표 [0] 9 2 2 4" xfId="5090" xr:uid="{00000000-0005-0000-0000-0000A8130000}"/>
    <cellStyle name="쉼표 [0] 9 2 3" xfId="5091" xr:uid="{00000000-0005-0000-0000-0000A9130000}"/>
    <cellStyle name="쉼표 [0] 9 2 3 2" xfId="5092" xr:uid="{00000000-0005-0000-0000-0000AA130000}"/>
    <cellStyle name="쉼표 [0] 9 2 3 2 2" xfId="5093" xr:uid="{00000000-0005-0000-0000-0000AB130000}"/>
    <cellStyle name="쉼표 [0] 9 2 3 3" xfId="5094" xr:uid="{00000000-0005-0000-0000-0000AC130000}"/>
    <cellStyle name="쉼표 [0] 9 2 4" xfId="5095" xr:uid="{00000000-0005-0000-0000-0000AD130000}"/>
    <cellStyle name="쉼표 [0] 9 2 4 2" xfId="5096" xr:uid="{00000000-0005-0000-0000-0000AE130000}"/>
    <cellStyle name="쉼표 [0] 9 2 5" xfId="5097" xr:uid="{00000000-0005-0000-0000-0000AF130000}"/>
    <cellStyle name="쉼표 [0] 9 3" xfId="5098" xr:uid="{00000000-0005-0000-0000-0000B0130000}"/>
    <cellStyle name="쉼표 [0] 9 3 2" xfId="5099" xr:uid="{00000000-0005-0000-0000-0000B1130000}"/>
    <cellStyle name="쉼표 [0] 9 3 2 2" xfId="5100" xr:uid="{00000000-0005-0000-0000-0000B2130000}"/>
    <cellStyle name="쉼표 [0] 9 3 2 2 2" xfId="5101" xr:uid="{00000000-0005-0000-0000-0000B3130000}"/>
    <cellStyle name="쉼표 [0] 9 3 2 3" xfId="5102" xr:uid="{00000000-0005-0000-0000-0000B4130000}"/>
    <cellStyle name="쉼표 [0] 9 3 3" xfId="5103" xr:uid="{00000000-0005-0000-0000-0000B5130000}"/>
    <cellStyle name="쉼표 [0] 9 3 3 2" xfId="5104" xr:uid="{00000000-0005-0000-0000-0000B6130000}"/>
    <cellStyle name="쉼표 [0] 9 3 4" xfId="5105" xr:uid="{00000000-0005-0000-0000-0000B7130000}"/>
    <cellStyle name="쉼표 [0] 9 4" xfId="5106" xr:uid="{00000000-0005-0000-0000-0000B8130000}"/>
    <cellStyle name="쉼표 [0] 9 4 2" xfId="5107" xr:uid="{00000000-0005-0000-0000-0000B9130000}"/>
    <cellStyle name="쉼표 [0] 9 4 2 2" xfId="5108" xr:uid="{00000000-0005-0000-0000-0000BA130000}"/>
    <cellStyle name="쉼표 [0] 9 4 3" xfId="5109" xr:uid="{00000000-0005-0000-0000-0000BB130000}"/>
    <cellStyle name="쉼표 [0] 9 5" xfId="5110" xr:uid="{00000000-0005-0000-0000-0000BC130000}"/>
    <cellStyle name="쉼표 [0] 9 5 2" xfId="5111" xr:uid="{00000000-0005-0000-0000-0000BD130000}"/>
    <cellStyle name="쉼표 [0] 9 6" xfId="5112" xr:uid="{00000000-0005-0000-0000-0000BE130000}"/>
    <cellStyle name="통화 [0] 2" xfId="5113" xr:uid="{00000000-0005-0000-0000-0000BF130000}"/>
    <cellStyle name="통화 [0] 2 10" xfId="5114" xr:uid="{00000000-0005-0000-0000-0000C0130000}"/>
    <cellStyle name="통화 [0] 2 11" xfId="5115" xr:uid="{00000000-0005-0000-0000-0000C1130000}"/>
    <cellStyle name="통화 [0] 2 2" xfId="5116" xr:uid="{00000000-0005-0000-0000-0000C2130000}"/>
    <cellStyle name="통화 [0] 2 2 10" xfId="5117" xr:uid="{00000000-0005-0000-0000-0000C3130000}"/>
    <cellStyle name="통화 [0] 2 2 2" xfId="5118" xr:uid="{00000000-0005-0000-0000-0000C4130000}"/>
    <cellStyle name="통화 [0] 2 2 2 2" xfId="5119" xr:uid="{00000000-0005-0000-0000-0000C5130000}"/>
    <cellStyle name="통화 [0] 2 2 2 2 2" xfId="5120" xr:uid="{00000000-0005-0000-0000-0000C6130000}"/>
    <cellStyle name="통화 [0] 2 2 2 2 2 2" xfId="5121" xr:uid="{00000000-0005-0000-0000-0000C7130000}"/>
    <cellStyle name="통화 [0] 2 2 2 2 2 2 2" xfId="5122" xr:uid="{00000000-0005-0000-0000-0000C8130000}"/>
    <cellStyle name="통화 [0] 2 2 2 2 2 2 2 2" xfId="5123" xr:uid="{00000000-0005-0000-0000-0000C9130000}"/>
    <cellStyle name="통화 [0] 2 2 2 2 2 2 2 2 2" xfId="5124" xr:uid="{00000000-0005-0000-0000-0000CA130000}"/>
    <cellStyle name="통화 [0] 2 2 2 2 2 2 2 2 2 2" xfId="5125" xr:uid="{00000000-0005-0000-0000-0000CB130000}"/>
    <cellStyle name="통화 [0] 2 2 2 2 2 2 2 2 3" xfId="5126" xr:uid="{00000000-0005-0000-0000-0000CC130000}"/>
    <cellStyle name="통화 [0] 2 2 2 2 2 2 2 3" xfId="5127" xr:uid="{00000000-0005-0000-0000-0000CD130000}"/>
    <cellStyle name="통화 [0] 2 2 2 2 2 2 2 3 2" xfId="5128" xr:uid="{00000000-0005-0000-0000-0000CE130000}"/>
    <cellStyle name="통화 [0] 2 2 2 2 2 2 2 4" xfId="5129" xr:uid="{00000000-0005-0000-0000-0000CF130000}"/>
    <cellStyle name="통화 [0] 2 2 2 2 2 2 3" xfId="5130" xr:uid="{00000000-0005-0000-0000-0000D0130000}"/>
    <cellStyle name="통화 [0] 2 2 2 2 2 2 3 2" xfId="5131" xr:uid="{00000000-0005-0000-0000-0000D1130000}"/>
    <cellStyle name="통화 [0] 2 2 2 2 2 2 3 2 2" xfId="5132" xr:uid="{00000000-0005-0000-0000-0000D2130000}"/>
    <cellStyle name="통화 [0] 2 2 2 2 2 2 3 3" xfId="5133" xr:uid="{00000000-0005-0000-0000-0000D3130000}"/>
    <cellStyle name="통화 [0] 2 2 2 2 2 2 4" xfId="5134" xr:uid="{00000000-0005-0000-0000-0000D4130000}"/>
    <cellStyle name="통화 [0] 2 2 2 2 2 2 4 2" xfId="5135" xr:uid="{00000000-0005-0000-0000-0000D5130000}"/>
    <cellStyle name="통화 [0] 2 2 2 2 2 2 5" xfId="5136" xr:uid="{00000000-0005-0000-0000-0000D6130000}"/>
    <cellStyle name="통화 [0] 2 2 2 2 2 3" xfId="5137" xr:uid="{00000000-0005-0000-0000-0000D7130000}"/>
    <cellStyle name="통화 [0] 2 2 2 2 2 3 2" xfId="5138" xr:uid="{00000000-0005-0000-0000-0000D8130000}"/>
    <cellStyle name="통화 [0] 2 2 2 2 2 3 2 2" xfId="5139" xr:uid="{00000000-0005-0000-0000-0000D9130000}"/>
    <cellStyle name="통화 [0] 2 2 2 2 2 3 2 2 2" xfId="5140" xr:uid="{00000000-0005-0000-0000-0000DA130000}"/>
    <cellStyle name="통화 [0] 2 2 2 2 2 3 2 3" xfId="5141" xr:uid="{00000000-0005-0000-0000-0000DB130000}"/>
    <cellStyle name="통화 [0] 2 2 2 2 2 3 3" xfId="5142" xr:uid="{00000000-0005-0000-0000-0000DC130000}"/>
    <cellStyle name="통화 [0] 2 2 2 2 2 3 3 2" xfId="5143" xr:uid="{00000000-0005-0000-0000-0000DD130000}"/>
    <cellStyle name="통화 [0] 2 2 2 2 2 3 4" xfId="5144" xr:uid="{00000000-0005-0000-0000-0000DE130000}"/>
    <cellStyle name="통화 [0] 2 2 2 2 2 4" xfId="5145" xr:uid="{00000000-0005-0000-0000-0000DF130000}"/>
    <cellStyle name="통화 [0] 2 2 2 2 2 4 2" xfId="5146" xr:uid="{00000000-0005-0000-0000-0000E0130000}"/>
    <cellStyle name="통화 [0] 2 2 2 2 2 4 2 2" xfId="5147" xr:uid="{00000000-0005-0000-0000-0000E1130000}"/>
    <cellStyle name="통화 [0] 2 2 2 2 2 4 3" xfId="5148" xr:uid="{00000000-0005-0000-0000-0000E2130000}"/>
    <cellStyle name="통화 [0] 2 2 2 2 2 5" xfId="5149" xr:uid="{00000000-0005-0000-0000-0000E3130000}"/>
    <cellStyle name="통화 [0] 2 2 2 2 2 5 2" xfId="5150" xr:uid="{00000000-0005-0000-0000-0000E4130000}"/>
    <cellStyle name="통화 [0] 2 2 2 2 2 6" xfId="5151" xr:uid="{00000000-0005-0000-0000-0000E5130000}"/>
    <cellStyle name="통화 [0] 2 2 2 2 3" xfId="5152" xr:uid="{00000000-0005-0000-0000-0000E6130000}"/>
    <cellStyle name="통화 [0] 2 2 2 2 3 2" xfId="5153" xr:uid="{00000000-0005-0000-0000-0000E7130000}"/>
    <cellStyle name="통화 [0] 2 2 2 2 3 2 2" xfId="5154" xr:uid="{00000000-0005-0000-0000-0000E8130000}"/>
    <cellStyle name="통화 [0] 2 2 2 2 3 2 2 2" xfId="5155" xr:uid="{00000000-0005-0000-0000-0000E9130000}"/>
    <cellStyle name="통화 [0] 2 2 2 2 3 2 2 2 2" xfId="5156" xr:uid="{00000000-0005-0000-0000-0000EA130000}"/>
    <cellStyle name="통화 [0] 2 2 2 2 3 2 2 3" xfId="5157" xr:uid="{00000000-0005-0000-0000-0000EB130000}"/>
    <cellStyle name="통화 [0] 2 2 2 2 3 2 3" xfId="5158" xr:uid="{00000000-0005-0000-0000-0000EC130000}"/>
    <cellStyle name="통화 [0] 2 2 2 2 3 2 3 2" xfId="5159" xr:uid="{00000000-0005-0000-0000-0000ED130000}"/>
    <cellStyle name="통화 [0] 2 2 2 2 3 2 4" xfId="5160" xr:uid="{00000000-0005-0000-0000-0000EE130000}"/>
    <cellStyle name="통화 [0] 2 2 2 2 3 3" xfId="5161" xr:uid="{00000000-0005-0000-0000-0000EF130000}"/>
    <cellStyle name="통화 [0] 2 2 2 2 3 3 2" xfId="5162" xr:uid="{00000000-0005-0000-0000-0000F0130000}"/>
    <cellStyle name="통화 [0] 2 2 2 2 3 3 2 2" xfId="5163" xr:uid="{00000000-0005-0000-0000-0000F1130000}"/>
    <cellStyle name="통화 [0] 2 2 2 2 3 3 3" xfId="5164" xr:uid="{00000000-0005-0000-0000-0000F2130000}"/>
    <cellStyle name="통화 [0] 2 2 2 2 3 4" xfId="5165" xr:uid="{00000000-0005-0000-0000-0000F3130000}"/>
    <cellStyle name="통화 [0] 2 2 2 2 3 4 2" xfId="5166" xr:uid="{00000000-0005-0000-0000-0000F4130000}"/>
    <cellStyle name="통화 [0] 2 2 2 2 3 5" xfId="5167" xr:uid="{00000000-0005-0000-0000-0000F5130000}"/>
    <cellStyle name="통화 [0] 2 2 2 2 4" xfId="5168" xr:uid="{00000000-0005-0000-0000-0000F6130000}"/>
    <cellStyle name="통화 [0] 2 2 2 2 4 2" xfId="5169" xr:uid="{00000000-0005-0000-0000-0000F7130000}"/>
    <cellStyle name="통화 [0] 2 2 2 2 4 2 2" xfId="5170" xr:uid="{00000000-0005-0000-0000-0000F8130000}"/>
    <cellStyle name="통화 [0] 2 2 2 2 4 2 2 2" xfId="5171" xr:uid="{00000000-0005-0000-0000-0000F9130000}"/>
    <cellStyle name="통화 [0] 2 2 2 2 4 2 3" xfId="5172" xr:uid="{00000000-0005-0000-0000-0000FA130000}"/>
    <cellStyle name="통화 [0] 2 2 2 2 4 3" xfId="5173" xr:uid="{00000000-0005-0000-0000-0000FB130000}"/>
    <cellStyle name="통화 [0] 2 2 2 2 4 3 2" xfId="5174" xr:uid="{00000000-0005-0000-0000-0000FC130000}"/>
    <cellStyle name="통화 [0] 2 2 2 2 4 4" xfId="5175" xr:uid="{00000000-0005-0000-0000-0000FD130000}"/>
    <cellStyle name="통화 [0] 2 2 2 2 5" xfId="5176" xr:uid="{00000000-0005-0000-0000-0000FE130000}"/>
    <cellStyle name="통화 [0] 2 2 2 2 5 2" xfId="5177" xr:uid="{00000000-0005-0000-0000-0000FF130000}"/>
    <cellStyle name="통화 [0] 2 2 2 2 5 2 2" xfId="5178" xr:uid="{00000000-0005-0000-0000-000000140000}"/>
    <cellStyle name="통화 [0] 2 2 2 2 5 3" xfId="5179" xr:uid="{00000000-0005-0000-0000-000001140000}"/>
    <cellStyle name="통화 [0] 2 2 2 2 6" xfId="5180" xr:uid="{00000000-0005-0000-0000-000002140000}"/>
    <cellStyle name="통화 [0] 2 2 2 2 6 2" xfId="5181" xr:uid="{00000000-0005-0000-0000-000003140000}"/>
    <cellStyle name="통화 [0] 2 2 2 2 7" xfId="5182" xr:uid="{00000000-0005-0000-0000-000004140000}"/>
    <cellStyle name="통화 [0] 2 2 2 2 8" xfId="5183" xr:uid="{00000000-0005-0000-0000-000005140000}"/>
    <cellStyle name="통화 [0] 2 2 2 3" xfId="5184" xr:uid="{00000000-0005-0000-0000-000006140000}"/>
    <cellStyle name="통화 [0] 2 2 2 3 2" xfId="5185" xr:uid="{00000000-0005-0000-0000-000007140000}"/>
    <cellStyle name="통화 [0] 2 2 2 3 2 2" xfId="5186" xr:uid="{00000000-0005-0000-0000-000008140000}"/>
    <cellStyle name="통화 [0] 2 2 2 3 2 2 2" xfId="5187" xr:uid="{00000000-0005-0000-0000-000009140000}"/>
    <cellStyle name="통화 [0] 2 2 2 3 2 2 2 2" xfId="5188" xr:uid="{00000000-0005-0000-0000-00000A140000}"/>
    <cellStyle name="통화 [0] 2 2 2 3 2 2 2 2 2" xfId="5189" xr:uid="{00000000-0005-0000-0000-00000B140000}"/>
    <cellStyle name="통화 [0] 2 2 2 3 2 2 2 3" xfId="5190" xr:uid="{00000000-0005-0000-0000-00000C140000}"/>
    <cellStyle name="통화 [0] 2 2 2 3 2 2 3" xfId="5191" xr:uid="{00000000-0005-0000-0000-00000D140000}"/>
    <cellStyle name="통화 [0] 2 2 2 3 2 2 3 2" xfId="5192" xr:uid="{00000000-0005-0000-0000-00000E140000}"/>
    <cellStyle name="통화 [0] 2 2 2 3 2 2 4" xfId="5193" xr:uid="{00000000-0005-0000-0000-00000F140000}"/>
    <cellStyle name="통화 [0] 2 2 2 3 2 3" xfId="5194" xr:uid="{00000000-0005-0000-0000-000010140000}"/>
    <cellStyle name="통화 [0] 2 2 2 3 2 3 2" xfId="5195" xr:uid="{00000000-0005-0000-0000-000011140000}"/>
    <cellStyle name="통화 [0] 2 2 2 3 2 3 2 2" xfId="5196" xr:uid="{00000000-0005-0000-0000-000012140000}"/>
    <cellStyle name="통화 [0] 2 2 2 3 2 3 3" xfId="5197" xr:uid="{00000000-0005-0000-0000-000013140000}"/>
    <cellStyle name="통화 [0] 2 2 2 3 2 4" xfId="5198" xr:uid="{00000000-0005-0000-0000-000014140000}"/>
    <cellStyle name="통화 [0] 2 2 2 3 2 4 2" xfId="5199" xr:uid="{00000000-0005-0000-0000-000015140000}"/>
    <cellStyle name="통화 [0] 2 2 2 3 2 5" xfId="5200" xr:uid="{00000000-0005-0000-0000-000016140000}"/>
    <cellStyle name="통화 [0] 2 2 2 3 3" xfId="5201" xr:uid="{00000000-0005-0000-0000-000017140000}"/>
    <cellStyle name="통화 [0] 2 2 2 3 3 2" xfId="5202" xr:uid="{00000000-0005-0000-0000-000018140000}"/>
    <cellStyle name="통화 [0] 2 2 2 3 3 2 2" xfId="5203" xr:uid="{00000000-0005-0000-0000-000019140000}"/>
    <cellStyle name="통화 [0] 2 2 2 3 3 2 2 2" xfId="5204" xr:uid="{00000000-0005-0000-0000-00001A140000}"/>
    <cellStyle name="통화 [0] 2 2 2 3 3 2 3" xfId="5205" xr:uid="{00000000-0005-0000-0000-00001B140000}"/>
    <cellStyle name="통화 [0] 2 2 2 3 3 3" xfId="5206" xr:uid="{00000000-0005-0000-0000-00001C140000}"/>
    <cellStyle name="통화 [0] 2 2 2 3 3 3 2" xfId="5207" xr:uid="{00000000-0005-0000-0000-00001D140000}"/>
    <cellStyle name="통화 [0] 2 2 2 3 3 4" xfId="5208" xr:uid="{00000000-0005-0000-0000-00001E140000}"/>
    <cellStyle name="통화 [0] 2 2 2 3 4" xfId="5209" xr:uid="{00000000-0005-0000-0000-00001F140000}"/>
    <cellStyle name="통화 [0] 2 2 2 3 4 2" xfId="5210" xr:uid="{00000000-0005-0000-0000-000020140000}"/>
    <cellStyle name="통화 [0] 2 2 2 3 4 2 2" xfId="5211" xr:uid="{00000000-0005-0000-0000-000021140000}"/>
    <cellStyle name="통화 [0] 2 2 2 3 4 3" xfId="5212" xr:uid="{00000000-0005-0000-0000-000022140000}"/>
    <cellStyle name="통화 [0] 2 2 2 3 5" xfId="5213" xr:uid="{00000000-0005-0000-0000-000023140000}"/>
    <cellStyle name="통화 [0] 2 2 2 3 5 2" xfId="5214" xr:uid="{00000000-0005-0000-0000-000024140000}"/>
    <cellStyle name="통화 [0] 2 2 2 3 6" xfId="5215" xr:uid="{00000000-0005-0000-0000-000025140000}"/>
    <cellStyle name="통화 [0] 2 2 2 4" xfId="5216" xr:uid="{00000000-0005-0000-0000-000026140000}"/>
    <cellStyle name="통화 [0] 2 2 2 4 2" xfId="5217" xr:uid="{00000000-0005-0000-0000-000027140000}"/>
    <cellStyle name="통화 [0] 2 2 2 4 2 2" xfId="5218" xr:uid="{00000000-0005-0000-0000-000028140000}"/>
    <cellStyle name="통화 [0] 2 2 2 4 2 2 2" xfId="5219" xr:uid="{00000000-0005-0000-0000-000029140000}"/>
    <cellStyle name="통화 [0] 2 2 2 4 2 2 2 2" xfId="5220" xr:uid="{00000000-0005-0000-0000-00002A140000}"/>
    <cellStyle name="통화 [0] 2 2 2 4 2 2 3" xfId="5221" xr:uid="{00000000-0005-0000-0000-00002B140000}"/>
    <cellStyle name="통화 [0] 2 2 2 4 2 3" xfId="5222" xr:uid="{00000000-0005-0000-0000-00002C140000}"/>
    <cellStyle name="통화 [0] 2 2 2 4 2 3 2" xfId="5223" xr:uid="{00000000-0005-0000-0000-00002D140000}"/>
    <cellStyle name="통화 [0] 2 2 2 4 2 4" xfId="5224" xr:uid="{00000000-0005-0000-0000-00002E140000}"/>
    <cellStyle name="통화 [0] 2 2 2 4 3" xfId="5225" xr:uid="{00000000-0005-0000-0000-00002F140000}"/>
    <cellStyle name="통화 [0] 2 2 2 4 3 2" xfId="5226" xr:uid="{00000000-0005-0000-0000-000030140000}"/>
    <cellStyle name="통화 [0] 2 2 2 4 3 2 2" xfId="5227" xr:uid="{00000000-0005-0000-0000-000031140000}"/>
    <cellStyle name="통화 [0] 2 2 2 4 3 3" xfId="5228" xr:uid="{00000000-0005-0000-0000-000032140000}"/>
    <cellStyle name="통화 [0] 2 2 2 4 4" xfId="5229" xr:uid="{00000000-0005-0000-0000-000033140000}"/>
    <cellStyle name="통화 [0] 2 2 2 4 4 2" xfId="5230" xr:uid="{00000000-0005-0000-0000-000034140000}"/>
    <cellStyle name="통화 [0] 2 2 2 4 5" xfId="5231" xr:uid="{00000000-0005-0000-0000-000035140000}"/>
    <cellStyle name="통화 [0] 2 2 2 5" xfId="5232" xr:uid="{00000000-0005-0000-0000-000036140000}"/>
    <cellStyle name="통화 [0] 2 2 2 5 2" xfId="5233" xr:uid="{00000000-0005-0000-0000-000037140000}"/>
    <cellStyle name="통화 [0] 2 2 2 5 2 2" xfId="5234" xr:uid="{00000000-0005-0000-0000-000038140000}"/>
    <cellStyle name="통화 [0] 2 2 2 5 2 2 2" xfId="5235" xr:uid="{00000000-0005-0000-0000-000039140000}"/>
    <cellStyle name="통화 [0] 2 2 2 5 2 3" xfId="5236" xr:uid="{00000000-0005-0000-0000-00003A140000}"/>
    <cellStyle name="통화 [0] 2 2 2 5 3" xfId="5237" xr:uid="{00000000-0005-0000-0000-00003B140000}"/>
    <cellStyle name="통화 [0] 2 2 2 5 3 2" xfId="5238" xr:uid="{00000000-0005-0000-0000-00003C140000}"/>
    <cellStyle name="통화 [0] 2 2 2 5 4" xfId="5239" xr:uid="{00000000-0005-0000-0000-00003D140000}"/>
    <cellStyle name="통화 [0] 2 2 2 6" xfId="5240" xr:uid="{00000000-0005-0000-0000-00003E140000}"/>
    <cellStyle name="통화 [0] 2 2 2 6 2" xfId="5241" xr:uid="{00000000-0005-0000-0000-00003F140000}"/>
    <cellStyle name="통화 [0] 2 2 2 6 2 2" xfId="5242" xr:uid="{00000000-0005-0000-0000-000040140000}"/>
    <cellStyle name="통화 [0] 2 2 2 6 3" xfId="5243" xr:uid="{00000000-0005-0000-0000-000041140000}"/>
    <cellStyle name="통화 [0] 2 2 2 7" xfId="5244" xr:uid="{00000000-0005-0000-0000-000042140000}"/>
    <cellStyle name="통화 [0] 2 2 2 7 2" xfId="5245" xr:uid="{00000000-0005-0000-0000-000043140000}"/>
    <cellStyle name="통화 [0] 2 2 2 8" xfId="5246" xr:uid="{00000000-0005-0000-0000-000044140000}"/>
    <cellStyle name="통화 [0] 2 2 2 9" xfId="5247" xr:uid="{00000000-0005-0000-0000-000045140000}"/>
    <cellStyle name="통화 [0] 2 2 3" xfId="5248" xr:uid="{00000000-0005-0000-0000-000046140000}"/>
    <cellStyle name="통화 [0] 2 2 3 2" xfId="5249" xr:uid="{00000000-0005-0000-0000-000047140000}"/>
    <cellStyle name="통화 [0] 2 2 3 2 2" xfId="5250" xr:uid="{00000000-0005-0000-0000-000048140000}"/>
    <cellStyle name="통화 [0] 2 2 3 2 2 2" xfId="5251" xr:uid="{00000000-0005-0000-0000-000049140000}"/>
    <cellStyle name="통화 [0] 2 2 3 2 2 2 2" xfId="5252" xr:uid="{00000000-0005-0000-0000-00004A140000}"/>
    <cellStyle name="통화 [0] 2 2 3 2 2 2 2 2" xfId="5253" xr:uid="{00000000-0005-0000-0000-00004B140000}"/>
    <cellStyle name="통화 [0] 2 2 3 2 2 2 2 2 2" xfId="5254" xr:uid="{00000000-0005-0000-0000-00004C140000}"/>
    <cellStyle name="통화 [0] 2 2 3 2 2 2 2 3" xfId="5255" xr:uid="{00000000-0005-0000-0000-00004D140000}"/>
    <cellStyle name="통화 [0] 2 2 3 2 2 2 3" xfId="5256" xr:uid="{00000000-0005-0000-0000-00004E140000}"/>
    <cellStyle name="통화 [0] 2 2 3 2 2 2 3 2" xfId="5257" xr:uid="{00000000-0005-0000-0000-00004F140000}"/>
    <cellStyle name="통화 [0] 2 2 3 2 2 2 4" xfId="5258" xr:uid="{00000000-0005-0000-0000-000050140000}"/>
    <cellStyle name="통화 [0] 2 2 3 2 2 3" xfId="5259" xr:uid="{00000000-0005-0000-0000-000051140000}"/>
    <cellStyle name="통화 [0] 2 2 3 2 2 3 2" xfId="5260" xr:uid="{00000000-0005-0000-0000-000052140000}"/>
    <cellStyle name="통화 [0] 2 2 3 2 2 3 2 2" xfId="5261" xr:uid="{00000000-0005-0000-0000-000053140000}"/>
    <cellStyle name="통화 [0] 2 2 3 2 2 3 3" xfId="5262" xr:uid="{00000000-0005-0000-0000-000054140000}"/>
    <cellStyle name="통화 [0] 2 2 3 2 2 4" xfId="5263" xr:uid="{00000000-0005-0000-0000-000055140000}"/>
    <cellStyle name="통화 [0] 2 2 3 2 2 4 2" xfId="5264" xr:uid="{00000000-0005-0000-0000-000056140000}"/>
    <cellStyle name="통화 [0] 2 2 3 2 2 5" xfId="5265" xr:uid="{00000000-0005-0000-0000-000057140000}"/>
    <cellStyle name="통화 [0] 2 2 3 2 3" xfId="5266" xr:uid="{00000000-0005-0000-0000-000058140000}"/>
    <cellStyle name="통화 [0] 2 2 3 2 3 2" xfId="5267" xr:uid="{00000000-0005-0000-0000-000059140000}"/>
    <cellStyle name="통화 [0] 2 2 3 2 3 2 2" xfId="5268" xr:uid="{00000000-0005-0000-0000-00005A140000}"/>
    <cellStyle name="통화 [0] 2 2 3 2 3 2 2 2" xfId="5269" xr:uid="{00000000-0005-0000-0000-00005B140000}"/>
    <cellStyle name="통화 [0] 2 2 3 2 3 2 3" xfId="5270" xr:uid="{00000000-0005-0000-0000-00005C140000}"/>
    <cellStyle name="통화 [0] 2 2 3 2 3 3" xfId="5271" xr:uid="{00000000-0005-0000-0000-00005D140000}"/>
    <cellStyle name="통화 [0] 2 2 3 2 3 3 2" xfId="5272" xr:uid="{00000000-0005-0000-0000-00005E140000}"/>
    <cellStyle name="통화 [0] 2 2 3 2 3 4" xfId="5273" xr:uid="{00000000-0005-0000-0000-00005F140000}"/>
    <cellStyle name="통화 [0] 2 2 3 2 4" xfId="5274" xr:uid="{00000000-0005-0000-0000-000060140000}"/>
    <cellStyle name="통화 [0] 2 2 3 2 4 2" xfId="5275" xr:uid="{00000000-0005-0000-0000-000061140000}"/>
    <cellStyle name="통화 [0] 2 2 3 2 4 2 2" xfId="5276" xr:uid="{00000000-0005-0000-0000-000062140000}"/>
    <cellStyle name="통화 [0] 2 2 3 2 4 3" xfId="5277" xr:uid="{00000000-0005-0000-0000-000063140000}"/>
    <cellStyle name="통화 [0] 2 2 3 2 5" xfId="5278" xr:uid="{00000000-0005-0000-0000-000064140000}"/>
    <cellStyle name="통화 [0] 2 2 3 2 5 2" xfId="5279" xr:uid="{00000000-0005-0000-0000-000065140000}"/>
    <cellStyle name="통화 [0] 2 2 3 2 6" xfId="5280" xr:uid="{00000000-0005-0000-0000-000066140000}"/>
    <cellStyle name="통화 [0] 2 2 3 3" xfId="5281" xr:uid="{00000000-0005-0000-0000-000067140000}"/>
    <cellStyle name="통화 [0] 2 2 3 3 2" xfId="5282" xr:uid="{00000000-0005-0000-0000-000068140000}"/>
    <cellStyle name="통화 [0] 2 2 3 3 2 2" xfId="5283" xr:uid="{00000000-0005-0000-0000-000069140000}"/>
    <cellStyle name="통화 [0] 2 2 3 3 2 2 2" xfId="5284" xr:uid="{00000000-0005-0000-0000-00006A140000}"/>
    <cellStyle name="통화 [0] 2 2 3 3 2 2 2 2" xfId="5285" xr:uid="{00000000-0005-0000-0000-00006B140000}"/>
    <cellStyle name="통화 [0] 2 2 3 3 2 2 3" xfId="5286" xr:uid="{00000000-0005-0000-0000-00006C140000}"/>
    <cellStyle name="통화 [0] 2 2 3 3 2 3" xfId="5287" xr:uid="{00000000-0005-0000-0000-00006D140000}"/>
    <cellStyle name="통화 [0] 2 2 3 3 2 3 2" xfId="5288" xr:uid="{00000000-0005-0000-0000-00006E140000}"/>
    <cellStyle name="통화 [0] 2 2 3 3 2 4" xfId="5289" xr:uid="{00000000-0005-0000-0000-00006F140000}"/>
    <cellStyle name="통화 [0] 2 2 3 3 3" xfId="5290" xr:uid="{00000000-0005-0000-0000-000070140000}"/>
    <cellStyle name="통화 [0] 2 2 3 3 3 2" xfId="5291" xr:uid="{00000000-0005-0000-0000-000071140000}"/>
    <cellStyle name="통화 [0] 2 2 3 3 3 2 2" xfId="5292" xr:uid="{00000000-0005-0000-0000-000072140000}"/>
    <cellStyle name="통화 [0] 2 2 3 3 3 3" xfId="5293" xr:uid="{00000000-0005-0000-0000-000073140000}"/>
    <cellStyle name="통화 [0] 2 2 3 3 4" xfId="5294" xr:uid="{00000000-0005-0000-0000-000074140000}"/>
    <cellStyle name="통화 [0] 2 2 3 3 4 2" xfId="5295" xr:uid="{00000000-0005-0000-0000-000075140000}"/>
    <cellStyle name="통화 [0] 2 2 3 3 5" xfId="5296" xr:uid="{00000000-0005-0000-0000-000076140000}"/>
    <cellStyle name="통화 [0] 2 2 3 4" xfId="5297" xr:uid="{00000000-0005-0000-0000-000077140000}"/>
    <cellStyle name="통화 [0] 2 2 3 4 2" xfId="5298" xr:uid="{00000000-0005-0000-0000-000078140000}"/>
    <cellStyle name="통화 [0] 2 2 3 4 2 2" xfId="5299" xr:uid="{00000000-0005-0000-0000-000079140000}"/>
    <cellStyle name="통화 [0] 2 2 3 4 2 2 2" xfId="5300" xr:uid="{00000000-0005-0000-0000-00007A140000}"/>
    <cellStyle name="통화 [0] 2 2 3 4 2 3" xfId="5301" xr:uid="{00000000-0005-0000-0000-00007B140000}"/>
    <cellStyle name="통화 [0] 2 2 3 4 3" xfId="5302" xr:uid="{00000000-0005-0000-0000-00007C140000}"/>
    <cellStyle name="통화 [0] 2 2 3 4 3 2" xfId="5303" xr:uid="{00000000-0005-0000-0000-00007D140000}"/>
    <cellStyle name="통화 [0] 2 2 3 4 4" xfId="5304" xr:uid="{00000000-0005-0000-0000-00007E140000}"/>
    <cellStyle name="통화 [0] 2 2 3 5" xfId="5305" xr:uid="{00000000-0005-0000-0000-00007F140000}"/>
    <cellStyle name="통화 [0] 2 2 3 5 2" xfId="5306" xr:uid="{00000000-0005-0000-0000-000080140000}"/>
    <cellStyle name="통화 [0] 2 2 3 5 2 2" xfId="5307" xr:uid="{00000000-0005-0000-0000-000081140000}"/>
    <cellStyle name="통화 [0] 2 2 3 5 3" xfId="5308" xr:uid="{00000000-0005-0000-0000-000082140000}"/>
    <cellStyle name="통화 [0] 2 2 3 6" xfId="5309" xr:uid="{00000000-0005-0000-0000-000083140000}"/>
    <cellStyle name="통화 [0] 2 2 3 6 2" xfId="5310" xr:uid="{00000000-0005-0000-0000-000084140000}"/>
    <cellStyle name="통화 [0] 2 2 3 7" xfId="5311" xr:uid="{00000000-0005-0000-0000-000085140000}"/>
    <cellStyle name="통화 [0] 2 2 3 8" xfId="5312" xr:uid="{00000000-0005-0000-0000-000086140000}"/>
    <cellStyle name="통화 [0] 2 2 4" xfId="5313" xr:uid="{00000000-0005-0000-0000-000087140000}"/>
    <cellStyle name="통화 [0] 2 2 4 2" xfId="5314" xr:uid="{00000000-0005-0000-0000-000088140000}"/>
    <cellStyle name="통화 [0] 2 2 4 2 2" xfId="5315" xr:uid="{00000000-0005-0000-0000-000089140000}"/>
    <cellStyle name="통화 [0] 2 2 4 2 2 2" xfId="5316" xr:uid="{00000000-0005-0000-0000-00008A140000}"/>
    <cellStyle name="통화 [0] 2 2 4 2 2 2 2" xfId="5317" xr:uid="{00000000-0005-0000-0000-00008B140000}"/>
    <cellStyle name="통화 [0] 2 2 4 2 2 2 2 2" xfId="5318" xr:uid="{00000000-0005-0000-0000-00008C140000}"/>
    <cellStyle name="통화 [0] 2 2 4 2 2 2 3" xfId="5319" xr:uid="{00000000-0005-0000-0000-00008D140000}"/>
    <cellStyle name="통화 [0] 2 2 4 2 2 3" xfId="5320" xr:uid="{00000000-0005-0000-0000-00008E140000}"/>
    <cellStyle name="통화 [0] 2 2 4 2 2 3 2" xfId="5321" xr:uid="{00000000-0005-0000-0000-00008F140000}"/>
    <cellStyle name="통화 [0] 2 2 4 2 2 4" xfId="5322" xr:uid="{00000000-0005-0000-0000-000090140000}"/>
    <cellStyle name="통화 [0] 2 2 4 2 3" xfId="5323" xr:uid="{00000000-0005-0000-0000-000091140000}"/>
    <cellStyle name="통화 [0] 2 2 4 2 3 2" xfId="5324" xr:uid="{00000000-0005-0000-0000-000092140000}"/>
    <cellStyle name="통화 [0] 2 2 4 2 3 2 2" xfId="5325" xr:uid="{00000000-0005-0000-0000-000093140000}"/>
    <cellStyle name="통화 [0] 2 2 4 2 3 3" xfId="5326" xr:uid="{00000000-0005-0000-0000-000094140000}"/>
    <cellStyle name="통화 [0] 2 2 4 2 4" xfId="5327" xr:uid="{00000000-0005-0000-0000-000095140000}"/>
    <cellStyle name="통화 [0] 2 2 4 2 4 2" xfId="5328" xr:uid="{00000000-0005-0000-0000-000096140000}"/>
    <cellStyle name="통화 [0] 2 2 4 2 5" xfId="5329" xr:uid="{00000000-0005-0000-0000-000097140000}"/>
    <cellStyle name="통화 [0] 2 2 4 3" xfId="5330" xr:uid="{00000000-0005-0000-0000-000098140000}"/>
    <cellStyle name="통화 [0] 2 2 4 3 2" xfId="5331" xr:uid="{00000000-0005-0000-0000-000099140000}"/>
    <cellStyle name="통화 [0] 2 2 4 3 2 2" xfId="5332" xr:uid="{00000000-0005-0000-0000-00009A140000}"/>
    <cellStyle name="통화 [0] 2 2 4 3 2 2 2" xfId="5333" xr:uid="{00000000-0005-0000-0000-00009B140000}"/>
    <cellStyle name="통화 [0] 2 2 4 3 2 3" xfId="5334" xr:uid="{00000000-0005-0000-0000-00009C140000}"/>
    <cellStyle name="통화 [0] 2 2 4 3 3" xfId="5335" xr:uid="{00000000-0005-0000-0000-00009D140000}"/>
    <cellStyle name="통화 [0] 2 2 4 3 3 2" xfId="5336" xr:uid="{00000000-0005-0000-0000-00009E140000}"/>
    <cellStyle name="통화 [0] 2 2 4 3 4" xfId="5337" xr:uid="{00000000-0005-0000-0000-00009F140000}"/>
    <cellStyle name="통화 [0] 2 2 4 4" xfId="5338" xr:uid="{00000000-0005-0000-0000-0000A0140000}"/>
    <cellStyle name="통화 [0] 2 2 4 4 2" xfId="5339" xr:uid="{00000000-0005-0000-0000-0000A1140000}"/>
    <cellStyle name="통화 [0] 2 2 4 4 2 2" xfId="5340" xr:uid="{00000000-0005-0000-0000-0000A2140000}"/>
    <cellStyle name="통화 [0] 2 2 4 4 3" xfId="5341" xr:uid="{00000000-0005-0000-0000-0000A3140000}"/>
    <cellStyle name="통화 [0] 2 2 4 5" xfId="5342" xr:uid="{00000000-0005-0000-0000-0000A4140000}"/>
    <cellStyle name="통화 [0] 2 2 4 5 2" xfId="5343" xr:uid="{00000000-0005-0000-0000-0000A5140000}"/>
    <cellStyle name="통화 [0] 2 2 4 6" xfId="5344" xr:uid="{00000000-0005-0000-0000-0000A6140000}"/>
    <cellStyle name="통화 [0] 2 2 5" xfId="5345" xr:uid="{00000000-0005-0000-0000-0000A7140000}"/>
    <cellStyle name="통화 [0] 2 2 5 2" xfId="5346" xr:uid="{00000000-0005-0000-0000-0000A8140000}"/>
    <cellStyle name="통화 [0] 2 2 5 2 2" xfId="5347" xr:uid="{00000000-0005-0000-0000-0000A9140000}"/>
    <cellStyle name="통화 [0] 2 2 5 2 2 2" xfId="5348" xr:uid="{00000000-0005-0000-0000-0000AA140000}"/>
    <cellStyle name="통화 [0] 2 2 5 2 2 2 2" xfId="5349" xr:uid="{00000000-0005-0000-0000-0000AB140000}"/>
    <cellStyle name="통화 [0] 2 2 5 2 2 3" xfId="5350" xr:uid="{00000000-0005-0000-0000-0000AC140000}"/>
    <cellStyle name="통화 [0] 2 2 5 2 3" xfId="5351" xr:uid="{00000000-0005-0000-0000-0000AD140000}"/>
    <cellStyle name="통화 [0] 2 2 5 2 3 2" xfId="5352" xr:uid="{00000000-0005-0000-0000-0000AE140000}"/>
    <cellStyle name="통화 [0] 2 2 5 2 4" xfId="5353" xr:uid="{00000000-0005-0000-0000-0000AF140000}"/>
    <cellStyle name="통화 [0] 2 2 5 3" xfId="5354" xr:uid="{00000000-0005-0000-0000-0000B0140000}"/>
    <cellStyle name="통화 [0] 2 2 5 3 2" xfId="5355" xr:uid="{00000000-0005-0000-0000-0000B1140000}"/>
    <cellStyle name="통화 [0] 2 2 5 3 2 2" xfId="5356" xr:uid="{00000000-0005-0000-0000-0000B2140000}"/>
    <cellStyle name="통화 [0] 2 2 5 3 3" xfId="5357" xr:uid="{00000000-0005-0000-0000-0000B3140000}"/>
    <cellStyle name="통화 [0] 2 2 5 4" xfId="5358" xr:uid="{00000000-0005-0000-0000-0000B4140000}"/>
    <cellStyle name="통화 [0] 2 2 5 4 2" xfId="5359" xr:uid="{00000000-0005-0000-0000-0000B5140000}"/>
    <cellStyle name="통화 [0] 2 2 5 5" xfId="5360" xr:uid="{00000000-0005-0000-0000-0000B6140000}"/>
    <cellStyle name="통화 [0] 2 2 6" xfId="5361" xr:uid="{00000000-0005-0000-0000-0000B7140000}"/>
    <cellStyle name="통화 [0] 2 2 6 2" xfId="5362" xr:uid="{00000000-0005-0000-0000-0000B8140000}"/>
    <cellStyle name="통화 [0] 2 2 6 2 2" xfId="5363" xr:uid="{00000000-0005-0000-0000-0000B9140000}"/>
    <cellStyle name="통화 [0] 2 2 6 2 2 2" xfId="5364" xr:uid="{00000000-0005-0000-0000-0000BA140000}"/>
    <cellStyle name="통화 [0] 2 2 6 2 3" xfId="5365" xr:uid="{00000000-0005-0000-0000-0000BB140000}"/>
    <cellStyle name="통화 [0] 2 2 6 3" xfId="5366" xr:uid="{00000000-0005-0000-0000-0000BC140000}"/>
    <cellStyle name="통화 [0] 2 2 6 3 2" xfId="5367" xr:uid="{00000000-0005-0000-0000-0000BD140000}"/>
    <cellStyle name="통화 [0] 2 2 6 4" xfId="5368" xr:uid="{00000000-0005-0000-0000-0000BE140000}"/>
    <cellStyle name="통화 [0] 2 2 7" xfId="5369" xr:uid="{00000000-0005-0000-0000-0000BF140000}"/>
    <cellStyle name="통화 [0] 2 2 7 2" xfId="5370" xr:uid="{00000000-0005-0000-0000-0000C0140000}"/>
    <cellStyle name="통화 [0] 2 2 7 2 2" xfId="5371" xr:uid="{00000000-0005-0000-0000-0000C1140000}"/>
    <cellStyle name="통화 [0] 2 2 7 3" xfId="5372" xr:uid="{00000000-0005-0000-0000-0000C2140000}"/>
    <cellStyle name="통화 [0] 2 2 8" xfId="5373" xr:uid="{00000000-0005-0000-0000-0000C3140000}"/>
    <cellStyle name="통화 [0] 2 2 8 2" xfId="5374" xr:uid="{00000000-0005-0000-0000-0000C4140000}"/>
    <cellStyle name="통화 [0] 2 2 9" xfId="5375" xr:uid="{00000000-0005-0000-0000-0000C5140000}"/>
    <cellStyle name="통화 [0] 2 3" xfId="5376" xr:uid="{00000000-0005-0000-0000-0000C6140000}"/>
    <cellStyle name="통화 [0] 2 3 2" xfId="5377" xr:uid="{00000000-0005-0000-0000-0000C7140000}"/>
    <cellStyle name="통화 [0] 2 3 2 2" xfId="5378" xr:uid="{00000000-0005-0000-0000-0000C8140000}"/>
    <cellStyle name="통화 [0] 2 3 2 2 2" xfId="5379" xr:uid="{00000000-0005-0000-0000-0000C9140000}"/>
    <cellStyle name="통화 [0] 2 3 2 2 2 2" xfId="5380" xr:uid="{00000000-0005-0000-0000-0000CA140000}"/>
    <cellStyle name="통화 [0] 2 3 2 2 2 2 2" xfId="5381" xr:uid="{00000000-0005-0000-0000-0000CB140000}"/>
    <cellStyle name="통화 [0] 2 3 2 2 2 2 2 2" xfId="5382" xr:uid="{00000000-0005-0000-0000-0000CC140000}"/>
    <cellStyle name="통화 [0] 2 3 2 2 2 2 2 2 2" xfId="5383" xr:uid="{00000000-0005-0000-0000-0000CD140000}"/>
    <cellStyle name="통화 [0] 2 3 2 2 2 2 2 3" xfId="5384" xr:uid="{00000000-0005-0000-0000-0000CE140000}"/>
    <cellStyle name="통화 [0] 2 3 2 2 2 2 3" xfId="5385" xr:uid="{00000000-0005-0000-0000-0000CF140000}"/>
    <cellStyle name="통화 [0] 2 3 2 2 2 2 3 2" xfId="5386" xr:uid="{00000000-0005-0000-0000-0000D0140000}"/>
    <cellStyle name="통화 [0] 2 3 2 2 2 2 4" xfId="5387" xr:uid="{00000000-0005-0000-0000-0000D1140000}"/>
    <cellStyle name="통화 [0] 2 3 2 2 2 3" xfId="5388" xr:uid="{00000000-0005-0000-0000-0000D2140000}"/>
    <cellStyle name="통화 [0] 2 3 2 2 2 3 2" xfId="5389" xr:uid="{00000000-0005-0000-0000-0000D3140000}"/>
    <cellStyle name="통화 [0] 2 3 2 2 2 3 2 2" xfId="5390" xr:uid="{00000000-0005-0000-0000-0000D4140000}"/>
    <cellStyle name="통화 [0] 2 3 2 2 2 3 3" xfId="5391" xr:uid="{00000000-0005-0000-0000-0000D5140000}"/>
    <cellStyle name="통화 [0] 2 3 2 2 2 4" xfId="5392" xr:uid="{00000000-0005-0000-0000-0000D6140000}"/>
    <cellStyle name="통화 [0] 2 3 2 2 2 4 2" xfId="5393" xr:uid="{00000000-0005-0000-0000-0000D7140000}"/>
    <cellStyle name="통화 [0] 2 3 2 2 2 5" xfId="5394" xr:uid="{00000000-0005-0000-0000-0000D8140000}"/>
    <cellStyle name="통화 [0] 2 3 2 2 3" xfId="5395" xr:uid="{00000000-0005-0000-0000-0000D9140000}"/>
    <cellStyle name="통화 [0] 2 3 2 2 3 2" xfId="5396" xr:uid="{00000000-0005-0000-0000-0000DA140000}"/>
    <cellStyle name="통화 [0] 2 3 2 2 3 2 2" xfId="5397" xr:uid="{00000000-0005-0000-0000-0000DB140000}"/>
    <cellStyle name="통화 [0] 2 3 2 2 3 2 2 2" xfId="5398" xr:uid="{00000000-0005-0000-0000-0000DC140000}"/>
    <cellStyle name="통화 [0] 2 3 2 2 3 2 3" xfId="5399" xr:uid="{00000000-0005-0000-0000-0000DD140000}"/>
    <cellStyle name="통화 [0] 2 3 2 2 3 3" xfId="5400" xr:uid="{00000000-0005-0000-0000-0000DE140000}"/>
    <cellStyle name="통화 [0] 2 3 2 2 3 3 2" xfId="5401" xr:uid="{00000000-0005-0000-0000-0000DF140000}"/>
    <cellStyle name="통화 [0] 2 3 2 2 3 4" xfId="5402" xr:uid="{00000000-0005-0000-0000-0000E0140000}"/>
    <cellStyle name="통화 [0] 2 3 2 2 4" xfId="5403" xr:uid="{00000000-0005-0000-0000-0000E1140000}"/>
    <cellStyle name="통화 [0] 2 3 2 2 4 2" xfId="5404" xr:uid="{00000000-0005-0000-0000-0000E2140000}"/>
    <cellStyle name="통화 [0] 2 3 2 2 4 2 2" xfId="5405" xr:uid="{00000000-0005-0000-0000-0000E3140000}"/>
    <cellStyle name="통화 [0] 2 3 2 2 4 3" xfId="5406" xr:uid="{00000000-0005-0000-0000-0000E4140000}"/>
    <cellStyle name="통화 [0] 2 3 2 2 5" xfId="5407" xr:uid="{00000000-0005-0000-0000-0000E5140000}"/>
    <cellStyle name="통화 [0] 2 3 2 2 5 2" xfId="5408" xr:uid="{00000000-0005-0000-0000-0000E6140000}"/>
    <cellStyle name="통화 [0] 2 3 2 2 6" xfId="5409" xr:uid="{00000000-0005-0000-0000-0000E7140000}"/>
    <cellStyle name="통화 [0] 2 3 2 3" xfId="5410" xr:uid="{00000000-0005-0000-0000-0000E8140000}"/>
    <cellStyle name="통화 [0] 2 3 2 3 2" xfId="5411" xr:uid="{00000000-0005-0000-0000-0000E9140000}"/>
    <cellStyle name="통화 [0] 2 3 2 3 2 2" xfId="5412" xr:uid="{00000000-0005-0000-0000-0000EA140000}"/>
    <cellStyle name="통화 [0] 2 3 2 3 2 2 2" xfId="5413" xr:uid="{00000000-0005-0000-0000-0000EB140000}"/>
    <cellStyle name="통화 [0] 2 3 2 3 2 2 2 2" xfId="5414" xr:uid="{00000000-0005-0000-0000-0000EC140000}"/>
    <cellStyle name="통화 [0] 2 3 2 3 2 2 3" xfId="5415" xr:uid="{00000000-0005-0000-0000-0000ED140000}"/>
    <cellStyle name="통화 [0] 2 3 2 3 2 3" xfId="5416" xr:uid="{00000000-0005-0000-0000-0000EE140000}"/>
    <cellStyle name="통화 [0] 2 3 2 3 2 3 2" xfId="5417" xr:uid="{00000000-0005-0000-0000-0000EF140000}"/>
    <cellStyle name="통화 [0] 2 3 2 3 2 4" xfId="5418" xr:uid="{00000000-0005-0000-0000-0000F0140000}"/>
    <cellStyle name="통화 [0] 2 3 2 3 3" xfId="5419" xr:uid="{00000000-0005-0000-0000-0000F1140000}"/>
    <cellStyle name="통화 [0] 2 3 2 3 3 2" xfId="5420" xr:uid="{00000000-0005-0000-0000-0000F2140000}"/>
    <cellStyle name="통화 [0] 2 3 2 3 3 2 2" xfId="5421" xr:uid="{00000000-0005-0000-0000-0000F3140000}"/>
    <cellStyle name="통화 [0] 2 3 2 3 3 3" xfId="5422" xr:uid="{00000000-0005-0000-0000-0000F4140000}"/>
    <cellStyle name="통화 [0] 2 3 2 3 4" xfId="5423" xr:uid="{00000000-0005-0000-0000-0000F5140000}"/>
    <cellStyle name="통화 [0] 2 3 2 3 4 2" xfId="5424" xr:uid="{00000000-0005-0000-0000-0000F6140000}"/>
    <cellStyle name="통화 [0] 2 3 2 3 5" xfId="5425" xr:uid="{00000000-0005-0000-0000-0000F7140000}"/>
    <cellStyle name="통화 [0] 2 3 2 4" xfId="5426" xr:uid="{00000000-0005-0000-0000-0000F8140000}"/>
    <cellStyle name="통화 [0] 2 3 2 4 2" xfId="5427" xr:uid="{00000000-0005-0000-0000-0000F9140000}"/>
    <cellStyle name="통화 [0] 2 3 2 4 2 2" xfId="5428" xr:uid="{00000000-0005-0000-0000-0000FA140000}"/>
    <cellStyle name="통화 [0] 2 3 2 4 2 2 2" xfId="5429" xr:uid="{00000000-0005-0000-0000-0000FB140000}"/>
    <cellStyle name="통화 [0] 2 3 2 4 2 3" xfId="5430" xr:uid="{00000000-0005-0000-0000-0000FC140000}"/>
    <cellStyle name="통화 [0] 2 3 2 4 3" xfId="5431" xr:uid="{00000000-0005-0000-0000-0000FD140000}"/>
    <cellStyle name="통화 [0] 2 3 2 4 3 2" xfId="5432" xr:uid="{00000000-0005-0000-0000-0000FE140000}"/>
    <cellStyle name="통화 [0] 2 3 2 4 4" xfId="5433" xr:uid="{00000000-0005-0000-0000-0000FF140000}"/>
    <cellStyle name="통화 [0] 2 3 2 5" xfId="5434" xr:uid="{00000000-0005-0000-0000-000000150000}"/>
    <cellStyle name="통화 [0] 2 3 2 5 2" xfId="5435" xr:uid="{00000000-0005-0000-0000-000001150000}"/>
    <cellStyle name="통화 [0] 2 3 2 5 2 2" xfId="5436" xr:uid="{00000000-0005-0000-0000-000002150000}"/>
    <cellStyle name="통화 [0] 2 3 2 5 3" xfId="5437" xr:uid="{00000000-0005-0000-0000-000003150000}"/>
    <cellStyle name="통화 [0] 2 3 2 6" xfId="5438" xr:uid="{00000000-0005-0000-0000-000004150000}"/>
    <cellStyle name="통화 [0] 2 3 2 6 2" xfId="5439" xr:uid="{00000000-0005-0000-0000-000005150000}"/>
    <cellStyle name="통화 [0] 2 3 2 7" xfId="5440" xr:uid="{00000000-0005-0000-0000-000006150000}"/>
    <cellStyle name="통화 [0] 2 3 2 8" xfId="5441" xr:uid="{00000000-0005-0000-0000-000007150000}"/>
    <cellStyle name="통화 [0] 2 3 3" xfId="5442" xr:uid="{00000000-0005-0000-0000-000008150000}"/>
    <cellStyle name="통화 [0] 2 3 3 2" xfId="5443" xr:uid="{00000000-0005-0000-0000-000009150000}"/>
    <cellStyle name="통화 [0] 2 3 3 2 2" xfId="5444" xr:uid="{00000000-0005-0000-0000-00000A150000}"/>
    <cellStyle name="통화 [0] 2 3 3 2 2 2" xfId="5445" xr:uid="{00000000-0005-0000-0000-00000B150000}"/>
    <cellStyle name="통화 [0] 2 3 3 2 2 2 2" xfId="5446" xr:uid="{00000000-0005-0000-0000-00000C150000}"/>
    <cellStyle name="통화 [0] 2 3 3 2 2 2 2 2" xfId="5447" xr:uid="{00000000-0005-0000-0000-00000D150000}"/>
    <cellStyle name="통화 [0] 2 3 3 2 2 2 3" xfId="5448" xr:uid="{00000000-0005-0000-0000-00000E150000}"/>
    <cellStyle name="통화 [0] 2 3 3 2 2 3" xfId="5449" xr:uid="{00000000-0005-0000-0000-00000F150000}"/>
    <cellStyle name="통화 [0] 2 3 3 2 2 3 2" xfId="5450" xr:uid="{00000000-0005-0000-0000-000010150000}"/>
    <cellStyle name="통화 [0] 2 3 3 2 2 4" xfId="5451" xr:uid="{00000000-0005-0000-0000-000011150000}"/>
    <cellStyle name="통화 [0] 2 3 3 2 3" xfId="5452" xr:uid="{00000000-0005-0000-0000-000012150000}"/>
    <cellStyle name="통화 [0] 2 3 3 2 3 2" xfId="5453" xr:uid="{00000000-0005-0000-0000-000013150000}"/>
    <cellStyle name="통화 [0] 2 3 3 2 3 2 2" xfId="5454" xr:uid="{00000000-0005-0000-0000-000014150000}"/>
    <cellStyle name="통화 [0] 2 3 3 2 3 3" xfId="5455" xr:uid="{00000000-0005-0000-0000-000015150000}"/>
    <cellStyle name="통화 [0] 2 3 3 2 4" xfId="5456" xr:uid="{00000000-0005-0000-0000-000016150000}"/>
    <cellStyle name="통화 [0] 2 3 3 2 4 2" xfId="5457" xr:uid="{00000000-0005-0000-0000-000017150000}"/>
    <cellStyle name="통화 [0] 2 3 3 2 5" xfId="5458" xr:uid="{00000000-0005-0000-0000-000018150000}"/>
    <cellStyle name="통화 [0] 2 3 3 3" xfId="5459" xr:uid="{00000000-0005-0000-0000-000019150000}"/>
    <cellStyle name="통화 [0] 2 3 3 3 2" xfId="5460" xr:uid="{00000000-0005-0000-0000-00001A150000}"/>
    <cellStyle name="통화 [0] 2 3 3 3 2 2" xfId="5461" xr:uid="{00000000-0005-0000-0000-00001B150000}"/>
    <cellStyle name="통화 [0] 2 3 3 3 2 2 2" xfId="5462" xr:uid="{00000000-0005-0000-0000-00001C150000}"/>
    <cellStyle name="통화 [0] 2 3 3 3 2 3" xfId="5463" xr:uid="{00000000-0005-0000-0000-00001D150000}"/>
    <cellStyle name="통화 [0] 2 3 3 3 3" xfId="5464" xr:uid="{00000000-0005-0000-0000-00001E150000}"/>
    <cellStyle name="통화 [0] 2 3 3 3 3 2" xfId="5465" xr:uid="{00000000-0005-0000-0000-00001F150000}"/>
    <cellStyle name="통화 [0] 2 3 3 3 4" xfId="5466" xr:uid="{00000000-0005-0000-0000-000020150000}"/>
    <cellStyle name="통화 [0] 2 3 3 4" xfId="5467" xr:uid="{00000000-0005-0000-0000-000021150000}"/>
    <cellStyle name="통화 [0] 2 3 3 4 2" xfId="5468" xr:uid="{00000000-0005-0000-0000-000022150000}"/>
    <cellStyle name="통화 [0] 2 3 3 4 2 2" xfId="5469" xr:uid="{00000000-0005-0000-0000-000023150000}"/>
    <cellStyle name="통화 [0] 2 3 3 4 3" xfId="5470" xr:uid="{00000000-0005-0000-0000-000024150000}"/>
    <cellStyle name="통화 [0] 2 3 3 5" xfId="5471" xr:uid="{00000000-0005-0000-0000-000025150000}"/>
    <cellStyle name="통화 [0] 2 3 3 5 2" xfId="5472" xr:uid="{00000000-0005-0000-0000-000026150000}"/>
    <cellStyle name="통화 [0] 2 3 3 6" xfId="5473" xr:uid="{00000000-0005-0000-0000-000027150000}"/>
    <cellStyle name="통화 [0] 2 3 4" xfId="5474" xr:uid="{00000000-0005-0000-0000-000028150000}"/>
    <cellStyle name="통화 [0] 2 3 4 2" xfId="5475" xr:uid="{00000000-0005-0000-0000-000029150000}"/>
    <cellStyle name="통화 [0] 2 3 4 2 2" xfId="5476" xr:uid="{00000000-0005-0000-0000-00002A150000}"/>
    <cellStyle name="통화 [0] 2 3 4 2 2 2" xfId="5477" xr:uid="{00000000-0005-0000-0000-00002B150000}"/>
    <cellStyle name="통화 [0] 2 3 4 2 2 2 2" xfId="5478" xr:uid="{00000000-0005-0000-0000-00002C150000}"/>
    <cellStyle name="통화 [0] 2 3 4 2 2 3" xfId="5479" xr:uid="{00000000-0005-0000-0000-00002D150000}"/>
    <cellStyle name="통화 [0] 2 3 4 2 3" xfId="5480" xr:uid="{00000000-0005-0000-0000-00002E150000}"/>
    <cellStyle name="통화 [0] 2 3 4 2 3 2" xfId="5481" xr:uid="{00000000-0005-0000-0000-00002F150000}"/>
    <cellStyle name="통화 [0] 2 3 4 2 4" xfId="5482" xr:uid="{00000000-0005-0000-0000-000030150000}"/>
    <cellStyle name="통화 [0] 2 3 4 3" xfId="5483" xr:uid="{00000000-0005-0000-0000-000031150000}"/>
    <cellStyle name="통화 [0] 2 3 4 3 2" xfId="5484" xr:uid="{00000000-0005-0000-0000-000032150000}"/>
    <cellStyle name="통화 [0] 2 3 4 3 2 2" xfId="5485" xr:uid="{00000000-0005-0000-0000-000033150000}"/>
    <cellStyle name="통화 [0] 2 3 4 3 3" xfId="5486" xr:uid="{00000000-0005-0000-0000-000034150000}"/>
    <cellStyle name="통화 [0] 2 3 4 4" xfId="5487" xr:uid="{00000000-0005-0000-0000-000035150000}"/>
    <cellStyle name="통화 [0] 2 3 4 4 2" xfId="5488" xr:uid="{00000000-0005-0000-0000-000036150000}"/>
    <cellStyle name="통화 [0] 2 3 4 5" xfId="5489" xr:uid="{00000000-0005-0000-0000-000037150000}"/>
    <cellStyle name="통화 [0] 2 3 5" xfId="5490" xr:uid="{00000000-0005-0000-0000-000038150000}"/>
    <cellStyle name="통화 [0] 2 3 5 2" xfId="5491" xr:uid="{00000000-0005-0000-0000-000039150000}"/>
    <cellStyle name="통화 [0] 2 3 5 2 2" xfId="5492" xr:uid="{00000000-0005-0000-0000-00003A150000}"/>
    <cellStyle name="통화 [0] 2 3 5 2 2 2" xfId="5493" xr:uid="{00000000-0005-0000-0000-00003B150000}"/>
    <cellStyle name="통화 [0] 2 3 5 2 3" xfId="5494" xr:uid="{00000000-0005-0000-0000-00003C150000}"/>
    <cellStyle name="통화 [0] 2 3 5 3" xfId="5495" xr:uid="{00000000-0005-0000-0000-00003D150000}"/>
    <cellStyle name="통화 [0] 2 3 5 3 2" xfId="5496" xr:uid="{00000000-0005-0000-0000-00003E150000}"/>
    <cellStyle name="통화 [0] 2 3 5 4" xfId="5497" xr:uid="{00000000-0005-0000-0000-00003F150000}"/>
    <cellStyle name="통화 [0] 2 3 6" xfId="5498" xr:uid="{00000000-0005-0000-0000-000040150000}"/>
    <cellStyle name="통화 [0] 2 3 6 2" xfId="5499" xr:uid="{00000000-0005-0000-0000-000041150000}"/>
    <cellStyle name="통화 [0] 2 3 6 2 2" xfId="5500" xr:uid="{00000000-0005-0000-0000-000042150000}"/>
    <cellStyle name="통화 [0] 2 3 6 3" xfId="5501" xr:uid="{00000000-0005-0000-0000-000043150000}"/>
    <cellStyle name="통화 [0] 2 3 7" xfId="5502" xr:uid="{00000000-0005-0000-0000-000044150000}"/>
    <cellStyle name="통화 [0] 2 3 7 2" xfId="5503" xr:uid="{00000000-0005-0000-0000-000045150000}"/>
    <cellStyle name="통화 [0] 2 3 8" xfId="5504" xr:uid="{00000000-0005-0000-0000-000046150000}"/>
    <cellStyle name="통화 [0] 2 3 9" xfId="5505" xr:uid="{00000000-0005-0000-0000-000047150000}"/>
    <cellStyle name="통화 [0] 2 4" xfId="5506" xr:uid="{00000000-0005-0000-0000-000048150000}"/>
    <cellStyle name="통화 [0] 2 4 2" xfId="5507" xr:uid="{00000000-0005-0000-0000-000049150000}"/>
    <cellStyle name="통화 [0] 2 4 2 2" xfId="5508" xr:uid="{00000000-0005-0000-0000-00004A150000}"/>
    <cellStyle name="통화 [0] 2 4 2 2 2" xfId="5509" xr:uid="{00000000-0005-0000-0000-00004B150000}"/>
    <cellStyle name="통화 [0] 2 4 2 2 2 2" xfId="5510" xr:uid="{00000000-0005-0000-0000-00004C150000}"/>
    <cellStyle name="통화 [0] 2 4 2 2 2 2 2" xfId="5511" xr:uid="{00000000-0005-0000-0000-00004D150000}"/>
    <cellStyle name="통화 [0] 2 4 2 2 2 2 2 2" xfId="5512" xr:uid="{00000000-0005-0000-0000-00004E150000}"/>
    <cellStyle name="통화 [0] 2 4 2 2 2 2 3" xfId="5513" xr:uid="{00000000-0005-0000-0000-00004F150000}"/>
    <cellStyle name="통화 [0] 2 4 2 2 2 3" xfId="5514" xr:uid="{00000000-0005-0000-0000-000050150000}"/>
    <cellStyle name="통화 [0] 2 4 2 2 2 3 2" xfId="5515" xr:uid="{00000000-0005-0000-0000-000051150000}"/>
    <cellStyle name="통화 [0] 2 4 2 2 2 4" xfId="5516" xr:uid="{00000000-0005-0000-0000-000052150000}"/>
    <cellStyle name="통화 [0] 2 4 2 2 3" xfId="5517" xr:uid="{00000000-0005-0000-0000-000053150000}"/>
    <cellStyle name="통화 [0] 2 4 2 2 3 2" xfId="5518" xr:uid="{00000000-0005-0000-0000-000054150000}"/>
    <cellStyle name="통화 [0] 2 4 2 2 3 2 2" xfId="5519" xr:uid="{00000000-0005-0000-0000-000055150000}"/>
    <cellStyle name="통화 [0] 2 4 2 2 3 3" xfId="5520" xr:uid="{00000000-0005-0000-0000-000056150000}"/>
    <cellStyle name="통화 [0] 2 4 2 2 4" xfId="5521" xr:uid="{00000000-0005-0000-0000-000057150000}"/>
    <cellStyle name="통화 [0] 2 4 2 2 4 2" xfId="5522" xr:uid="{00000000-0005-0000-0000-000058150000}"/>
    <cellStyle name="통화 [0] 2 4 2 2 5" xfId="5523" xr:uid="{00000000-0005-0000-0000-000059150000}"/>
    <cellStyle name="통화 [0] 2 4 2 3" xfId="5524" xr:uid="{00000000-0005-0000-0000-00005A150000}"/>
    <cellStyle name="통화 [0] 2 4 2 3 2" xfId="5525" xr:uid="{00000000-0005-0000-0000-00005B150000}"/>
    <cellStyle name="통화 [0] 2 4 2 3 2 2" xfId="5526" xr:uid="{00000000-0005-0000-0000-00005C150000}"/>
    <cellStyle name="통화 [0] 2 4 2 3 2 2 2" xfId="5527" xr:uid="{00000000-0005-0000-0000-00005D150000}"/>
    <cellStyle name="통화 [0] 2 4 2 3 2 3" xfId="5528" xr:uid="{00000000-0005-0000-0000-00005E150000}"/>
    <cellStyle name="통화 [0] 2 4 2 3 3" xfId="5529" xr:uid="{00000000-0005-0000-0000-00005F150000}"/>
    <cellStyle name="통화 [0] 2 4 2 3 3 2" xfId="5530" xr:uid="{00000000-0005-0000-0000-000060150000}"/>
    <cellStyle name="통화 [0] 2 4 2 3 4" xfId="5531" xr:uid="{00000000-0005-0000-0000-000061150000}"/>
    <cellStyle name="통화 [0] 2 4 2 4" xfId="5532" xr:uid="{00000000-0005-0000-0000-000062150000}"/>
    <cellStyle name="통화 [0] 2 4 2 4 2" xfId="5533" xr:uid="{00000000-0005-0000-0000-000063150000}"/>
    <cellStyle name="통화 [0] 2 4 2 4 2 2" xfId="5534" xr:uid="{00000000-0005-0000-0000-000064150000}"/>
    <cellStyle name="통화 [0] 2 4 2 4 3" xfId="5535" xr:uid="{00000000-0005-0000-0000-000065150000}"/>
    <cellStyle name="통화 [0] 2 4 2 5" xfId="5536" xr:uid="{00000000-0005-0000-0000-000066150000}"/>
    <cellStyle name="통화 [0] 2 4 2 5 2" xfId="5537" xr:uid="{00000000-0005-0000-0000-000067150000}"/>
    <cellStyle name="통화 [0] 2 4 2 6" xfId="5538" xr:uid="{00000000-0005-0000-0000-000068150000}"/>
    <cellStyle name="통화 [0] 2 4 3" xfId="5539" xr:uid="{00000000-0005-0000-0000-000069150000}"/>
    <cellStyle name="통화 [0] 2 4 3 2" xfId="5540" xr:uid="{00000000-0005-0000-0000-00006A150000}"/>
    <cellStyle name="통화 [0] 2 4 3 2 2" xfId="5541" xr:uid="{00000000-0005-0000-0000-00006B150000}"/>
    <cellStyle name="통화 [0] 2 4 3 2 2 2" xfId="5542" xr:uid="{00000000-0005-0000-0000-00006C150000}"/>
    <cellStyle name="통화 [0] 2 4 3 2 2 2 2" xfId="5543" xr:uid="{00000000-0005-0000-0000-00006D150000}"/>
    <cellStyle name="통화 [0] 2 4 3 2 2 3" xfId="5544" xr:uid="{00000000-0005-0000-0000-00006E150000}"/>
    <cellStyle name="통화 [0] 2 4 3 2 3" xfId="5545" xr:uid="{00000000-0005-0000-0000-00006F150000}"/>
    <cellStyle name="통화 [0] 2 4 3 2 3 2" xfId="5546" xr:uid="{00000000-0005-0000-0000-000070150000}"/>
    <cellStyle name="통화 [0] 2 4 3 2 4" xfId="5547" xr:uid="{00000000-0005-0000-0000-000071150000}"/>
    <cellStyle name="통화 [0] 2 4 3 3" xfId="5548" xr:uid="{00000000-0005-0000-0000-000072150000}"/>
    <cellStyle name="통화 [0] 2 4 3 3 2" xfId="5549" xr:uid="{00000000-0005-0000-0000-000073150000}"/>
    <cellStyle name="통화 [0] 2 4 3 3 2 2" xfId="5550" xr:uid="{00000000-0005-0000-0000-000074150000}"/>
    <cellStyle name="통화 [0] 2 4 3 3 3" xfId="5551" xr:uid="{00000000-0005-0000-0000-000075150000}"/>
    <cellStyle name="통화 [0] 2 4 3 4" xfId="5552" xr:uid="{00000000-0005-0000-0000-000076150000}"/>
    <cellStyle name="통화 [0] 2 4 3 4 2" xfId="5553" xr:uid="{00000000-0005-0000-0000-000077150000}"/>
    <cellStyle name="통화 [0] 2 4 3 5" xfId="5554" xr:uid="{00000000-0005-0000-0000-000078150000}"/>
    <cellStyle name="통화 [0] 2 4 4" xfId="5555" xr:uid="{00000000-0005-0000-0000-000079150000}"/>
    <cellStyle name="통화 [0] 2 4 4 2" xfId="5556" xr:uid="{00000000-0005-0000-0000-00007A150000}"/>
    <cellStyle name="통화 [0] 2 4 4 2 2" xfId="5557" xr:uid="{00000000-0005-0000-0000-00007B150000}"/>
    <cellStyle name="통화 [0] 2 4 4 2 2 2" xfId="5558" xr:uid="{00000000-0005-0000-0000-00007C150000}"/>
    <cellStyle name="통화 [0] 2 4 4 2 3" xfId="5559" xr:uid="{00000000-0005-0000-0000-00007D150000}"/>
    <cellStyle name="통화 [0] 2 4 4 3" xfId="5560" xr:uid="{00000000-0005-0000-0000-00007E150000}"/>
    <cellStyle name="통화 [0] 2 4 4 3 2" xfId="5561" xr:uid="{00000000-0005-0000-0000-00007F150000}"/>
    <cellStyle name="통화 [0] 2 4 4 4" xfId="5562" xr:uid="{00000000-0005-0000-0000-000080150000}"/>
    <cellStyle name="통화 [0] 2 4 5" xfId="5563" xr:uid="{00000000-0005-0000-0000-000081150000}"/>
    <cellStyle name="통화 [0] 2 4 5 2" xfId="5564" xr:uid="{00000000-0005-0000-0000-000082150000}"/>
    <cellStyle name="통화 [0] 2 4 5 2 2" xfId="5565" xr:uid="{00000000-0005-0000-0000-000083150000}"/>
    <cellStyle name="통화 [0] 2 4 5 3" xfId="5566" xr:uid="{00000000-0005-0000-0000-000084150000}"/>
    <cellStyle name="통화 [0] 2 4 6" xfId="5567" xr:uid="{00000000-0005-0000-0000-000085150000}"/>
    <cellStyle name="통화 [0] 2 4 6 2" xfId="5568" xr:uid="{00000000-0005-0000-0000-000086150000}"/>
    <cellStyle name="통화 [0] 2 4 7" xfId="5569" xr:uid="{00000000-0005-0000-0000-000087150000}"/>
    <cellStyle name="통화 [0] 2 4 8" xfId="5570" xr:uid="{00000000-0005-0000-0000-000088150000}"/>
    <cellStyle name="통화 [0] 2 5" xfId="5571" xr:uid="{00000000-0005-0000-0000-000089150000}"/>
    <cellStyle name="통화 [0] 2 5 2" xfId="5572" xr:uid="{00000000-0005-0000-0000-00008A150000}"/>
    <cellStyle name="통화 [0] 2 5 2 2" xfId="5573" xr:uid="{00000000-0005-0000-0000-00008B150000}"/>
    <cellStyle name="통화 [0] 2 5 2 2 2" xfId="5574" xr:uid="{00000000-0005-0000-0000-00008C150000}"/>
    <cellStyle name="통화 [0] 2 5 2 2 2 2" xfId="5575" xr:uid="{00000000-0005-0000-0000-00008D150000}"/>
    <cellStyle name="통화 [0] 2 5 2 2 2 2 2" xfId="5576" xr:uid="{00000000-0005-0000-0000-00008E150000}"/>
    <cellStyle name="통화 [0] 2 5 2 2 2 3" xfId="5577" xr:uid="{00000000-0005-0000-0000-00008F150000}"/>
    <cellStyle name="통화 [0] 2 5 2 2 3" xfId="5578" xr:uid="{00000000-0005-0000-0000-000090150000}"/>
    <cellStyle name="통화 [0] 2 5 2 2 3 2" xfId="5579" xr:uid="{00000000-0005-0000-0000-000091150000}"/>
    <cellStyle name="통화 [0] 2 5 2 2 4" xfId="5580" xr:uid="{00000000-0005-0000-0000-000092150000}"/>
    <cellStyle name="통화 [0] 2 5 2 3" xfId="5581" xr:uid="{00000000-0005-0000-0000-000093150000}"/>
    <cellStyle name="통화 [0] 2 5 2 3 2" xfId="5582" xr:uid="{00000000-0005-0000-0000-000094150000}"/>
    <cellStyle name="통화 [0] 2 5 2 3 2 2" xfId="5583" xr:uid="{00000000-0005-0000-0000-000095150000}"/>
    <cellStyle name="통화 [0] 2 5 2 3 3" xfId="5584" xr:uid="{00000000-0005-0000-0000-000096150000}"/>
    <cellStyle name="통화 [0] 2 5 2 4" xfId="5585" xr:uid="{00000000-0005-0000-0000-000097150000}"/>
    <cellStyle name="통화 [0] 2 5 2 4 2" xfId="5586" xr:uid="{00000000-0005-0000-0000-000098150000}"/>
    <cellStyle name="통화 [0] 2 5 2 5" xfId="5587" xr:uid="{00000000-0005-0000-0000-000099150000}"/>
    <cellStyle name="통화 [0] 2 5 3" xfId="5588" xr:uid="{00000000-0005-0000-0000-00009A150000}"/>
    <cellStyle name="통화 [0] 2 5 3 2" xfId="5589" xr:uid="{00000000-0005-0000-0000-00009B150000}"/>
    <cellStyle name="통화 [0] 2 5 3 2 2" xfId="5590" xr:uid="{00000000-0005-0000-0000-00009C150000}"/>
    <cellStyle name="통화 [0] 2 5 3 2 2 2" xfId="5591" xr:uid="{00000000-0005-0000-0000-00009D150000}"/>
    <cellStyle name="통화 [0] 2 5 3 2 3" xfId="5592" xr:uid="{00000000-0005-0000-0000-00009E150000}"/>
    <cellStyle name="통화 [0] 2 5 3 3" xfId="5593" xr:uid="{00000000-0005-0000-0000-00009F150000}"/>
    <cellStyle name="통화 [0] 2 5 3 3 2" xfId="5594" xr:uid="{00000000-0005-0000-0000-0000A0150000}"/>
    <cellStyle name="통화 [0] 2 5 3 4" xfId="5595" xr:uid="{00000000-0005-0000-0000-0000A1150000}"/>
    <cellStyle name="통화 [0] 2 5 4" xfId="5596" xr:uid="{00000000-0005-0000-0000-0000A2150000}"/>
    <cellStyle name="통화 [0] 2 5 4 2" xfId="5597" xr:uid="{00000000-0005-0000-0000-0000A3150000}"/>
    <cellStyle name="통화 [0] 2 5 4 2 2" xfId="5598" xr:uid="{00000000-0005-0000-0000-0000A4150000}"/>
    <cellStyle name="통화 [0] 2 5 4 3" xfId="5599" xr:uid="{00000000-0005-0000-0000-0000A5150000}"/>
    <cellStyle name="통화 [0] 2 5 5" xfId="5600" xr:uid="{00000000-0005-0000-0000-0000A6150000}"/>
    <cellStyle name="통화 [0] 2 5 5 2" xfId="5601" xr:uid="{00000000-0005-0000-0000-0000A7150000}"/>
    <cellStyle name="통화 [0] 2 5 6" xfId="5602" xr:uid="{00000000-0005-0000-0000-0000A8150000}"/>
    <cellStyle name="통화 [0] 2 6" xfId="5603" xr:uid="{00000000-0005-0000-0000-0000A9150000}"/>
    <cellStyle name="통화 [0] 2 6 2" xfId="5604" xr:uid="{00000000-0005-0000-0000-0000AA150000}"/>
    <cellStyle name="통화 [0] 2 6 2 2" xfId="5605" xr:uid="{00000000-0005-0000-0000-0000AB150000}"/>
    <cellStyle name="통화 [0] 2 6 2 2 2" xfId="5606" xr:uid="{00000000-0005-0000-0000-0000AC150000}"/>
    <cellStyle name="통화 [0] 2 6 2 2 2 2" xfId="5607" xr:uid="{00000000-0005-0000-0000-0000AD150000}"/>
    <cellStyle name="통화 [0] 2 6 2 2 3" xfId="5608" xr:uid="{00000000-0005-0000-0000-0000AE150000}"/>
    <cellStyle name="통화 [0] 2 6 2 3" xfId="5609" xr:uid="{00000000-0005-0000-0000-0000AF150000}"/>
    <cellStyle name="통화 [0] 2 6 2 3 2" xfId="5610" xr:uid="{00000000-0005-0000-0000-0000B0150000}"/>
    <cellStyle name="통화 [0] 2 6 2 4" xfId="5611" xr:uid="{00000000-0005-0000-0000-0000B1150000}"/>
    <cellStyle name="통화 [0] 2 6 3" xfId="5612" xr:uid="{00000000-0005-0000-0000-0000B2150000}"/>
    <cellStyle name="통화 [0] 2 6 3 2" xfId="5613" xr:uid="{00000000-0005-0000-0000-0000B3150000}"/>
    <cellStyle name="통화 [0] 2 6 3 2 2" xfId="5614" xr:uid="{00000000-0005-0000-0000-0000B4150000}"/>
    <cellStyle name="통화 [0] 2 6 3 3" xfId="5615" xr:uid="{00000000-0005-0000-0000-0000B5150000}"/>
    <cellStyle name="통화 [0] 2 6 4" xfId="5616" xr:uid="{00000000-0005-0000-0000-0000B6150000}"/>
    <cellStyle name="통화 [0] 2 6 4 2" xfId="5617" xr:uid="{00000000-0005-0000-0000-0000B7150000}"/>
    <cellStyle name="통화 [0] 2 6 5" xfId="5618" xr:uid="{00000000-0005-0000-0000-0000B8150000}"/>
    <cellStyle name="통화 [0] 2 7" xfId="5619" xr:uid="{00000000-0005-0000-0000-0000B9150000}"/>
    <cellStyle name="통화 [0] 2 7 2" xfId="5620" xr:uid="{00000000-0005-0000-0000-0000BA150000}"/>
    <cellStyle name="통화 [0] 2 7 2 2" xfId="5621" xr:uid="{00000000-0005-0000-0000-0000BB150000}"/>
    <cellStyle name="통화 [0] 2 7 2 2 2" xfId="5622" xr:uid="{00000000-0005-0000-0000-0000BC150000}"/>
    <cellStyle name="통화 [0] 2 7 2 3" xfId="5623" xr:uid="{00000000-0005-0000-0000-0000BD150000}"/>
    <cellStyle name="통화 [0] 2 7 3" xfId="5624" xr:uid="{00000000-0005-0000-0000-0000BE150000}"/>
    <cellStyle name="통화 [0] 2 7 3 2" xfId="5625" xr:uid="{00000000-0005-0000-0000-0000BF150000}"/>
    <cellStyle name="통화 [0] 2 7 4" xfId="5626" xr:uid="{00000000-0005-0000-0000-0000C0150000}"/>
    <cellStyle name="통화 [0] 2 8" xfId="5627" xr:uid="{00000000-0005-0000-0000-0000C1150000}"/>
    <cellStyle name="통화 [0] 2 8 2" xfId="5628" xr:uid="{00000000-0005-0000-0000-0000C2150000}"/>
    <cellStyle name="통화 [0] 2 8 2 2" xfId="5629" xr:uid="{00000000-0005-0000-0000-0000C3150000}"/>
    <cellStyle name="통화 [0] 2 8 3" xfId="5630" xr:uid="{00000000-0005-0000-0000-0000C4150000}"/>
    <cellStyle name="통화 [0] 2 9" xfId="5631" xr:uid="{00000000-0005-0000-0000-0000C5150000}"/>
    <cellStyle name="통화 [0] 2 9 2" xfId="5632" xr:uid="{00000000-0005-0000-0000-0000C6150000}"/>
    <cellStyle name="통화 [0] 3" xfId="5633" xr:uid="{00000000-0005-0000-0000-0000C7150000}"/>
    <cellStyle name="통화 [0] 3 2" xfId="5634" xr:uid="{00000000-0005-0000-0000-0000C8150000}"/>
    <cellStyle name="통화 [0] 3 2 2" xfId="5635" xr:uid="{00000000-0005-0000-0000-0000C9150000}"/>
    <cellStyle name="통화 [0] 3 2 2 2" xfId="5636" xr:uid="{00000000-0005-0000-0000-0000CA150000}"/>
    <cellStyle name="통화 [0] 3 2 2 2 2" xfId="5637" xr:uid="{00000000-0005-0000-0000-0000CB150000}"/>
    <cellStyle name="통화 [0] 3 2 2 2 2 2" xfId="5638" xr:uid="{00000000-0005-0000-0000-0000CC150000}"/>
    <cellStyle name="통화 [0] 3 2 2 2 2 2 2" xfId="5639" xr:uid="{00000000-0005-0000-0000-0000CD150000}"/>
    <cellStyle name="통화 [0] 3 2 2 2 2 3" xfId="5640" xr:uid="{00000000-0005-0000-0000-0000CE150000}"/>
    <cellStyle name="통화 [0] 3 2 2 2 3" xfId="5641" xr:uid="{00000000-0005-0000-0000-0000CF150000}"/>
    <cellStyle name="통화 [0] 3 2 2 2 3 2" xfId="5642" xr:uid="{00000000-0005-0000-0000-0000D0150000}"/>
    <cellStyle name="통화 [0] 3 2 2 2 4" xfId="5643" xr:uid="{00000000-0005-0000-0000-0000D1150000}"/>
    <cellStyle name="통화 [0] 3 2 2 3" xfId="5644" xr:uid="{00000000-0005-0000-0000-0000D2150000}"/>
    <cellStyle name="통화 [0] 3 2 2 3 2" xfId="5645" xr:uid="{00000000-0005-0000-0000-0000D3150000}"/>
    <cellStyle name="통화 [0] 3 2 2 3 2 2" xfId="5646" xr:uid="{00000000-0005-0000-0000-0000D4150000}"/>
    <cellStyle name="통화 [0] 3 2 2 3 3" xfId="5647" xr:uid="{00000000-0005-0000-0000-0000D5150000}"/>
    <cellStyle name="통화 [0] 3 2 2 4" xfId="5648" xr:uid="{00000000-0005-0000-0000-0000D6150000}"/>
    <cellStyle name="통화 [0] 3 2 2 4 2" xfId="5649" xr:uid="{00000000-0005-0000-0000-0000D7150000}"/>
    <cellStyle name="통화 [0] 3 2 2 5" xfId="5650" xr:uid="{00000000-0005-0000-0000-0000D8150000}"/>
    <cellStyle name="통화 [0] 3 2 3" xfId="5651" xr:uid="{00000000-0005-0000-0000-0000D9150000}"/>
    <cellStyle name="통화 [0] 3 2 3 2" xfId="5652" xr:uid="{00000000-0005-0000-0000-0000DA150000}"/>
    <cellStyle name="통화 [0] 3 2 3 2 2" xfId="5653" xr:uid="{00000000-0005-0000-0000-0000DB150000}"/>
    <cellStyle name="통화 [0] 3 2 3 2 2 2" xfId="5654" xr:uid="{00000000-0005-0000-0000-0000DC150000}"/>
    <cellStyle name="통화 [0] 3 2 3 2 3" xfId="5655" xr:uid="{00000000-0005-0000-0000-0000DD150000}"/>
    <cellStyle name="통화 [0] 3 2 3 3" xfId="5656" xr:uid="{00000000-0005-0000-0000-0000DE150000}"/>
    <cellStyle name="통화 [0] 3 2 3 3 2" xfId="5657" xr:uid="{00000000-0005-0000-0000-0000DF150000}"/>
    <cellStyle name="통화 [0] 3 2 3 4" xfId="5658" xr:uid="{00000000-0005-0000-0000-0000E0150000}"/>
    <cellStyle name="통화 [0] 3 2 4" xfId="5659" xr:uid="{00000000-0005-0000-0000-0000E1150000}"/>
    <cellStyle name="통화 [0] 3 2 4 2" xfId="5660" xr:uid="{00000000-0005-0000-0000-0000E2150000}"/>
    <cellStyle name="통화 [0] 3 2 4 2 2" xfId="5661" xr:uid="{00000000-0005-0000-0000-0000E3150000}"/>
    <cellStyle name="통화 [0] 3 2 4 3" xfId="5662" xr:uid="{00000000-0005-0000-0000-0000E4150000}"/>
    <cellStyle name="통화 [0] 3 2 5" xfId="5663" xr:uid="{00000000-0005-0000-0000-0000E5150000}"/>
    <cellStyle name="통화 [0] 3 2 5 2" xfId="5664" xr:uid="{00000000-0005-0000-0000-0000E6150000}"/>
    <cellStyle name="통화 [0] 3 2 6" xfId="5665" xr:uid="{00000000-0005-0000-0000-0000E7150000}"/>
    <cellStyle name="통화 [0] 3 3" xfId="5666" xr:uid="{00000000-0005-0000-0000-0000E8150000}"/>
    <cellStyle name="통화 [0] 3 3 2" xfId="5667" xr:uid="{00000000-0005-0000-0000-0000E9150000}"/>
    <cellStyle name="통화 [0] 3 3 2 2" xfId="5668" xr:uid="{00000000-0005-0000-0000-0000EA150000}"/>
    <cellStyle name="통화 [0] 3 3 2 2 2" xfId="5669" xr:uid="{00000000-0005-0000-0000-0000EB150000}"/>
    <cellStyle name="통화 [0] 3 3 2 2 2 2" xfId="5670" xr:uid="{00000000-0005-0000-0000-0000EC150000}"/>
    <cellStyle name="통화 [0] 3 3 2 2 3" xfId="5671" xr:uid="{00000000-0005-0000-0000-0000ED150000}"/>
    <cellStyle name="통화 [0] 3 3 2 3" xfId="5672" xr:uid="{00000000-0005-0000-0000-0000EE150000}"/>
    <cellStyle name="통화 [0] 3 3 2 3 2" xfId="5673" xr:uid="{00000000-0005-0000-0000-0000EF150000}"/>
    <cellStyle name="통화 [0] 3 3 2 4" xfId="5674" xr:uid="{00000000-0005-0000-0000-0000F0150000}"/>
    <cellStyle name="통화 [0] 3 3 3" xfId="5675" xr:uid="{00000000-0005-0000-0000-0000F1150000}"/>
    <cellStyle name="통화 [0] 3 3 3 2" xfId="5676" xr:uid="{00000000-0005-0000-0000-0000F2150000}"/>
    <cellStyle name="통화 [0] 3 3 3 2 2" xfId="5677" xr:uid="{00000000-0005-0000-0000-0000F3150000}"/>
    <cellStyle name="통화 [0] 3 3 3 3" xfId="5678" xr:uid="{00000000-0005-0000-0000-0000F4150000}"/>
    <cellStyle name="통화 [0] 3 3 4" xfId="5679" xr:uid="{00000000-0005-0000-0000-0000F5150000}"/>
    <cellStyle name="통화 [0] 3 3 4 2" xfId="5680" xr:uid="{00000000-0005-0000-0000-0000F6150000}"/>
    <cellStyle name="통화 [0] 3 3 5" xfId="5681" xr:uid="{00000000-0005-0000-0000-0000F7150000}"/>
    <cellStyle name="통화 [0] 3 4" xfId="5682" xr:uid="{00000000-0005-0000-0000-0000F8150000}"/>
    <cellStyle name="통화 [0] 3 4 2" xfId="5683" xr:uid="{00000000-0005-0000-0000-0000F9150000}"/>
    <cellStyle name="통화 [0] 3 4 2 2" xfId="5684" xr:uid="{00000000-0005-0000-0000-0000FA150000}"/>
    <cellStyle name="통화 [0] 3 4 2 2 2" xfId="5685" xr:uid="{00000000-0005-0000-0000-0000FB150000}"/>
    <cellStyle name="통화 [0] 3 4 2 3" xfId="5686" xr:uid="{00000000-0005-0000-0000-0000FC150000}"/>
    <cellStyle name="통화 [0] 3 4 3" xfId="5687" xr:uid="{00000000-0005-0000-0000-0000FD150000}"/>
    <cellStyle name="통화 [0] 3 4 3 2" xfId="5688" xr:uid="{00000000-0005-0000-0000-0000FE150000}"/>
    <cellStyle name="통화 [0] 3 4 4" xfId="5689" xr:uid="{00000000-0005-0000-0000-0000FF150000}"/>
    <cellStyle name="통화 [0] 3 5" xfId="5690" xr:uid="{00000000-0005-0000-0000-000000160000}"/>
    <cellStyle name="통화 [0] 3 5 2" xfId="5691" xr:uid="{00000000-0005-0000-0000-000001160000}"/>
    <cellStyle name="통화 [0] 3 5 2 2" xfId="5692" xr:uid="{00000000-0005-0000-0000-000002160000}"/>
    <cellStyle name="통화 [0] 3 5 3" xfId="5693" xr:uid="{00000000-0005-0000-0000-000003160000}"/>
    <cellStyle name="통화 [0] 3 6" xfId="5694" xr:uid="{00000000-0005-0000-0000-000004160000}"/>
    <cellStyle name="통화 [0] 3 6 2" xfId="5695" xr:uid="{00000000-0005-0000-0000-000005160000}"/>
    <cellStyle name="통화 [0] 3 7" xfId="5696" xr:uid="{00000000-0005-0000-0000-000006160000}"/>
    <cellStyle name="통화 [0] 3 8" xfId="5697" xr:uid="{00000000-0005-0000-0000-000007160000}"/>
    <cellStyle name="통화 [0] 4" xfId="5698" xr:uid="{00000000-0005-0000-0000-000008160000}"/>
    <cellStyle name="통화 [0] 4 2" xfId="5699" xr:uid="{00000000-0005-0000-0000-000009160000}"/>
    <cellStyle name="통화 [0] 5" xfId="5700" xr:uid="{00000000-0005-0000-0000-00000A160000}"/>
    <cellStyle name="표준" xfId="0" builtinId="0"/>
    <cellStyle name="표준 10" xfId="10" xr:uid="{00000000-0005-0000-0000-00000C160000}"/>
    <cellStyle name="표준 10 2" xfId="61" xr:uid="{00000000-0005-0000-0000-00000D160000}"/>
    <cellStyle name="표준 10 2 10" xfId="5701" xr:uid="{00000000-0005-0000-0000-00000E160000}"/>
    <cellStyle name="표준 10 2 2" xfId="5702" xr:uid="{00000000-0005-0000-0000-00000F160000}"/>
    <cellStyle name="표준 10 2 2 10" xfId="5703" xr:uid="{00000000-0005-0000-0000-000010160000}"/>
    <cellStyle name="표준 10 2 2 11" xfId="5704" xr:uid="{00000000-0005-0000-0000-000011160000}"/>
    <cellStyle name="표준 10 2 2 2" xfId="5705" xr:uid="{00000000-0005-0000-0000-000012160000}"/>
    <cellStyle name="표준 10 2 2 2 2" xfId="5706" xr:uid="{00000000-0005-0000-0000-000013160000}"/>
    <cellStyle name="표준 10 2 2 2 2 2" xfId="5707" xr:uid="{00000000-0005-0000-0000-000014160000}"/>
    <cellStyle name="표준 10 2 2 2 2 2 2" xfId="5708" xr:uid="{00000000-0005-0000-0000-000015160000}"/>
    <cellStyle name="표준 10 2 2 2 2 2 2 2" xfId="5709" xr:uid="{00000000-0005-0000-0000-000016160000}"/>
    <cellStyle name="표준 10 2 2 2 2 2 2 2 2" xfId="5710" xr:uid="{00000000-0005-0000-0000-000017160000}"/>
    <cellStyle name="표준 10 2 2 2 2 2 2 2 2 2" xfId="5711" xr:uid="{00000000-0005-0000-0000-000018160000}"/>
    <cellStyle name="표준 10 2 2 2 2 2 2 2 3" xfId="5712" xr:uid="{00000000-0005-0000-0000-000019160000}"/>
    <cellStyle name="표준 10 2 2 2 2 2 2 3" xfId="5713" xr:uid="{00000000-0005-0000-0000-00001A160000}"/>
    <cellStyle name="표준 10 2 2 2 2 2 2 3 2" xfId="5714" xr:uid="{00000000-0005-0000-0000-00001B160000}"/>
    <cellStyle name="표준 10 2 2 2 2 2 2 4" xfId="5715" xr:uid="{00000000-0005-0000-0000-00001C160000}"/>
    <cellStyle name="표준 10 2 2 2 2 2 3" xfId="5716" xr:uid="{00000000-0005-0000-0000-00001D160000}"/>
    <cellStyle name="표준 10 2 2 2 2 2 3 2" xfId="5717" xr:uid="{00000000-0005-0000-0000-00001E160000}"/>
    <cellStyle name="표준 10 2 2 2 2 2 3 2 2" xfId="5718" xr:uid="{00000000-0005-0000-0000-00001F160000}"/>
    <cellStyle name="표준 10 2 2 2 2 2 3 3" xfId="5719" xr:uid="{00000000-0005-0000-0000-000020160000}"/>
    <cellStyle name="표준 10 2 2 2 2 2 4" xfId="5720" xr:uid="{00000000-0005-0000-0000-000021160000}"/>
    <cellStyle name="표준 10 2 2 2 2 2 4 2" xfId="5721" xr:uid="{00000000-0005-0000-0000-000022160000}"/>
    <cellStyle name="표준 10 2 2 2 2 2 5" xfId="5722" xr:uid="{00000000-0005-0000-0000-000023160000}"/>
    <cellStyle name="표준 10 2 2 2 2 3" xfId="5723" xr:uid="{00000000-0005-0000-0000-000024160000}"/>
    <cellStyle name="표준 10 2 2 2 2 3 2" xfId="5724" xr:uid="{00000000-0005-0000-0000-000025160000}"/>
    <cellStyle name="표준 10 2 2 2 2 3 2 2" xfId="5725" xr:uid="{00000000-0005-0000-0000-000026160000}"/>
    <cellStyle name="표준 10 2 2 2 2 3 2 2 2" xfId="5726" xr:uid="{00000000-0005-0000-0000-000027160000}"/>
    <cellStyle name="표준 10 2 2 2 2 3 2 3" xfId="5727" xr:uid="{00000000-0005-0000-0000-000028160000}"/>
    <cellStyle name="표준 10 2 2 2 2 3 3" xfId="5728" xr:uid="{00000000-0005-0000-0000-000029160000}"/>
    <cellStyle name="표준 10 2 2 2 2 3 3 2" xfId="5729" xr:uid="{00000000-0005-0000-0000-00002A160000}"/>
    <cellStyle name="표준 10 2 2 2 2 3 4" xfId="5730" xr:uid="{00000000-0005-0000-0000-00002B160000}"/>
    <cellStyle name="표준 10 2 2 2 2 4" xfId="5731" xr:uid="{00000000-0005-0000-0000-00002C160000}"/>
    <cellStyle name="표준 10 2 2 2 2 4 2" xfId="5732" xr:uid="{00000000-0005-0000-0000-00002D160000}"/>
    <cellStyle name="표준 10 2 2 2 2 4 2 2" xfId="5733" xr:uid="{00000000-0005-0000-0000-00002E160000}"/>
    <cellStyle name="표준 10 2 2 2 2 4 3" xfId="5734" xr:uid="{00000000-0005-0000-0000-00002F160000}"/>
    <cellStyle name="표준 10 2 2 2 2 5" xfId="5735" xr:uid="{00000000-0005-0000-0000-000030160000}"/>
    <cellStyle name="표준 10 2 2 2 2 5 2" xfId="5736" xr:uid="{00000000-0005-0000-0000-000031160000}"/>
    <cellStyle name="표준 10 2 2 2 2 6" xfId="5737" xr:uid="{00000000-0005-0000-0000-000032160000}"/>
    <cellStyle name="표준 10 2 2 2 3" xfId="5738" xr:uid="{00000000-0005-0000-0000-000033160000}"/>
    <cellStyle name="표준 10 2 2 2 3 2" xfId="5739" xr:uid="{00000000-0005-0000-0000-000034160000}"/>
    <cellStyle name="표준 10 2 2 2 3 2 2" xfId="5740" xr:uid="{00000000-0005-0000-0000-000035160000}"/>
    <cellStyle name="표준 10 2 2 2 3 2 2 2" xfId="5741" xr:uid="{00000000-0005-0000-0000-000036160000}"/>
    <cellStyle name="표준 10 2 2 2 3 2 2 2 2" xfId="5742" xr:uid="{00000000-0005-0000-0000-000037160000}"/>
    <cellStyle name="표준 10 2 2 2 3 2 2 3" xfId="5743" xr:uid="{00000000-0005-0000-0000-000038160000}"/>
    <cellStyle name="표준 10 2 2 2 3 2 3" xfId="5744" xr:uid="{00000000-0005-0000-0000-000039160000}"/>
    <cellStyle name="표준 10 2 2 2 3 2 3 2" xfId="5745" xr:uid="{00000000-0005-0000-0000-00003A160000}"/>
    <cellStyle name="표준 10 2 2 2 3 2 4" xfId="5746" xr:uid="{00000000-0005-0000-0000-00003B160000}"/>
    <cellStyle name="표준 10 2 2 2 3 3" xfId="5747" xr:uid="{00000000-0005-0000-0000-00003C160000}"/>
    <cellStyle name="표준 10 2 2 2 3 3 2" xfId="5748" xr:uid="{00000000-0005-0000-0000-00003D160000}"/>
    <cellStyle name="표준 10 2 2 2 3 3 2 2" xfId="5749" xr:uid="{00000000-0005-0000-0000-00003E160000}"/>
    <cellStyle name="표준 10 2 2 2 3 3 3" xfId="5750" xr:uid="{00000000-0005-0000-0000-00003F160000}"/>
    <cellStyle name="표준 10 2 2 2 3 4" xfId="5751" xr:uid="{00000000-0005-0000-0000-000040160000}"/>
    <cellStyle name="표준 10 2 2 2 3 4 2" xfId="5752" xr:uid="{00000000-0005-0000-0000-000041160000}"/>
    <cellStyle name="표준 10 2 2 2 3 5" xfId="5753" xr:uid="{00000000-0005-0000-0000-000042160000}"/>
    <cellStyle name="표준 10 2 2 2 4" xfId="5754" xr:uid="{00000000-0005-0000-0000-000043160000}"/>
    <cellStyle name="표준 10 2 2 2 4 2" xfId="5755" xr:uid="{00000000-0005-0000-0000-000044160000}"/>
    <cellStyle name="표준 10 2 2 2 4 2 2" xfId="5756" xr:uid="{00000000-0005-0000-0000-000045160000}"/>
    <cellStyle name="표준 10 2 2 2 4 2 2 2" xfId="5757" xr:uid="{00000000-0005-0000-0000-000046160000}"/>
    <cellStyle name="표준 10 2 2 2 4 2 3" xfId="5758" xr:uid="{00000000-0005-0000-0000-000047160000}"/>
    <cellStyle name="표준 10 2 2 2 4 3" xfId="5759" xr:uid="{00000000-0005-0000-0000-000048160000}"/>
    <cellStyle name="표준 10 2 2 2 4 3 2" xfId="5760" xr:uid="{00000000-0005-0000-0000-000049160000}"/>
    <cellStyle name="표준 10 2 2 2 4 4" xfId="5761" xr:uid="{00000000-0005-0000-0000-00004A160000}"/>
    <cellStyle name="표준 10 2 2 2 5" xfId="5762" xr:uid="{00000000-0005-0000-0000-00004B160000}"/>
    <cellStyle name="표준 10 2 2 2 5 2" xfId="5763" xr:uid="{00000000-0005-0000-0000-00004C160000}"/>
    <cellStyle name="표준 10 2 2 2 5 2 2" xfId="5764" xr:uid="{00000000-0005-0000-0000-00004D160000}"/>
    <cellStyle name="표준 10 2 2 2 5 3" xfId="5765" xr:uid="{00000000-0005-0000-0000-00004E160000}"/>
    <cellStyle name="표준 10 2 2 2 6" xfId="5766" xr:uid="{00000000-0005-0000-0000-00004F160000}"/>
    <cellStyle name="표준 10 2 2 2 6 2" xfId="5767" xr:uid="{00000000-0005-0000-0000-000050160000}"/>
    <cellStyle name="표준 10 2 2 2 7" xfId="5768" xr:uid="{00000000-0005-0000-0000-000051160000}"/>
    <cellStyle name="표준 10 2 2 2 8" xfId="5769" xr:uid="{00000000-0005-0000-0000-000052160000}"/>
    <cellStyle name="표준 10 2 2 3" xfId="5770" xr:uid="{00000000-0005-0000-0000-000053160000}"/>
    <cellStyle name="표준 10 2 2 3 2" xfId="5771" xr:uid="{00000000-0005-0000-0000-000054160000}"/>
    <cellStyle name="표준 10 2 2 3 2 2" xfId="5772" xr:uid="{00000000-0005-0000-0000-000055160000}"/>
    <cellStyle name="표준 10 2 2 3 2 2 2" xfId="5773" xr:uid="{00000000-0005-0000-0000-000056160000}"/>
    <cellStyle name="표준 10 2 2 3 2 2 2 2" xfId="5774" xr:uid="{00000000-0005-0000-0000-000057160000}"/>
    <cellStyle name="표준 10 2 2 3 2 2 2 2 2" xfId="5775" xr:uid="{00000000-0005-0000-0000-000058160000}"/>
    <cellStyle name="표준 10 2 2 3 2 2 2 3" xfId="5776" xr:uid="{00000000-0005-0000-0000-000059160000}"/>
    <cellStyle name="표준 10 2 2 3 2 2 3" xfId="5777" xr:uid="{00000000-0005-0000-0000-00005A160000}"/>
    <cellStyle name="표준 10 2 2 3 2 2 3 2" xfId="5778" xr:uid="{00000000-0005-0000-0000-00005B160000}"/>
    <cellStyle name="표준 10 2 2 3 2 2 4" xfId="5779" xr:uid="{00000000-0005-0000-0000-00005C160000}"/>
    <cellStyle name="표준 10 2 2 3 2 3" xfId="5780" xr:uid="{00000000-0005-0000-0000-00005D160000}"/>
    <cellStyle name="표준 10 2 2 3 2 3 2" xfId="5781" xr:uid="{00000000-0005-0000-0000-00005E160000}"/>
    <cellStyle name="표준 10 2 2 3 2 3 2 2" xfId="5782" xr:uid="{00000000-0005-0000-0000-00005F160000}"/>
    <cellStyle name="표준 10 2 2 3 2 3 3" xfId="5783" xr:uid="{00000000-0005-0000-0000-000060160000}"/>
    <cellStyle name="표준 10 2 2 3 2 4" xfId="5784" xr:uid="{00000000-0005-0000-0000-000061160000}"/>
    <cellStyle name="표준 10 2 2 3 2 4 2" xfId="5785" xr:uid="{00000000-0005-0000-0000-000062160000}"/>
    <cellStyle name="표준 10 2 2 3 2 5" xfId="5786" xr:uid="{00000000-0005-0000-0000-000063160000}"/>
    <cellStyle name="표준 10 2 2 3 3" xfId="5787" xr:uid="{00000000-0005-0000-0000-000064160000}"/>
    <cellStyle name="표준 10 2 2 3 3 2" xfId="5788" xr:uid="{00000000-0005-0000-0000-000065160000}"/>
    <cellStyle name="표준 10 2 2 3 3 2 2" xfId="5789" xr:uid="{00000000-0005-0000-0000-000066160000}"/>
    <cellStyle name="표준 10 2 2 3 3 2 2 2" xfId="5790" xr:uid="{00000000-0005-0000-0000-000067160000}"/>
    <cellStyle name="표준 10 2 2 3 3 2 3" xfId="5791" xr:uid="{00000000-0005-0000-0000-000068160000}"/>
    <cellStyle name="표준 10 2 2 3 3 3" xfId="5792" xr:uid="{00000000-0005-0000-0000-000069160000}"/>
    <cellStyle name="표준 10 2 2 3 3 3 2" xfId="5793" xr:uid="{00000000-0005-0000-0000-00006A160000}"/>
    <cellStyle name="표준 10 2 2 3 3 4" xfId="5794" xr:uid="{00000000-0005-0000-0000-00006B160000}"/>
    <cellStyle name="표준 10 2 2 3 4" xfId="5795" xr:uid="{00000000-0005-0000-0000-00006C160000}"/>
    <cellStyle name="표준 10 2 2 3 4 2" xfId="5796" xr:uid="{00000000-0005-0000-0000-00006D160000}"/>
    <cellStyle name="표준 10 2 2 3 4 2 2" xfId="5797" xr:uid="{00000000-0005-0000-0000-00006E160000}"/>
    <cellStyle name="표준 10 2 2 3 4 3" xfId="5798" xr:uid="{00000000-0005-0000-0000-00006F160000}"/>
    <cellStyle name="표준 10 2 2 3 5" xfId="5799" xr:uid="{00000000-0005-0000-0000-000070160000}"/>
    <cellStyle name="표준 10 2 2 3 5 2" xfId="5800" xr:uid="{00000000-0005-0000-0000-000071160000}"/>
    <cellStyle name="표준 10 2 2 3 6" xfId="5801" xr:uid="{00000000-0005-0000-0000-000072160000}"/>
    <cellStyle name="표준 10 2 2 4" xfId="5802" xr:uid="{00000000-0005-0000-0000-000073160000}"/>
    <cellStyle name="표준 10 2 2 4 2" xfId="5803" xr:uid="{00000000-0005-0000-0000-000074160000}"/>
    <cellStyle name="표준 10 2 2 4 2 2" xfId="5804" xr:uid="{00000000-0005-0000-0000-000075160000}"/>
    <cellStyle name="표준 10 2 2 4 2 2 2" xfId="5805" xr:uid="{00000000-0005-0000-0000-000076160000}"/>
    <cellStyle name="표준 10 2 2 4 2 2 2 2" xfId="5806" xr:uid="{00000000-0005-0000-0000-000077160000}"/>
    <cellStyle name="표준 10 2 2 4 2 2 3" xfId="5807" xr:uid="{00000000-0005-0000-0000-000078160000}"/>
    <cellStyle name="표준 10 2 2 4 2 3" xfId="5808" xr:uid="{00000000-0005-0000-0000-000079160000}"/>
    <cellStyle name="표준 10 2 2 4 2 3 2" xfId="5809" xr:uid="{00000000-0005-0000-0000-00007A160000}"/>
    <cellStyle name="표준 10 2 2 4 2 4" xfId="5810" xr:uid="{00000000-0005-0000-0000-00007B160000}"/>
    <cellStyle name="표준 10 2 2 4 3" xfId="5811" xr:uid="{00000000-0005-0000-0000-00007C160000}"/>
    <cellStyle name="표준 10 2 2 4 3 2" xfId="5812" xr:uid="{00000000-0005-0000-0000-00007D160000}"/>
    <cellStyle name="표준 10 2 2 4 3 2 2" xfId="5813" xr:uid="{00000000-0005-0000-0000-00007E160000}"/>
    <cellStyle name="표준 10 2 2 4 3 3" xfId="5814" xr:uid="{00000000-0005-0000-0000-00007F160000}"/>
    <cellStyle name="표준 10 2 2 4 4" xfId="5815" xr:uid="{00000000-0005-0000-0000-000080160000}"/>
    <cellStyle name="표준 10 2 2 4 4 2" xfId="5816" xr:uid="{00000000-0005-0000-0000-000081160000}"/>
    <cellStyle name="표준 10 2 2 4 5" xfId="5817" xr:uid="{00000000-0005-0000-0000-000082160000}"/>
    <cellStyle name="표준 10 2 2 5" xfId="5818" xr:uid="{00000000-0005-0000-0000-000083160000}"/>
    <cellStyle name="표준 10 2 2 5 2" xfId="5819" xr:uid="{00000000-0005-0000-0000-000084160000}"/>
    <cellStyle name="표준 10 2 2 5 2 2" xfId="5820" xr:uid="{00000000-0005-0000-0000-000085160000}"/>
    <cellStyle name="표준 10 2 2 5 2 2 2" xfId="5821" xr:uid="{00000000-0005-0000-0000-000086160000}"/>
    <cellStyle name="표준 10 2 2 5 2 3" xfId="5822" xr:uid="{00000000-0005-0000-0000-000087160000}"/>
    <cellStyle name="표준 10 2 2 5 3" xfId="5823" xr:uid="{00000000-0005-0000-0000-000088160000}"/>
    <cellStyle name="표준 10 2 2 5 3 2" xfId="5824" xr:uid="{00000000-0005-0000-0000-000089160000}"/>
    <cellStyle name="표준 10 2 2 5 4" xfId="5825" xr:uid="{00000000-0005-0000-0000-00008A160000}"/>
    <cellStyle name="표준 10 2 2 6" xfId="5826" xr:uid="{00000000-0005-0000-0000-00008B160000}"/>
    <cellStyle name="표준 10 2 2 6 2" xfId="5827" xr:uid="{00000000-0005-0000-0000-00008C160000}"/>
    <cellStyle name="표준 10 2 2 6 2 2" xfId="5828" xr:uid="{00000000-0005-0000-0000-00008D160000}"/>
    <cellStyle name="표준 10 2 2 6 3" xfId="5829" xr:uid="{00000000-0005-0000-0000-00008E160000}"/>
    <cellStyle name="표준 10 2 2 7" xfId="5830" xr:uid="{00000000-0005-0000-0000-00008F160000}"/>
    <cellStyle name="표준 10 2 2 7 2" xfId="5831" xr:uid="{00000000-0005-0000-0000-000090160000}"/>
    <cellStyle name="표준 10 2 2 8" xfId="5832" xr:uid="{00000000-0005-0000-0000-000091160000}"/>
    <cellStyle name="표준 10 2 2 9" xfId="5833" xr:uid="{00000000-0005-0000-0000-000092160000}"/>
    <cellStyle name="표준 10 2 3" xfId="5834" xr:uid="{00000000-0005-0000-0000-000093160000}"/>
    <cellStyle name="표준 10 2 4" xfId="5835" xr:uid="{00000000-0005-0000-0000-000094160000}"/>
    <cellStyle name="표준 10 2 4 2" xfId="5836" xr:uid="{00000000-0005-0000-0000-000095160000}"/>
    <cellStyle name="표준 10 2 4 2 2" xfId="5837" xr:uid="{00000000-0005-0000-0000-000096160000}"/>
    <cellStyle name="표준 10 2 4 2 2 2" xfId="5838" xr:uid="{00000000-0005-0000-0000-000097160000}"/>
    <cellStyle name="표준 10 2 4 2 2 2 2" xfId="5839" xr:uid="{00000000-0005-0000-0000-000098160000}"/>
    <cellStyle name="표준 10 2 4 2 2 2 2 2" xfId="5840" xr:uid="{00000000-0005-0000-0000-000099160000}"/>
    <cellStyle name="표준 10 2 4 2 2 2 2 2 2" xfId="5841" xr:uid="{00000000-0005-0000-0000-00009A160000}"/>
    <cellStyle name="표준 10 2 4 2 2 2 2 3" xfId="5842" xr:uid="{00000000-0005-0000-0000-00009B160000}"/>
    <cellStyle name="표준 10 2 4 2 2 2 3" xfId="5843" xr:uid="{00000000-0005-0000-0000-00009C160000}"/>
    <cellStyle name="표준 10 2 4 2 2 2 3 2" xfId="5844" xr:uid="{00000000-0005-0000-0000-00009D160000}"/>
    <cellStyle name="표준 10 2 4 2 2 2 4" xfId="5845" xr:uid="{00000000-0005-0000-0000-00009E160000}"/>
    <cellStyle name="표준 10 2 4 2 2 3" xfId="5846" xr:uid="{00000000-0005-0000-0000-00009F160000}"/>
    <cellStyle name="표준 10 2 4 2 2 3 2" xfId="5847" xr:uid="{00000000-0005-0000-0000-0000A0160000}"/>
    <cellStyle name="표준 10 2 4 2 2 3 2 2" xfId="5848" xr:uid="{00000000-0005-0000-0000-0000A1160000}"/>
    <cellStyle name="표준 10 2 4 2 2 3 3" xfId="5849" xr:uid="{00000000-0005-0000-0000-0000A2160000}"/>
    <cellStyle name="표준 10 2 4 2 2 4" xfId="5850" xr:uid="{00000000-0005-0000-0000-0000A3160000}"/>
    <cellStyle name="표준 10 2 4 2 2 4 2" xfId="5851" xr:uid="{00000000-0005-0000-0000-0000A4160000}"/>
    <cellStyle name="표준 10 2 4 2 2 5" xfId="5852" xr:uid="{00000000-0005-0000-0000-0000A5160000}"/>
    <cellStyle name="표준 10 2 4 2 3" xfId="5853" xr:uid="{00000000-0005-0000-0000-0000A6160000}"/>
    <cellStyle name="표준 10 2 4 2 3 2" xfId="5854" xr:uid="{00000000-0005-0000-0000-0000A7160000}"/>
    <cellStyle name="표준 10 2 4 2 3 2 2" xfId="5855" xr:uid="{00000000-0005-0000-0000-0000A8160000}"/>
    <cellStyle name="표준 10 2 4 2 3 2 2 2" xfId="5856" xr:uid="{00000000-0005-0000-0000-0000A9160000}"/>
    <cellStyle name="표준 10 2 4 2 3 2 3" xfId="5857" xr:uid="{00000000-0005-0000-0000-0000AA160000}"/>
    <cellStyle name="표준 10 2 4 2 3 3" xfId="5858" xr:uid="{00000000-0005-0000-0000-0000AB160000}"/>
    <cellStyle name="표준 10 2 4 2 3 3 2" xfId="5859" xr:uid="{00000000-0005-0000-0000-0000AC160000}"/>
    <cellStyle name="표준 10 2 4 2 3 4" xfId="5860" xr:uid="{00000000-0005-0000-0000-0000AD160000}"/>
    <cellStyle name="표준 10 2 4 2 4" xfId="5861" xr:uid="{00000000-0005-0000-0000-0000AE160000}"/>
    <cellStyle name="표준 10 2 4 2 4 2" xfId="5862" xr:uid="{00000000-0005-0000-0000-0000AF160000}"/>
    <cellStyle name="표준 10 2 4 2 4 2 2" xfId="5863" xr:uid="{00000000-0005-0000-0000-0000B0160000}"/>
    <cellStyle name="표준 10 2 4 2 4 3" xfId="5864" xr:uid="{00000000-0005-0000-0000-0000B1160000}"/>
    <cellStyle name="표준 10 2 4 2 5" xfId="5865" xr:uid="{00000000-0005-0000-0000-0000B2160000}"/>
    <cellStyle name="표준 10 2 4 2 5 2" xfId="5866" xr:uid="{00000000-0005-0000-0000-0000B3160000}"/>
    <cellStyle name="표준 10 2 4 2 6" xfId="5867" xr:uid="{00000000-0005-0000-0000-0000B4160000}"/>
    <cellStyle name="표준 10 2 4 3" xfId="5868" xr:uid="{00000000-0005-0000-0000-0000B5160000}"/>
    <cellStyle name="표준 10 2 4 3 2" xfId="5869" xr:uid="{00000000-0005-0000-0000-0000B6160000}"/>
    <cellStyle name="표준 10 2 4 3 2 2" xfId="5870" xr:uid="{00000000-0005-0000-0000-0000B7160000}"/>
    <cellStyle name="표준 10 2 4 3 2 2 2" xfId="5871" xr:uid="{00000000-0005-0000-0000-0000B8160000}"/>
    <cellStyle name="표준 10 2 4 3 2 2 2 2" xfId="5872" xr:uid="{00000000-0005-0000-0000-0000B9160000}"/>
    <cellStyle name="표준 10 2 4 3 2 2 3" xfId="5873" xr:uid="{00000000-0005-0000-0000-0000BA160000}"/>
    <cellStyle name="표준 10 2 4 3 2 3" xfId="5874" xr:uid="{00000000-0005-0000-0000-0000BB160000}"/>
    <cellStyle name="표준 10 2 4 3 2 3 2" xfId="5875" xr:uid="{00000000-0005-0000-0000-0000BC160000}"/>
    <cellStyle name="표준 10 2 4 3 2 4" xfId="5876" xr:uid="{00000000-0005-0000-0000-0000BD160000}"/>
    <cellStyle name="표준 10 2 4 3 3" xfId="5877" xr:uid="{00000000-0005-0000-0000-0000BE160000}"/>
    <cellStyle name="표준 10 2 4 3 3 2" xfId="5878" xr:uid="{00000000-0005-0000-0000-0000BF160000}"/>
    <cellStyle name="표준 10 2 4 3 3 2 2" xfId="5879" xr:uid="{00000000-0005-0000-0000-0000C0160000}"/>
    <cellStyle name="표준 10 2 4 3 3 3" xfId="5880" xr:uid="{00000000-0005-0000-0000-0000C1160000}"/>
    <cellStyle name="표준 10 2 4 3 4" xfId="5881" xr:uid="{00000000-0005-0000-0000-0000C2160000}"/>
    <cellStyle name="표준 10 2 4 3 4 2" xfId="5882" xr:uid="{00000000-0005-0000-0000-0000C3160000}"/>
    <cellStyle name="표준 10 2 4 3 5" xfId="5883" xr:uid="{00000000-0005-0000-0000-0000C4160000}"/>
    <cellStyle name="표준 10 2 4 4" xfId="5884" xr:uid="{00000000-0005-0000-0000-0000C5160000}"/>
    <cellStyle name="표준 10 2 4 4 2" xfId="5885" xr:uid="{00000000-0005-0000-0000-0000C6160000}"/>
    <cellStyle name="표준 10 2 4 4 2 2" xfId="5886" xr:uid="{00000000-0005-0000-0000-0000C7160000}"/>
    <cellStyle name="표준 10 2 4 4 2 2 2" xfId="5887" xr:uid="{00000000-0005-0000-0000-0000C8160000}"/>
    <cellStyle name="표준 10 2 4 4 2 3" xfId="5888" xr:uid="{00000000-0005-0000-0000-0000C9160000}"/>
    <cellStyle name="표준 10 2 4 4 3" xfId="5889" xr:uid="{00000000-0005-0000-0000-0000CA160000}"/>
    <cellStyle name="표준 10 2 4 4 3 2" xfId="5890" xr:uid="{00000000-0005-0000-0000-0000CB160000}"/>
    <cellStyle name="표준 10 2 4 4 4" xfId="5891" xr:uid="{00000000-0005-0000-0000-0000CC160000}"/>
    <cellStyle name="표준 10 2 4 5" xfId="5892" xr:uid="{00000000-0005-0000-0000-0000CD160000}"/>
    <cellStyle name="표준 10 2 4 5 2" xfId="5893" xr:uid="{00000000-0005-0000-0000-0000CE160000}"/>
    <cellStyle name="표준 10 2 4 5 2 2" xfId="5894" xr:uid="{00000000-0005-0000-0000-0000CF160000}"/>
    <cellStyle name="표준 10 2 4 5 3" xfId="5895" xr:uid="{00000000-0005-0000-0000-0000D0160000}"/>
    <cellStyle name="표준 10 2 4 6" xfId="5896" xr:uid="{00000000-0005-0000-0000-0000D1160000}"/>
    <cellStyle name="표준 10 2 4 6 2" xfId="5897" xr:uid="{00000000-0005-0000-0000-0000D2160000}"/>
    <cellStyle name="표준 10 2 4 7" xfId="5898" xr:uid="{00000000-0005-0000-0000-0000D3160000}"/>
    <cellStyle name="표준 10 2 4 8" xfId="5899" xr:uid="{00000000-0005-0000-0000-0000D4160000}"/>
    <cellStyle name="표준 10 2 5" xfId="5900" xr:uid="{00000000-0005-0000-0000-0000D5160000}"/>
    <cellStyle name="표준 10 2 5 2" xfId="5901" xr:uid="{00000000-0005-0000-0000-0000D6160000}"/>
    <cellStyle name="표준 10 2 5 2 2" xfId="5902" xr:uid="{00000000-0005-0000-0000-0000D7160000}"/>
    <cellStyle name="표준 10 2 5 2 2 2" xfId="5903" xr:uid="{00000000-0005-0000-0000-0000D8160000}"/>
    <cellStyle name="표준 10 2 5 2 2 2 2" xfId="5904" xr:uid="{00000000-0005-0000-0000-0000D9160000}"/>
    <cellStyle name="표준 10 2 5 2 2 2 2 2" xfId="5905" xr:uid="{00000000-0005-0000-0000-0000DA160000}"/>
    <cellStyle name="표준 10 2 5 2 2 2 3" xfId="5906" xr:uid="{00000000-0005-0000-0000-0000DB160000}"/>
    <cellStyle name="표준 10 2 5 2 2 3" xfId="5907" xr:uid="{00000000-0005-0000-0000-0000DC160000}"/>
    <cellStyle name="표준 10 2 5 2 2 3 2" xfId="5908" xr:uid="{00000000-0005-0000-0000-0000DD160000}"/>
    <cellStyle name="표준 10 2 5 2 2 4" xfId="5909" xr:uid="{00000000-0005-0000-0000-0000DE160000}"/>
    <cellStyle name="표준 10 2 5 2 3" xfId="5910" xr:uid="{00000000-0005-0000-0000-0000DF160000}"/>
    <cellStyle name="표준 10 2 5 2 3 2" xfId="5911" xr:uid="{00000000-0005-0000-0000-0000E0160000}"/>
    <cellStyle name="표준 10 2 5 2 3 2 2" xfId="5912" xr:uid="{00000000-0005-0000-0000-0000E1160000}"/>
    <cellStyle name="표준 10 2 5 2 3 3" xfId="5913" xr:uid="{00000000-0005-0000-0000-0000E2160000}"/>
    <cellStyle name="표준 10 2 5 2 4" xfId="5914" xr:uid="{00000000-0005-0000-0000-0000E3160000}"/>
    <cellStyle name="표준 10 2 5 2 4 2" xfId="5915" xr:uid="{00000000-0005-0000-0000-0000E4160000}"/>
    <cellStyle name="표준 10 2 5 2 5" xfId="5916" xr:uid="{00000000-0005-0000-0000-0000E5160000}"/>
    <cellStyle name="표준 10 2 5 3" xfId="5917" xr:uid="{00000000-0005-0000-0000-0000E6160000}"/>
    <cellStyle name="표준 10 2 5 3 2" xfId="5918" xr:uid="{00000000-0005-0000-0000-0000E7160000}"/>
    <cellStyle name="표준 10 2 5 3 2 2" xfId="5919" xr:uid="{00000000-0005-0000-0000-0000E8160000}"/>
    <cellStyle name="표준 10 2 5 3 2 2 2" xfId="5920" xr:uid="{00000000-0005-0000-0000-0000E9160000}"/>
    <cellStyle name="표준 10 2 5 3 2 3" xfId="5921" xr:uid="{00000000-0005-0000-0000-0000EA160000}"/>
    <cellStyle name="표준 10 2 5 3 3" xfId="5922" xr:uid="{00000000-0005-0000-0000-0000EB160000}"/>
    <cellStyle name="표준 10 2 5 3 3 2" xfId="5923" xr:uid="{00000000-0005-0000-0000-0000EC160000}"/>
    <cellStyle name="표준 10 2 5 3 4" xfId="5924" xr:uid="{00000000-0005-0000-0000-0000ED160000}"/>
    <cellStyle name="표준 10 2 5 4" xfId="5925" xr:uid="{00000000-0005-0000-0000-0000EE160000}"/>
    <cellStyle name="표준 10 2 5 4 2" xfId="5926" xr:uid="{00000000-0005-0000-0000-0000EF160000}"/>
    <cellStyle name="표준 10 2 5 4 2 2" xfId="5927" xr:uid="{00000000-0005-0000-0000-0000F0160000}"/>
    <cellStyle name="표준 10 2 5 4 3" xfId="5928" xr:uid="{00000000-0005-0000-0000-0000F1160000}"/>
    <cellStyle name="표준 10 2 5 5" xfId="5929" xr:uid="{00000000-0005-0000-0000-0000F2160000}"/>
    <cellStyle name="표준 10 2 5 5 2" xfId="5930" xr:uid="{00000000-0005-0000-0000-0000F3160000}"/>
    <cellStyle name="표준 10 2 5 6" xfId="5931" xr:uid="{00000000-0005-0000-0000-0000F4160000}"/>
    <cellStyle name="표준 10 2 5 7" xfId="5932" xr:uid="{00000000-0005-0000-0000-0000F5160000}"/>
    <cellStyle name="표준 10 2 6" xfId="5933" xr:uid="{00000000-0005-0000-0000-0000F6160000}"/>
    <cellStyle name="표준 10 2 6 2" xfId="5934" xr:uid="{00000000-0005-0000-0000-0000F7160000}"/>
    <cellStyle name="표준 10 2 6 2 2" xfId="5935" xr:uid="{00000000-0005-0000-0000-0000F8160000}"/>
    <cellStyle name="표준 10 2 6 2 2 2" xfId="5936" xr:uid="{00000000-0005-0000-0000-0000F9160000}"/>
    <cellStyle name="표준 10 2 6 2 2 2 2" xfId="5937" xr:uid="{00000000-0005-0000-0000-0000FA160000}"/>
    <cellStyle name="표준 10 2 6 2 2 2 2 2" xfId="5938" xr:uid="{00000000-0005-0000-0000-0000FB160000}"/>
    <cellStyle name="표준 10 2 6 2 2 2 3" xfId="5939" xr:uid="{00000000-0005-0000-0000-0000FC160000}"/>
    <cellStyle name="표준 10 2 6 2 2 3" xfId="5940" xr:uid="{00000000-0005-0000-0000-0000FD160000}"/>
    <cellStyle name="표준 10 2 6 2 2 3 2" xfId="5941" xr:uid="{00000000-0005-0000-0000-0000FE160000}"/>
    <cellStyle name="표준 10 2 6 2 2 4" xfId="5942" xr:uid="{00000000-0005-0000-0000-0000FF160000}"/>
    <cellStyle name="표준 10 2 6 2 3" xfId="5943" xr:uid="{00000000-0005-0000-0000-000000170000}"/>
    <cellStyle name="표준 10 2 6 2 3 2" xfId="5944" xr:uid="{00000000-0005-0000-0000-000001170000}"/>
    <cellStyle name="표준 10 2 6 2 3 2 2" xfId="5945" xr:uid="{00000000-0005-0000-0000-000002170000}"/>
    <cellStyle name="표준 10 2 6 2 3 3" xfId="5946" xr:uid="{00000000-0005-0000-0000-000003170000}"/>
    <cellStyle name="표준 10 2 6 2 4" xfId="5947" xr:uid="{00000000-0005-0000-0000-000004170000}"/>
    <cellStyle name="표준 10 2 6 2 4 2" xfId="5948" xr:uid="{00000000-0005-0000-0000-000005170000}"/>
    <cellStyle name="표준 10 2 6 2 5" xfId="5949" xr:uid="{00000000-0005-0000-0000-000006170000}"/>
    <cellStyle name="표준 10 2 6 3" xfId="5950" xr:uid="{00000000-0005-0000-0000-000007170000}"/>
    <cellStyle name="표준 10 2 6 3 2" xfId="5951" xr:uid="{00000000-0005-0000-0000-000008170000}"/>
    <cellStyle name="표준 10 2 6 3 2 2" xfId="5952" xr:uid="{00000000-0005-0000-0000-000009170000}"/>
    <cellStyle name="표준 10 2 6 3 2 2 2" xfId="5953" xr:uid="{00000000-0005-0000-0000-00000A170000}"/>
    <cellStyle name="표준 10 2 6 3 2 3" xfId="5954" xr:uid="{00000000-0005-0000-0000-00000B170000}"/>
    <cellStyle name="표준 10 2 6 3 3" xfId="5955" xr:uid="{00000000-0005-0000-0000-00000C170000}"/>
    <cellStyle name="표준 10 2 6 3 3 2" xfId="5956" xr:uid="{00000000-0005-0000-0000-00000D170000}"/>
    <cellStyle name="표준 10 2 6 3 4" xfId="5957" xr:uid="{00000000-0005-0000-0000-00000E170000}"/>
    <cellStyle name="표준 10 2 6 4" xfId="5958" xr:uid="{00000000-0005-0000-0000-00000F170000}"/>
    <cellStyle name="표준 10 2 6 4 2" xfId="5959" xr:uid="{00000000-0005-0000-0000-000010170000}"/>
    <cellStyle name="표준 10 2 6 4 2 2" xfId="5960" xr:uid="{00000000-0005-0000-0000-000011170000}"/>
    <cellStyle name="표준 10 2 6 4 3" xfId="5961" xr:uid="{00000000-0005-0000-0000-000012170000}"/>
    <cellStyle name="표준 10 2 6 5" xfId="5962" xr:uid="{00000000-0005-0000-0000-000013170000}"/>
    <cellStyle name="표준 10 2 6 5 2" xfId="5963" xr:uid="{00000000-0005-0000-0000-000014170000}"/>
    <cellStyle name="표준 10 2 6 6" xfId="5964" xr:uid="{00000000-0005-0000-0000-000015170000}"/>
    <cellStyle name="표준 10 2 6 7" xfId="5965" xr:uid="{00000000-0005-0000-0000-000016170000}"/>
    <cellStyle name="표준 10 2 7" xfId="5966" xr:uid="{00000000-0005-0000-0000-000017170000}"/>
    <cellStyle name="표준 10 2 7 2" xfId="5967" xr:uid="{00000000-0005-0000-0000-000018170000}"/>
    <cellStyle name="표준 10 2 7 2 2" xfId="5968" xr:uid="{00000000-0005-0000-0000-000019170000}"/>
    <cellStyle name="표준 10 2 7 2 2 2" xfId="5969" xr:uid="{00000000-0005-0000-0000-00001A170000}"/>
    <cellStyle name="표준 10 2 7 2 2 2 2" xfId="5970" xr:uid="{00000000-0005-0000-0000-00001B170000}"/>
    <cellStyle name="표준 10 2 7 2 2 3" xfId="5971" xr:uid="{00000000-0005-0000-0000-00001C170000}"/>
    <cellStyle name="표준 10 2 7 2 3" xfId="5972" xr:uid="{00000000-0005-0000-0000-00001D170000}"/>
    <cellStyle name="표준 10 2 7 2 3 2" xfId="5973" xr:uid="{00000000-0005-0000-0000-00001E170000}"/>
    <cellStyle name="표준 10 2 7 2 4" xfId="5974" xr:uid="{00000000-0005-0000-0000-00001F170000}"/>
    <cellStyle name="표준 10 2 7 3" xfId="5975" xr:uid="{00000000-0005-0000-0000-000020170000}"/>
    <cellStyle name="표준 10 2 7 3 2" xfId="5976" xr:uid="{00000000-0005-0000-0000-000021170000}"/>
    <cellStyle name="표준 10 2 7 3 2 2" xfId="5977" xr:uid="{00000000-0005-0000-0000-000022170000}"/>
    <cellStyle name="표준 10 2 7 3 3" xfId="5978" xr:uid="{00000000-0005-0000-0000-000023170000}"/>
    <cellStyle name="표준 10 2 7 4" xfId="5979" xr:uid="{00000000-0005-0000-0000-000024170000}"/>
    <cellStyle name="표준 10 2 7 4 2" xfId="5980" xr:uid="{00000000-0005-0000-0000-000025170000}"/>
    <cellStyle name="표준 10 2 7 5" xfId="5981" xr:uid="{00000000-0005-0000-0000-000026170000}"/>
    <cellStyle name="표준 10 2 8" xfId="5982" xr:uid="{00000000-0005-0000-0000-000027170000}"/>
    <cellStyle name="표준 10 2 8 2" xfId="5983" xr:uid="{00000000-0005-0000-0000-000028170000}"/>
    <cellStyle name="표준 10 2 8 2 2" xfId="5984" xr:uid="{00000000-0005-0000-0000-000029170000}"/>
    <cellStyle name="표준 10 2 8 2 2 2" xfId="5985" xr:uid="{00000000-0005-0000-0000-00002A170000}"/>
    <cellStyle name="표준 10 2 8 2 3" xfId="5986" xr:uid="{00000000-0005-0000-0000-00002B170000}"/>
    <cellStyle name="표준 10 2 8 3" xfId="5987" xr:uid="{00000000-0005-0000-0000-00002C170000}"/>
    <cellStyle name="표준 10 2 8 3 2" xfId="5988" xr:uid="{00000000-0005-0000-0000-00002D170000}"/>
    <cellStyle name="표준 10 2 8 4" xfId="5989" xr:uid="{00000000-0005-0000-0000-00002E170000}"/>
    <cellStyle name="표준 10 2 9" xfId="5990" xr:uid="{00000000-0005-0000-0000-00002F170000}"/>
    <cellStyle name="표준 10 2 9 2" xfId="5991" xr:uid="{00000000-0005-0000-0000-000030170000}"/>
    <cellStyle name="표준 10 2 9 2 2" xfId="5992" xr:uid="{00000000-0005-0000-0000-000031170000}"/>
    <cellStyle name="표준 10 2 9 3" xfId="5993" xr:uid="{00000000-0005-0000-0000-000032170000}"/>
    <cellStyle name="표준 10 3" xfId="5994" xr:uid="{00000000-0005-0000-0000-000033170000}"/>
    <cellStyle name="표준 10 3 2" xfId="5995" xr:uid="{00000000-0005-0000-0000-000034170000}"/>
    <cellStyle name="표준 10 3 3" xfId="5996" xr:uid="{00000000-0005-0000-0000-000035170000}"/>
    <cellStyle name="표준 10 3 4" xfId="5997" xr:uid="{00000000-0005-0000-0000-000036170000}"/>
    <cellStyle name="표준 10 3 4 2" xfId="5998" xr:uid="{00000000-0005-0000-0000-000037170000}"/>
    <cellStyle name="표준 10 3 4 3" xfId="5999" xr:uid="{00000000-0005-0000-0000-000038170000}"/>
    <cellStyle name="표준 10 3 4 3 2" xfId="6000" xr:uid="{00000000-0005-0000-0000-000039170000}"/>
    <cellStyle name="표준 10 3 4 3 3" xfId="6001" xr:uid="{00000000-0005-0000-0000-00003A170000}"/>
    <cellStyle name="표준 10 3 4 3 3 2" xfId="6002" xr:uid="{00000000-0005-0000-0000-00003B170000}"/>
    <cellStyle name="표준 10 3 4 3 3 3" xfId="6003" xr:uid="{00000000-0005-0000-0000-00003C170000}"/>
    <cellStyle name="표준 10 3 4 3 3 4" xfId="6004" xr:uid="{00000000-0005-0000-0000-00003D170000}"/>
    <cellStyle name="표준 10 3 4 4" xfId="6005" xr:uid="{00000000-0005-0000-0000-00003E170000}"/>
    <cellStyle name="표준 10 3 4 4 2" xfId="6006" xr:uid="{00000000-0005-0000-0000-00003F170000}"/>
    <cellStyle name="표준 10 3 4 4 3" xfId="6007" xr:uid="{00000000-0005-0000-0000-000040170000}"/>
    <cellStyle name="표준 10 3 4 4 4" xfId="6008" xr:uid="{00000000-0005-0000-0000-000041170000}"/>
    <cellStyle name="표준 10 4" xfId="6009" xr:uid="{00000000-0005-0000-0000-000042170000}"/>
    <cellStyle name="표준 10 5" xfId="6010" xr:uid="{00000000-0005-0000-0000-000043170000}"/>
    <cellStyle name="표준 11" xfId="11" xr:uid="{00000000-0005-0000-0000-000044170000}"/>
    <cellStyle name="표준 11 10" xfId="6011" xr:uid="{00000000-0005-0000-0000-000045170000}"/>
    <cellStyle name="표준 11 2" xfId="53" xr:uid="{00000000-0005-0000-0000-000046170000}"/>
    <cellStyle name="표준 11 2 2" xfId="6012" xr:uid="{00000000-0005-0000-0000-000047170000}"/>
    <cellStyle name="표준 11 2 2 2" xfId="6013" xr:uid="{00000000-0005-0000-0000-000048170000}"/>
    <cellStyle name="표준 11 2 2 2 2" xfId="6014" xr:uid="{00000000-0005-0000-0000-000049170000}"/>
    <cellStyle name="표준 11 2 2 2 2 2" xfId="6015" xr:uid="{00000000-0005-0000-0000-00004A170000}"/>
    <cellStyle name="표준 11 2 2 2 2 2 2" xfId="6016" xr:uid="{00000000-0005-0000-0000-00004B170000}"/>
    <cellStyle name="표준 11 2 2 2 2 2 2 2" xfId="6017" xr:uid="{00000000-0005-0000-0000-00004C170000}"/>
    <cellStyle name="표준 11 2 2 2 2 2 2 2 2" xfId="6018" xr:uid="{00000000-0005-0000-0000-00004D170000}"/>
    <cellStyle name="표준 11 2 2 2 2 2 2 3" xfId="6019" xr:uid="{00000000-0005-0000-0000-00004E170000}"/>
    <cellStyle name="표준 11 2 2 2 2 2 3" xfId="6020" xr:uid="{00000000-0005-0000-0000-00004F170000}"/>
    <cellStyle name="표준 11 2 2 2 2 2 3 2" xfId="6021" xr:uid="{00000000-0005-0000-0000-000050170000}"/>
    <cellStyle name="표준 11 2 2 2 2 2 4" xfId="6022" xr:uid="{00000000-0005-0000-0000-000051170000}"/>
    <cellStyle name="표준 11 2 2 2 2 3" xfId="6023" xr:uid="{00000000-0005-0000-0000-000052170000}"/>
    <cellStyle name="표준 11 2 2 2 2 3 2" xfId="6024" xr:uid="{00000000-0005-0000-0000-000053170000}"/>
    <cellStyle name="표준 11 2 2 2 2 3 2 2" xfId="6025" xr:uid="{00000000-0005-0000-0000-000054170000}"/>
    <cellStyle name="표준 11 2 2 2 2 3 3" xfId="6026" xr:uid="{00000000-0005-0000-0000-000055170000}"/>
    <cellStyle name="표준 11 2 2 2 2 4" xfId="6027" xr:uid="{00000000-0005-0000-0000-000056170000}"/>
    <cellStyle name="표준 11 2 2 2 2 4 2" xfId="6028" xr:uid="{00000000-0005-0000-0000-000057170000}"/>
    <cellStyle name="표준 11 2 2 2 2 5" xfId="6029" xr:uid="{00000000-0005-0000-0000-000058170000}"/>
    <cellStyle name="표준 11 2 2 2 3" xfId="6030" xr:uid="{00000000-0005-0000-0000-000059170000}"/>
    <cellStyle name="표준 11 2 2 2 3 2" xfId="6031" xr:uid="{00000000-0005-0000-0000-00005A170000}"/>
    <cellStyle name="표준 11 2 2 2 3 2 2" xfId="6032" xr:uid="{00000000-0005-0000-0000-00005B170000}"/>
    <cellStyle name="표준 11 2 2 2 3 2 2 2" xfId="6033" xr:uid="{00000000-0005-0000-0000-00005C170000}"/>
    <cellStyle name="표준 11 2 2 2 3 2 3" xfId="6034" xr:uid="{00000000-0005-0000-0000-00005D170000}"/>
    <cellStyle name="표준 11 2 2 2 3 3" xfId="6035" xr:uid="{00000000-0005-0000-0000-00005E170000}"/>
    <cellStyle name="표준 11 2 2 2 3 3 2" xfId="6036" xr:uid="{00000000-0005-0000-0000-00005F170000}"/>
    <cellStyle name="표준 11 2 2 2 3 4" xfId="6037" xr:uid="{00000000-0005-0000-0000-000060170000}"/>
    <cellStyle name="표준 11 2 2 2 4" xfId="6038" xr:uid="{00000000-0005-0000-0000-000061170000}"/>
    <cellStyle name="표준 11 2 2 2 4 2" xfId="6039" xr:uid="{00000000-0005-0000-0000-000062170000}"/>
    <cellStyle name="표준 11 2 2 2 4 2 2" xfId="6040" xr:uid="{00000000-0005-0000-0000-000063170000}"/>
    <cellStyle name="표준 11 2 2 2 4 3" xfId="6041" xr:uid="{00000000-0005-0000-0000-000064170000}"/>
    <cellStyle name="표준 11 2 2 2 5" xfId="6042" xr:uid="{00000000-0005-0000-0000-000065170000}"/>
    <cellStyle name="표준 11 2 2 2 5 2" xfId="6043" xr:uid="{00000000-0005-0000-0000-000066170000}"/>
    <cellStyle name="표준 11 2 2 2 6" xfId="6044" xr:uid="{00000000-0005-0000-0000-000067170000}"/>
    <cellStyle name="표준 11 2 2 3" xfId="6045" xr:uid="{00000000-0005-0000-0000-000068170000}"/>
    <cellStyle name="표준 11 2 2 3 2" xfId="6046" xr:uid="{00000000-0005-0000-0000-000069170000}"/>
    <cellStyle name="표준 11 2 2 3 2 2" xfId="6047" xr:uid="{00000000-0005-0000-0000-00006A170000}"/>
    <cellStyle name="표준 11 2 2 3 2 2 2" xfId="6048" xr:uid="{00000000-0005-0000-0000-00006B170000}"/>
    <cellStyle name="표준 11 2 2 3 2 2 2 2" xfId="6049" xr:uid="{00000000-0005-0000-0000-00006C170000}"/>
    <cellStyle name="표준 11 2 2 3 2 2 3" xfId="6050" xr:uid="{00000000-0005-0000-0000-00006D170000}"/>
    <cellStyle name="표준 11 2 2 3 2 3" xfId="6051" xr:uid="{00000000-0005-0000-0000-00006E170000}"/>
    <cellStyle name="표준 11 2 2 3 2 3 2" xfId="6052" xr:uid="{00000000-0005-0000-0000-00006F170000}"/>
    <cellStyle name="표준 11 2 2 3 2 4" xfId="6053" xr:uid="{00000000-0005-0000-0000-000070170000}"/>
    <cellStyle name="표준 11 2 2 3 3" xfId="6054" xr:uid="{00000000-0005-0000-0000-000071170000}"/>
    <cellStyle name="표준 11 2 2 3 3 2" xfId="6055" xr:uid="{00000000-0005-0000-0000-000072170000}"/>
    <cellStyle name="표준 11 2 2 3 3 2 2" xfId="6056" xr:uid="{00000000-0005-0000-0000-000073170000}"/>
    <cellStyle name="표준 11 2 2 3 3 3" xfId="6057" xr:uid="{00000000-0005-0000-0000-000074170000}"/>
    <cellStyle name="표준 11 2 2 3 4" xfId="6058" xr:uid="{00000000-0005-0000-0000-000075170000}"/>
    <cellStyle name="표준 11 2 2 3 4 2" xfId="6059" xr:uid="{00000000-0005-0000-0000-000076170000}"/>
    <cellStyle name="표준 11 2 2 3 5" xfId="6060" xr:uid="{00000000-0005-0000-0000-000077170000}"/>
    <cellStyle name="표준 11 2 2 4" xfId="6061" xr:uid="{00000000-0005-0000-0000-000078170000}"/>
    <cellStyle name="표준 11 2 2 4 2" xfId="6062" xr:uid="{00000000-0005-0000-0000-000079170000}"/>
    <cellStyle name="표준 11 2 2 4 2 2" xfId="6063" xr:uid="{00000000-0005-0000-0000-00007A170000}"/>
    <cellStyle name="표준 11 2 2 4 2 2 2" xfId="6064" xr:uid="{00000000-0005-0000-0000-00007B170000}"/>
    <cellStyle name="표준 11 2 2 4 2 3" xfId="6065" xr:uid="{00000000-0005-0000-0000-00007C170000}"/>
    <cellStyle name="표준 11 2 2 4 3" xfId="6066" xr:uid="{00000000-0005-0000-0000-00007D170000}"/>
    <cellStyle name="표준 11 2 2 4 3 2" xfId="6067" xr:uid="{00000000-0005-0000-0000-00007E170000}"/>
    <cellStyle name="표준 11 2 2 4 4" xfId="6068" xr:uid="{00000000-0005-0000-0000-00007F170000}"/>
    <cellStyle name="표준 11 2 2 5" xfId="6069" xr:uid="{00000000-0005-0000-0000-000080170000}"/>
    <cellStyle name="표준 11 2 2 5 2" xfId="6070" xr:uid="{00000000-0005-0000-0000-000081170000}"/>
    <cellStyle name="표준 11 2 2 5 2 2" xfId="6071" xr:uid="{00000000-0005-0000-0000-000082170000}"/>
    <cellStyle name="표준 11 2 2 5 3" xfId="6072" xr:uid="{00000000-0005-0000-0000-000083170000}"/>
    <cellStyle name="표준 11 2 2 6" xfId="6073" xr:uid="{00000000-0005-0000-0000-000084170000}"/>
    <cellStyle name="표준 11 2 2 6 2" xfId="6074" xr:uid="{00000000-0005-0000-0000-000085170000}"/>
    <cellStyle name="표준 11 2 2 7" xfId="6075" xr:uid="{00000000-0005-0000-0000-000086170000}"/>
    <cellStyle name="표준 11 2 2 8" xfId="6076" xr:uid="{00000000-0005-0000-0000-000087170000}"/>
    <cellStyle name="표준 11 2 3" xfId="6077" xr:uid="{00000000-0005-0000-0000-000088170000}"/>
    <cellStyle name="표준 11 2 3 2" xfId="6078" xr:uid="{00000000-0005-0000-0000-000089170000}"/>
    <cellStyle name="표준 11 2 3 2 2" xfId="6079" xr:uid="{00000000-0005-0000-0000-00008A170000}"/>
    <cellStyle name="표준 11 2 3 2 2 2" xfId="6080" xr:uid="{00000000-0005-0000-0000-00008B170000}"/>
    <cellStyle name="표준 11 2 3 2 2 2 2" xfId="6081" xr:uid="{00000000-0005-0000-0000-00008C170000}"/>
    <cellStyle name="표준 11 2 3 2 2 2 2 2" xfId="6082" xr:uid="{00000000-0005-0000-0000-00008D170000}"/>
    <cellStyle name="표준 11 2 3 2 2 2 3" xfId="6083" xr:uid="{00000000-0005-0000-0000-00008E170000}"/>
    <cellStyle name="표준 11 2 3 2 2 3" xfId="6084" xr:uid="{00000000-0005-0000-0000-00008F170000}"/>
    <cellStyle name="표준 11 2 3 2 2 3 2" xfId="6085" xr:uid="{00000000-0005-0000-0000-000090170000}"/>
    <cellStyle name="표준 11 2 3 2 2 4" xfId="6086" xr:uid="{00000000-0005-0000-0000-000091170000}"/>
    <cellStyle name="표준 11 2 3 2 3" xfId="6087" xr:uid="{00000000-0005-0000-0000-000092170000}"/>
    <cellStyle name="표준 11 2 3 2 3 2" xfId="6088" xr:uid="{00000000-0005-0000-0000-000093170000}"/>
    <cellStyle name="표준 11 2 3 2 3 2 2" xfId="6089" xr:uid="{00000000-0005-0000-0000-000094170000}"/>
    <cellStyle name="표준 11 2 3 2 3 3" xfId="6090" xr:uid="{00000000-0005-0000-0000-000095170000}"/>
    <cellStyle name="표준 11 2 3 2 4" xfId="6091" xr:uid="{00000000-0005-0000-0000-000096170000}"/>
    <cellStyle name="표준 11 2 3 2 4 2" xfId="6092" xr:uid="{00000000-0005-0000-0000-000097170000}"/>
    <cellStyle name="표준 11 2 3 2 5" xfId="6093" xr:uid="{00000000-0005-0000-0000-000098170000}"/>
    <cellStyle name="표준 11 2 3 3" xfId="6094" xr:uid="{00000000-0005-0000-0000-000099170000}"/>
    <cellStyle name="표준 11 2 3 3 2" xfId="6095" xr:uid="{00000000-0005-0000-0000-00009A170000}"/>
    <cellStyle name="표준 11 2 3 3 2 2" xfId="6096" xr:uid="{00000000-0005-0000-0000-00009B170000}"/>
    <cellStyle name="표준 11 2 3 3 2 2 2" xfId="6097" xr:uid="{00000000-0005-0000-0000-00009C170000}"/>
    <cellStyle name="표준 11 2 3 3 2 3" xfId="6098" xr:uid="{00000000-0005-0000-0000-00009D170000}"/>
    <cellStyle name="표준 11 2 3 3 3" xfId="6099" xr:uid="{00000000-0005-0000-0000-00009E170000}"/>
    <cellStyle name="표준 11 2 3 3 3 2" xfId="6100" xr:uid="{00000000-0005-0000-0000-00009F170000}"/>
    <cellStyle name="표준 11 2 3 3 4" xfId="6101" xr:uid="{00000000-0005-0000-0000-0000A0170000}"/>
    <cellStyle name="표준 11 2 3 4" xfId="6102" xr:uid="{00000000-0005-0000-0000-0000A1170000}"/>
    <cellStyle name="표준 11 2 3 4 2" xfId="6103" xr:uid="{00000000-0005-0000-0000-0000A2170000}"/>
    <cellStyle name="표준 11 2 3 4 2 2" xfId="6104" xr:uid="{00000000-0005-0000-0000-0000A3170000}"/>
    <cellStyle name="표준 11 2 3 4 3" xfId="6105" xr:uid="{00000000-0005-0000-0000-0000A4170000}"/>
    <cellStyle name="표준 11 2 3 5" xfId="6106" xr:uid="{00000000-0005-0000-0000-0000A5170000}"/>
    <cellStyle name="표준 11 2 3 5 2" xfId="6107" xr:uid="{00000000-0005-0000-0000-0000A6170000}"/>
    <cellStyle name="표준 11 2 3 6" xfId="6108" xr:uid="{00000000-0005-0000-0000-0000A7170000}"/>
    <cellStyle name="표준 11 2 4" xfId="6109" xr:uid="{00000000-0005-0000-0000-0000A8170000}"/>
    <cellStyle name="표준 11 2 4 2" xfId="6110" xr:uid="{00000000-0005-0000-0000-0000A9170000}"/>
    <cellStyle name="표준 11 2 4 2 2" xfId="6111" xr:uid="{00000000-0005-0000-0000-0000AA170000}"/>
    <cellStyle name="표준 11 2 4 2 2 2" xfId="6112" xr:uid="{00000000-0005-0000-0000-0000AB170000}"/>
    <cellStyle name="표준 11 2 4 2 2 2 2" xfId="6113" xr:uid="{00000000-0005-0000-0000-0000AC170000}"/>
    <cellStyle name="표준 11 2 4 2 2 3" xfId="6114" xr:uid="{00000000-0005-0000-0000-0000AD170000}"/>
    <cellStyle name="표준 11 2 4 2 3" xfId="6115" xr:uid="{00000000-0005-0000-0000-0000AE170000}"/>
    <cellStyle name="표준 11 2 4 2 3 2" xfId="6116" xr:uid="{00000000-0005-0000-0000-0000AF170000}"/>
    <cellStyle name="표준 11 2 4 2 4" xfId="6117" xr:uid="{00000000-0005-0000-0000-0000B0170000}"/>
    <cellStyle name="표준 11 2 4 3" xfId="6118" xr:uid="{00000000-0005-0000-0000-0000B1170000}"/>
    <cellStyle name="표준 11 2 4 3 2" xfId="6119" xr:uid="{00000000-0005-0000-0000-0000B2170000}"/>
    <cellStyle name="표준 11 2 4 3 2 2" xfId="6120" xr:uid="{00000000-0005-0000-0000-0000B3170000}"/>
    <cellStyle name="표준 11 2 4 3 3" xfId="6121" xr:uid="{00000000-0005-0000-0000-0000B4170000}"/>
    <cellStyle name="표준 11 2 4 4" xfId="6122" xr:uid="{00000000-0005-0000-0000-0000B5170000}"/>
    <cellStyle name="표준 11 2 4 4 2" xfId="6123" xr:uid="{00000000-0005-0000-0000-0000B6170000}"/>
    <cellStyle name="표준 11 2 4 5" xfId="6124" xr:uid="{00000000-0005-0000-0000-0000B7170000}"/>
    <cellStyle name="표준 11 2 5" xfId="6125" xr:uid="{00000000-0005-0000-0000-0000B8170000}"/>
    <cellStyle name="표준 11 2 5 2" xfId="6126" xr:uid="{00000000-0005-0000-0000-0000B9170000}"/>
    <cellStyle name="표준 11 2 5 2 2" xfId="6127" xr:uid="{00000000-0005-0000-0000-0000BA170000}"/>
    <cellStyle name="표준 11 2 5 2 2 2" xfId="6128" xr:uid="{00000000-0005-0000-0000-0000BB170000}"/>
    <cellStyle name="표준 11 2 5 2 3" xfId="6129" xr:uid="{00000000-0005-0000-0000-0000BC170000}"/>
    <cellStyle name="표준 11 2 5 3" xfId="6130" xr:uid="{00000000-0005-0000-0000-0000BD170000}"/>
    <cellStyle name="표준 11 2 5 3 2" xfId="6131" xr:uid="{00000000-0005-0000-0000-0000BE170000}"/>
    <cellStyle name="표준 11 2 5 4" xfId="6132" xr:uid="{00000000-0005-0000-0000-0000BF170000}"/>
    <cellStyle name="표준 11 2 6" xfId="6133" xr:uid="{00000000-0005-0000-0000-0000C0170000}"/>
    <cellStyle name="표준 11 2 6 2" xfId="6134" xr:uid="{00000000-0005-0000-0000-0000C1170000}"/>
    <cellStyle name="표준 11 2 6 2 2" xfId="6135" xr:uid="{00000000-0005-0000-0000-0000C2170000}"/>
    <cellStyle name="표준 11 2 6 3" xfId="6136" xr:uid="{00000000-0005-0000-0000-0000C3170000}"/>
    <cellStyle name="표준 11 2 7" xfId="6137" xr:uid="{00000000-0005-0000-0000-0000C4170000}"/>
    <cellStyle name="표준 11 2 7 2" xfId="6138" xr:uid="{00000000-0005-0000-0000-0000C5170000}"/>
    <cellStyle name="표준 11 2 8" xfId="6139" xr:uid="{00000000-0005-0000-0000-0000C6170000}"/>
    <cellStyle name="표준 11 2 9" xfId="6140" xr:uid="{00000000-0005-0000-0000-0000C7170000}"/>
    <cellStyle name="표준 11 3" xfId="6141" xr:uid="{00000000-0005-0000-0000-0000C8170000}"/>
    <cellStyle name="표준 11 3 2" xfId="6142" xr:uid="{00000000-0005-0000-0000-0000C9170000}"/>
    <cellStyle name="표준 11 3 2 2" xfId="6143" xr:uid="{00000000-0005-0000-0000-0000CA170000}"/>
    <cellStyle name="표준 11 3 2 2 2" xfId="6144" xr:uid="{00000000-0005-0000-0000-0000CB170000}"/>
    <cellStyle name="표준 11 3 2 2 2 2" xfId="6145" xr:uid="{00000000-0005-0000-0000-0000CC170000}"/>
    <cellStyle name="표준 11 3 2 2 2 2 2" xfId="6146" xr:uid="{00000000-0005-0000-0000-0000CD170000}"/>
    <cellStyle name="표준 11 3 2 2 2 2 2 2" xfId="6147" xr:uid="{00000000-0005-0000-0000-0000CE170000}"/>
    <cellStyle name="표준 11 3 2 2 2 2 3" xfId="6148" xr:uid="{00000000-0005-0000-0000-0000CF170000}"/>
    <cellStyle name="표준 11 3 2 2 2 3" xfId="6149" xr:uid="{00000000-0005-0000-0000-0000D0170000}"/>
    <cellStyle name="표준 11 3 2 2 2 3 2" xfId="6150" xr:uid="{00000000-0005-0000-0000-0000D1170000}"/>
    <cellStyle name="표준 11 3 2 2 2 4" xfId="6151" xr:uid="{00000000-0005-0000-0000-0000D2170000}"/>
    <cellStyle name="표준 11 3 2 2 3" xfId="6152" xr:uid="{00000000-0005-0000-0000-0000D3170000}"/>
    <cellStyle name="표준 11 3 2 2 3 2" xfId="6153" xr:uid="{00000000-0005-0000-0000-0000D4170000}"/>
    <cellStyle name="표준 11 3 2 2 3 2 2" xfId="6154" xr:uid="{00000000-0005-0000-0000-0000D5170000}"/>
    <cellStyle name="표준 11 3 2 2 3 3" xfId="6155" xr:uid="{00000000-0005-0000-0000-0000D6170000}"/>
    <cellStyle name="표준 11 3 2 2 4" xfId="6156" xr:uid="{00000000-0005-0000-0000-0000D7170000}"/>
    <cellStyle name="표준 11 3 2 2 4 2" xfId="6157" xr:uid="{00000000-0005-0000-0000-0000D8170000}"/>
    <cellStyle name="표준 11 3 2 2 5" xfId="6158" xr:uid="{00000000-0005-0000-0000-0000D9170000}"/>
    <cellStyle name="표준 11 3 2 3" xfId="6159" xr:uid="{00000000-0005-0000-0000-0000DA170000}"/>
    <cellStyle name="표준 11 3 2 3 2" xfId="6160" xr:uid="{00000000-0005-0000-0000-0000DB170000}"/>
    <cellStyle name="표준 11 3 2 3 2 2" xfId="6161" xr:uid="{00000000-0005-0000-0000-0000DC170000}"/>
    <cellStyle name="표준 11 3 2 3 2 2 2" xfId="6162" xr:uid="{00000000-0005-0000-0000-0000DD170000}"/>
    <cellStyle name="표준 11 3 2 3 2 3" xfId="6163" xr:uid="{00000000-0005-0000-0000-0000DE170000}"/>
    <cellStyle name="표준 11 3 2 3 3" xfId="6164" xr:uid="{00000000-0005-0000-0000-0000DF170000}"/>
    <cellStyle name="표준 11 3 2 3 3 2" xfId="6165" xr:uid="{00000000-0005-0000-0000-0000E0170000}"/>
    <cellStyle name="표준 11 3 2 3 4" xfId="6166" xr:uid="{00000000-0005-0000-0000-0000E1170000}"/>
    <cellStyle name="표준 11 3 2 4" xfId="6167" xr:uid="{00000000-0005-0000-0000-0000E2170000}"/>
    <cellStyle name="표준 11 3 2 4 2" xfId="6168" xr:uid="{00000000-0005-0000-0000-0000E3170000}"/>
    <cellStyle name="표준 11 3 2 4 2 2" xfId="6169" xr:uid="{00000000-0005-0000-0000-0000E4170000}"/>
    <cellStyle name="표준 11 3 2 4 3" xfId="6170" xr:uid="{00000000-0005-0000-0000-0000E5170000}"/>
    <cellStyle name="표준 11 3 2 5" xfId="6171" xr:uid="{00000000-0005-0000-0000-0000E6170000}"/>
    <cellStyle name="표준 11 3 2 5 2" xfId="6172" xr:uid="{00000000-0005-0000-0000-0000E7170000}"/>
    <cellStyle name="표준 11 3 2 6" xfId="6173" xr:uid="{00000000-0005-0000-0000-0000E8170000}"/>
    <cellStyle name="표준 11 3 3" xfId="6174" xr:uid="{00000000-0005-0000-0000-0000E9170000}"/>
    <cellStyle name="표준 11 3 3 2" xfId="6175" xr:uid="{00000000-0005-0000-0000-0000EA170000}"/>
    <cellStyle name="표준 11 3 3 2 2" xfId="6176" xr:uid="{00000000-0005-0000-0000-0000EB170000}"/>
    <cellStyle name="표준 11 3 3 2 2 2" xfId="6177" xr:uid="{00000000-0005-0000-0000-0000EC170000}"/>
    <cellStyle name="표준 11 3 3 2 2 2 2" xfId="6178" xr:uid="{00000000-0005-0000-0000-0000ED170000}"/>
    <cellStyle name="표준 11 3 3 2 2 3" xfId="6179" xr:uid="{00000000-0005-0000-0000-0000EE170000}"/>
    <cellStyle name="표준 11 3 3 2 3" xfId="6180" xr:uid="{00000000-0005-0000-0000-0000EF170000}"/>
    <cellStyle name="표준 11 3 3 2 3 2" xfId="6181" xr:uid="{00000000-0005-0000-0000-0000F0170000}"/>
    <cellStyle name="표준 11 3 3 2 4" xfId="6182" xr:uid="{00000000-0005-0000-0000-0000F1170000}"/>
    <cellStyle name="표준 11 3 3 3" xfId="6183" xr:uid="{00000000-0005-0000-0000-0000F2170000}"/>
    <cellStyle name="표준 11 3 3 3 2" xfId="6184" xr:uid="{00000000-0005-0000-0000-0000F3170000}"/>
    <cellStyle name="표준 11 3 3 3 2 2" xfId="6185" xr:uid="{00000000-0005-0000-0000-0000F4170000}"/>
    <cellStyle name="표준 11 3 3 3 3" xfId="6186" xr:uid="{00000000-0005-0000-0000-0000F5170000}"/>
    <cellStyle name="표준 11 3 3 4" xfId="6187" xr:uid="{00000000-0005-0000-0000-0000F6170000}"/>
    <cellStyle name="표준 11 3 3 4 2" xfId="6188" xr:uid="{00000000-0005-0000-0000-0000F7170000}"/>
    <cellStyle name="표준 11 3 3 5" xfId="6189" xr:uid="{00000000-0005-0000-0000-0000F8170000}"/>
    <cellStyle name="표준 11 3 4" xfId="6190" xr:uid="{00000000-0005-0000-0000-0000F9170000}"/>
    <cellStyle name="표준 11 3 4 2" xfId="6191" xr:uid="{00000000-0005-0000-0000-0000FA170000}"/>
    <cellStyle name="표준 11 3 4 2 2" xfId="6192" xr:uid="{00000000-0005-0000-0000-0000FB170000}"/>
    <cellStyle name="표준 11 3 4 2 2 2" xfId="6193" xr:uid="{00000000-0005-0000-0000-0000FC170000}"/>
    <cellStyle name="표준 11 3 4 2 3" xfId="6194" xr:uid="{00000000-0005-0000-0000-0000FD170000}"/>
    <cellStyle name="표준 11 3 4 3" xfId="6195" xr:uid="{00000000-0005-0000-0000-0000FE170000}"/>
    <cellStyle name="표준 11 3 4 3 2" xfId="6196" xr:uid="{00000000-0005-0000-0000-0000FF170000}"/>
    <cellStyle name="표준 11 3 4 4" xfId="6197" xr:uid="{00000000-0005-0000-0000-000000180000}"/>
    <cellStyle name="표준 11 3 5" xfId="6198" xr:uid="{00000000-0005-0000-0000-000001180000}"/>
    <cellStyle name="표준 11 3 5 2" xfId="6199" xr:uid="{00000000-0005-0000-0000-000002180000}"/>
    <cellStyle name="표준 11 3 5 2 2" xfId="6200" xr:uid="{00000000-0005-0000-0000-000003180000}"/>
    <cellStyle name="표준 11 3 5 3" xfId="6201" xr:uid="{00000000-0005-0000-0000-000004180000}"/>
    <cellStyle name="표준 11 3 6" xfId="6202" xr:uid="{00000000-0005-0000-0000-000005180000}"/>
    <cellStyle name="표준 11 3 6 2" xfId="6203" xr:uid="{00000000-0005-0000-0000-000006180000}"/>
    <cellStyle name="표준 11 3 7" xfId="6204" xr:uid="{00000000-0005-0000-0000-000007180000}"/>
    <cellStyle name="표준 11 3 8" xfId="6205" xr:uid="{00000000-0005-0000-0000-000008180000}"/>
    <cellStyle name="표준 11 4" xfId="6206" xr:uid="{00000000-0005-0000-0000-000009180000}"/>
    <cellStyle name="표준 11 4 2" xfId="6207" xr:uid="{00000000-0005-0000-0000-00000A180000}"/>
    <cellStyle name="표준 11 4 2 2" xfId="6208" xr:uid="{00000000-0005-0000-0000-00000B180000}"/>
    <cellStyle name="표준 11 4 2 2 2" xfId="6209" xr:uid="{00000000-0005-0000-0000-00000C180000}"/>
    <cellStyle name="표준 11 4 2 2 2 2" xfId="6210" xr:uid="{00000000-0005-0000-0000-00000D180000}"/>
    <cellStyle name="표준 11 4 2 2 2 2 2" xfId="6211" xr:uid="{00000000-0005-0000-0000-00000E180000}"/>
    <cellStyle name="표준 11 4 2 2 2 3" xfId="6212" xr:uid="{00000000-0005-0000-0000-00000F180000}"/>
    <cellStyle name="표준 11 4 2 2 3" xfId="6213" xr:uid="{00000000-0005-0000-0000-000010180000}"/>
    <cellStyle name="표준 11 4 2 2 3 2" xfId="6214" xr:uid="{00000000-0005-0000-0000-000011180000}"/>
    <cellStyle name="표준 11 4 2 2 4" xfId="6215" xr:uid="{00000000-0005-0000-0000-000012180000}"/>
    <cellStyle name="표준 11 4 2 3" xfId="6216" xr:uid="{00000000-0005-0000-0000-000013180000}"/>
    <cellStyle name="표준 11 4 2 3 2" xfId="6217" xr:uid="{00000000-0005-0000-0000-000014180000}"/>
    <cellStyle name="표준 11 4 2 3 2 2" xfId="6218" xr:uid="{00000000-0005-0000-0000-000015180000}"/>
    <cellStyle name="표준 11 4 2 3 3" xfId="6219" xr:uid="{00000000-0005-0000-0000-000016180000}"/>
    <cellStyle name="표준 11 4 2 4" xfId="6220" xr:uid="{00000000-0005-0000-0000-000017180000}"/>
    <cellStyle name="표준 11 4 2 4 2" xfId="6221" xr:uid="{00000000-0005-0000-0000-000018180000}"/>
    <cellStyle name="표준 11 4 2 5" xfId="6222" xr:uid="{00000000-0005-0000-0000-000019180000}"/>
    <cellStyle name="표준 11 4 3" xfId="6223" xr:uid="{00000000-0005-0000-0000-00001A180000}"/>
    <cellStyle name="표준 11 4 3 2" xfId="6224" xr:uid="{00000000-0005-0000-0000-00001B180000}"/>
    <cellStyle name="표준 11 4 3 2 2" xfId="6225" xr:uid="{00000000-0005-0000-0000-00001C180000}"/>
    <cellStyle name="표준 11 4 3 2 2 2" xfId="6226" xr:uid="{00000000-0005-0000-0000-00001D180000}"/>
    <cellStyle name="표준 11 4 3 2 3" xfId="6227" xr:uid="{00000000-0005-0000-0000-00001E180000}"/>
    <cellStyle name="표준 11 4 3 3" xfId="6228" xr:uid="{00000000-0005-0000-0000-00001F180000}"/>
    <cellStyle name="표준 11 4 3 3 2" xfId="6229" xr:uid="{00000000-0005-0000-0000-000020180000}"/>
    <cellStyle name="표준 11 4 3 4" xfId="6230" xr:uid="{00000000-0005-0000-0000-000021180000}"/>
    <cellStyle name="표준 11 4 4" xfId="6231" xr:uid="{00000000-0005-0000-0000-000022180000}"/>
    <cellStyle name="표준 11 4 4 2" xfId="6232" xr:uid="{00000000-0005-0000-0000-000023180000}"/>
    <cellStyle name="표준 11 4 4 2 2" xfId="6233" xr:uid="{00000000-0005-0000-0000-000024180000}"/>
    <cellStyle name="표준 11 4 4 3" xfId="6234" xr:uid="{00000000-0005-0000-0000-000025180000}"/>
    <cellStyle name="표준 11 4 5" xfId="6235" xr:uid="{00000000-0005-0000-0000-000026180000}"/>
    <cellStyle name="표준 11 4 5 2" xfId="6236" xr:uid="{00000000-0005-0000-0000-000027180000}"/>
    <cellStyle name="표준 11 4 6" xfId="6237" xr:uid="{00000000-0005-0000-0000-000028180000}"/>
    <cellStyle name="표준 11 5" xfId="6238" xr:uid="{00000000-0005-0000-0000-000029180000}"/>
    <cellStyle name="표준 11 5 2" xfId="6239" xr:uid="{00000000-0005-0000-0000-00002A180000}"/>
    <cellStyle name="표준 11 5 2 2" xfId="6240" xr:uid="{00000000-0005-0000-0000-00002B180000}"/>
    <cellStyle name="표준 11 5 2 2 2" xfId="6241" xr:uid="{00000000-0005-0000-0000-00002C180000}"/>
    <cellStyle name="표준 11 5 2 2 2 2" xfId="6242" xr:uid="{00000000-0005-0000-0000-00002D180000}"/>
    <cellStyle name="표준 11 5 2 2 3" xfId="6243" xr:uid="{00000000-0005-0000-0000-00002E180000}"/>
    <cellStyle name="표준 11 5 2 3" xfId="6244" xr:uid="{00000000-0005-0000-0000-00002F180000}"/>
    <cellStyle name="표준 11 5 2 3 2" xfId="6245" xr:uid="{00000000-0005-0000-0000-000030180000}"/>
    <cellStyle name="표준 11 5 2 4" xfId="6246" xr:uid="{00000000-0005-0000-0000-000031180000}"/>
    <cellStyle name="표준 11 5 3" xfId="6247" xr:uid="{00000000-0005-0000-0000-000032180000}"/>
    <cellStyle name="표준 11 5 3 2" xfId="6248" xr:uid="{00000000-0005-0000-0000-000033180000}"/>
    <cellStyle name="표준 11 5 3 2 2" xfId="6249" xr:uid="{00000000-0005-0000-0000-000034180000}"/>
    <cellStyle name="표준 11 5 3 3" xfId="6250" xr:uid="{00000000-0005-0000-0000-000035180000}"/>
    <cellStyle name="표준 11 5 4" xfId="6251" xr:uid="{00000000-0005-0000-0000-000036180000}"/>
    <cellStyle name="표준 11 5 4 2" xfId="6252" xr:uid="{00000000-0005-0000-0000-000037180000}"/>
    <cellStyle name="표준 11 5 5" xfId="6253" xr:uid="{00000000-0005-0000-0000-000038180000}"/>
    <cellStyle name="표준 11 6" xfId="6254" xr:uid="{00000000-0005-0000-0000-000039180000}"/>
    <cellStyle name="표준 11 6 2" xfId="6255" xr:uid="{00000000-0005-0000-0000-00003A180000}"/>
    <cellStyle name="표준 11 6 2 2" xfId="6256" xr:uid="{00000000-0005-0000-0000-00003B180000}"/>
    <cellStyle name="표준 11 6 2 2 2" xfId="6257" xr:uid="{00000000-0005-0000-0000-00003C180000}"/>
    <cellStyle name="표준 11 6 2 3" xfId="6258" xr:uid="{00000000-0005-0000-0000-00003D180000}"/>
    <cellStyle name="표준 11 6 3" xfId="6259" xr:uid="{00000000-0005-0000-0000-00003E180000}"/>
    <cellStyle name="표준 11 6 3 2" xfId="6260" xr:uid="{00000000-0005-0000-0000-00003F180000}"/>
    <cellStyle name="표준 11 6 4" xfId="6261" xr:uid="{00000000-0005-0000-0000-000040180000}"/>
    <cellStyle name="표준 11 7" xfId="6262" xr:uid="{00000000-0005-0000-0000-000041180000}"/>
    <cellStyle name="표준 11 7 2" xfId="6263" xr:uid="{00000000-0005-0000-0000-000042180000}"/>
    <cellStyle name="표준 11 7 2 2" xfId="6264" xr:uid="{00000000-0005-0000-0000-000043180000}"/>
    <cellStyle name="표준 11 7 3" xfId="6265" xr:uid="{00000000-0005-0000-0000-000044180000}"/>
    <cellStyle name="표준 11 8" xfId="6266" xr:uid="{00000000-0005-0000-0000-000045180000}"/>
    <cellStyle name="표준 11 8 2" xfId="6267" xr:uid="{00000000-0005-0000-0000-000046180000}"/>
    <cellStyle name="표준 11 9" xfId="6268" xr:uid="{00000000-0005-0000-0000-000047180000}"/>
    <cellStyle name="표준 12" xfId="12" xr:uid="{00000000-0005-0000-0000-000048180000}"/>
    <cellStyle name="표준 12 14" xfId="6269" xr:uid="{00000000-0005-0000-0000-000049180000}"/>
    <cellStyle name="표준 12 2" xfId="54" xr:uid="{00000000-0005-0000-0000-00004A180000}"/>
    <cellStyle name="표준 12 2 2" xfId="6270" xr:uid="{00000000-0005-0000-0000-00004B180000}"/>
    <cellStyle name="표준 12 2 2 2" xfId="6271" xr:uid="{00000000-0005-0000-0000-00004C180000}"/>
    <cellStyle name="표준 12 2 2 2 2" xfId="6272" xr:uid="{00000000-0005-0000-0000-00004D180000}"/>
    <cellStyle name="표준 12 2 2 2 2 2" xfId="6273" xr:uid="{00000000-0005-0000-0000-00004E180000}"/>
    <cellStyle name="표준 12 2 2 2 2 2 2" xfId="6274" xr:uid="{00000000-0005-0000-0000-00004F180000}"/>
    <cellStyle name="표준 12 2 2 2 2 2 2 2" xfId="6275" xr:uid="{00000000-0005-0000-0000-000050180000}"/>
    <cellStyle name="표준 12 2 2 2 2 2 3" xfId="6276" xr:uid="{00000000-0005-0000-0000-000051180000}"/>
    <cellStyle name="표준 12 2 2 2 2 3" xfId="6277" xr:uid="{00000000-0005-0000-0000-000052180000}"/>
    <cellStyle name="표준 12 2 2 2 2 3 2" xfId="6278" xr:uid="{00000000-0005-0000-0000-000053180000}"/>
    <cellStyle name="표준 12 2 2 2 2 4" xfId="6279" xr:uid="{00000000-0005-0000-0000-000054180000}"/>
    <cellStyle name="표준 12 2 2 2 3" xfId="6280" xr:uid="{00000000-0005-0000-0000-000055180000}"/>
    <cellStyle name="표준 12 2 2 2 3 2" xfId="6281" xr:uid="{00000000-0005-0000-0000-000056180000}"/>
    <cellStyle name="표준 12 2 2 2 3 2 2" xfId="6282" xr:uid="{00000000-0005-0000-0000-000057180000}"/>
    <cellStyle name="표준 12 2 2 2 3 3" xfId="6283" xr:uid="{00000000-0005-0000-0000-000058180000}"/>
    <cellStyle name="표준 12 2 2 2 4" xfId="6284" xr:uid="{00000000-0005-0000-0000-000059180000}"/>
    <cellStyle name="표준 12 2 2 2 4 2" xfId="6285" xr:uid="{00000000-0005-0000-0000-00005A180000}"/>
    <cellStyle name="표준 12 2 2 2 5" xfId="6286" xr:uid="{00000000-0005-0000-0000-00005B180000}"/>
    <cellStyle name="표준 12 2 2 3" xfId="6287" xr:uid="{00000000-0005-0000-0000-00005C180000}"/>
    <cellStyle name="표준 12 2 2 3 2" xfId="6288" xr:uid="{00000000-0005-0000-0000-00005D180000}"/>
    <cellStyle name="표준 12 2 2 3 2 2" xfId="6289" xr:uid="{00000000-0005-0000-0000-00005E180000}"/>
    <cellStyle name="표준 12 2 2 3 2 2 2" xfId="6290" xr:uid="{00000000-0005-0000-0000-00005F180000}"/>
    <cellStyle name="표준 12 2 2 3 2 3" xfId="6291" xr:uid="{00000000-0005-0000-0000-000060180000}"/>
    <cellStyle name="표준 12 2 2 3 3" xfId="6292" xr:uid="{00000000-0005-0000-0000-000061180000}"/>
    <cellStyle name="표준 12 2 2 3 3 2" xfId="6293" xr:uid="{00000000-0005-0000-0000-000062180000}"/>
    <cellStyle name="표준 12 2 2 3 4" xfId="6294" xr:uid="{00000000-0005-0000-0000-000063180000}"/>
    <cellStyle name="표준 12 2 2 4" xfId="6295" xr:uid="{00000000-0005-0000-0000-000064180000}"/>
    <cellStyle name="표준 12 2 2 4 2" xfId="6296" xr:uid="{00000000-0005-0000-0000-000065180000}"/>
    <cellStyle name="표준 12 2 2 4 2 2" xfId="6297" xr:uid="{00000000-0005-0000-0000-000066180000}"/>
    <cellStyle name="표준 12 2 2 4 3" xfId="6298" xr:uid="{00000000-0005-0000-0000-000067180000}"/>
    <cellStyle name="표준 12 2 2 5" xfId="6299" xr:uid="{00000000-0005-0000-0000-000068180000}"/>
    <cellStyle name="표준 12 2 2 5 2" xfId="6300" xr:uid="{00000000-0005-0000-0000-000069180000}"/>
    <cellStyle name="표준 12 2 2 6" xfId="6301" xr:uid="{00000000-0005-0000-0000-00006A180000}"/>
    <cellStyle name="표준 12 2 3" xfId="6302" xr:uid="{00000000-0005-0000-0000-00006B180000}"/>
    <cellStyle name="표준 12 2 3 2" xfId="6303" xr:uid="{00000000-0005-0000-0000-00006C180000}"/>
    <cellStyle name="표준 12 2 3 2 2" xfId="6304" xr:uid="{00000000-0005-0000-0000-00006D180000}"/>
    <cellStyle name="표준 12 2 3 2 2 2" xfId="6305" xr:uid="{00000000-0005-0000-0000-00006E180000}"/>
    <cellStyle name="표준 12 2 3 2 2 2 2" xfId="6306" xr:uid="{00000000-0005-0000-0000-00006F180000}"/>
    <cellStyle name="표준 12 2 3 2 2 3" xfId="6307" xr:uid="{00000000-0005-0000-0000-000070180000}"/>
    <cellStyle name="표준 12 2 3 2 3" xfId="6308" xr:uid="{00000000-0005-0000-0000-000071180000}"/>
    <cellStyle name="표준 12 2 3 2 3 2" xfId="6309" xr:uid="{00000000-0005-0000-0000-000072180000}"/>
    <cellStyle name="표준 12 2 3 2 4" xfId="6310" xr:uid="{00000000-0005-0000-0000-000073180000}"/>
    <cellStyle name="표준 12 2 3 3" xfId="6311" xr:uid="{00000000-0005-0000-0000-000074180000}"/>
    <cellStyle name="표준 12 2 3 3 2" xfId="6312" xr:uid="{00000000-0005-0000-0000-000075180000}"/>
    <cellStyle name="표준 12 2 3 3 2 2" xfId="6313" xr:uid="{00000000-0005-0000-0000-000076180000}"/>
    <cellStyle name="표준 12 2 3 3 3" xfId="6314" xr:uid="{00000000-0005-0000-0000-000077180000}"/>
    <cellStyle name="표준 12 2 3 4" xfId="6315" xr:uid="{00000000-0005-0000-0000-000078180000}"/>
    <cellStyle name="표준 12 2 3 4 2" xfId="6316" xr:uid="{00000000-0005-0000-0000-000079180000}"/>
    <cellStyle name="표준 12 2 3 5" xfId="6317" xr:uid="{00000000-0005-0000-0000-00007A180000}"/>
    <cellStyle name="표준 12 2 4" xfId="6318" xr:uid="{00000000-0005-0000-0000-00007B180000}"/>
    <cellStyle name="표준 12 2 4 2" xfId="6319" xr:uid="{00000000-0005-0000-0000-00007C180000}"/>
    <cellStyle name="표준 12 2 4 2 2" xfId="6320" xr:uid="{00000000-0005-0000-0000-00007D180000}"/>
    <cellStyle name="표준 12 2 4 2 2 2" xfId="6321" xr:uid="{00000000-0005-0000-0000-00007E180000}"/>
    <cellStyle name="표준 12 2 4 2 3" xfId="6322" xr:uid="{00000000-0005-0000-0000-00007F180000}"/>
    <cellStyle name="표준 12 2 4 3" xfId="6323" xr:uid="{00000000-0005-0000-0000-000080180000}"/>
    <cellStyle name="표준 12 2 4 3 2" xfId="6324" xr:uid="{00000000-0005-0000-0000-000081180000}"/>
    <cellStyle name="표준 12 2 4 4" xfId="6325" xr:uid="{00000000-0005-0000-0000-000082180000}"/>
    <cellStyle name="표준 12 2 5" xfId="6326" xr:uid="{00000000-0005-0000-0000-000083180000}"/>
    <cellStyle name="표준 12 2 5 2" xfId="6327" xr:uid="{00000000-0005-0000-0000-000084180000}"/>
    <cellStyle name="표준 12 2 5 2 2" xfId="6328" xr:uid="{00000000-0005-0000-0000-000085180000}"/>
    <cellStyle name="표준 12 2 5 3" xfId="6329" xr:uid="{00000000-0005-0000-0000-000086180000}"/>
    <cellStyle name="표준 12 2 6" xfId="6330" xr:uid="{00000000-0005-0000-0000-000087180000}"/>
    <cellStyle name="표준 12 2 6 2" xfId="6331" xr:uid="{00000000-0005-0000-0000-000088180000}"/>
    <cellStyle name="표준 12 2 7" xfId="6332" xr:uid="{00000000-0005-0000-0000-000089180000}"/>
    <cellStyle name="표준 12 2 8" xfId="6333" xr:uid="{00000000-0005-0000-0000-00008A180000}"/>
    <cellStyle name="표준 12 3" xfId="6334" xr:uid="{00000000-0005-0000-0000-00008B180000}"/>
    <cellStyle name="표준 12 3 2" xfId="6335" xr:uid="{00000000-0005-0000-0000-00008C180000}"/>
    <cellStyle name="표준 12 3 2 2" xfId="6336" xr:uid="{00000000-0005-0000-0000-00008D180000}"/>
    <cellStyle name="표준 12 3 2 2 2" xfId="6337" xr:uid="{00000000-0005-0000-0000-00008E180000}"/>
    <cellStyle name="표준 12 3 2 2 2 2" xfId="6338" xr:uid="{00000000-0005-0000-0000-00008F180000}"/>
    <cellStyle name="표준 12 3 2 2 2 2 2" xfId="6339" xr:uid="{00000000-0005-0000-0000-000090180000}"/>
    <cellStyle name="표준 12 3 2 2 2 3" xfId="6340" xr:uid="{00000000-0005-0000-0000-000091180000}"/>
    <cellStyle name="표준 12 3 2 2 3" xfId="6341" xr:uid="{00000000-0005-0000-0000-000092180000}"/>
    <cellStyle name="표준 12 3 2 2 3 2" xfId="6342" xr:uid="{00000000-0005-0000-0000-000093180000}"/>
    <cellStyle name="표준 12 3 2 2 4" xfId="6343" xr:uid="{00000000-0005-0000-0000-000094180000}"/>
    <cellStyle name="표준 12 3 2 3" xfId="6344" xr:uid="{00000000-0005-0000-0000-000095180000}"/>
    <cellStyle name="표준 12 3 2 3 2" xfId="6345" xr:uid="{00000000-0005-0000-0000-000096180000}"/>
    <cellStyle name="표준 12 3 2 3 2 2" xfId="6346" xr:uid="{00000000-0005-0000-0000-000097180000}"/>
    <cellStyle name="표준 12 3 2 3 3" xfId="6347" xr:uid="{00000000-0005-0000-0000-000098180000}"/>
    <cellStyle name="표준 12 3 2 4" xfId="6348" xr:uid="{00000000-0005-0000-0000-000099180000}"/>
    <cellStyle name="표준 12 3 2 4 2" xfId="6349" xr:uid="{00000000-0005-0000-0000-00009A180000}"/>
    <cellStyle name="표준 12 3 2 5" xfId="6350" xr:uid="{00000000-0005-0000-0000-00009B180000}"/>
    <cellStyle name="표준 12 3 3" xfId="6351" xr:uid="{00000000-0005-0000-0000-00009C180000}"/>
    <cellStyle name="표준 12 3 3 2" xfId="6352" xr:uid="{00000000-0005-0000-0000-00009D180000}"/>
    <cellStyle name="표준 12 3 3 2 2" xfId="6353" xr:uid="{00000000-0005-0000-0000-00009E180000}"/>
    <cellStyle name="표준 12 3 3 2 2 2" xfId="6354" xr:uid="{00000000-0005-0000-0000-00009F180000}"/>
    <cellStyle name="표준 12 3 3 2 3" xfId="6355" xr:uid="{00000000-0005-0000-0000-0000A0180000}"/>
    <cellStyle name="표준 12 3 3 3" xfId="6356" xr:uid="{00000000-0005-0000-0000-0000A1180000}"/>
    <cellStyle name="표준 12 3 3 3 2" xfId="6357" xr:uid="{00000000-0005-0000-0000-0000A2180000}"/>
    <cellStyle name="표준 12 3 3 4" xfId="6358" xr:uid="{00000000-0005-0000-0000-0000A3180000}"/>
    <cellStyle name="표준 12 3 4" xfId="6359" xr:uid="{00000000-0005-0000-0000-0000A4180000}"/>
    <cellStyle name="표준 12 3 4 2" xfId="6360" xr:uid="{00000000-0005-0000-0000-0000A5180000}"/>
    <cellStyle name="표준 12 3 4 2 2" xfId="6361" xr:uid="{00000000-0005-0000-0000-0000A6180000}"/>
    <cellStyle name="표준 12 3 4 3" xfId="6362" xr:uid="{00000000-0005-0000-0000-0000A7180000}"/>
    <cellStyle name="표준 12 3 5" xfId="6363" xr:uid="{00000000-0005-0000-0000-0000A8180000}"/>
    <cellStyle name="표준 12 3 5 2" xfId="6364" xr:uid="{00000000-0005-0000-0000-0000A9180000}"/>
    <cellStyle name="표준 12 3 6" xfId="6365" xr:uid="{00000000-0005-0000-0000-0000AA180000}"/>
    <cellStyle name="표준 12 4" xfId="6366" xr:uid="{00000000-0005-0000-0000-0000AB180000}"/>
    <cellStyle name="표준 12 4 2" xfId="6367" xr:uid="{00000000-0005-0000-0000-0000AC180000}"/>
    <cellStyle name="표준 12 4 2 2" xfId="6368" xr:uid="{00000000-0005-0000-0000-0000AD180000}"/>
    <cellStyle name="표준 12 4 2 2 2" xfId="6369" xr:uid="{00000000-0005-0000-0000-0000AE180000}"/>
    <cellStyle name="표준 12 4 2 2 2 2" xfId="6370" xr:uid="{00000000-0005-0000-0000-0000AF180000}"/>
    <cellStyle name="표준 12 4 2 2 3" xfId="6371" xr:uid="{00000000-0005-0000-0000-0000B0180000}"/>
    <cellStyle name="표준 12 4 2 3" xfId="6372" xr:uid="{00000000-0005-0000-0000-0000B1180000}"/>
    <cellStyle name="표준 12 4 2 3 2" xfId="6373" xr:uid="{00000000-0005-0000-0000-0000B2180000}"/>
    <cellStyle name="표준 12 4 2 4" xfId="6374" xr:uid="{00000000-0005-0000-0000-0000B3180000}"/>
    <cellStyle name="표준 12 4 3" xfId="6375" xr:uid="{00000000-0005-0000-0000-0000B4180000}"/>
    <cellStyle name="표준 12 4 3 2" xfId="6376" xr:uid="{00000000-0005-0000-0000-0000B5180000}"/>
    <cellStyle name="표준 12 4 3 2 2" xfId="6377" xr:uid="{00000000-0005-0000-0000-0000B6180000}"/>
    <cellStyle name="표준 12 4 3 3" xfId="6378" xr:uid="{00000000-0005-0000-0000-0000B7180000}"/>
    <cellStyle name="표준 12 4 4" xfId="6379" xr:uid="{00000000-0005-0000-0000-0000B8180000}"/>
    <cellStyle name="표준 12 4 4 2" xfId="6380" xr:uid="{00000000-0005-0000-0000-0000B9180000}"/>
    <cellStyle name="표준 12 4 5" xfId="6381" xr:uid="{00000000-0005-0000-0000-0000BA180000}"/>
    <cellStyle name="표준 12 5" xfId="6382" xr:uid="{00000000-0005-0000-0000-0000BB180000}"/>
    <cellStyle name="표준 12 5 2" xfId="6383" xr:uid="{00000000-0005-0000-0000-0000BC180000}"/>
    <cellStyle name="표준 12 5 2 2" xfId="6384" xr:uid="{00000000-0005-0000-0000-0000BD180000}"/>
    <cellStyle name="표준 12 5 2 2 2" xfId="6385" xr:uid="{00000000-0005-0000-0000-0000BE180000}"/>
    <cellStyle name="표준 12 5 2 3" xfId="6386" xr:uid="{00000000-0005-0000-0000-0000BF180000}"/>
    <cellStyle name="표준 12 5 3" xfId="6387" xr:uid="{00000000-0005-0000-0000-0000C0180000}"/>
    <cellStyle name="표준 12 5 3 2" xfId="6388" xr:uid="{00000000-0005-0000-0000-0000C1180000}"/>
    <cellStyle name="표준 12 5 4" xfId="6389" xr:uid="{00000000-0005-0000-0000-0000C2180000}"/>
    <cellStyle name="표준 12 6" xfId="6390" xr:uid="{00000000-0005-0000-0000-0000C3180000}"/>
    <cellStyle name="표준 12 6 2" xfId="6391" xr:uid="{00000000-0005-0000-0000-0000C4180000}"/>
    <cellStyle name="표준 12 6 2 2" xfId="6392" xr:uid="{00000000-0005-0000-0000-0000C5180000}"/>
    <cellStyle name="표준 12 6 3" xfId="6393" xr:uid="{00000000-0005-0000-0000-0000C6180000}"/>
    <cellStyle name="표준 12 7" xfId="6394" xr:uid="{00000000-0005-0000-0000-0000C7180000}"/>
    <cellStyle name="표준 12 7 2" xfId="6395" xr:uid="{00000000-0005-0000-0000-0000C8180000}"/>
    <cellStyle name="표준 12 8" xfId="6396" xr:uid="{00000000-0005-0000-0000-0000C9180000}"/>
    <cellStyle name="표준 12 9" xfId="6397" xr:uid="{00000000-0005-0000-0000-0000CA180000}"/>
    <cellStyle name="표준 13" xfId="13" xr:uid="{00000000-0005-0000-0000-0000CB180000}"/>
    <cellStyle name="표준 13 2" xfId="6398" xr:uid="{00000000-0005-0000-0000-0000CC180000}"/>
    <cellStyle name="표준 13 2 10" xfId="6399" xr:uid="{00000000-0005-0000-0000-0000CD180000}"/>
    <cellStyle name="표준 13 2 11" xfId="6400" xr:uid="{00000000-0005-0000-0000-0000CE180000}"/>
    <cellStyle name="표준 13 2 2" xfId="6401" xr:uid="{00000000-0005-0000-0000-0000CF180000}"/>
    <cellStyle name="표준 13 2 2 10" xfId="6402" xr:uid="{00000000-0005-0000-0000-0000D0180000}"/>
    <cellStyle name="표준 13 2 2 2" xfId="14" xr:uid="{00000000-0005-0000-0000-0000D1180000}"/>
    <cellStyle name="표준 13 2 2 2 10" xfId="6403" xr:uid="{00000000-0005-0000-0000-0000D2180000}"/>
    <cellStyle name="표준 13 2 2 2 2" xfId="6404" xr:uid="{00000000-0005-0000-0000-0000D3180000}"/>
    <cellStyle name="표준 13 2 2 2 2 2" xfId="6405" xr:uid="{00000000-0005-0000-0000-0000D4180000}"/>
    <cellStyle name="표준 13 2 2 2 2 2 2" xfId="6406" xr:uid="{00000000-0005-0000-0000-0000D5180000}"/>
    <cellStyle name="표준 13 2 2 2 2 2 2 2" xfId="6407" xr:uid="{00000000-0005-0000-0000-0000D6180000}"/>
    <cellStyle name="표준 13 2 2 2 2 2 2 2 2" xfId="6408" xr:uid="{00000000-0005-0000-0000-0000D7180000}"/>
    <cellStyle name="표준 13 2 2 2 2 2 2 2 2 2" xfId="6409" xr:uid="{00000000-0005-0000-0000-0000D8180000}"/>
    <cellStyle name="표준 13 2 2 2 2 2 2 2 2 2 2" xfId="6410" xr:uid="{00000000-0005-0000-0000-0000D9180000}"/>
    <cellStyle name="표준 13 2 2 2 2 2 2 2 2 3" xfId="6411" xr:uid="{00000000-0005-0000-0000-0000DA180000}"/>
    <cellStyle name="표준 13 2 2 2 2 2 2 2 3" xfId="6412" xr:uid="{00000000-0005-0000-0000-0000DB180000}"/>
    <cellStyle name="표준 13 2 2 2 2 2 2 2 3 2" xfId="6413" xr:uid="{00000000-0005-0000-0000-0000DC180000}"/>
    <cellStyle name="표준 13 2 2 2 2 2 2 2 4" xfId="6414" xr:uid="{00000000-0005-0000-0000-0000DD180000}"/>
    <cellStyle name="표준 13 2 2 2 2 2 2 3" xfId="6415" xr:uid="{00000000-0005-0000-0000-0000DE180000}"/>
    <cellStyle name="표준 13 2 2 2 2 2 2 3 2" xfId="6416" xr:uid="{00000000-0005-0000-0000-0000DF180000}"/>
    <cellStyle name="표준 13 2 2 2 2 2 2 3 2 2" xfId="6417" xr:uid="{00000000-0005-0000-0000-0000E0180000}"/>
    <cellStyle name="표준 13 2 2 2 2 2 2 3 3" xfId="6418" xr:uid="{00000000-0005-0000-0000-0000E1180000}"/>
    <cellStyle name="표준 13 2 2 2 2 2 2 4" xfId="6419" xr:uid="{00000000-0005-0000-0000-0000E2180000}"/>
    <cellStyle name="표준 13 2 2 2 2 2 2 4 2" xfId="6420" xr:uid="{00000000-0005-0000-0000-0000E3180000}"/>
    <cellStyle name="표준 13 2 2 2 2 2 2 5" xfId="6421" xr:uid="{00000000-0005-0000-0000-0000E4180000}"/>
    <cellStyle name="표준 13 2 2 2 2 2 3" xfId="6422" xr:uid="{00000000-0005-0000-0000-0000E5180000}"/>
    <cellStyle name="표준 13 2 2 2 2 2 3 2" xfId="6423" xr:uid="{00000000-0005-0000-0000-0000E6180000}"/>
    <cellStyle name="표준 13 2 2 2 2 2 3 2 2" xfId="6424" xr:uid="{00000000-0005-0000-0000-0000E7180000}"/>
    <cellStyle name="표준 13 2 2 2 2 2 3 2 2 2" xfId="6425" xr:uid="{00000000-0005-0000-0000-0000E8180000}"/>
    <cellStyle name="표준 13 2 2 2 2 2 3 2 3" xfId="6426" xr:uid="{00000000-0005-0000-0000-0000E9180000}"/>
    <cellStyle name="표준 13 2 2 2 2 2 3 3" xfId="6427" xr:uid="{00000000-0005-0000-0000-0000EA180000}"/>
    <cellStyle name="표준 13 2 2 2 2 2 3 3 2" xfId="6428" xr:uid="{00000000-0005-0000-0000-0000EB180000}"/>
    <cellStyle name="표준 13 2 2 2 2 2 3 4" xfId="6429" xr:uid="{00000000-0005-0000-0000-0000EC180000}"/>
    <cellStyle name="표준 13 2 2 2 2 2 4" xfId="6430" xr:uid="{00000000-0005-0000-0000-0000ED180000}"/>
    <cellStyle name="표준 13 2 2 2 2 2 4 2" xfId="6431" xr:uid="{00000000-0005-0000-0000-0000EE180000}"/>
    <cellStyle name="표준 13 2 2 2 2 2 4 2 2" xfId="6432" xr:uid="{00000000-0005-0000-0000-0000EF180000}"/>
    <cellStyle name="표준 13 2 2 2 2 2 4 3" xfId="6433" xr:uid="{00000000-0005-0000-0000-0000F0180000}"/>
    <cellStyle name="표준 13 2 2 2 2 2 5" xfId="6434" xr:uid="{00000000-0005-0000-0000-0000F1180000}"/>
    <cellStyle name="표준 13 2 2 2 2 2 5 2" xfId="6435" xr:uid="{00000000-0005-0000-0000-0000F2180000}"/>
    <cellStyle name="표준 13 2 2 2 2 2 6" xfId="6436" xr:uid="{00000000-0005-0000-0000-0000F3180000}"/>
    <cellStyle name="표준 13 2 2 2 2 3" xfId="6437" xr:uid="{00000000-0005-0000-0000-0000F4180000}"/>
    <cellStyle name="표준 13 2 2 2 2 3 2" xfId="6438" xr:uid="{00000000-0005-0000-0000-0000F5180000}"/>
    <cellStyle name="표준 13 2 2 2 2 3 2 2" xfId="6439" xr:uid="{00000000-0005-0000-0000-0000F6180000}"/>
    <cellStyle name="표준 13 2 2 2 2 3 2 2 2" xfId="6440" xr:uid="{00000000-0005-0000-0000-0000F7180000}"/>
    <cellStyle name="표준 13 2 2 2 2 3 2 2 2 2" xfId="6441" xr:uid="{00000000-0005-0000-0000-0000F8180000}"/>
    <cellStyle name="표준 13 2 2 2 2 3 2 2 3" xfId="6442" xr:uid="{00000000-0005-0000-0000-0000F9180000}"/>
    <cellStyle name="표준 13 2 2 2 2 3 2 3" xfId="6443" xr:uid="{00000000-0005-0000-0000-0000FA180000}"/>
    <cellStyle name="표준 13 2 2 2 2 3 2 3 2" xfId="6444" xr:uid="{00000000-0005-0000-0000-0000FB180000}"/>
    <cellStyle name="표준 13 2 2 2 2 3 2 4" xfId="6445" xr:uid="{00000000-0005-0000-0000-0000FC180000}"/>
    <cellStyle name="표준 13 2 2 2 2 3 3" xfId="6446" xr:uid="{00000000-0005-0000-0000-0000FD180000}"/>
    <cellStyle name="표준 13 2 2 2 2 3 3 2" xfId="6447" xr:uid="{00000000-0005-0000-0000-0000FE180000}"/>
    <cellStyle name="표준 13 2 2 2 2 3 3 2 2" xfId="6448" xr:uid="{00000000-0005-0000-0000-0000FF180000}"/>
    <cellStyle name="표준 13 2 2 2 2 3 3 3" xfId="6449" xr:uid="{00000000-0005-0000-0000-000000190000}"/>
    <cellStyle name="표준 13 2 2 2 2 3 4" xfId="6450" xr:uid="{00000000-0005-0000-0000-000001190000}"/>
    <cellStyle name="표준 13 2 2 2 2 3 4 2" xfId="6451" xr:uid="{00000000-0005-0000-0000-000002190000}"/>
    <cellStyle name="표준 13 2 2 2 2 3 5" xfId="6452" xr:uid="{00000000-0005-0000-0000-000003190000}"/>
    <cellStyle name="표준 13 2 2 2 2 4" xfId="6453" xr:uid="{00000000-0005-0000-0000-000004190000}"/>
    <cellStyle name="표준 13 2 2 2 2 4 2" xfId="6454" xr:uid="{00000000-0005-0000-0000-000005190000}"/>
    <cellStyle name="표준 13 2 2 2 2 4 2 2" xfId="6455" xr:uid="{00000000-0005-0000-0000-000006190000}"/>
    <cellStyle name="표준 13 2 2 2 2 4 2 2 2" xfId="6456" xr:uid="{00000000-0005-0000-0000-000007190000}"/>
    <cellStyle name="표준 13 2 2 2 2 4 2 3" xfId="6457" xr:uid="{00000000-0005-0000-0000-000008190000}"/>
    <cellStyle name="표준 13 2 2 2 2 4 3" xfId="6458" xr:uid="{00000000-0005-0000-0000-000009190000}"/>
    <cellStyle name="표준 13 2 2 2 2 4 3 2" xfId="6459" xr:uid="{00000000-0005-0000-0000-00000A190000}"/>
    <cellStyle name="표준 13 2 2 2 2 4 4" xfId="6460" xr:uid="{00000000-0005-0000-0000-00000B190000}"/>
    <cellStyle name="표준 13 2 2 2 2 5" xfId="6461" xr:uid="{00000000-0005-0000-0000-00000C190000}"/>
    <cellStyle name="표준 13 2 2 2 2 5 2" xfId="6462" xr:uid="{00000000-0005-0000-0000-00000D190000}"/>
    <cellStyle name="표준 13 2 2 2 2 5 2 2" xfId="6463" xr:uid="{00000000-0005-0000-0000-00000E190000}"/>
    <cellStyle name="표준 13 2 2 2 2 5 3" xfId="6464" xr:uid="{00000000-0005-0000-0000-00000F190000}"/>
    <cellStyle name="표준 13 2 2 2 2 6" xfId="6465" xr:uid="{00000000-0005-0000-0000-000010190000}"/>
    <cellStyle name="표준 13 2 2 2 2 6 2" xfId="6466" xr:uid="{00000000-0005-0000-0000-000011190000}"/>
    <cellStyle name="표준 13 2 2 2 2 7" xfId="6467" xr:uid="{00000000-0005-0000-0000-000012190000}"/>
    <cellStyle name="표준 13 2 2 2 2 8" xfId="6468" xr:uid="{00000000-0005-0000-0000-000013190000}"/>
    <cellStyle name="표준 13 2 2 2 3" xfId="6469" xr:uid="{00000000-0005-0000-0000-000014190000}"/>
    <cellStyle name="표준 13 2 2 2 3 2" xfId="6470" xr:uid="{00000000-0005-0000-0000-000015190000}"/>
    <cellStyle name="표준 13 2 2 2 3 2 2" xfId="6471" xr:uid="{00000000-0005-0000-0000-000016190000}"/>
    <cellStyle name="표준 13 2 2 2 3 2 2 2" xfId="6472" xr:uid="{00000000-0005-0000-0000-000017190000}"/>
    <cellStyle name="표준 13 2 2 2 3 2 2 2 2" xfId="6473" xr:uid="{00000000-0005-0000-0000-000018190000}"/>
    <cellStyle name="표준 13 2 2 2 3 2 2 2 2 2" xfId="6474" xr:uid="{00000000-0005-0000-0000-000019190000}"/>
    <cellStyle name="표준 13 2 2 2 3 2 2 2 3" xfId="6475" xr:uid="{00000000-0005-0000-0000-00001A190000}"/>
    <cellStyle name="표준 13 2 2 2 3 2 2 3" xfId="6476" xr:uid="{00000000-0005-0000-0000-00001B190000}"/>
    <cellStyle name="표준 13 2 2 2 3 2 2 3 2" xfId="6477" xr:uid="{00000000-0005-0000-0000-00001C190000}"/>
    <cellStyle name="표준 13 2 2 2 3 2 2 4" xfId="6478" xr:uid="{00000000-0005-0000-0000-00001D190000}"/>
    <cellStyle name="표준 13 2 2 2 3 2 3" xfId="6479" xr:uid="{00000000-0005-0000-0000-00001E190000}"/>
    <cellStyle name="표준 13 2 2 2 3 2 3 2" xfId="6480" xr:uid="{00000000-0005-0000-0000-00001F190000}"/>
    <cellStyle name="표준 13 2 2 2 3 2 3 2 2" xfId="6481" xr:uid="{00000000-0005-0000-0000-000020190000}"/>
    <cellStyle name="표준 13 2 2 2 3 2 3 3" xfId="6482" xr:uid="{00000000-0005-0000-0000-000021190000}"/>
    <cellStyle name="표준 13 2 2 2 3 2 4" xfId="6483" xr:uid="{00000000-0005-0000-0000-000022190000}"/>
    <cellStyle name="표준 13 2 2 2 3 2 4 2" xfId="6484" xr:uid="{00000000-0005-0000-0000-000023190000}"/>
    <cellStyle name="표준 13 2 2 2 3 2 5" xfId="6485" xr:uid="{00000000-0005-0000-0000-000024190000}"/>
    <cellStyle name="표준 13 2 2 2 3 3" xfId="6486" xr:uid="{00000000-0005-0000-0000-000025190000}"/>
    <cellStyle name="표준 13 2 2 2 3 3 2" xfId="6487" xr:uid="{00000000-0005-0000-0000-000026190000}"/>
    <cellStyle name="표준 13 2 2 2 3 3 2 2" xfId="6488" xr:uid="{00000000-0005-0000-0000-000027190000}"/>
    <cellStyle name="표준 13 2 2 2 3 3 2 2 2" xfId="6489" xr:uid="{00000000-0005-0000-0000-000028190000}"/>
    <cellStyle name="표준 13 2 2 2 3 3 2 3" xfId="6490" xr:uid="{00000000-0005-0000-0000-000029190000}"/>
    <cellStyle name="표준 13 2 2 2 3 3 3" xfId="6491" xr:uid="{00000000-0005-0000-0000-00002A190000}"/>
    <cellStyle name="표준 13 2 2 2 3 3 3 2" xfId="6492" xr:uid="{00000000-0005-0000-0000-00002B190000}"/>
    <cellStyle name="표준 13 2 2 2 3 3 4" xfId="6493" xr:uid="{00000000-0005-0000-0000-00002C190000}"/>
    <cellStyle name="표준 13 2 2 2 3 4" xfId="6494" xr:uid="{00000000-0005-0000-0000-00002D190000}"/>
    <cellStyle name="표준 13 2 2 2 3 4 2" xfId="6495" xr:uid="{00000000-0005-0000-0000-00002E190000}"/>
    <cellStyle name="표준 13 2 2 2 3 4 2 2" xfId="6496" xr:uid="{00000000-0005-0000-0000-00002F190000}"/>
    <cellStyle name="표준 13 2 2 2 3 4 3" xfId="6497" xr:uid="{00000000-0005-0000-0000-000030190000}"/>
    <cellStyle name="표준 13 2 2 2 3 5" xfId="6498" xr:uid="{00000000-0005-0000-0000-000031190000}"/>
    <cellStyle name="표준 13 2 2 2 3 5 2" xfId="6499" xr:uid="{00000000-0005-0000-0000-000032190000}"/>
    <cellStyle name="표준 13 2 2 2 3 6" xfId="6500" xr:uid="{00000000-0005-0000-0000-000033190000}"/>
    <cellStyle name="표준 13 2 2 2 4" xfId="6501" xr:uid="{00000000-0005-0000-0000-000034190000}"/>
    <cellStyle name="표준 13 2 2 2 4 2" xfId="6502" xr:uid="{00000000-0005-0000-0000-000035190000}"/>
    <cellStyle name="표준 13 2 2 2 4 2 2" xfId="6503" xr:uid="{00000000-0005-0000-0000-000036190000}"/>
    <cellStyle name="표준 13 2 2 2 4 2 2 2" xfId="6504" xr:uid="{00000000-0005-0000-0000-000037190000}"/>
    <cellStyle name="표준 13 2 2 2 4 2 2 2 2" xfId="6505" xr:uid="{00000000-0005-0000-0000-000038190000}"/>
    <cellStyle name="표준 13 2 2 2 4 2 2 3" xfId="6506" xr:uid="{00000000-0005-0000-0000-000039190000}"/>
    <cellStyle name="표준 13 2 2 2 4 2 3" xfId="6507" xr:uid="{00000000-0005-0000-0000-00003A190000}"/>
    <cellStyle name="표준 13 2 2 2 4 2 3 2" xfId="6508" xr:uid="{00000000-0005-0000-0000-00003B190000}"/>
    <cellStyle name="표준 13 2 2 2 4 2 4" xfId="6509" xr:uid="{00000000-0005-0000-0000-00003C190000}"/>
    <cellStyle name="표준 13 2 2 2 4 3" xfId="6510" xr:uid="{00000000-0005-0000-0000-00003D190000}"/>
    <cellStyle name="표준 13 2 2 2 4 3 2" xfId="6511" xr:uid="{00000000-0005-0000-0000-00003E190000}"/>
    <cellStyle name="표준 13 2 2 2 4 3 2 2" xfId="6512" xr:uid="{00000000-0005-0000-0000-00003F190000}"/>
    <cellStyle name="표준 13 2 2 2 4 3 3" xfId="6513" xr:uid="{00000000-0005-0000-0000-000040190000}"/>
    <cellStyle name="표준 13 2 2 2 4 4" xfId="6514" xr:uid="{00000000-0005-0000-0000-000041190000}"/>
    <cellStyle name="표준 13 2 2 2 4 4 2" xfId="6515" xr:uid="{00000000-0005-0000-0000-000042190000}"/>
    <cellStyle name="표준 13 2 2 2 4 5" xfId="6516" xr:uid="{00000000-0005-0000-0000-000043190000}"/>
    <cellStyle name="표준 13 2 2 2 5" xfId="6517" xr:uid="{00000000-0005-0000-0000-000044190000}"/>
    <cellStyle name="표준 13 2 2 2 5 2" xfId="6518" xr:uid="{00000000-0005-0000-0000-000045190000}"/>
    <cellStyle name="표준 13 2 2 2 5 2 2" xfId="6519" xr:uid="{00000000-0005-0000-0000-000046190000}"/>
    <cellStyle name="표준 13 2 2 2 5 2 2 2" xfId="6520" xr:uid="{00000000-0005-0000-0000-000047190000}"/>
    <cellStyle name="표준 13 2 2 2 5 2 3" xfId="6521" xr:uid="{00000000-0005-0000-0000-000048190000}"/>
    <cellStyle name="표준 13 2 2 2 5 3" xfId="6522" xr:uid="{00000000-0005-0000-0000-000049190000}"/>
    <cellStyle name="표준 13 2 2 2 5 3 2" xfId="6523" xr:uid="{00000000-0005-0000-0000-00004A190000}"/>
    <cellStyle name="표준 13 2 2 2 5 4" xfId="6524" xr:uid="{00000000-0005-0000-0000-00004B190000}"/>
    <cellStyle name="표준 13 2 2 2 6" xfId="6525" xr:uid="{00000000-0005-0000-0000-00004C190000}"/>
    <cellStyle name="표준 13 2 2 2 6 2" xfId="6526" xr:uid="{00000000-0005-0000-0000-00004D190000}"/>
    <cellStyle name="표준 13 2 2 2 6 2 2" xfId="6527" xr:uid="{00000000-0005-0000-0000-00004E190000}"/>
    <cellStyle name="표준 13 2 2 2 6 3" xfId="6528" xr:uid="{00000000-0005-0000-0000-00004F190000}"/>
    <cellStyle name="표준 13 2 2 2 7" xfId="6529" xr:uid="{00000000-0005-0000-0000-000050190000}"/>
    <cellStyle name="표준 13 2 2 2 7 2" xfId="6530" xr:uid="{00000000-0005-0000-0000-000051190000}"/>
    <cellStyle name="표준 13 2 2 2 8" xfId="6531" xr:uid="{00000000-0005-0000-0000-000052190000}"/>
    <cellStyle name="표준 13 2 2 2 9" xfId="6532" xr:uid="{00000000-0005-0000-0000-000053190000}"/>
    <cellStyle name="표준 13 2 2 3" xfId="6533" xr:uid="{00000000-0005-0000-0000-000054190000}"/>
    <cellStyle name="표준 13 2 2 3 2" xfId="6534" xr:uid="{00000000-0005-0000-0000-000055190000}"/>
    <cellStyle name="표준 13 2 2 3 2 2" xfId="6535" xr:uid="{00000000-0005-0000-0000-000056190000}"/>
    <cellStyle name="표준 13 2 2 3 2 2 2" xfId="6536" xr:uid="{00000000-0005-0000-0000-000057190000}"/>
    <cellStyle name="표준 13 2 2 3 2 2 2 2" xfId="6537" xr:uid="{00000000-0005-0000-0000-000058190000}"/>
    <cellStyle name="표준 13 2 2 3 2 2 2 2 2" xfId="6538" xr:uid="{00000000-0005-0000-0000-000059190000}"/>
    <cellStyle name="표준 13 2 2 3 2 2 2 2 2 2" xfId="6539" xr:uid="{00000000-0005-0000-0000-00005A190000}"/>
    <cellStyle name="표준 13 2 2 3 2 2 2 2 3" xfId="6540" xr:uid="{00000000-0005-0000-0000-00005B190000}"/>
    <cellStyle name="표준 13 2 2 3 2 2 2 3" xfId="6541" xr:uid="{00000000-0005-0000-0000-00005C190000}"/>
    <cellStyle name="표준 13 2 2 3 2 2 2 3 2" xfId="6542" xr:uid="{00000000-0005-0000-0000-00005D190000}"/>
    <cellStyle name="표준 13 2 2 3 2 2 2 4" xfId="6543" xr:uid="{00000000-0005-0000-0000-00005E190000}"/>
    <cellStyle name="표준 13 2 2 3 2 2 3" xfId="6544" xr:uid="{00000000-0005-0000-0000-00005F190000}"/>
    <cellStyle name="표준 13 2 2 3 2 2 3 2" xfId="6545" xr:uid="{00000000-0005-0000-0000-000060190000}"/>
    <cellStyle name="표준 13 2 2 3 2 2 3 2 2" xfId="6546" xr:uid="{00000000-0005-0000-0000-000061190000}"/>
    <cellStyle name="표준 13 2 2 3 2 2 3 3" xfId="6547" xr:uid="{00000000-0005-0000-0000-000062190000}"/>
    <cellStyle name="표준 13 2 2 3 2 2 4" xfId="6548" xr:uid="{00000000-0005-0000-0000-000063190000}"/>
    <cellStyle name="표준 13 2 2 3 2 2 4 2" xfId="6549" xr:uid="{00000000-0005-0000-0000-000064190000}"/>
    <cellStyle name="표준 13 2 2 3 2 2 5" xfId="6550" xr:uid="{00000000-0005-0000-0000-000065190000}"/>
    <cellStyle name="표준 13 2 2 3 2 3" xfId="6551" xr:uid="{00000000-0005-0000-0000-000066190000}"/>
    <cellStyle name="표준 13 2 2 3 2 3 2" xfId="6552" xr:uid="{00000000-0005-0000-0000-000067190000}"/>
    <cellStyle name="표준 13 2 2 3 2 3 2 2" xfId="6553" xr:uid="{00000000-0005-0000-0000-000068190000}"/>
    <cellStyle name="표준 13 2 2 3 2 3 2 2 2" xfId="6554" xr:uid="{00000000-0005-0000-0000-000069190000}"/>
    <cellStyle name="표준 13 2 2 3 2 3 2 3" xfId="6555" xr:uid="{00000000-0005-0000-0000-00006A190000}"/>
    <cellStyle name="표준 13 2 2 3 2 3 3" xfId="6556" xr:uid="{00000000-0005-0000-0000-00006B190000}"/>
    <cellStyle name="표준 13 2 2 3 2 3 3 2" xfId="6557" xr:uid="{00000000-0005-0000-0000-00006C190000}"/>
    <cellStyle name="표준 13 2 2 3 2 3 4" xfId="6558" xr:uid="{00000000-0005-0000-0000-00006D190000}"/>
    <cellStyle name="표준 13 2 2 3 2 4" xfId="6559" xr:uid="{00000000-0005-0000-0000-00006E190000}"/>
    <cellStyle name="표준 13 2 2 3 2 4 2" xfId="6560" xr:uid="{00000000-0005-0000-0000-00006F190000}"/>
    <cellStyle name="표준 13 2 2 3 2 4 2 2" xfId="6561" xr:uid="{00000000-0005-0000-0000-000070190000}"/>
    <cellStyle name="표준 13 2 2 3 2 4 3" xfId="6562" xr:uid="{00000000-0005-0000-0000-000071190000}"/>
    <cellStyle name="표준 13 2 2 3 2 5" xfId="6563" xr:uid="{00000000-0005-0000-0000-000072190000}"/>
    <cellStyle name="표준 13 2 2 3 2 5 2" xfId="6564" xr:uid="{00000000-0005-0000-0000-000073190000}"/>
    <cellStyle name="표준 13 2 2 3 2 6" xfId="6565" xr:uid="{00000000-0005-0000-0000-000074190000}"/>
    <cellStyle name="표준 13 2 2 3 3" xfId="6566" xr:uid="{00000000-0005-0000-0000-000075190000}"/>
    <cellStyle name="표준 13 2 2 3 3 2" xfId="6567" xr:uid="{00000000-0005-0000-0000-000076190000}"/>
    <cellStyle name="표준 13 2 2 3 3 2 2" xfId="6568" xr:uid="{00000000-0005-0000-0000-000077190000}"/>
    <cellStyle name="표준 13 2 2 3 3 2 2 2" xfId="6569" xr:uid="{00000000-0005-0000-0000-000078190000}"/>
    <cellStyle name="표준 13 2 2 3 3 2 2 2 2" xfId="6570" xr:uid="{00000000-0005-0000-0000-000079190000}"/>
    <cellStyle name="표준 13 2 2 3 3 2 2 3" xfId="6571" xr:uid="{00000000-0005-0000-0000-00007A190000}"/>
    <cellStyle name="표준 13 2 2 3 3 2 3" xfId="6572" xr:uid="{00000000-0005-0000-0000-00007B190000}"/>
    <cellStyle name="표준 13 2 2 3 3 2 3 2" xfId="6573" xr:uid="{00000000-0005-0000-0000-00007C190000}"/>
    <cellStyle name="표준 13 2 2 3 3 2 4" xfId="6574" xr:uid="{00000000-0005-0000-0000-00007D190000}"/>
    <cellStyle name="표준 13 2 2 3 3 3" xfId="6575" xr:uid="{00000000-0005-0000-0000-00007E190000}"/>
    <cellStyle name="표준 13 2 2 3 3 3 2" xfId="6576" xr:uid="{00000000-0005-0000-0000-00007F190000}"/>
    <cellStyle name="표준 13 2 2 3 3 3 2 2" xfId="6577" xr:uid="{00000000-0005-0000-0000-000080190000}"/>
    <cellStyle name="표준 13 2 2 3 3 3 3" xfId="6578" xr:uid="{00000000-0005-0000-0000-000081190000}"/>
    <cellStyle name="표준 13 2 2 3 3 4" xfId="6579" xr:uid="{00000000-0005-0000-0000-000082190000}"/>
    <cellStyle name="표준 13 2 2 3 3 4 2" xfId="6580" xr:uid="{00000000-0005-0000-0000-000083190000}"/>
    <cellStyle name="표준 13 2 2 3 3 5" xfId="6581" xr:uid="{00000000-0005-0000-0000-000084190000}"/>
    <cellStyle name="표준 13 2 2 3 4" xfId="6582" xr:uid="{00000000-0005-0000-0000-000085190000}"/>
    <cellStyle name="표준 13 2 2 3 4 2" xfId="6583" xr:uid="{00000000-0005-0000-0000-000086190000}"/>
    <cellStyle name="표준 13 2 2 3 4 2 2" xfId="6584" xr:uid="{00000000-0005-0000-0000-000087190000}"/>
    <cellStyle name="표준 13 2 2 3 4 2 2 2" xfId="6585" xr:uid="{00000000-0005-0000-0000-000088190000}"/>
    <cellStyle name="표준 13 2 2 3 4 2 3" xfId="6586" xr:uid="{00000000-0005-0000-0000-000089190000}"/>
    <cellStyle name="표준 13 2 2 3 4 3" xfId="6587" xr:uid="{00000000-0005-0000-0000-00008A190000}"/>
    <cellStyle name="표준 13 2 2 3 4 3 2" xfId="6588" xr:uid="{00000000-0005-0000-0000-00008B190000}"/>
    <cellStyle name="표준 13 2 2 3 4 4" xfId="6589" xr:uid="{00000000-0005-0000-0000-00008C190000}"/>
    <cellStyle name="표준 13 2 2 3 5" xfId="6590" xr:uid="{00000000-0005-0000-0000-00008D190000}"/>
    <cellStyle name="표준 13 2 2 3 5 2" xfId="6591" xr:uid="{00000000-0005-0000-0000-00008E190000}"/>
    <cellStyle name="표준 13 2 2 3 5 2 2" xfId="6592" xr:uid="{00000000-0005-0000-0000-00008F190000}"/>
    <cellStyle name="표준 13 2 2 3 5 3" xfId="6593" xr:uid="{00000000-0005-0000-0000-000090190000}"/>
    <cellStyle name="표준 13 2 2 3 6" xfId="6594" xr:uid="{00000000-0005-0000-0000-000091190000}"/>
    <cellStyle name="표준 13 2 2 3 6 2" xfId="6595" xr:uid="{00000000-0005-0000-0000-000092190000}"/>
    <cellStyle name="표준 13 2 2 3 7" xfId="6596" xr:uid="{00000000-0005-0000-0000-000093190000}"/>
    <cellStyle name="표준 13 2 2 3 8" xfId="6597" xr:uid="{00000000-0005-0000-0000-000094190000}"/>
    <cellStyle name="표준 13 2 2 4" xfId="6598" xr:uid="{00000000-0005-0000-0000-000095190000}"/>
    <cellStyle name="표준 13 2 2 4 2" xfId="6599" xr:uid="{00000000-0005-0000-0000-000096190000}"/>
    <cellStyle name="표준 13 2 2 4 2 2" xfId="6600" xr:uid="{00000000-0005-0000-0000-000097190000}"/>
    <cellStyle name="표준 13 2 2 4 2 2 2" xfId="6601" xr:uid="{00000000-0005-0000-0000-000098190000}"/>
    <cellStyle name="표준 13 2 2 4 2 2 2 2" xfId="6602" xr:uid="{00000000-0005-0000-0000-000099190000}"/>
    <cellStyle name="표준 13 2 2 4 2 2 2 2 2" xfId="6603" xr:uid="{00000000-0005-0000-0000-00009A190000}"/>
    <cellStyle name="표준 13 2 2 4 2 2 2 3" xfId="6604" xr:uid="{00000000-0005-0000-0000-00009B190000}"/>
    <cellStyle name="표준 13 2 2 4 2 2 3" xfId="6605" xr:uid="{00000000-0005-0000-0000-00009C190000}"/>
    <cellStyle name="표준 13 2 2 4 2 2 3 2" xfId="6606" xr:uid="{00000000-0005-0000-0000-00009D190000}"/>
    <cellStyle name="표준 13 2 2 4 2 2 4" xfId="6607" xr:uid="{00000000-0005-0000-0000-00009E190000}"/>
    <cellStyle name="표준 13 2 2 4 2 3" xfId="6608" xr:uid="{00000000-0005-0000-0000-00009F190000}"/>
    <cellStyle name="표준 13 2 2 4 2 3 2" xfId="6609" xr:uid="{00000000-0005-0000-0000-0000A0190000}"/>
    <cellStyle name="표준 13 2 2 4 2 3 2 2" xfId="6610" xr:uid="{00000000-0005-0000-0000-0000A1190000}"/>
    <cellStyle name="표준 13 2 2 4 2 3 3" xfId="6611" xr:uid="{00000000-0005-0000-0000-0000A2190000}"/>
    <cellStyle name="표준 13 2 2 4 2 4" xfId="6612" xr:uid="{00000000-0005-0000-0000-0000A3190000}"/>
    <cellStyle name="표준 13 2 2 4 2 4 2" xfId="6613" xr:uid="{00000000-0005-0000-0000-0000A4190000}"/>
    <cellStyle name="표준 13 2 2 4 2 5" xfId="6614" xr:uid="{00000000-0005-0000-0000-0000A5190000}"/>
    <cellStyle name="표준 13 2 2 4 3" xfId="6615" xr:uid="{00000000-0005-0000-0000-0000A6190000}"/>
    <cellStyle name="표준 13 2 2 4 3 2" xfId="6616" xr:uid="{00000000-0005-0000-0000-0000A7190000}"/>
    <cellStyle name="표준 13 2 2 4 3 2 2" xfId="6617" xr:uid="{00000000-0005-0000-0000-0000A8190000}"/>
    <cellStyle name="표준 13 2 2 4 3 2 2 2" xfId="6618" xr:uid="{00000000-0005-0000-0000-0000A9190000}"/>
    <cellStyle name="표준 13 2 2 4 3 2 3" xfId="6619" xr:uid="{00000000-0005-0000-0000-0000AA190000}"/>
    <cellStyle name="표준 13 2 2 4 3 3" xfId="6620" xr:uid="{00000000-0005-0000-0000-0000AB190000}"/>
    <cellStyle name="표준 13 2 2 4 3 3 2" xfId="6621" xr:uid="{00000000-0005-0000-0000-0000AC190000}"/>
    <cellStyle name="표준 13 2 2 4 3 4" xfId="6622" xr:uid="{00000000-0005-0000-0000-0000AD190000}"/>
    <cellStyle name="표준 13 2 2 4 4" xfId="6623" xr:uid="{00000000-0005-0000-0000-0000AE190000}"/>
    <cellStyle name="표준 13 2 2 4 4 2" xfId="6624" xr:uid="{00000000-0005-0000-0000-0000AF190000}"/>
    <cellStyle name="표준 13 2 2 4 4 2 2" xfId="6625" xr:uid="{00000000-0005-0000-0000-0000B0190000}"/>
    <cellStyle name="표준 13 2 2 4 4 3" xfId="6626" xr:uid="{00000000-0005-0000-0000-0000B1190000}"/>
    <cellStyle name="표준 13 2 2 4 5" xfId="6627" xr:uid="{00000000-0005-0000-0000-0000B2190000}"/>
    <cellStyle name="표준 13 2 2 4 5 2" xfId="6628" xr:uid="{00000000-0005-0000-0000-0000B3190000}"/>
    <cellStyle name="표준 13 2 2 4 6" xfId="6629" xr:uid="{00000000-0005-0000-0000-0000B4190000}"/>
    <cellStyle name="표준 13 2 2 5" xfId="6630" xr:uid="{00000000-0005-0000-0000-0000B5190000}"/>
    <cellStyle name="표준 13 2 2 5 2" xfId="6631" xr:uid="{00000000-0005-0000-0000-0000B6190000}"/>
    <cellStyle name="표준 13 2 2 5 2 2" xfId="6632" xr:uid="{00000000-0005-0000-0000-0000B7190000}"/>
    <cellStyle name="표준 13 2 2 5 2 2 2" xfId="6633" xr:uid="{00000000-0005-0000-0000-0000B8190000}"/>
    <cellStyle name="표준 13 2 2 5 2 2 2 2" xfId="6634" xr:uid="{00000000-0005-0000-0000-0000B9190000}"/>
    <cellStyle name="표준 13 2 2 5 2 2 3" xfId="6635" xr:uid="{00000000-0005-0000-0000-0000BA190000}"/>
    <cellStyle name="표준 13 2 2 5 2 3" xfId="6636" xr:uid="{00000000-0005-0000-0000-0000BB190000}"/>
    <cellStyle name="표준 13 2 2 5 2 3 2" xfId="6637" xr:uid="{00000000-0005-0000-0000-0000BC190000}"/>
    <cellStyle name="표준 13 2 2 5 2 4" xfId="6638" xr:uid="{00000000-0005-0000-0000-0000BD190000}"/>
    <cellStyle name="표준 13 2 2 5 3" xfId="6639" xr:uid="{00000000-0005-0000-0000-0000BE190000}"/>
    <cellStyle name="표준 13 2 2 5 3 2" xfId="6640" xr:uid="{00000000-0005-0000-0000-0000BF190000}"/>
    <cellStyle name="표준 13 2 2 5 3 2 2" xfId="6641" xr:uid="{00000000-0005-0000-0000-0000C0190000}"/>
    <cellStyle name="표준 13 2 2 5 3 3" xfId="6642" xr:uid="{00000000-0005-0000-0000-0000C1190000}"/>
    <cellStyle name="표준 13 2 2 5 4" xfId="6643" xr:uid="{00000000-0005-0000-0000-0000C2190000}"/>
    <cellStyle name="표준 13 2 2 5 4 2" xfId="6644" xr:uid="{00000000-0005-0000-0000-0000C3190000}"/>
    <cellStyle name="표준 13 2 2 5 5" xfId="6645" xr:uid="{00000000-0005-0000-0000-0000C4190000}"/>
    <cellStyle name="표준 13 2 2 6" xfId="6646" xr:uid="{00000000-0005-0000-0000-0000C5190000}"/>
    <cellStyle name="표준 13 2 2 6 2" xfId="6647" xr:uid="{00000000-0005-0000-0000-0000C6190000}"/>
    <cellStyle name="표준 13 2 2 6 2 2" xfId="6648" xr:uid="{00000000-0005-0000-0000-0000C7190000}"/>
    <cellStyle name="표준 13 2 2 6 2 2 2" xfId="6649" xr:uid="{00000000-0005-0000-0000-0000C8190000}"/>
    <cellStyle name="표준 13 2 2 6 2 3" xfId="6650" xr:uid="{00000000-0005-0000-0000-0000C9190000}"/>
    <cellStyle name="표준 13 2 2 6 3" xfId="6651" xr:uid="{00000000-0005-0000-0000-0000CA190000}"/>
    <cellStyle name="표준 13 2 2 6 3 2" xfId="6652" xr:uid="{00000000-0005-0000-0000-0000CB190000}"/>
    <cellStyle name="표준 13 2 2 6 4" xfId="6653" xr:uid="{00000000-0005-0000-0000-0000CC190000}"/>
    <cellStyle name="표준 13 2 2 7" xfId="6654" xr:uid="{00000000-0005-0000-0000-0000CD190000}"/>
    <cellStyle name="표준 13 2 2 7 2" xfId="6655" xr:uid="{00000000-0005-0000-0000-0000CE190000}"/>
    <cellStyle name="표준 13 2 2 7 2 2" xfId="6656" xr:uid="{00000000-0005-0000-0000-0000CF190000}"/>
    <cellStyle name="표준 13 2 2 7 3" xfId="6657" xr:uid="{00000000-0005-0000-0000-0000D0190000}"/>
    <cellStyle name="표준 13 2 2 8" xfId="6658" xr:uid="{00000000-0005-0000-0000-0000D1190000}"/>
    <cellStyle name="표준 13 2 2 8 2" xfId="6659" xr:uid="{00000000-0005-0000-0000-0000D2190000}"/>
    <cellStyle name="표준 13 2 2 9" xfId="6660" xr:uid="{00000000-0005-0000-0000-0000D3190000}"/>
    <cellStyle name="표준 13 2 3" xfId="6661" xr:uid="{00000000-0005-0000-0000-0000D4190000}"/>
    <cellStyle name="표준 13 2 3 2" xfId="6662" xr:uid="{00000000-0005-0000-0000-0000D5190000}"/>
    <cellStyle name="표준 13 2 3 2 2" xfId="6663" xr:uid="{00000000-0005-0000-0000-0000D6190000}"/>
    <cellStyle name="표준 13 2 3 2 2 2" xfId="6664" xr:uid="{00000000-0005-0000-0000-0000D7190000}"/>
    <cellStyle name="표준 13 2 3 2 2 2 2" xfId="6665" xr:uid="{00000000-0005-0000-0000-0000D8190000}"/>
    <cellStyle name="표준 13 2 3 2 2 2 2 2" xfId="6666" xr:uid="{00000000-0005-0000-0000-0000D9190000}"/>
    <cellStyle name="표준 13 2 3 2 2 2 2 2 2" xfId="6667" xr:uid="{00000000-0005-0000-0000-0000DA190000}"/>
    <cellStyle name="표준 13 2 3 2 2 2 2 2 2 2" xfId="6668" xr:uid="{00000000-0005-0000-0000-0000DB190000}"/>
    <cellStyle name="표준 13 2 3 2 2 2 2 2 3" xfId="6669" xr:uid="{00000000-0005-0000-0000-0000DC190000}"/>
    <cellStyle name="표준 13 2 3 2 2 2 2 3" xfId="6670" xr:uid="{00000000-0005-0000-0000-0000DD190000}"/>
    <cellStyle name="표준 13 2 3 2 2 2 2 3 2" xfId="6671" xr:uid="{00000000-0005-0000-0000-0000DE190000}"/>
    <cellStyle name="표준 13 2 3 2 2 2 2 4" xfId="6672" xr:uid="{00000000-0005-0000-0000-0000DF190000}"/>
    <cellStyle name="표준 13 2 3 2 2 2 3" xfId="6673" xr:uid="{00000000-0005-0000-0000-0000E0190000}"/>
    <cellStyle name="표준 13 2 3 2 2 2 3 2" xfId="6674" xr:uid="{00000000-0005-0000-0000-0000E1190000}"/>
    <cellStyle name="표준 13 2 3 2 2 2 3 2 2" xfId="6675" xr:uid="{00000000-0005-0000-0000-0000E2190000}"/>
    <cellStyle name="표준 13 2 3 2 2 2 3 3" xfId="6676" xr:uid="{00000000-0005-0000-0000-0000E3190000}"/>
    <cellStyle name="표준 13 2 3 2 2 2 4" xfId="6677" xr:uid="{00000000-0005-0000-0000-0000E4190000}"/>
    <cellStyle name="표준 13 2 3 2 2 2 4 2" xfId="6678" xr:uid="{00000000-0005-0000-0000-0000E5190000}"/>
    <cellStyle name="표준 13 2 3 2 2 2 5" xfId="6679" xr:uid="{00000000-0005-0000-0000-0000E6190000}"/>
    <cellStyle name="표준 13 2 3 2 2 3" xfId="6680" xr:uid="{00000000-0005-0000-0000-0000E7190000}"/>
    <cellStyle name="표준 13 2 3 2 2 3 2" xfId="6681" xr:uid="{00000000-0005-0000-0000-0000E8190000}"/>
    <cellStyle name="표준 13 2 3 2 2 3 2 2" xfId="6682" xr:uid="{00000000-0005-0000-0000-0000E9190000}"/>
    <cellStyle name="표준 13 2 3 2 2 3 2 2 2" xfId="6683" xr:uid="{00000000-0005-0000-0000-0000EA190000}"/>
    <cellStyle name="표준 13 2 3 2 2 3 2 3" xfId="6684" xr:uid="{00000000-0005-0000-0000-0000EB190000}"/>
    <cellStyle name="표준 13 2 3 2 2 3 3" xfId="6685" xr:uid="{00000000-0005-0000-0000-0000EC190000}"/>
    <cellStyle name="표준 13 2 3 2 2 3 3 2" xfId="6686" xr:uid="{00000000-0005-0000-0000-0000ED190000}"/>
    <cellStyle name="표준 13 2 3 2 2 3 4" xfId="6687" xr:uid="{00000000-0005-0000-0000-0000EE190000}"/>
    <cellStyle name="표준 13 2 3 2 2 4" xfId="6688" xr:uid="{00000000-0005-0000-0000-0000EF190000}"/>
    <cellStyle name="표준 13 2 3 2 2 4 2" xfId="6689" xr:uid="{00000000-0005-0000-0000-0000F0190000}"/>
    <cellStyle name="표준 13 2 3 2 2 4 2 2" xfId="6690" xr:uid="{00000000-0005-0000-0000-0000F1190000}"/>
    <cellStyle name="표준 13 2 3 2 2 4 3" xfId="6691" xr:uid="{00000000-0005-0000-0000-0000F2190000}"/>
    <cellStyle name="표준 13 2 3 2 2 5" xfId="6692" xr:uid="{00000000-0005-0000-0000-0000F3190000}"/>
    <cellStyle name="표준 13 2 3 2 2 5 2" xfId="6693" xr:uid="{00000000-0005-0000-0000-0000F4190000}"/>
    <cellStyle name="표준 13 2 3 2 2 6" xfId="6694" xr:uid="{00000000-0005-0000-0000-0000F5190000}"/>
    <cellStyle name="표준 13 2 3 2 3" xfId="6695" xr:uid="{00000000-0005-0000-0000-0000F6190000}"/>
    <cellStyle name="표준 13 2 3 2 3 2" xfId="6696" xr:uid="{00000000-0005-0000-0000-0000F7190000}"/>
    <cellStyle name="표준 13 2 3 2 3 2 2" xfId="6697" xr:uid="{00000000-0005-0000-0000-0000F8190000}"/>
    <cellStyle name="표준 13 2 3 2 3 2 2 2" xfId="6698" xr:uid="{00000000-0005-0000-0000-0000F9190000}"/>
    <cellStyle name="표준 13 2 3 2 3 2 2 2 2" xfId="6699" xr:uid="{00000000-0005-0000-0000-0000FA190000}"/>
    <cellStyle name="표준 13 2 3 2 3 2 2 3" xfId="6700" xr:uid="{00000000-0005-0000-0000-0000FB190000}"/>
    <cellStyle name="표준 13 2 3 2 3 2 3" xfId="6701" xr:uid="{00000000-0005-0000-0000-0000FC190000}"/>
    <cellStyle name="표준 13 2 3 2 3 2 3 2" xfId="6702" xr:uid="{00000000-0005-0000-0000-0000FD190000}"/>
    <cellStyle name="표준 13 2 3 2 3 2 4" xfId="6703" xr:uid="{00000000-0005-0000-0000-0000FE190000}"/>
    <cellStyle name="표준 13 2 3 2 3 3" xfId="6704" xr:uid="{00000000-0005-0000-0000-0000FF190000}"/>
    <cellStyle name="표준 13 2 3 2 3 3 2" xfId="6705" xr:uid="{00000000-0005-0000-0000-0000001A0000}"/>
    <cellStyle name="표준 13 2 3 2 3 3 2 2" xfId="6706" xr:uid="{00000000-0005-0000-0000-0000011A0000}"/>
    <cellStyle name="표준 13 2 3 2 3 3 3" xfId="6707" xr:uid="{00000000-0005-0000-0000-0000021A0000}"/>
    <cellStyle name="표준 13 2 3 2 3 4" xfId="6708" xr:uid="{00000000-0005-0000-0000-0000031A0000}"/>
    <cellStyle name="표준 13 2 3 2 3 4 2" xfId="6709" xr:uid="{00000000-0005-0000-0000-0000041A0000}"/>
    <cellStyle name="표준 13 2 3 2 3 5" xfId="6710" xr:uid="{00000000-0005-0000-0000-0000051A0000}"/>
    <cellStyle name="표준 13 2 3 2 4" xfId="6711" xr:uid="{00000000-0005-0000-0000-0000061A0000}"/>
    <cellStyle name="표준 13 2 3 2 4 2" xfId="6712" xr:uid="{00000000-0005-0000-0000-0000071A0000}"/>
    <cellStyle name="표준 13 2 3 2 4 2 2" xfId="6713" xr:uid="{00000000-0005-0000-0000-0000081A0000}"/>
    <cellStyle name="표준 13 2 3 2 4 2 2 2" xfId="6714" xr:uid="{00000000-0005-0000-0000-0000091A0000}"/>
    <cellStyle name="표준 13 2 3 2 4 2 3" xfId="6715" xr:uid="{00000000-0005-0000-0000-00000A1A0000}"/>
    <cellStyle name="표준 13 2 3 2 4 3" xfId="6716" xr:uid="{00000000-0005-0000-0000-00000B1A0000}"/>
    <cellStyle name="표준 13 2 3 2 4 3 2" xfId="6717" xr:uid="{00000000-0005-0000-0000-00000C1A0000}"/>
    <cellStyle name="표준 13 2 3 2 4 4" xfId="6718" xr:uid="{00000000-0005-0000-0000-00000D1A0000}"/>
    <cellStyle name="표준 13 2 3 2 5" xfId="6719" xr:uid="{00000000-0005-0000-0000-00000E1A0000}"/>
    <cellStyle name="표준 13 2 3 2 5 2" xfId="6720" xr:uid="{00000000-0005-0000-0000-00000F1A0000}"/>
    <cellStyle name="표준 13 2 3 2 5 2 2" xfId="6721" xr:uid="{00000000-0005-0000-0000-0000101A0000}"/>
    <cellStyle name="표준 13 2 3 2 5 3" xfId="6722" xr:uid="{00000000-0005-0000-0000-0000111A0000}"/>
    <cellStyle name="표준 13 2 3 2 6" xfId="6723" xr:uid="{00000000-0005-0000-0000-0000121A0000}"/>
    <cellStyle name="표준 13 2 3 2 6 2" xfId="6724" xr:uid="{00000000-0005-0000-0000-0000131A0000}"/>
    <cellStyle name="표준 13 2 3 2 7" xfId="6725" xr:uid="{00000000-0005-0000-0000-0000141A0000}"/>
    <cellStyle name="표준 13 2 3 2 8" xfId="6726" xr:uid="{00000000-0005-0000-0000-0000151A0000}"/>
    <cellStyle name="표준 13 2 3 3" xfId="6727" xr:uid="{00000000-0005-0000-0000-0000161A0000}"/>
    <cellStyle name="표준 13 2 3 3 2" xfId="6728" xr:uid="{00000000-0005-0000-0000-0000171A0000}"/>
    <cellStyle name="표준 13 2 3 3 2 2" xfId="6729" xr:uid="{00000000-0005-0000-0000-0000181A0000}"/>
    <cellStyle name="표준 13 2 3 3 2 2 2" xfId="6730" xr:uid="{00000000-0005-0000-0000-0000191A0000}"/>
    <cellStyle name="표준 13 2 3 3 2 2 2 2" xfId="6731" xr:uid="{00000000-0005-0000-0000-00001A1A0000}"/>
    <cellStyle name="표준 13 2 3 3 2 2 2 2 2" xfId="6732" xr:uid="{00000000-0005-0000-0000-00001B1A0000}"/>
    <cellStyle name="표준 13 2 3 3 2 2 2 3" xfId="6733" xr:uid="{00000000-0005-0000-0000-00001C1A0000}"/>
    <cellStyle name="표준 13 2 3 3 2 2 3" xfId="6734" xr:uid="{00000000-0005-0000-0000-00001D1A0000}"/>
    <cellStyle name="표준 13 2 3 3 2 2 3 2" xfId="6735" xr:uid="{00000000-0005-0000-0000-00001E1A0000}"/>
    <cellStyle name="표준 13 2 3 3 2 2 4" xfId="6736" xr:uid="{00000000-0005-0000-0000-00001F1A0000}"/>
    <cellStyle name="표준 13 2 3 3 2 3" xfId="6737" xr:uid="{00000000-0005-0000-0000-0000201A0000}"/>
    <cellStyle name="표준 13 2 3 3 2 3 2" xfId="6738" xr:uid="{00000000-0005-0000-0000-0000211A0000}"/>
    <cellStyle name="표준 13 2 3 3 2 3 2 2" xfId="6739" xr:uid="{00000000-0005-0000-0000-0000221A0000}"/>
    <cellStyle name="표준 13 2 3 3 2 3 3" xfId="6740" xr:uid="{00000000-0005-0000-0000-0000231A0000}"/>
    <cellStyle name="표준 13 2 3 3 2 4" xfId="6741" xr:uid="{00000000-0005-0000-0000-0000241A0000}"/>
    <cellStyle name="표준 13 2 3 3 2 4 2" xfId="6742" xr:uid="{00000000-0005-0000-0000-0000251A0000}"/>
    <cellStyle name="표준 13 2 3 3 2 5" xfId="6743" xr:uid="{00000000-0005-0000-0000-0000261A0000}"/>
    <cellStyle name="표준 13 2 3 3 3" xfId="6744" xr:uid="{00000000-0005-0000-0000-0000271A0000}"/>
    <cellStyle name="표준 13 2 3 3 3 2" xfId="6745" xr:uid="{00000000-0005-0000-0000-0000281A0000}"/>
    <cellStyle name="표준 13 2 3 3 3 2 2" xfId="6746" xr:uid="{00000000-0005-0000-0000-0000291A0000}"/>
    <cellStyle name="표준 13 2 3 3 3 2 2 2" xfId="6747" xr:uid="{00000000-0005-0000-0000-00002A1A0000}"/>
    <cellStyle name="표준 13 2 3 3 3 2 3" xfId="6748" xr:uid="{00000000-0005-0000-0000-00002B1A0000}"/>
    <cellStyle name="표준 13 2 3 3 3 3" xfId="6749" xr:uid="{00000000-0005-0000-0000-00002C1A0000}"/>
    <cellStyle name="표준 13 2 3 3 3 3 2" xfId="6750" xr:uid="{00000000-0005-0000-0000-00002D1A0000}"/>
    <cellStyle name="표준 13 2 3 3 3 4" xfId="6751" xr:uid="{00000000-0005-0000-0000-00002E1A0000}"/>
    <cellStyle name="표준 13 2 3 3 4" xfId="6752" xr:uid="{00000000-0005-0000-0000-00002F1A0000}"/>
    <cellStyle name="표준 13 2 3 3 4 2" xfId="6753" xr:uid="{00000000-0005-0000-0000-0000301A0000}"/>
    <cellStyle name="표준 13 2 3 3 4 2 2" xfId="6754" xr:uid="{00000000-0005-0000-0000-0000311A0000}"/>
    <cellStyle name="표준 13 2 3 3 4 3" xfId="6755" xr:uid="{00000000-0005-0000-0000-0000321A0000}"/>
    <cellStyle name="표준 13 2 3 3 5" xfId="6756" xr:uid="{00000000-0005-0000-0000-0000331A0000}"/>
    <cellStyle name="표준 13 2 3 3 5 2" xfId="6757" xr:uid="{00000000-0005-0000-0000-0000341A0000}"/>
    <cellStyle name="표준 13 2 3 3 6" xfId="6758" xr:uid="{00000000-0005-0000-0000-0000351A0000}"/>
    <cellStyle name="표준 13 2 3 4" xfId="6759" xr:uid="{00000000-0005-0000-0000-0000361A0000}"/>
    <cellStyle name="표준 13 2 3 4 2" xfId="6760" xr:uid="{00000000-0005-0000-0000-0000371A0000}"/>
    <cellStyle name="표준 13 2 3 4 2 2" xfId="6761" xr:uid="{00000000-0005-0000-0000-0000381A0000}"/>
    <cellStyle name="표준 13 2 3 4 2 2 2" xfId="6762" xr:uid="{00000000-0005-0000-0000-0000391A0000}"/>
    <cellStyle name="표준 13 2 3 4 2 2 2 2" xfId="6763" xr:uid="{00000000-0005-0000-0000-00003A1A0000}"/>
    <cellStyle name="표준 13 2 3 4 2 2 3" xfId="6764" xr:uid="{00000000-0005-0000-0000-00003B1A0000}"/>
    <cellStyle name="표준 13 2 3 4 2 3" xfId="6765" xr:uid="{00000000-0005-0000-0000-00003C1A0000}"/>
    <cellStyle name="표준 13 2 3 4 2 3 2" xfId="6766" xr:uid="{00000000-0005-0000-0000-00003D1A0000}"/>
    <cellStyle name="표준 13 2 3 4 2 4" xfId="6767" xr:uid="{00000000-0005-0000-0000-00003E1A0000}"/>
    <cellStyle name="표준 13 2 3 4 3" xfId="6768" xr:uid="{00000000-0005-0000-0000-00003F1A0000}"/>
    <cellStyle name="표준 13 2 3 4 3 2" xfId="6769" xr:uid="{00000000-0005-0000-0000-0000401A0000}"/>
    <cellStyle name="표준 13 2 3 4 3 2 2" xfId="6770" xr:uid="{00000000-0005-0000-0000-0000411A0000}"/>
    <cellStyle name="표준 13 2 3 4 3 3" xfId="6771" xr:uid="{00000000-0005-0000-0000-0000421A0000}"/>
    <cellStyle name="표준 13 2 3 4 4" xfId="6772" xr:uid="{00000000-0005-0000-0000-0000431A0000}"/>
    <cellStyle name="표준 13 2 3 4 4 2" xfId="6773" xr:uid="{00000000-0005-0000-0000-0000441A0000}"/>
    <cellStyle name="표준 13 2 3 4 5" xfId="6774" xr:uid="{00000000-0005-0000-0000-0000451A0000}"/>
    <cellStyle name="표준 13 2 3 5" xfId="6775" xr:uid="{00000000-0005-0000-0000-0000461A0000}"/>
    <cellStyle name="표준 13 2 3 5 2" xfId="6776" xr:uid="{00000000-0005-0000-0000-0000471A0000}"/>
    <cellStyle name="표준 13 2 3 5 2 2" xfId="6777" xr:uid="{00000000-0005-0000-0000-0000481A0000}"/>
    <cellStyle name="표준 13 2 3 5 2 2 2" xfId="6778" xr:uid="{00000000-0005-0000-0000-0000491A0000}"/>
    <cellStyle name="표준 13 2 3 5 2 3" xfId="6779" xr:uid="{00000000-0005-0000-0000-00004A1A0000}"/>
    <cellStyle name="표준 13 2 3 5 3" xfId="6780" xr:uid="{00000000-0005-0000-0000-00004B1A0000}"/>
    <cellStyle name="표준 13 2 3 5 3 2" xfId="6781" xr:uid="{00000000-0005-0000-0000-00004C1A0000}"/>
    <cellStyle name="표준 13 2 3 5 4" xfId="6782" xr:uid="{00000000-0005-0000-0000-00004D1A0000}"/>
    <cellStyle name="표준 13 2 3 6" xfId="6783" xr:uid="{00000000-0005-0000-0000-00004E1A0000}"/>
    <cellStyle name="표준 13 2 3 6 2" xfId="6784" xr:uid="{00000000-0005-0000-0000-00004F1A0000}"/>
    <cellStyle name="표준 13 2 3 6 2 2" xfId="6785" xr:uid="{00000000-0005-0000-0000-0000501A0000}"/>
    <cellStyle name="표준 13 2 3 6 3" xfId="6786" xr:uid="{00000000-0005-0000-0000-0000511A0000}"/>
    <cellStyle name="표준 13 2 3 7" xfId="6787" xr:uid="{00000000-0005-0000-0000-0000521A0000}"/>
    <cellStyle name="표준 13 2 3 7 2" xfId="6788" xr:uid="{00000000-0005-0000-0000-0000531A0000}"/>
    <cellStyle name="표준 13 2 3 8" xfId="6789" xr:uid="{00000000-0005-0000-0000-0000541A0000}"/>
    <cellStyle name="표준 13 2 3 9" xfId="6790" xr:uid="{00000000-0005-0000-0000-0000551A0000}"/>
    <cellStyle name="표준 13 2 4" xfId="6791" xr:uid="{00000000-0005-0000-0000-0000561A0000}"/>
    <cellStyle name="표준 13 2 4 2" xfId="6792" xr:uid="{00000000-0005-0000-0000-0000571A0000}"/>
    <cellStyle name="표준 13 2 4 2 2" xfId="6793" xr:uid="{00000000-0005-0000-0000-0000581A0000}"/>
    <cellStyle name="표준 13 2 4 2 2 2" xfId="6794" xr:uid="{00000000-0005-0000-0000-0000591A0000}"/>
    <cellStyle name="표준 13 2 4 2 2 2 2" xfId="6795" xr:uid="{00000000-0005-0000-0000-00005A1A0000}"/>
    <cellStyle name="표준 13 2 4 2 2 2 2 2" xfId="6796" xr:uid="{00000000-0005-0000-0000-00005B1A0000}"/>
    <cellStyle name="표준 13 2 4 2 2 2 2 2 2" xfId="6797" xr:uid="{00000000-0005-0000-0000-00005C1A0000}"/>
    <cellStyle name="표준 13 2 4 2 2 2 2 3" xfId="6798" xr:uid="{00000000-0005-0000-0000-00005D1A0000}"/>
    <cellStyle name="표준 13 2 4 2 2 2 3" xfId="6799" xr:uid="{00000000-0005-0000-0000-00005E1A0000}"/>
    <cellStyle name="표준 13 2 4 2 2 2 3 2" xfId="6800" xr:uid="{00000000-0005-0000-0000-00005F1A0000}"/>
    <cellStyle name="표준 13 2 4 2 2 2 4" xfId="6801" xr:uid="{00000000-0005-0000-0000-0000601A0000}"/>
    <cellStyle name="표준 13 2 4 2 2 3" xfId="6802" xr:uid="{00000000-0005-0000-0000-0000611A0000}"/>
    <cellStyle name="표준 13 2 4 2 2 3 2" xfId="6803" xr:uid="{00000000-0005-0000-0000-0000621A0000}"/>
    <cellStyle name="표준 13 2 4 2 2 3 2 2" xfId="6804" xr:uid="{00000000-0005-0000-0000-0000631A0000}"/>
    <cellStyle name="표준 13 2 4 2 2 3 3" xfId="6805" xr:uid="{00000000-0005-0000-0000-0000641A0000}"/>
    <cellStyle name="표준 13 2 4 2 2 4" xfId="6806" xr:uid="{00000000-0005-0000-0000-0000651A0000}"/>
    <cellStyle name="표준 13 2 4 2 2 4 2" xfId="6807" xr:uid="{00000000-0005-0000-0000-0000661A0000}"/>
    <cellStyle name="표준 13 2 4 2 2 5" xfId="6808" xr:uid="{00000000-0005-0000-0000-0000671A0000}"/>
    <cellStyle name="표준 13 2 4 2 3" xfId="6809" xr:uid="{00000000-0005-0000-0000-0000681A0000}"/>
    <cellStyle name="표준 13 2 4 2 3 2" xfId="6810" xr:uid="{00000000-0005-0000-0000-0000691A0000}"/>
    <cellStyle name="표준 13 2 4 2 3 2 2" xfId="6811" xr:uid="{00000000-0005-0000-0000-00006A1A0000}"/>
    <cellStyle name="표준 13 2 4 2 3 2 2 2" xfId="6812" xr:uid="{00000000-0005-0000-0000-00006B1A0000}"/>
    <cellStyle name="표준 13 2 4 2 3 2 3" xfId="6813" xr:uid="{00000000-0005-0000-0000-00006C1A0000}"/>
    <cellStyle name="표준 13 2 4 2 3 3" xfId="6814" xr:uid="{00000000-0005-0000-0000-00006D1A0000}"/>
    <cellStyle name="표준 13 2 4 2 3 3 2" xfId="6815" xr:uid="{00000000-0005-0000-0000-00006E1A0000}"/>
    <cellStyle name="표준 13 2 4 2 3 4" xfId="6816" xr:uid="{00000000-0005-0000-0000-00006F1A0000}"/>
    <cellStyle name="표준 13 2 4 2 4" xfId="6817" xr:uid="{00000000-0005-0000-0000-0000701A0000}"/>
    <cellStyle name="표준 13 2 4 2 4 2" xfId="6818" xr:uid="{00000000-0005-0000-0000-0000711A0000}"/>
    <cellStyle name="표준 13 2 4 2 4 2 2" xfId="6819" xr:uid="{00000000-0005-0000-0000-0000721A0000}"/>
    <cellStyle name="표준 13 2 4 2 4 3" xfId="6820" xr:uid="{00000000-0005-0000-0000-0000731A0000}"/>
    <cellStyle name="표준 13 2 4 2 5" xfId="6821" xr:uid="{00000000-0005-0000-0000-0000741A0000}"/>
    <cellStyle name="표준 13 2 4 2 5 2" xfId="6822" xr:uid="{00000000-0005-0000-0000-0000751A0000}"/>
    <cellStyle name="표준 13 2 4 2 6" xfId="6823" xr:uid="{00000000-0005-0000-0000-0000761A0000}"/>
    <cellStyle name="표준 13 2 4 3" xfId="6824" xr:uid="{00000000-0005-0000-0000-0000771A0000}"/>
    <cellStyle name="표준 13 2 4 3 2" xfId="6825" xr:uid="{00000000-0005-0000-0000-0000781A0000}"/>
    <cellStyle name="표준 13 2 4 3 2 2" xfId="6826" xr:uid="{00000000-0005-0000-0000-0000791A0000}"/>
    <cellStyle name="표준 13 2 4 3 2 2 2" xfId="6827" xr:uid="{00000000-0005-0000-0000-00007A1A0000}"/>
    <cellStyle name="표준 13 2 4 3 2 2 2 2" xfId="6828" xr:uid="{00000000-0005-0000-0000-00007B1A0000}"/>
    <cellStyle name="표준 13 2 4 3 2 2 3" xfId="6829" xr:uid="{00000000-0005-0000-0000-00007C1A0000}"/>
    <cellStyle name="표준 13 2 4 3 2 3" xfId="6830" xr:uid="{00000000-0005-0000-0000-00007D1A0000}"/>
    <cellStyle name="표준 13 2 4 3 2 3 2" xfId="6831" xr:uid="{00000000-0005-0000-0000-00007E1A0000}"/>
    <cellStyle name="표준 13 2 4 3 2 4" xfId="6832" xr:uid="{00000000-0005-0000-0000-00007F1A0000}"/>
    <cellStyle name="표준 13 2 4 3 3" xfId="6833" xr:uid="{00000000-0005-0000-0000-0000801A0000}"/>
    <cellStyle name="표준 13 2 4 3 3 2" xfId="6834" xr:uid="{00000000-0005-0000-0000-0000811A0000}"/>
    <cellStyle name="표준 13 2 4 3 3 2 2" xfId="6835" xr:uid="{00000000-0005-0000-0000-0000821A0000}"/>
    <cellStyle name="표준 13 2 4 3 3 3" xfId="6836" xr:uid="{00000000-0005-0000-0000-0000831A0000}"/>
    <cellStyle name="표준 13 2 4 3 4" xfId="6837" xr:uid="{00000000-0005-0000-0000-0000841A0000}"/>
    <cellStyle name="표준 13 2 4 3 4 2" xfId="6838" xr:uid="{00000000-0005-0000-0000-0000851A0000}"/>
    <cellStyle name="표준 13 2 4 3 5" xfId="6839" xr:uid="{00000000-0005-0000-0000-0000861A0000}"/>
    <cellStyle name="표준 13 2 4 4" xfId="6840" xr:uid="{00000000-0005-0000-0000-0000871A0000}"/>
    <cellStyle name="표준 13 2 4 4 2" xfId="6841" xr:uid="{00000000-0005-0000-0000-0000881A0000}"/>
    <cellStyle name="표준 13 2 4 4 2 2" xfId="6842" xr:uid="{00000000-0005-0000-0000-0000891A0000}"/>
    <cellStyle name="표준 13 2 4 4 2 2 2" xfId="6843" xr:uid="{00000000-0005-0000-0000-00008A1A0000}"/>
    <cellStyle name="표준 13 2 4 4 2 3" xfId="6844" xr:uid="{00000000-0005-0000-0000-00008B1A0000}"/>
    <cellStyle name="표준 13 2 4 4 3" xfId="6845" xr:uid="{00000000-0005-0000-0000-00008C1A0000}"/>
    <cellStyle name="표준 13 2 4 4 3 2" xfId="6846" xr:uid="{00000000-0005-0000-0000-00008D1A0000}"/>
    <cellStyle name="표준 13 2 4 4 4" xfId="6847" xr:uid="{00000000-0005-0000-0000-00008E1A0000}"/>
    <cellStyle name="표준 13 2 4 5" xfId="6848" xr:uid="{00000000-0005-0000-0000-00008F1A0000}"/>
    <cellStyle name="표준 13 2 4 5 2" xfId="6849" xr:uid="{00000000-0005-0000-0000-0000901A0000}"/>
    <cellStyle name="표준 13 2 4 5 2 2" xfId="6850" xr:uid="{00000000-0005-0000-0000-0000911A0000}"/>
    <cellStyle name="표준 13 2 4 5 3" xfId="6851" xr:uid="{00000000-0005-0000-0000-0000921A0000}"/>
    <cellStyle name="표준 13 2 4 6" xfId="6852" xr:uid="{00000000-0005-0000-0000-0000931A0000}"/>
    <cellStyle name="표준 13 2 4 6 2" xfId="6853" xr:uid="{00000000-0005-0000-0000-0000941A0000}"/>
    <cellStyle name="표준 13 2 4 7" xfId="6854" xr:uid="{00000000-0005-0000-0000-0000951A0000}"/>
    <cellStyle name="표준 13 2 4 8" xfId="6855" xr:uid="{00000000-0005-0000-0000-0000961A0000}"/>
    <cellStyle name="표준 13 2 5" xfId="6856" xr:uid="{00000000-0005-0000-0000-0000971A0000}"/>
    <cellStyle name="표준 13 2 5 2" xfId="6857" xr:uid="{00000000-0005-0000-0000-0000981A0000}"/>
    <cellStyle name="표준 13 2 5 2 2" xfId="6858" xr:uid="{00000000-0005-0000-0000-0000991A0000}"/>
    <cellStyle name="표준 13 2 5 2 2 2" xfId="6859" xr:uid="{00000000-0005-0000-0000-00009A1A0000}"/>
    <cellStyle name="표준 13 2 5 2 2 2 2" xfId="6860" xr:uid="{00000000-0005-0000-0000-00009B1A0000}"/>
    <cellStyle name="표준 13 2 5 2 2 2 2 2" xfId="6861" xr:uid="{00000000-0005-0000-0000-00009C1A0000}"/>
    <cellStyle name="표준 13 2 5 2 2 2 3" xfId="6862" xr:uid="{00000000-0005-0000-0000-00009D1A0000}"/>
    <cellStyle name="표준 13 2 5 2 2 3" xfId="6863" xr:uid="{00000000-0005-0000-0000-00009E1A0000}"/>
    <cellStyle name="표준 13 2 5 2 2 3 2" xfId="6864" xr:uid="{00000000-0005-0000-0000-00009F1A0000}"/>
    <cellStyle name="표준 13 2 5 2 2 4" xfId="6865" xr:uid="{00000000-0005-0000-0000-0000A01A0000}"/>
    <cellStyle name="표준 13 2 5 2 3" xfId="6866" xr:uid="{00000000-0005-0000-0000-0000A11A0000}"/>
    <cellStyle name="표준 13 2 5 2 3 2" xfId="6867" xr:uid="{00000000-0005-0000-0000-0000A21A0000}"/>
    <cellStyle name="표준 13 2 5 2 3 2 2" xfId="6868" xr:uid="{00000000-0005-0000-0000-0000A31A0000}"/>
    <cellStyle name="표준 13 2 5 2 3 3" xfId="6869" xr:uid="{00000000-0005-0000-0000-0000A41A0000}"/>
    <cellStyle name="표준 13 2 5 2 4" xfId="6870" xr:uid="{00000000-0005-0000-0000-0000A51A0000}"/>
    <cellStyle name="표준 13 2 5 2 4 2" xfId="6871" xr:uid="{00000000-0005-0000-0000-0000A61A0000}"/>
    <cellStyle name="표준 13 2 5 2 5" xfId="6872" xr:uid="{00000000-0005-0000-0000-0000A71A0000}"/>
    <cellStyle name="표준 13 2 5 3" xfId="6873" xr:uid="{00000000-0005-0000-0000-0000A81A0000}"/>
    <cellStyle name="표준 13 2 5 3 2" xfId="6874" xr:uid="{00000000-0005-0000-0000-0000A91A0000}"/>
    <cellStyle name="표준 13 2 5 3 2 2" xfId="6875" xr:uid="{00000000-0005-0000-0000-0000AA1A0000}"/>
    <cellStyle name="표준 13 2 5 3 2 2 2" xfId="6876" xr:uid="{00000000-0005-0000-0000-0000AB1A0000}"/>
    <cellStyle name="표준 13 2 5 3 2 3" xfId="6877" xr:uid="{00000000-0005-0000-0000-0000AC1A0000}"/>
    <cellStyle name="표준 13 2 5 3 3" xfId="6878" xr:uid="{00000000-0005-0000-0000-0000AD1A0000}"/>
    <cellStyle name="표준 13 2 5 3 3 2" xfId="6879" xr:uid="{00000000-0005-0000-0000-0000AE1A0000}"/>
    <cellStyle name="표준 13 2 5 3 4" xfId="6880" xr:uid="{00000000-0005-0000-0000-0000AF1A0000}"/>
    <cellStyle name="표준 13 2 5 4" xfId="6881" xr:uid="{00000000-0005-0000-0000-0000B01A0000}"/>
    <cellStyle name="표준 13 2 5 4 2" xfId="6882" xr:uid="{00000000-0005-0000-0000-0000B11A0000}"/>
    <cellStyle name="표준 13 2 5 4 2 2" xfId="6883" xr:uid="{00000000-0005-0000-0000-0000B21A0000}"/>
    <cellStyle name="표준 13 2 5 4 3" xfId="6884" xr:uid="{00000000-0005-0000-0000-0000B31A0000}"/>
    <cellStyle name="표준 13 2 5 5" xfId="6885" xr:uid="{00000000-0005-0000-0000-0000B41A0000}"/>
    <cellStyle name="표준 13 2 5 5 2" xfId="6886" xr:uid="{00000000-0005-0000-0000-0000B51A0000}"/>
    <cellStyle name="표준 13 2 5 6" xfId="6887" xr:uid="{00000000-0005-0000-0000-0000B61A0000}"/>
    <cellStyle name="표준 13 2 6" xfId="6888" xr:uid="{00000000-0005-0000-0000-0000B71A0000}"/>
    <cellStyle name="표준 13 2 6 2" xfId="6889" xr:uid="{00000000-0005-0000-0000-0000B81A0000}"/>
    <cellStyle name="표준 13 2 6 2 2" xfId="6890" xr:uid="{00000000-0005-0000-0000-0000B91A0000}"/>
    <cellStyle name="표준 13 2 6 2 2 2" xfId="6891" xr:uid="{00000000-0005-0000-0000-0000BA1A0000}"/>
    <cellStyle name="표준 13 2 6 2 2 2 2" xfId="6892" xr:uid="{00000000-0005-0000-0000-0000BB1A0000}"/>
    <cellStyle name="표준 13 2 6 2 2 3" xfId="6893" xr:uid="{00000000-0005-0000-0000-0000BC1A0000}"/>
    <cellStyle name="표준 13 2 6 2 3" xfId="6894" xr:uid="{00000000-0005-0000-0000-0000BD1A0000}"/>
    <cellStyle name="표준 13 2 6 2 3 2" xfId="6895" xr:uid="{00000000-0005-0000-0000-0000BE1A0000}"/>
    <cellStyle name="표준 13 2 6 2 4" xfId="6896" xr:uid="{00000000-0005-0000-0000-0000BF1A0000}"/>
    <cellStyle name="표준 13 2 6 3" xfId="6897" xr:uid="{00000000-0005-0000-0000-0000C01A0000}"/>
    <cellStyle name="표준 13 2 6 3 2" xfId="6898" xr:uid="{00000000-0005-0000-0000-0000C11A0000}"/>
    <cellStyle name="표준 13 2 6 3 2 2" xfId="6899" xr:uid="{00000000-0005-0000-0000-0000C21A0000}"/>
    <cellStyle name="표준 13 2 6 3 3" xfId="6900" xr:uid="{00000000-0005-0000-0000-0000C31A0000}"/>
    <cellStyle name="표준 13 2 6 4" xfId="6901" xr:uid="{00000000-0005-0000-0000-0000C41A0000}"/>
    <cellStyle name="표준 13 2 6 4 2" xfId="6902" xr:uid="{00000000-0005-0000-0000-0000C51A0000}"/>
    <cellStyle name="표준 13 2 6 5" xfId="6903" xr:uid="{00000000-0005-0000-0000-0000C61A0000}"/>
    <cellStyle name="표준 13 2 7" xfId="6904" xr:uid="{00000000-0005-0000-0000-0000C71A0000}"/>
    <cellStyle name="표준 13 2 7 2" xfId="6905" xr:uid="{00000000-0005-0000-0000-0000C81A0000}"/>
    <cellStyle name="표준 13 2 7 2 2" xfId="6906" xr:uid="{00000000-0005-0000-0000-0000C91A0000}"/>
    <cellStyle name="표준 13 2 7 2 2 2" xfId="6907" xr:uid="{00000000-0005-0000-0000-0000CA1A0000}"/>
    <cellStyle name="표준 13 2 7 2 3" xfId="6908" xr:uid="{00000000-0005-0000-0000-0000CB1A0000}"/>
    <cellStyle name="표준 13 2 7 3" xfId="6909" xr:uid="{00000000-0005-0000-0000-0000CC1A0000}"/>
    <cellStyle name="표준 13 2 7 3 2" xfId="6910" xr:uid="{00000000-0005-0000-0000-0000CD1A0000}"/>
    <cellStyle name="표준 13 2 7 4" xfId="6911" xr:uid="{00000000-0005-0000-0000-0000CE1A0000}"/>
    <cellStyle name="표준 13 2 8" xfId="6912" xr:uid="{00000000-0005-0000-0000-0000CF1A0000}"/>
    <cellStyle name="표준 13 2 8 2" xfId="6913" xr:uid="{00000000-0005-0000-0000-0000D01A0000}"/>
    <cellStyle name="표준 13 2 8 2 2" xfId="6914" xr:uid="{00000000-0005-0000-0000-0000D11A0000}"/>
    <cellStyle name="표준 13 2 8 3" xfId="6915" xr:uid="{00000000-0005-0000-0000-0000D21A0000}"/>
    <cellStyle name="표준 13 2 9" xfId="6916" xr:uid="{00000000-0005-0000-0000-0000D31A0000}"/>
    <cellStyle name="표준 13 2 9 2" xfId="6917" xr:uid="{00000000-0005-0000-0000-0000D41A0000}"/>
    <cellStyle name="표준 13 3" xfId="6918" xr:uid="{00000000-0005-0000-0000-0000D51A0000}"/>
    <cellStyle name="표준 13 3 10" xfId="6919" xr:uid="{00000000-0005-0000-0000-0000D61A0000}"/>
    <cellStyle name="표준 13 3 10 2" xfId="6920" xr:uid="{00000000-0005-0000-0000-0000D71A0000}"/>
    <cellStyle name="표준 13 3 10 2 2" xfId="6921" xr:uid="{00000000-0005-0000-0000-0000D81A0000}"/>
    <cellStyle name="표준 13 3 10 3" xfId="6922" xr:uid="{00000000-0005-0000-0000-0000D91A0000}"/>
    <cellStyle name="표준 13 3 11" xfId="6923" xr:uid="{00000000-0005-0000-0000-0000DA1A0000}"/>
    <cellStyle name="표준 13 3 2" xfId="6924" xr:uid="{00000000-0005-0000-0000-0000DB1A0000}"/>
    <cellStyle name="표준 13 3 2 10" xfId="6925" xr:uid="{00000000-0005-0000-0000-0000DC1A0000}"/>
    <cellStyle name="표준 13 3 2 2" xfId="6926" xr:uid="{00000000-0005-0000-0000-0000DD1A0000}"/>
    <cellStyle name="표준 13 3 2 2 2" xfId="6927" xr:uid="{00000000-0005-0000-0000-0000DE1A0000}"/>
    <cellStyle name="표준 13 3 2 2 2 2" xfId="6928" xr:uid="{00000000-0005-0000-0000-0000DF1A0000}"/>
    <cellStyle name="표준 13 3 2 2 2 2 2" xfId="6929" xr:uid="{00000000-0005-0000-0000-0000E01A0000}"/>
    <cellStyle name="표준 13 3 2 2 2 2 2 2" xfId="6930" xr:uid="{00000000-0005-0000-0000-0000E11A0000}"/>
    <cellStyle name="표준 13 3 2 2 2 2 2 2 2" xfId="6931" xr:uid="{00000000-0005-0000-0000-0000E21A0000}"/>
    <cellStyle name="표준 13 3 2 2 2 2 2 2 2 2" xfId="6932" xr:uid="{00000000-0005-0000-0000-0000E31A0000}"/>
    <cellStyle name="표준 13 3 2 2 2 2 2 2 2 2 2" xfId="6933" xr:uid="{00000000-0005-0000-0000-0000E41A0000}"/>
    <cellStyle name="표준 13 3 2 2 2 2 2 2 2 3" xfId="6934" xr:uid="{00000000-0005-0000-0000-0000E51A0000}"/>
    <cellStyle name="표준 13 3 2 2 2 2 2 2 3" xfId="6935" xr:uid="{00000000-0005-0000-0000-0000E61A0000}"/>
    <cellStyle name="표준 13 3 2 2 2 2 2 2 3 2" xfId="6936" xr:uid="{00000000-0005-0000-0000-0000E71A0000}"/>
    <cellStyle name="표준 13 3 2 2 2 2 2 2 4" xfId="6937" xr:uid="{00000000-0005-0000-0000-0000E81A0000}"/>
    <cellStyle name="표준 13 3 2 2 2 2 2 3" xfId="6938" xr:uid="{00000000-0005-0000-0000-0000E91A0000}"/>
    <cellStyle name="표준 13 3 2 2 2 2 2 3 2" xfId="6939" xr:uid="{00000000-0005-0000-0000-0000EA1A0000}"/>
    <cellStyle name="표준 13 3 2 2 2 2 2 3 2 2" xfId="6940" xr:uid="{00000000-0005-0000-0000-0000EB1A0000}"/>
    <cellStyle name="표준 13 3 2 2 2 2 2 3 3" xfId="6941" xr:uid="{00000000-0005-0000-0000-0000EC1A0000}"/>
    <cellStyle name="표준 13 3 2 2 2 2 2 4" xfId="6942" xr:uid="{00000000-0005-0000-0000-0000ED1A0000}"/>
    <cellStyle name="표준 13 3 2 2 2 2 2 4 2" xfId="6943" xr:uid="{00000000-0005-0000-0000-0000EE1A0000}"/>
    <cellStyle name="표준 13 3 2 2 2 2 2 5" xfId="6944" xr:uid="{00000000-0005-0000-0000-0000EF1A0000}"/>
    <cellStyle name="표준 13 3 2 2 2 2 3" xfId="6945" xr:uid="{00000000-0005-0000-0000-0000F01A0000}"/>
    <cellStyle name="표준 13 3 2 2 2 2 3 2" xfId="6946" xr:uid="{00000000-0005-0000-0000-0000F11A0000}"/>
    <cellStyle name="표준 13 3 2 2 2 2 3 2 2" xfId="6947" xr:uid="{00000000-0005-0000-0000-0000F21A0000}"/>
    <cellStyle name="표준 13 3 2 2 2 2 3 2 2 2" xfId="6948" xr:uid="{00000000-0005-0000-0000-0000F31A0000}"/>
    <cellStyle name="표준 13 3 2 2 2 2 3 2 3" xfId="6949" xr:uid="{00000000-0005-0000-0000-0000F41A0000}"/>
    <cellStyle name="표준 13 3 2 2 2 2 3 3" xfId="6950" xr:uid="{00000000-0005-0000-0000-0000F51A0000}"/>
    <cellStyle name="표준 13 3 2 2 2 2 3 3 2" xfId="6951" xr:uid="{00000000-0005-0000-0000-0000F61A0000}"/>
    <cellStyle name="표준 13 3 2 2 2 2 3 4" xfId="6952" xr:uid="{00000000-0005-0000-0000-0000F71A0000}"/>
    <cellStyle name="표준 13 3 2 2 2 2 4" xfId="6953" xr:uid="{00000000-0005-0000-0000-0000F81A0000}"/>
    <cellStyle name="표준 13 3 2 2 2 2 4 2" xfId="6954" xr:uid="{00000000-0005-0000-0000-0000F91A0000}"/>
    <cellStyle name="표준 13 3 2 2 2 2 4 2 2" xfId="6955" xr:uid="{00000000-0005-0000-0000-0000FA1A0000}"/>
    <cellStyle name="표준 13 3 2 2 2 2 4 3" xfId="6956" xr:uid="{00000000-0005-0000-0000-0000FB1A0000}"/>
    <cellStyle name="표준 13 3 2 2 2 2 5" xfId="6957" xr:uid="{00000000-0005-0000-0000-0000FC1A0000}"/>
    <cellStyle name="표준 13 3 2 2 2 2 5 2" xfId="6958" xr:uid="{00000000-0005-0000-0000-0000FD1A0000}"/>
    <cellStyle name="표준 13 3 2 2 2 2 6" xfId="6959" xr:uid="{00000000-0005-0000-0000-0000FE1A0000}"/>
    <cellStyle name="표준 13 3 2 2 2 3" xfId="6960" xr:uid="{00000000-0005-0000-0000-0000FF1A0000}"/>
    <cellStyle name="표준 13 3 2 2 2 3 2" xfId="6961" xr:uid="{00000000-0005-0000-0000-0000001B0000}"/>
    <cellStyle name="표준 13 3 2 2 2 3 2 2" xfId="6962" xr:uid="{00000000-0005-0000-0000-0000011B0000}"/>
    <cellStyle name="표준 13 3 2 2 2 3 2 2 2" xfId="6963" xr:uid="{00000000-0005-0000-0000-0000021B0000}"/>
    <cellStyle name="표준 13 3 2 2 2 3 2 2 2 2" xfId="6964" xr:uid="{00000000-0005-0000-0000-0000031B0000}"/>
    <cellStyle name="표준 13 3 2 2 2 3 2 2 3" xfId="6965" xr:uid="{00000000-0005-0000-0000-0000041B0000}"/>
    <cellStyle name="표준 13 3 2 2 2 3 2 3" xfId="6966" xr:uid="{00000000-0005-0000-0000-0000051B0000}"/>
    <cellStyle name="표준 13 3 2 2 2 3 2 3 2" xfId="6967" xr:uid="{00000000-0005-0000-0000-0000061B0000}"/>
    <cellStyle name="표준 13 3 2 2 2 3 2 4" xfId="6968" xr:uid="{00000000-0005-0000-0000-0000071B0000}"/>
    <cellStyle name="표준 13 3 2 2 2 3 3" xfId="6969" xr:uid="{00000000-0005-0000-0000-0000081B0000}"/>
    <cellStyle name="표준 13 3 2 2 2 3 3 2" xfId="6970" xr:uid="{00000000-0005-0000-0000-0000091B0000}"/>
    <cellStyle name="표준 13 3 2 2 2 3 3 2 2" xfId="6971" xr:uid="{00000000-0005-0000-0000-00000A1B0000}"/>
    <cellStyle name="표준 13 3 2 2 2 3 3 3" xfId="6972" xr:uid="{00000000-0005-0000-0000-00000B1B0000}"/>
    <cellStyle name="표준 13 3 2 2 2 3 4" xfId="6973" xr:uid="{00000000-0005-0000-0000-00000C1B0000}"/>
    <cellStyle name="표준 13 3 2 2 2 3 4 2" xfId="6974" xr:uid="{00000000-0005-0000-0000-00000D1B0000}"/>
    <cellStyle name="표준 13 3 2 2 2 3 5" xfId="6975" xr:uid="{00000000-0005-0000-0000-00000E1B0000}"/>
    <cellStyle name="표준 13 3 2 2 2 4" xfId="6976" xr:uid="{00000000-0005-0000-0000-00000F1B0000}"/>
    <cellStyle name="표준 13 3 2 2 2 4 2" xfId="6977" xr:uid="{00000000-0005-0000-0000-0000101B0000}"/>
    <cellStyle name="표준 13 3 2 2 2 4 2 2" xfId="6978" xr:uid="{00000000-0005-0000-0000-0000111B0000}"/>
    <cellStyle name="표준 13 3 2 2 2 4 2 2 2" xfId="6979" xr:uid="{00000000-0005-0000-0000-0000121B0000}"/>
    <cellStyle name="표준 13 3 2 2 2 4 2 3" xfId="6980" xr:uid="{00000000-0005-0000-0000-0000131B0000}"/>
    <cellStyle name="표준 13 3 2 2 2 4 3" xfId="6981" xr:uid="{00000000-0005-0000-0000-0000141B0000}"/>
    <cellStyle name="표준 13 3 2 2 2 4 3 2" xfId="6982" xr:uid="{00000000-0005-0000-0000-0000151B0000}"/>
    <cellStyle name="표준 13 3 2 2 2 4 4" xfId="6983" xr:uid="{00000000-0005-0000-0000-0000161B0000}"/>
    <cellStyle name="표준 13 3 2 2 2 5" xfId="6984" xr:uid="{00000000-0005-0000-0000-0000171B0000}"/>
    <cellStyle name="표준 13 3 2 2 2 5 2" xfId="6985" xr:uid="{00000000-0005-0000-0000-0000181B0000}"/>
    <cellStyle name="표준 13 3 2 2 2 5 2 2" xfId="6986" xr:uid="{00000000-0005-0000-0000-0000191B0000}"/>
    <cellStyle name="표준 13 3 2 2 2 5 3" xfId="6987" xr:uid="{00000000-0005-0000-0000-00001A1B0000}"/>
    <cellStyle name="표준 13 3 2 2 2 6" xfId="6988" xr:uid="{00000000-0005-0000-0000-00001B1B0000}"/>
    <cellStyle name="표준 13 3 2 2 2 6 2" xfId="6989" xr:uid="{00000000-0005-0000-0000-00001C1B0000}"/>
    <cellStyle name="표준 13 3 2 2 2 7" xfId="6990" xr:uid="{00000000-0005-0000-0000-00001D1B0000}"/>
    <cellStyle name="표준 13 3 2 2 2 8" xfId="6991" xr:uid="{00000000-0005-0000-0000-00001E1B0000}"/>
    <cellStyle name="표준 13 3 2 2 3" xfId="6992" xr:uid="{00000000-0005-0000-0000-00001F1B0000}"/>
    <cellStyle name="표준 13 3 2 2 3 2" xfId="6993" xr:uid="{00000000-0005-0000-0000-0000201B0000}"/>
    <cellStyle name="표준 13 3 2 2 3 2 2" xfId="6994" xr:uid="{00000000-0005-0000-0000-0000211B0000}"/>
    <cellStyle name="표준 13 3 2 2 3 2 2 2" xfId="6995" xr:uid="{00000000-0005-0000-0000-0000221B0000}"/>
    <cellStyle name="표준 13 3 2 2 3 2 2 2 2" xfId="6996" xr:uid="{00000000-0005-0000-0000-0000231B0000}"/>
    <cellStyle name="표준 13 3 2 2 3 2 2 2 2 2" xfId="6997" xr:uid="{00000000-0005-0000-0000-0000241B0000}"/>
    <cellStyle name="표준 13 3 2 2 3 2 2 2 3" xfId="6998" xr:uid="{00000000-0005-0000-0000-0000251B0000}"/>
    <cellStyle name="표준 13 3 2 2 3 2 2 3" xfId="6999" xr:uid="{00000000-0005-0000-0000-0000261B0000}"/>
    <cellStyle name="표준 13 3 2 2 3 2 2 3 2" xfId="7000" xr:uid="{00000000-0005-0000-0000-0000271B0000}"/>
    <cellStyle name="표준 13 3 2 2 3 2 2 4" xfId="7001" xr:uid="{00000000-0005-0000-0000-0000281B0000}"/>
    <cellStyle name="표준 13 3 2 2 3 2 3" xfId="7002" xr:uid="{00000000-0005-0000-0000-0000291B0000}"/>
    <cellStyle name="표준 13 3 2 2 3 2 3 2" xfId="7003" xr:uid="{00000000-0005-0000-0000-00002A1B0000}"/>
    <cellStyle name="표준 13 3 2 2 3 2 3 2 2" xfId="7004" xr:uid="{00000000-0005-0000-0000-00002B1B0000}"/>
    <cellStyle name="표준 13 3 2 2 3 2 3 3" xfId="7005" xr:uid="{00000000-0005-0000-0000-00002C1B0000}"/>
    <cellStyle name="표준 13 3 2 2 3 2 4" xfId="7006" xr:uid="{00000000-0005-0000-0000-00002D1B0000}"/>
    <cellStyle name="표준 13 3 2 2 3 2 4 2" xfId="7007" xr:uid="{00000000-0005-0000-0000-00002E1B0000}"/>
    <cellStyle name="표준 13 3 2 2 3 2 5" xfId="7008" xr:uid="{00000000-0005-0000-0000-00002F1B0000}"/>
    <cellStyle name="표준 13 3 2 2 3 3" xfId="7009" xr:uid="{00000000-0005-0000-0000-0000301B0000}"/>
    <cellStyle name="표준 13 3 2 2 3 3 2" xfId="7010" xr:uid="{00000000-0005-0000-0000-0000311B0000}"/>
    <cellStyle name="표준 13 3 2 2 3 3 2 2" xfId="7011" xr:uid="{00000000-0005-0000-0000-0000321B0000}"/>
    <cellStyle name="표준 13 3 2 2 3 3 2 2 2" xfId="7012" xr:uid="{00000000-0005-0000-0000-0000331B0000}"/>
    <cellStyle name="표준 13 3 2 2 3 3 2 3" xfId="7013" xr:uid="{00000000-0005-0000-0000-0000341B0000}"/>
    <cellStyle name="표준 13 3 2 2 3 3 3" xfId="7014" xr:uid="{00000000-0005-0000-0000-0000351B0000}"/>
    <cellStyle name="표준 13 3 2 2 3 3 3 2" xfId="7015" xr:uid="{00000000-0005-0000-0000-0000361B0000}"/>
    <cellStyle name="표준 13 3 2 2 3 3 4" xfId="7016" xr:uid="{00000000-0005-0000-0000-0000371B0000}"/>
    <cellStyle name="표준 13 3 2 2 3 4" xfId="7017" xr:uid="{00000000-0005-0000-0000-0000381B0000}"/>
    <cellStyle name="표준 13 3 2 2 3 4 2" xfId="7018" xr:uid="{00000000-0005-0000-0000-0000391B0000}"/>
    <cellStyle name="표준 13 3 2 2 3 4 2 2" xfId="7019" xr:uid="{00000000-0005-0000-0000-00003A1B0000}"/>
    <cellStyle name="표준 13 3 2 2 3 4 3" xfId="7020" xr:uid="{00000000-0005-0000-0000-00003B1B0000}"/>
    <cellStyle name="표준 13 3 2 2 3 5" xfId="7021" xr:uid="{00000000-0005-0000-0000-00003C1B0000}"/>
    <cellStyle name="표준 13 3 2 2 3 5 2" xfId="7022" xr:uid="{00000000-0005-0000-0000-00003D1B0000}"/>
    <cellStyle name="표준 13 3 2 2 3 6" xfId="7023" xr:uid="{00000000-0005-0000-0000-00003E1B0000}"/>
    <cellStyle name="표준 13 3 2 2 4" xfId="7024" xr:uid="{00000000-0005-0000-0000-00003F1B0000}"/>
    <cellStyle name="표준 13 3 2 2 4 2" xfId="7025" xr:uid="{00000000-0005-0000-0000-0000401B0000}"/>
    <cellStyle name="표준 13 3 2 2 4 2 2" xfId="7026" xr:uid="{00000000-0005-0000-0000-0000411B0000}"/>
    <cellStyle name="표준 13 3 2 2 4 2 2 2" xfId="7027" xr:uid="{00000000-0005-0000-0000-0000421B0000}"/>
    <cellStyle name="표준 13 3 2 2 4 2 2 2 2" xfId="7028" xr:uid="{00000000-0005-0000-0000-0000431B0000}"/>
    <cellStyle name="표준 13 3 2 2 4 2 2 3" xfId="7029" xr:uid="{00000000-0005-0000-0000-0000441B0000}"/>
    <cellStyle name="표준 13 3 2 2 4 2 3" xfId="7030" xr:uid="{00000000-0005-0000-0000-0000451B0000}"/>
    <cellStyle name="표준 13 3 2 2 4 2 3 2" xfId="7031" xr:uid="{00000000-0005-0000-0000-0000461B0000}"/>
    <cellStyle name="표준 13 3 2 2 4 2 4" xfId="7032" xr:uid="{00000000-0005-0000-0000-0000471B0000}"/>
    <cellStyle name="표준 13 3 2 2 4 3" xfId="7033" xr:uid="{00000000-0005-0000-0000-0000481B0000}"/>
    <cellStyle name="표준 13 3 2 2 4 3 2" xfId="7034" xr:uid="{00000000-0005-0000-0000-0000491B0000}"/>
    <cellStyle name="표준 13 3 2 2 4 3 2 2" xfId="7035" xr:uid="{00000000-0005-0000-0000-00004A1B0000}"/>
    <cellStyle name="표준 13 3 2 2 4 3 3" xfId="7036" xr:uid="{00000000-0005-0000-0000-00004B1B0000}"/>
    <cellStyle name="표준 13 3 2 2 4 4" xfId="7037" xr:uid="{00000000-0005-0000-0000-00004C1B0000}"/>
    <cellStyle name="표준 13 3 2 2 4 4 2" xfId="7038" xr:uid="{00000000-0005-0000-0000-00004D1B0000}"/>
    <cellStyle name="표준 13 3 2 2 4 5" xfId="7039" xr:uid="{00000000-0005-0000-0000-00004E1B0000}"/>
    <cellStyle name="표준 13 3 2 2 5" xfId="7040" xr:uid="{00000000-0005-0000-0000-00004F1B0000}"/>
    <cellStyle name="표준 13 3 2 2 5 2" xfId="7041" xr:uid="{00000000-0005-0000-0000-0000501B0000}"/>
    <cellStyle name="표준 13 3 2 2 5 2 2" xfId="7042" xr:uid="{00000000-0005-0000-0000-0000511B0000}"/>
    <cellStyle name="표준 13 3 2 2 5 2 2 2" xfId="7043" xr:uid="{00000000-0005-0000-0000-0000521B0000}"/>
    <cellStyle name="표준 13 3 2 2 5 2 3" xfId="7044" xr:uid="{00000000-0005-0000-0000-0000531B0000}"/>
    <cellStyle name="표준 13 3 2 2 5 3" xfId="7045" xr:uid="{00000000-0005-0000-0000-0000541B0000}"/>
    <cellStyle name="표준 13 3 2 2 5 3 2" xfId="7046" xr:uid="{00000000-0005-0000-0000-0000551B0000}"/>
    <cellStyle name="표준 13 3 2 2 5 4" xfId="7047" xr:uid="{00000000-0005-0000-0000-0000561B0000}"/>
    <cellStyle name="표준 13 3 2 2 6" xfId="7048" xr:uid="{00000000-0005-0000-0000-0000571B0000}"/>
    <cellStyle name="표준 13 3 2 2 6 2" xfId="7049" xr:uid="{00000000-0005-0000-0000-0000581B0000}"/>
    <cellStyle name="표준 13 3 2 2 6 2 2" xfId="7050" xr:uid="{00000000-0005-0000-0000-0000591B0000}"/>
    <cellStyle name="표준 13 3 2 2 6 3" xfId="7051" xr:uid="{00000000-0005-0000-0000-00005A1B0000}"/>
    <cellStyle name="표준 13 3 2 2 7" xfId="7052" xr:uid="{00000000-0005-0000-0000-00005B1B0000}"/>
    <cellStyle name="표준 13 3 2 2 7 2" xfId="7053" xr:uid="{00000000-0005-0000-0000-00005C1B0000}"/>
    <cellStyle name="표준 13 3 2 2 8" xfId="7054" xr:uid="{00000000-0005-0000-0000-00005D1B0000}"/>
    <cellStyle name="표준 13 3 2 2 9" xfId="7055" xr:uid="{00000000-0005-0000-0000-00005E1B0000}"/>
    <cellStyle name="표준 13 3 2 3" xfId="7056" xr:uid="{00000000-0005-0000-0000-00005F1B0000}"/>
    <cellStyle name="표준 13 3 2 3 2" xfId="7057" xr:uid="{00000000-0005-0000-0000-0000601B0000}"/>
    <cellStyle name="표준 13 3 2 3 2 2" xfId="7058" xr:uid="{00000000-0005-0000-0000-0000611B0000}"/>
    <cellStyle name="표준 13 3 2 3 2 2 2" xfId="7059" xr:uid="{00000000-0005-0000-0000-0000621B0000}"/>
    <cellStyle name="표준 13 3 2 3 2 2 2 2" xfId="7060" xr:uid="{00000000-0005-0000-0000-0000631B0000}"/>
    <cellStyle name="표준 13 3 2 3 2 2 2 2 2" xfId="7061" xr:uid="{00000000-0005-0000-0000-0000641B0000}"/>
    <cellStyle name="표준 13 3 2 3 2 2 2 2 2 2" xfId="7062" xr:uid="{00000000-0005-0000-0000-0000651B0000}"/>
    <cellStyle name="표준 13 3 2 3 2 2 2 2 3" xfId="7063" xr:uid="{00000000-0005-0000-0000-0000661B0000}"/>
    <cellStyle name="표준 13 3 2 3 2 2 2 3" xfId="7064" xr:uid="{00000000-0005-0000-0000-0000671B0000}"/>
    <cellStyle name="표준 13 3 2 3 2 2 2 3 2" xfId="7065" xr:uid="{00000000-0005-0000-0000-0000681B0000}"/>
    <cellStyle name="표준 13 3 2 3 2 2 2 4" xfId="7066" xr:uid="{00000000-0005-0000-0000-0000691B0000}"/>
    <cellStyle name="표준 13 3 2 3 2 2 3" xfId="7067" xr:uid="{00000000-0005-0000-0000-00006A1B0000}"/>
    <cellStyle name="표준 13 3 2 3 2 2 3 2" xfId="7068" xr:uid="{00000000-0005-0000-0000-00006B1B0000}"/>
    <cellStyle name="표준 13 3 2 3 2 2 3 2 2" xfId="7069" xr:uid="{00000000-0005-0000-0000-00006C1B0000}"/>
    <cellStyle name="표준 13 3 2 3 2 2 3 3" xfId="7070" xr:uid="{00000000-0005-0000-0000-00006D1B0000}"/>
    <cellStyle name="표준 13 3 2 3 2 2 4" xfId="7071" xr:uid="{00000000-0005-0000-0000-00006E1B0000}"/>
    <cellStyle name="표준 13 3 2 3 2 2 4 2" xfId="7072" xr:uid="{00000000-0005-0000-0000-00006F1B0000}"/>
    <cellStyle name="표준 13 3 2 3 2 2 5" xfId="7073" xr:uid="{00000000-0005-0000-0000-0000701B0000}"/>
    <cellStyle name="표준 13 3 2 3 2 3" xfId="7074" xr:uid="{00000000-0005-0000-0000-0000711B0000}"/>
    <cellStyle name="표준 13 3 2 3 2 3 2" xfId="7075" xr:uid="{00000000-0005-0000-0000-0000721B0000}"/>
    <cellStyle name="표준 13 3 2 3 2 3 2 2" xfId="7076" xr:uid="{00000000-0005-0000-0000-0000731B0000}"/>
    <cellStyle name="표준 13 3 2 3 2 3 2 2 2" xfId="7077" xr:uid="{00000000-0005-0000-0000-0000741B0000}"/>
    <cellStyle name="표준 13 3 2 3 2 3 2 3" xfId="7078" xr:uid="{00000000-0005-0000-0000-0000751B0000}"/>
    <cellStyle name="표준 13 3 2 3 2 3 3" xfId="7079" xr:uid="{00000000-0005-0000-0000-0000761B0000}"/>
    <cellStyle name="표준 13 3 2 3 2 3 3 2" xfId="7080" xr:uid="{00000000-0005-0000-0000-0000771B0000}"/>
    <cellStyle name="표준 13 3 2 3 2 3 4" xfId="7081" xr:uid="{00000000-0005-0000-0000-0000781B0000}"/>
    <cellStyle name="표준 13 3 2 3 2 4" xfId="7082" xr:uid="{00000000-0005-0000-0000-0000791B0000}"/>
    <cellStyle name="표준 13 3 2 3 2 4 2" xfId="7083" xr:uid="{00000000-0005-0000-0000-00007A1B0000}"/>
    <cellStyle name="표준 13 3 2 3 2 4 2 2" xfId="7084" xr:uid="{00000000-0005-0000-0000-00007B1B0000}"/>
    <cellStyle name="표준 13 3 2 3 2 4 3" xfId="7085" xr:uid="{00000000-0005-0000-0000-00007C1B0000}"/>
    <cellStyle name="표준 13 3 2 3 2 5" xfId="7086" xr:uid="{00000000-0005-0000-0000-00007D1B0000}"/>
    <cellStyle name="표준 13 3 2 3 2 5 2" xfId="7087" xr:uid="{00000000-0005-0000-0000-00007E1B0000}"/>
    <cellStyle name="표준 13 3 2 3 2 6" xfId="7088" xr:uid="{00000000-0005-0000-0000-00007F1B0000}"/>
    <cellStyle name="표준 13 3 2 3 3" xfId="7089" xr:uid="{00000000-0005-0000-0000-0000801B0000}"/>
    <cellStyle name="표준 13 3 2 3 3 2" xfId="7090" xr:uid="{00000000-0005-0000-0000-0000811B0000}"/>
    <cellStyle name="표준 13 3 2 3 3 2 2" xfId="7091" xr:uid="{00000000-0005-0000-0000-0000821B0000}"/>
    <cellStyle name="표준 13 3 2 3 3 2 2 2" xfId="7092" xr:uid="{00000000-0005-0000-0000-0000831B0000}"/>
    <cellStyle name="표준 13 3 2 3 3 2 2 2 2" xfId="7093" xr:uid="{00000000-0005-0000-0000-0000841B0000}"/>
    <cellStyle name="표준 13 3 2 3 3 2 2 3" xfId="7094" xr:uid="{00000000-0005-0000-0000-0000851B0000}"/>
    <cellStyle name="표준 13 3 2 3 3 2 3" xfId="7095" xr:uid="{00000000-0005-0000-0000-0000861B0000}"/>
    <cellStyle name="표준 13 3 2 3 3 2 3 2" xfId="7096" xr:uid="{00000000-0005-0000-0000-0000871B0000}"/>
    <cellStyle name="표준 13 3 2 3 3 2 4" xfId="7097" xr:uid="{00000000-0005-0000-0000-0000881B0000}"/>
    <cellStyle name="표준 13 3 2 3 3 3" xfId="7098" xr:uid="{00000000-0005-0000-0000-0000891B0000}"/>
    <cellStyle name="표준 13 3 2 3 3 3 2" xfId="7099" xr:uid="{00000000-0005-0000-0000-00008A1B0000}"/>
    <cellStyle name="표준 13 3 2 3 3 3 2 2" xfId="7100" xr:uid="{00000000-0005-0000-0000-00008B1B0000}"/>
    <cellStyle name="표준 13 3 2 3 3 3 3" xfId="7101" xr:uid="{00000000-0005-0000-0000-00008C1B0000}"/>
    <cellStyle name="표준 13 3 2 3 3 4" xfId="7102" xr:uid="{00000000-0005-0000-0000-00008D1B0000}"/>
    <cellStyle name="표준 13 3 2 3 3 4 2" xfId="7103" xr:uid="{00000000-0005-0000-0000-00008E1B0000}"/>
    <cellStyle name="표준 13 3 2 3 3 5" xfId="7104" xr:uid="{00000000-0005-0000-0000-00008F1B0000}"/>
    <cellStyle name="표준 13 3 2 3 4" xfId="7105" xr:uid="{00000000-0005-0000-0000-0000901B0000}"/>
    <cellStyle name="표준 13 3 2 3 4 2" xfId="7106" xr:uid="{00000000-0005-0000-0000-0000911B0000}"/>
    <cellStyle name="표준 13 3 2 3 4 2 2" xfId="7107" xr:uid="{00000000-0005-0000-0000-0000921B0000}"/>
    <cellStyle name="표준 13 3 2 3 4 2 2 2" xfId="7108" xr:uid="{00000000-0005-0000-0000-0000931B0000}"/>
    <cellStyle name="표준 13 3 2 3 4 2 3" xfId="7109" xr:uid="{00000000-0005-0000-0000-0000941B0000}"/>
    <cellStyle name="표준 13 3 2 3 4 3" xfId="7110" xr:uid="{00000000-0005-0000-0000-0000951B0000}"/>
    <cellStyle name="표준 13 3 2 3 4 3 2" xfId="7111" xr:uid="{00000000-0005-0000-0000-0000961B0000}"/>
    <cellStyle name="표준 13 3 2 3 4 4" xfId="7112" xr:uid="{00000000-0005-0000-0000-0000971B0000}"/>
    <cellStyle name="표준 13 3 2 3 5" xfId="7113" xr:uid="{00000000-0005-0000-0000-0000981B0000}"/>
    <cellStyle name="표준 13 3 2 3 5 2" xfId="7114" xr:uid="{00000000-0005-0000-0000-0000991B0000}"/>
    <cellStyle name="표준 13 3 2 3 5 2 2" xfId="7115" xr:uid="{00000000-0005-0000-0000-00009A1B0000}"/>
    <cellStyle name="표준 13 3 2 3 5 3" xfId="7116" xr:uid="{00000000-0005-0000-0000-00009B1B0000}"/>
    <cellStyle name="표준 13 3 2 3 6" xfId="7117" xr:uid="{00000000-0005-0000-0000-00009C1B0000}"/>
    <cellStyle name="표준 13 3 2 3 6 2" xfId="7118" xr:uid="{00000000-0005-0000-0000-00009D1B0000}"/>
    <cellStyle name="표준 13 3 2 3 7" xfId="7119" xr:uid="{00000000-0005-0000-0000-00009E1B0000}"/>
    <cellStyle name="표준 13 3 2 3 8" xfId="7120" xr:uid="{00000000-0005-0000-0000-00009F1B0000}"/>
    <cellStyle name="표준 13 3 2 4" xfId="7121" xr:uid="{00000000-0005-0000-0000-0000A01B0000}"/>
    <cellStyle name="표준 13 3 2 4 2" xfId="7122" xr:uid="{00000000-0005-0000-0000-0000A11B0000}"/>
    <cellStyle name="표준 13 3 2 4 2 2" xfId="7123" xr:uid="{00000000-0005-0000-0000-0000A21B0000}"/>
    <cellStyle name="표준 13 3 2 4 2 2 2" xfId="7124" xr:uid="{00000000-0005-0000-0000-0000A31B0000}"/>
    <cellStyle name="표준 13 3 2 4 2 2 2 2" xfId="7125" xr:uid="{00000000-0005-0000-0000-0000A41B0000}"/>
    <cellStyle name="표준 13 3 2 4 2 2 2 2 2" xfId="7126" xr:uid="{00000000-0005-0000-0000-0000A51B0000}"/>
    <cellStyle name="표준 13 3 2 4 2 2 2 3" xfId="7127" xr:uid="{00000000-0005-0000-0000-0000A61B0000}"/>
    <cellStyle name="표준 13 3 2 4 2 2 3" xfId="7128" xr:uid="{00000000-0005-0000-0000-0000A71B0000}"/>
    <cellStyle name="표준 13 3 2 4 2 2 3 2" xfId="7129" xr:uid="{00000000-0005-0000-0000-0000A81B0000}"/>
    <cellStyle name="표준 13 3 2 4 2 2 4" xfId="7130" xr:uid="{00000000-0005-0000-0000-0000A91B0000}"/>
    <cellStyle name="표준 13 3 2 4 2 3" xfId="7131" xr:uid="{00000000-0005-0000-0000-0000AA1B0000}"/>
    <cellStyle name="표준 13 3 2 4 2 3 2" xfId="7132" xr:uid="{00000000-0005-0000-0000-0000AB1B0000}"/>
    <cellStyle name="표준 13 3 2 4 2 3 2 2" xfId="7133" xr:uid="{00000000-0005-0000-0000-0000AC1B0000}"/>
    <cellStyle name="표준 13 3 2 4 2 3 3" xfId="7134" xr:uid="{00000000-0005-0000-0000-0000AD1B0000}"/>
    <cellStyle name="표준 13 3 2 4 2 4" xfId="7135" xr:uid="{00000000-0005-0000-0000-0000AE1B0000}"/>
    <cellStyle name="표준 13 3 2 4 2 4 2" xfId="7136" xr:uid="{00000000-0005-0000-0000-0000AF1B0000}"/>
    <cellStyle name="표준 13 3 2 4 2 5" xfId="7137" xr:uid="{00000000-0005-0000-0000-0000B01B0000}"/>
    <cellStyle name="표준 13 3 2 4 3" xfId="7138" xr:uid="{00000000-0005-0000-0000-0000B11B0000}"/>
    <cellStyle name="표준 13 3 2 4 3 2" xfId="7139" xr:uid="{00000000-0005-0000-0000-0000B21B0000}"/>
    <cellStyle name="표준 13 3 2 4 3 2 2" xfId="7140" xr:uid="{00000000-0005-0000-0000-0000B31B0000}"/>
    <cellStyle name="표준 13 3 2 4 3 2 2 2" xfId="7141" xr:uid="{00000000-0005-0000-0000-0000B41B0000}"/>
    <cellStyle name="표준 13 3 2 4 3 2 3" xfId="7142" xr:uid="{00000000-0005-0000-0000-0000B51B0000}"/>
    <cellStyle name="표준 13 3 2 4 3 3" xfId="7143" xr:uid="{00000000-0005-0000-0000-0000B61B0000}"/>
    <cellStyle name="표준 13 3 2 4 3 3 2" xfId="7144" xr:uid="{00000000-0005-0000-0000-0000B71B0000}"/>
    <cellStyle name="표준 13 3 2 4 3 4" xfId="7145" xr:uid="{00000000-0005-0000-0000-0000B81B0000}"/>
    <cellStyle name="표준 13 3 2 4 4" xfId="7146" xr:uid="{00000000-0005-0000-0000-0000B91B0000}"/>
    <cellStyle name="표준 13 3 2 4 4 2" xfId="7147" xr:uid="{00000000-0005-0000-0000-0000BA1B0000}"/>
    <cellStyle name="표준 13 3 2 4 4 2 2" xfId="7148" xr:uid="{00000000-0005-0000-0000-0000BB1B0000}"/>
    <cellStyle name="표준 13 3 2 4 4 3" xfId="7149" xr:uid="{00000000-0005-0000-0000-0000BC1B0000}"/>
    <cellStyle name="표준 13 3 2 4 5" xfId="7150" xr:uid="{00000000-0005-0000-0000-0000BD1B0000}"/>
    <cellStyle name="표준 13 3 2 4 5 2" xfId="7151" xr:uid="{00000000-0005-0000-0000-0000BE1B0000}"/>
    <cellStyle name="표준 13 3 2 4 6" xfId="7152" xr:uid="{00000000-0005-0000-0000-0000BF1B0000}"/>
    <cellStyle name="표준 13 3 2 5" xfId="7153" xr:uid="{00000000-0005-0000-0000-0000C01B0000}"/>
    <cellStyle name="표준 13 3 2 5 2" xfId="7154" xr:uid="{00000000-0005-0000-0000-0000C11B0000}"/>
    <cellStyle name="표준 13 3 2 5 2 2" xfId="7155" xr:uid="{00000000-0005-0000-0000-0000C21B0000}"/>
    <cellStyle name="표준 13 3 2 5 2 2 2" xfId="7156" xr:uid="{00000000-0005-0000-0000-0000C31B0000}"/>
    <cellStyle name="표준 13 3 2 5 2 2 2 2" xfId="7157" xr:uid="{00000000-0005-0000-0000-0000C41B0000}"/>
    <cellStyle name="표준 13 3 2 5 2 2 3" xfId="7158" xr:uid="{00000000-0005-0000-0000-0000C51B0000}"/>
    <cellStyle name="표준 13 3 2 5 2 3" xfId="7159" xr:uid="{00000000-0005-0000-0000-0000C61B0000}"/>
    <cellStyle name="표준 13 3 2 5 2 3 2" xfId="7160" xr:uid="{00000000-0005-0000-0000-0000C71B0000}"/>
    <cellStyle name="표준 13 3 2 5 2 4" xfId="7161" xr:uid="{00000000-0005-0000-0000-0000C81B0000}"/>
    <cellStyle name="표준 13 3 2 5 3" xfId="7162" xr:uid="{00000000-0005-0000-0000-0000C91B0000}"/>
    <cellStyle name="표준 13 3 2 5 3 2" xfId="7163" xr:uid="{00000000-0005-0000-0000-0000CA1B0000}"/>
    <cellStyle name="표준 13 3 2 5 3 2 2" xfId="7164" xr:uid="{00000000-0005-0000-0000-0000CB1B0000}"/>
    <cellStyle name="표준 13 3 2 5 3 3" xfId="7165" xr:uid="{00000000-0005-0000-0000-0000CC1B0000}"/>
    <cellStyle name="표준 13 3 2 5 4" xfId="7166" xr:uid="{00000000-0005-0000-0000-0000CD1B0000}"/>
    <cellStyle name="표준 13 3 2 5 4 2" xfId="7167" xr:uid="{00000000-0005-0000-0000-0000CE1B0000}"/>
    <cellStyle name="표준 13 3 2 5 5" xfId="7168" xr:uid="{00000000-0005-0000-0000-0000CF1B0000}"/>
    <cellStyle name="표준 13 3 2 6" xfId="7169" xr:uid="{00000000-0005-0000-0000-0000D01B0000}"/>
    <cellStyle name="표준 13 3 2 6 2" xfId="7170" xr:uid="{00000000-0005-0000-0000-0000D11B0000}"/>
    <cellStyle name="표준 13 3 2 6 2 2" xfId="7171" xr:uid="{00000000-0005-0000-0000-0000D21B0000}"/>
    <cellStyle name="표준 13 3 2 6 2 2 2" xfId="7172" xr:uid="{00000000-0005-0000-0000-0000D31B0000}"/>
    <cellStyle name="표준 13 3 2 6 2 3" xfId="7173" xr:uid="{00000000-0005-0000-0000-0000D41B0000}"/>
    <cellStyle name="표준 13 3 2 6 3" xfId="7174" xr:uid="{00000000-0005-0000-0000-0000D51B0000}"/>
    <cellStyle name="표준 13 3 2 6 3 2" xfId="7175" xr:uid="{00000000-0005-0000-0000-0000D61B0000}"/>
    <cellStyle name="표준 13 3 2 6 4" xfId="7176" xr:uid="{00000000-0005-0000-0000-0000D71B0000}"/>
    <cellStyle name="표준 13 3 2 7" xfId="7177" xr:uid="{00000000-0005-0000-0000-0000D81B0000}"/>
    <cellStyle name="표준 13 3 2 7 2" xfId="7178" xr:uid="{00000000-0005-0000-0000-0000D91B0000}"/>
    <cellStyle name="표준 13 3 2 7 2 2" xfId="7179" xr:uid="{00000000-0005-0000-0000-0000DA1B0000}"/>
    <cellStyle name="표준 13 3 2 7 3" xfId="7180" xr:uid="{00000000-0005-0000-0000-0000DB1B0000}"/>
    <cellStyle name="표준 13 3 2 8" xfId="7181" xr:uid="{00000000-0005-0000-0000-0000DC1B0000}"/>
    <cellStyle name="표준 13 3 2 8 2" xfId="7182" xr:uid="{00000000-0005-0000-0000-0000DD1B0000}"/>
    <cellStyle name="표준 13 3 2 9" xfId="7183" xr:uid="{00000000-0005-0000-0000-0000DE1B0000}"/>
    <cellStyle name="표준 13 3 3" xfId="7184" xr:uid="{00000000-0005-0000-0000-0000DF1B0000}"/>
    <cellStyle name="표준 13 3 3 2" xfId="7185" xr:uid="{00000000-0005-0000-0000-0000E01B0000}"/>
    <cellStyle name="표준 13 3 3 2 2" xfId="7186" xr:uid="{00000000-0005-0000-0000-0000E11B0000}"/>
    <cellStyle name="표준 13 3 3 2 2 2" xfId="7187" xr:uid="{00000000-0005-0000-0000-0000E21B0000}"/>
    <cellStyle name="표준 13 3 3 2 2 2 2" xfId="7188" xr:uid="{00000000-0005-0000-0000-0000E31B0000}"/>
    <cellStyle name="표준 13 3 3 2 2 2 2 2" xfId="7189" xr:uid="{00000000-0005-0000-0000-0000E41B0000}"/>
    <cellStyle name="표준 13 3 3 2 2 2 2 2 2" xfId="7190" xr:uid="{00000000-0005-0000-0000-0000E51B0000}"/>
    <cellStyle name="표준 13 3 3 2 2 2 2 2 2 2" xfId="7191" xr:uid="{00000000-0005-0000-0000-0000E61B0000}"/>
    <cellStyle name="표준 13 3 3 2 2 2 2 2 3" xfId="7192" xr:uid="{00000000-0005-0000-0000-0000E71B0000}"/>
    <cellStyle name="표준 13 3 3 2 2 2 2 3" xfId="7193" xr:uid="{00000000-0005-0000-0000-0000E81B0000}"/>
    <cellStyle name="표준 13 3 3 2 2 2 2 3 2" xfId="7194" xr:uid="{00000000-0005-0000-0000-0000E91B0000}"/>
    <cellStyle name="표준 13 3 3 2 2 2 2 4" xfId="7195" xr:uid="{00000000-0005-0000-0000-0000EA1B0000}"/>
    <cellStyle name="표준 13 3 3 2 2 2 3" xfId="7196" xr:uid="{00000000-0005-0000-0000-0000EB1B0000}"/>
    <cellStyle name="표준 13 3 3 2 2 2 3 2" xfId="7197" xr:uid="{00000000-0005-0000-0000-0000EC1B0000}"/>
    <cellStyle name="표준 13 3 3 2 2 2 3 2 2" xfId="7198" xr:uid="{00000000-0005-0000-0000-0000ED1B0000}"/>
    <cellStyle name="표준 13 3 3 2 2 2 3 3" xfId="7199" xr:uid="{00000000-0005-0000-0000-0000EE1B0000}"/>
    <cellStyle name="표준 13 3 3 2 2 2 4" xfId="7200" xr:uid="{00000000-0005-0000-0000-0000EF1B0000}"/>
    <cellStyle name="표준 13 3 3 2 2 2 4 2" xfId="7201" xr:uid="{00000000-0005-0000-0000-0000F01B0000}"/>
    <cellStyle name="표준 13 3 3 2 2 2 5" xfId="7202" xr:uid="{00000000-0005-0000-0000-0000F11B0000}"/>
    <cellStyle name="표준 13 3 3 2 2 3" xfId="7203" xr:uid="{00000000-0005-0000-0000-0000F21B0000}"/>
    <cellStyle name="표준 13 3 3 2 2 3 2" xfId="7204" xr:uid="{00000000-0005-0000-0000-0000F31B0000}"/>
    <cellStyle name="표준 13 3 3 2 2 3 2 2" xfId="7205" xr:uid="{00000000-0005-0000-0000-0000F41B0000}"/>
    <cellStyle name="표준 13 3 3 2 2 3 2 2 2" xfId="7206" xr:uid="{00000000-0005-0000-0000-0000F51B0000}"/>
    <cellStyle name="표준 13 3 3 2 2 3 2 3" xfId="7207" xr:uid="{00000000-0005-0000-0000-0000F61B0000}"/>
    <cellStyle name="표준 13 3 3 2 2 3 3" xfId="7208" xr:uid="{00000000-0005-0000-0000-0000F71B0000}"/>
    <cellStyle name="표준 13 3 3 2 2 3 3 2" xfId="7209" xr:uid="{00000000-0005-0000-0000-0000F81B0000}"/>
    <cellStyle name="표준 13 3 3 2 2 3 4" xfId="7210" xr:uid="{00000000-0005-0000-0000-0000F91B0000}"/>
    <cellStyle name="표준 13 3 3 2 2 4" xfId="7211" xr:uid="{00000000-0005-0000-0000-0000FA1B0000}"/>
    <cellStyle name="표준 13 3 3 2 2 4 2" xfId="7212" xr:uid="{00000000-0005-0000-0000-0000FB1B0000}"/>
    <cellStyle name="표준 13 3 3 2 2 4 2 2" xfId="7213" xr:uid="{00000000-0005-0000-0000-0000FC1B0000}"/>
    <cellStyle name="표준 13 3 3 2 2 4 3" xfId="7214" xr:uid="{00000000-0005-0000-0000-0000FD1B0000}"/>
    <cellStyle name="표준 13 3 3 2 2 5" xfId="7215" xr:uid="{00000000-0005-0000-0000-0000FE1B0000}"/>
    <cellStyle name="표준 13 3 3 2 2 5 2" xfId="7216" xr:uid="{00000000-0005-0000-0000-0000FF1B0000}"/>
    <cellStyle name="표준 13 3 3 2 2 6" xfId="7217" xr:uid="{00000000-0005-0000-0000-0000001C0000}"/>
    <cellStyle name="표준 13 3 3 2 3" xfId="7218" xr:uid="{00000000-0005-0000-0000-0000011C0000}"/>
    <cellStyle name="표준 13 3 3 2 3 2" xfId="7219" xr:uid="{00000000-0005-0000-0000-0000021C0000}"/>
    <cellStyle name="표준 13 3 3 2 3 2 2" xfId="7220" xr:uid="{00000000-0005-0000-0000-0000031C0000}"/>
    <cellStyle name="표준 13 3 3 2 3 2 2 2" xfId="7221" xr:uid="{00000000-0005-0000-0000-0000041C0000}"/>
    <cellStyle name="표준 13 3 3 2 3 2 2 2 2" xfId="7222" xr:uid="{00000000-0005-0000-0000-0000051C0000}"/>
    <cellStyle name="표준 13 3 3 2 3 2 2 3" xfId="7223" xr:uid="{00000000-0005-0000-0000-0000061C0000}"/>
    <cellStyle name="표준 13 3 3 2 3 2 3" xfId="7224" xr:uid="{00000000-0005-0000-0000-0000071C0000}"/>
    <cellStyle name="표준 13 3 3 2 3 2 3 2" xfId="7225" xr:uid="{00000000-0005-0000-0000-0000081C0000}"/>
    <cellStyle name="표준 13 3 3 2 3 2 4" xfId="7226" xr:uid="{00000000-0005-0000-0000-0000091C0000}"/>
    <cellStyle name="표준 13 3 3 2 3 3" xfId="7227" xr:uid="{00000000-0005-0000-0000-00000A1C0000}"/>
    <cellStyle name="표준 13 3 3 2 3 3 2" xfId="7228" xr:uid="{00000000-0005-0000-0000-00000B1C0000}"/>
    <cellStyle name="표준 13 3 3 2 3 3 2 2" xfId="7229" xr:uid="{00000000-0005-0000-0000-00000C1C0000}"/>
    <cellStyle name="표준 13 3 3 2 3 3 3" xfId="7230" xr:uid="{00000000-0005-0000-0000-00000D1C0000}"/>
    <cellStyle name="표준 13 3 3 2 3 4" xfId="7231" xr:uid="{00000000-0005-0000-0000-00000E1C0000}"/>
    <cellStyle name="표준 13 3 3 2 3 4 2" xfId="7232" xr:uid="{00000000-0005-0000-0000-00000F1C0000}"/>
    <cellStyle name="표준 13 3 3 2 3 5" xfId="7233" xr:uid="{00000000-0005-0000-0000-0000101C0000}"/>
    <cellStyle name="표준 13 3 3 2 4" xfId="7234" xr:uid="{00000000-0005-0000-0000-0000111C0000}"/>
    <cellStyle name="표준 13 3 3 2 4 2" xfId="7235" xr:uid="{00000000-0005-0000-0000-0000121C0000}"/>
    <cellStyle name="표준 13 3 3 2 4 2 2" xfId="7236" xr:uid="{00000000-0005-0000-0000-0000131C0000}"/>
    <cellStyle name="표준 13 3 3 2 4 2 2 2" xfId="7237" xr:uid="{00000000-0005-0000-0000-0000141C0000}"/>
    <cellStyle name="표준 13 3 3 2 4 2 3" xfId="7238" xr:uid="{00000000-0005-0000-0000-0000151C0000}"/>
    <cellStyle name="표준 13 3 3 2 4 3" xfId="7239" xr:uid="{00000000-0005-0000-0000-0000161C0000}"/>
    <cellStyle name="표준 13 3 3 2 4 3 2" xfId="7240" xr:uid="{00000000-0005-0000-0000-0000171C0000}"/>
    <cellStyle name="표준 13 3 3 2 4 4" xfId="7241" xr:uid="{00000000-0005-0000-0000-0000181C0000}"/>
    <cellStyle name="표준 13 3 3 2 5" xfId="7242" xr:uid="{00000000-0005-0000-0000-0000191C0000}"/>
    <cellStyle name="표준 13 3 3 2 5 2" xfId="7243" xr:uid="{00000000-0005-0000-0000-00001A1C0000}"/>
    <cellStyle name="표준 13 3 3 2 5 2 2" xfId="7244" xr:uid="{00000000-0005-0000-0000-00001B1C0000}"/>
    <cellStyle name="표준 13 3 3 2 5 3" xfId="7245" xr:uid="{00000000-0005-0000-0000-00001C1C0000}"/>
    <cellStyle name="표준 13 3 3 2 6" xfId="7246" xr:uid="{00000000-0005-0000-0000-00001D1C0000}"/>
    <cellStyle name="표준 13 3 3 2 6 2" xfId="7247" xr:uid="{00000000-0005-0000-0000-00001E1C0000}"/>
    <cellStyle name="표준 13 3 3 2 7" xfId="7248" xr:uid="{00000000-0005-0000-0000-00001F1C0000}"/>
    <cellStyle name="표준 13 3 3 2 8" xfId="7249" xr:uid="{00000000-0005-0000-0000-0000201C0000}"/>
    <cellStyle name="표준 13 3 3 3" xfId="7250" xr:uid="{00000000-0005-0000-0000-0000211C0000}"/>
    <cellStyle name="표준 13 3 3 3 2" xfId="7251" xr:uid="{00000000-0005-0000-0000-0000221C0000}"/>
    <cellStyle name="표준 13 3 3 3 2 2" xfId="7252" xr:uid="{00000000-0005-0000-0000-0000231C0000}"/>
    <cellStyle name="표준 13 3 3 3 2 2 2" xfId="7253" xr:uid="{00000000-0005-0000-0000-0000241C0000}"/>
    <cellStyle name="표준 13 3 3 3 2 2 2 2" xfId="7254" xr:uid="{00000000-0005-0000-0000-0000251C0000}"/>
    <cellStyle name="표준 13 3 3 3 2 2 2 2 2" xfId="7255" xr:uid="{00000000-0005-0000-0000-0000261C0000}"/>
    <cellStyle name="표준 13 3 3 3 2 2 2 3" xfId="7256" xr:uid="{00000000-0005-0000-0000-0000271C0000}"/>
    <cellStyle name="표준 13 3 3 3 2 2 3" xfId="7257" xr:uid="{00000000-0005-0000-0000-0000281C0000}"/>
    <cellStyle name="표준 13 3 3 3 2 2 3 2" xfId="7258" xr:uid="{00000000-0005-0000-0000-0000291C0000}"/>
    <cellStyle name="표준 13 3 3 3 2 2 4" xfId="7259" xr:uid="{00000000-0005-0000-0000-00002A1C0000}"/>
    <cellStyle name="표준 13 3 3 3 2 3" xfId="7260" xr:uid="{00000000-0005-0000-0000-00002B1C0000}"/>
    <cellStyle name="표준 13 3 3 3 2 3 2" xfId="7261" xr:uid="{00000000-0005-0000-0000-00002C1C0000}"/>
    <cellStyle name="표준 13 3 3 3 2 3 2 2" xfId="7262" xr:uid="{00000000-0005-0000-0000-00002D1C0000}"/>
    <cellStyle name="표준 13 3 3 3 2 3 3" xfId="7263" xr:uid="{00000000-0005-0000-0000-00002E1C0000}"/>
    <cellStyle name="표준 13 3 3 3 2 4" xfId="7264" xr:uid="{00000000-0005-0000-0000-00002F1C0000}"/>
    <cellStyle name="표준 13 3 3 3 2 4 2" xfId="7265" xr:uid="{00000000-0005-0000-0000-0000301C0000}"/>
    <cellStyle name="표준 13 3 3 3 2 5" xfId="7266" xr:uid="{00000000-0005-0000-0000-0000311C0000}"/>
    <cellStyle name="표준 13 3 3 3 3" xfId="7267" xr:uid="{00000000-0005-0000-0000-0000321C0000}"/>
    <cellStyle name="표준 13 3 3 3 3 2" xfId="7268" xr:uid="{00000000-0005-0000-0000-0000331C0000}"/>
    <cellStyle name="표준 13 3 3 3 3 2 2" xfId="7269" xr:uid="{00000000-0005-0000-0000-0000341C0000}"/>
    <cellStyle name="표준 13 3 3 3 3 2 2 2" xfId="7270" xr:uid="{00000000-0005-0000-0000-0000351C0000}"/>
    <cellStyle name="표준 13 3 3 3 3 2 3" xfId="7271" xr:uid="{00000000-0005-0000-0000-0000361C0000}"/>
    <cellStyle name="표준 13 3 3 3 3 3" xfId="7272" xr:uid="{00000000-0005-0000-0000-0000371C0000}"/>
    <cellStyle name="표준 13 3 3 3 3 3 2" xfId="7273" xr:uid="{00000000-0005-0000-0000-0000381C0000}"/>
    <cellStyle name="표준 13 3 3 3 3 4" xfId="7274" xr:uid="{00000000-0005-0000-0000-0000391C0000}"/>
    <cellStyle name="표준 13 3 3 3 4" xfId="7275" xr:uid="{00000000-0005-0000-0000-00003A1C0000}"/>
    <cellStyle name="표준 13 3 3 3 4 2" xfId="7276" xr:uid="{00000000-0005-0000-0000-00003B1C0000}"/>
    <cellStyle name="표준 13 3 3 3 4 2 2" xfId="7277" xr:uid="{00000000-0005-0000-0000-00003C1C0000}"/>
    <cellStyle name="표준 13 3 3 3 4 3" xfId="7278" xr:uid="{00000000-0005-0000-0000-00003D1C0000}"/>
    <cellStyle name="표준 13 3 3 3 5" xfId="7279" xr:uid="{00000000-0005-0000-0000-00003E1C0000}"/>
    <cellStyle name="표준 13 3 3 3 5 2" xfId="7280" xr:uid="{00000000-0005-0000-0000-00003F1C0000}"/>
    <cellStyle name="표준 13 3 3 3 6" xfId="7281" xr:uid="{00000000-0005-0000-0000-0000401C0000}"/>
    <cellStyle name="표준 13 3 3 4" xfId="7282" xr:uid="{00000000-0005-0000-0000-0000411C0000}"/>
    <cellStyle name="표준 13 3 3 4 2" xfId="7283" xr:uid="{00000000-0005-0000-0000-0000421C0000}"/>
    <cellStyle name="표준 13 3 3 4 2 2" xfId="7284" xr:uid="{00000000-0005-0000-0000-0000431C0000}"/>
    <cellStyle name="표준 13 3 3 4 2 2 2" xfId="7285" xr:uid="{00000000-0005-0000-0000-0000441C0000}"/>
    <cellStyle name="표준 13 3 3 4 2 2 2 2" xfId="7286" xr:uid="{00000000-0005-0000-0000-0000451C0000}"/>
    <cellStyle name="표준 13 3 3 4 2 2 3" xfId="7287" xr:uid="{00000000-0005-0000-0000-0000461C0000}"/>
    <cellStyle name="표준 13 3 3 4 2 3" xfId="7288" xr:uid="{00000000-0005-0000-0000-0000471C0000}"/>
    <cellStyle name="표준 13 3 3 4 2 3 2" xfId="7289" xr:uid="{00000000-0005-0000-0000-0000481C0000}"/>
    <cellStyle name="표준 13 3 3 4 2 4" xfId="7290" xr:uid="{00000000-0005-0000-0000-0000491C0000}"/>
    <cellStyle name="표준 13 3 3 4 3" xfId="7291" xr:uid="{00000000-0005-0000-0000-00004A1C0000}"/>
    <cellStyle name="표준 13 3 3 4 3 2" xfId="7292" xr:uid="{00000000-0005-0000-0000-00004B1C0000}"/>
    <cellStyle name="표준 13 3 3 4 3 2 2" xfId="7293" xr:uid="{00000000-0005-0000-0000-00004C1C0000}"/>
    <cellStyle name="표준 13 3 3 4 3 3" xfId="7294" xr:uid="{00000000-0005-0000-0000-00004D1C0000}"/>
    <cellStyle name="표준 13 3 3 4 4" xfId="7295" xr:uid="{00000000-0005-0000-0000-00004E1C0000}"/>
    <cellStyle name="표준 13 3 3 4 4 2" xfId="7296" xr:uid="{00000000-0005-0000-0000-00004F1C0000}"/>
    <cellStyle name="표준 13 3 3 4 5" xfId="7297" xr:uid="{00000000-0005-0000-0000-0000501C0000}"/>
    <cellStyle name="표준 13 3 3 5" xfId="7298" xr:uid="{00000000-0005-0000-0000-0000511C0000}"/>
    <cellStyle name="표준 13 3 3 5 2" xfId="7299" xr:uid="{00000000-0005-0000-0000-0000521C0000}"/>
    <cellStyle name="표준 13 3 3 5 2 2" xfId="7300" xr:uid="{00000000-0005-0000-0000-0000531C0000}"/>
    <cellStyle name="표준 13 3 3 5 2 2 2" xfId="7301" xr:uid="{00000000-0005-0000-0000-0000541C0000}"/>
    <cellStyle name="표준 13 3 3 5 2 3" xfId="7302" xr:uid="{00000000-0005-0000-0000-0000551C0000}"/>
    <cellStyle name="표준 13 3 3 5 3" xfId="7303" xr:uid="{00000000-0005-0000-0000-0000561C0000}"/>
    <cellStyle name="표준 13 3 3 5 3 2" xfId="7304" xr:uid="{00000000-0005-0000-0000-0000571C0000}"/>
    <cellStyle name="표준 13 3 3 5 4" xfId="7305" xr:uid="{00000000-0005-0000-0000-0000581C0000}"/>
    <cellStyle name="표준 13 3 3 6" xfId="7306" xr:uid="{00000000-0005-0000-0000-0000591C0000}"/>
    <cellStyle name="표준 13 3 3 6 2" xfId="7307" xr:uid="{00000000-0005-0000-0000-00005A1C0000}"/>
    <cellStyle name="표준 13 3 3 6 2 2" xfId="7308" xr:uid="{00000000-0005-0000-0000-00005B1C0000}"/>
    <cellStyle name="표준 13 3 3 6 3" xfId="7309" xr:uid="{00000000-0005-0000-0000-00005C1C0000}"/>
    <cellStyle name="표준 13 3 3 7" xfId="7310" xr:uid="{00000000-0005-0000-0000-00005D1C0000}"/>
    <cellStyle name="표준 13 3 3 7 2" xfId="7311" xr:uid="{00000000-0005-0000-0000-00005E1C0000}"/>
    <cellStyle name="표준 13 3 3 8" xfId="7312" xr:uid="{00000000-0005-0000-0000-00005F1C0000}"/>
    <cellStyle name="표준 13 3 3 9" xfId="7313" xr:uid="{00000000-0005-0000-0000-0000601C0000}"/>
    <cellStyle name="표준 13 3 4" xfId="7314" xr:uid="{00000000-0005-0000-0000-0000611C0000}"/>
    <cellStyle name="표준 13 3 5" xfId="7315" xr:uid="{00000000-0005-0000-0000-0000621C0000}"/>
    <cellStyle name="표준 13 3 5 2" xfId="7316" xr:uid="{00000000-0005-0000-0000-0000631C0000}"/>
    <cellStyle name="표준 13 3 5 2 2" xfId="7317" xr:uid="{00000000-0005-0000-0000-0000641C0000}"/>
    <cellStyle name="표준 13 3 5 2 2 2" xfId="7318" xr:uid="{00000000-0005-0000-0000-0000651C0000}"/>
    <cellStyle name="표준 13 3 5 2 2 2 2" xfId="7319" xr:uid="{00000000-0005-0000-0000-0000661C0000}"/>
    <cellStyle name="표준 13 3 5 2 2 2 2 2" xfId="7320" xr:uid="{00000000-0005-0000-0000-0000671C0000}"/>
    <cellStyle name="표준 13 3 5 2 2 2 2 2 2" xfId="7321" xr:uid="{00000000-0005-0000-0000-0000681C0000}"/>
    <cellStyle name="표준 13 3 5 2 2 2 2 3" xfId="7322" xr:uid="{00000000-0005-0000-0000-0000691C0000}"/>
    <cellStyle name="표준 13 3 5 2 2 2 3" xfId="7323" xr:uid="{00000000-0005-0000-0000-00006A1C0000}"/>
    <cellStyle name="표준 13 3 5 2 2 2 3 2" xfId="7324" xr:uid="{00000000-0005-0000-0000-00006B1C0000}"/>
    <cellStyle name="표준 13 3 5 2 2 2 4" xfId="7325" xr:uid="{00000000-0005-0000-0000-00006C1C0000}"/>
    <cellStyle name="표준 13 3 5 2 2 3" xfId="7326" xr:uid="{00000000-0005-0000-0000-00006D1C0000}"/>
    <cellStyle name="표준 13 3 5 2 2 3 2" xfId="7327" xr:uid="{00000000-0005-0000-0000-00006E1C0000}"/>
    <cellStyle name="표준 13 3 5 2 2 3 2 2" xfId="7328" xr:uid="{00000000-0005-0000-0000-00006F1C0000}"/>
    <cellStyle name="표준 13 3 5 2 2 3 3" xfId="7329" xr:uid="{00000000-0005-0000-0000-0000701C0000}"/>
    <cellStyle name="표준 13 3 5 2 2 4" xfId="7330" xr:uid="{00000000-0005-0000-0000-0000711C0000}"/>
    <cellStyle name="표준 13 3 5 2 2 4 2" xfId="7331" xr:uid="{00000000-0005-0000-0000-0000721C0000}"/>
    <cellStyle name="표준 13 3 5 2 2 5" xfId="7332" xr:uid="{00000000-0005-0000-0000-0000731C0000}"/>
    <cellStyle name="표준 13 3 5 2 3" xfId="7333" xr:uid="{00000000-0005-0000-0000-0000741C0000}"/>
    <cellStyle name="표준 13 3 5 2 3 2" xfId="7334" xr:uid="{00000000-0005-0000-0000-0000751C0000}"/>
    <cellStyle name="표준 13 3 5 2 3 2 2" xfId="7335" xr:uid="{00000000-0005-0000-0000-0000761C0000}"/>
    <cellStyle name="표준 13 3 5 2 3 2 2 2" xfId="7336" xr:uid="{00000000-0005-0000-0000-0000771C0000}"/>
    <cellStyle name="표준 13 3 5 2 3 2 3" xfId="7337" xr:uid="{00000000-0005-0000-0000-0000781C0000}"/>
    <cellStyle name="표준 13 3 5 2 3 3" xfId="7338" xr:uid="{00000000-0005-0000-0000-0000791C0000}"/>
    <cellStyle name="표준 13 3 5 2 3 3 2" xfId="7339" xr:uid="{00000000-0005-0000-0000-00007A1C0000}"/>
    <cellStyle name="표준 13 3 5 2 3 4" xfId="7340" xr:uid="{00000000-0005-0000-0000-00007B1C0000}"/>
    <cellStyle name="표준 13 3 5 2 4" xfId="7341" xr:uid="{00000000-0005-0000-0000-00007C1C0000}"/>
    <cellStyle name="표준 13 3 5 2 4 2" xfId="7342" xr:uid="{00000000-0005-0000-0000-00007D1C0000}"/>
    <cellStyle name="표준 13 3 5 2 4 2 2" xfId="7343" xr:uid="{00000000-0005-0000-0000-00007E1C0000}"/>
    <cellStyle name="표준 13 3 5 2 4 3" xfId="7344" xr:uid="{00000000-0005-0000-0000-00007F1C0000}"/>
    <cellStyle name="표준 13 3 5 2 5" xfId="7345" xr:uid="{00000000-0005-0000-0000-0000801C0000}"/>
    <cellStyle name="표준 13 3 5 2 5 2" xfId="7346" xr:uid="{00000000-0005-0000-0000-0000811C0000}"/>
    <cellStyle name="표준 13 3 5 2 6" xfId="7347" xr:uid="{00000000-0005-0000-0000-0000821C0000}"/>
    <cellStyle name="표준 13 3 5 3" xfId="7348" xr:uid="{00000000-0005-0000-0000-0000831C0000}"/>
    <cellStyle name="표준 13 3 5 3 2" xfId="7349" xr:uid="{00000000-0005-0000-0000-0000841C0000}"/>
    <cellStyle name="표준 13 3 5 3 2 2" xfId="7350" xr:uid="{00000000-0005-0000-0000-0000851C0000}"/>
    <cellStyle name="표준 13 3 5 3 2 2 2" xfId="7351" xr:uid="{00000000-0005-0000-0000-0000861C0000}"/>
    <cellStyle name="표준 13 3 5 3 2 2 2 2" xfId="7352" xr:uid="{00000000-0005-0000-0000-0000871C0000}"/>
    <cellStyle name="표준 13 3 5 3 2 2 3" xfId="7353" xr:uid="{00000000-0005-0000-0000-0000881C0000}"/>
    <cellStyle name="표준 13 3 5 3 2 3" xfId="7354" xr:uid="{00000000-0005-0000-0000-0000891C0000}"/>
    <cellStyle name="표준 13 3 5 3 2 3 2" xfId="7355" xr:uid="{00000000-0005-0000-0000-00008A1C0000}"/>
    <cellStyle name="표준 13 3 5 3 2 4" xfId="7356" xr:uid="{00000000-0005-0000-0000-00008B1C0000}"/>
    <cellStyle name="표준 13 3 5 3 3" xfId="7357" xr:uid="{00000000-0005-0000-0000-00008C1C0000}"/>
    <cellStyle name="표준 13 3 5 3 3 2" xfId="7358" xr:uid="{00000000-0005-0000-0000-00008D1C0000}"/>
    <cellStyle name="표준 13 3 5 3 3 2 2" xfId="7359" xr:uid="{00000000-0005-0000-0000-00008E1C0000}"/>
    <cellStyle name="표준 13 3 5 3 3 3" xfId="7360" xr:uid="{00000000-0005-0000-0000-00008F1C0000}"/>
    <cellStyle name="표준 13 3 5 3 4" xfId="7361" xr:uid="{00000000-0005-0000-0000-0000901C0000}"/>
    <cellStyle name="표준 13 3 5 3 4 2" xfId="7362" xr:uid="{00000000-0005-0000-0000-0000911C0000}"/>
    <cellStyle name="표준 13 3 5 3 5" xfId="7363" xr:uid="{00000000-0005-0000-0000-0000921C0000}"/>
    <cellStyle name="표준 13 3 5 4" xfId="7364" xr:uid="{00000000-0005-0000-0000-0000931C0000}"/>
    <cellStyle name="표준 13 3 5 4 2" xfId="7365" xr:uid="{00000000-0005-0000-0000-0000941C0000}"/>
    <cellStyle name="표준 13 3 5 4 2 2" xfId="7366" xr:uid="{00000000-0005-0000-0000-0000951C0000}"/>
    <cellStyle name="표준 13 3 5 4 2 2 2" xfId="7367" xr:uid="{00000000-0005-0000-0000-0000961C0000}"/>
    <cellStyle name="표준 13 3 5 4 2 3" xfId="7368" xr:uid="{00000000-0005-0000-0000-0000971C0000}"/>
    <cellStyle name="표준 13 3 5 4 3" xfId="7369" xr:uid="{00000000-0005-0000-0000-0000981C0000}"/>
    <cellStyle name="표준 13 3 5 4 3 2" xfId="7370" xr:uid="{00000000-0005-0000-0000-0000991C0000}"/>
    <cellStyle name="표준 13 3 5 4 4" xfId="7371" xr:uid="{00000000-0005-0000-0000-00009A1C0000}"/>
    <cellStyle name="표준 13 3 5 5" xfId="7372" xr:uid="{00000000-0005-0000-0000-00009B1C0000}"/>
    <cellStyle name="표준 13 3 5 5 2" xfId="7373" xr:uid="{00000000-0005-0000-0000-00009C1C0000}"/>
    <cellStyle name="표준 13 3 5 5 2 2" xfId="7374" xr:uid="{00000000-0005-0000-0000-00009D1C0000}"/>
    <cellStyle name="표준 13 3 5 5 3" xfId="7375" xr:uid="{00000000-0005-0000-0000-00009E1C0000}"/>
    <cellStyle name="표준 13 3 5 6" xfId="7376" xr:uid="{00000000-0005-0000-0000-00009F1C0000}"/>
    <cellStyle name="표준 13 3 5 6 2" xfId="7377" xr:uid="{00000000-0005-0000-0000-0000A01C0000}"/>
    <cellStyle name="표준 13 3 5 7" xfId="7378" xr:uid="{00000000-0005-0000-0000-0000A11C0000}"/>
    <cellStyle name="표준 13 3 5 8" xfId="7379" xr:uid="{00000000-0005-0000-0000-0000A21C0000}"/>
    <cellStyle name="표준 13 3 6" xfId="7380" xr:uid="{00000000-0005-0000-0000-0000A31C0000}"/>
    <cellStyle name="표준 13 3 6 2" xfId="7381" xr:uid="{00000000-0005-0000-0000-0000A41C0000}"/>
    <cellStyle name="표준 13 3 6 2 2" xfId="7382" xr:uid="{00000000-0005-0000-0000-0000A51C0000}"/>
    <cellStyle name="표준 13 3 6 2 2 2" xfId="7383" xr:uid="{00000000-0005-0000-0000-0000A61C0000}"/>
    <cellStyle name="표준 13 3 6 2 2 2 2" xfId="7384" xr:uid="{00000000-0005-0000-0000-0000A71C0000}"/>
    <cellStyle name="표준 13 3 6 2 2 2 2 2" xfId="7385" xr:uid="{00000000-0005-0000-0000-0000A81C0000}"/>
    <cellStyle name="표준 13 3 6 2 2 2 3" xfId="7386" xr:uid="{00000000-0005-0000-0000-0000A91C0000}"/>
    <cellStyle name="표준 13 3 6 2 2 3" xfId="7387" xr:uid="{00000000-0005-0000-0000-0000AA1C0000}"/>
    <cellStyle name="표준 13 3 6 2 2 3 2" xfId="7388" xr:uid="{00000000-0005-0000-0000-0000AB1C0000}"/>
    <cellStyle name="표준 13 3 6 2 2 4" xfId="7389" xr:uid="{00000000-0005-0000-0000-0000AC1C0000}"/>
    <cellStyle name="표준 13 3 6 2 3" xfId="7390" xr:uid="{00000000-0005-0000-0000-0000AD1C0000}"/>
    <cellStyle name="표준 13 3 6 2 3 2" xfId="7391" xr:uid="{00000000-0005-0000-0000-0000AE1C0000}"/>
    <cellStyle name="표준 13 3 6 2 3 2 2" xfId="7392" xr:uid="{00000000-0005-0000-0000-0000AF1C0000}"/>
    <cellStyle name="표준 13 3 6 2 3 3" xfId="7393" xr:uid="{00000000-0005-0000-0000-0000B01C0000}"/>
    <cellStyle name="표준 13 3 6 2 4" xfId="7394" xr:uid="{00000000-0005-0000-0000-0000B11C0000}"/>
    <cellStyle name="표준 13 3 6 2 4 2" xfId="7395" xr:uid="{00000000-0005-0000-0000-0000B21C0000}"/>
    <cellStyle name="표준 13 3 6 2 5" xfId="7396" xr:uid="{00000000-0005-0000-0000-0000B31C0000}"/>
    <cellStyle name="표준 13 3 6 3" xfId="7397" xr:uid="{00000000-0005-0000-0000-0000B41C0000}"/>
    <cellStyle name="표준 13 3 6 3 2" xfId="7398" xr:uid="{00000000-0005-0000-0000-0000B51C0000}"/>
    <cellStyle name="표준 13 3 6 3 2 2" xfId="7399" xr:uid="{00000000-0005-0000-0000-0000B61C0000}"/>
    <cellStyle name="표준 13 3 6 3 2 2 2" xfId="7400" xr:uid="{00000000-0005-0000-0000-0000B71C0000}"/>
    <cellStyle name="표준 13 3 6 3 2 3" xfId="7401" xr:uid="{00000000-0005-0000-0000-0000B81C0000}"/>
    <cellStyle name="표준 13 3 6 3 3" xfId="7402" xr:uid="{00000000-0005-0000-0000-0000B91C0000}"/>
    <cellStyle name="표준 13 3 6 3 3 2" xfId="7403" xr:uid="{00000000-0005-0000-0000-0000BA1C0000}"/>
    <cellStyle name="표준 13 3 6 3 4" xfId="7404" xr:uid="{00000000-0005-0000-0000-0000BB1C0000}"/>
    <cellStyle name="표준 13 3 6 4" xfId="7405" xr:uid="{00000000-0005-0000-0000-0000BC1C0000}"/>
    <cellStyle name="표준 13 3 6 4 2" xfId="7406" xr:uid="{00000000-0005-0000-0000-0000BD1C0000}"/>
    <cellStyle name="표준 13 3 6 4 2 2" xfId="7407" xr:uid="{00000000-0005-0000-0000-0000BE1C0000}"/>
    <cellStyle name="표준 13 3 6 4 3" xfId="7408" xr:uid="{00000000-0005-0000-0000-0000BF1C0000}"/>
    <cellStyle name="표준 13 3 6 5" xfId="7409" xr:uid="{00000000-0005-0000-0000-0000C01C0000}"/>
    <cellStyle name="표준 13 3 6 5 2" xfId="7410" xr:uid="{00000000-0005-0000-0000-0000C11C0000}"/>
    <cellStyle name="표준 13 3 6 6" xfId="7411" xr:uid="{00000000-0005-0000-0000-0000C21C0000}"/>
    <cellStyle name="표준 13 3 6 7" xfId="7412" xr:uid="{00000000-0005-0000-0000-0000C31C0000}"/>
    <cellStyle name="표준 13 3 7" xfId="7413" xr:uid="{00000000-0005-0000-0000-0000C41C0000}"/>
    <cellStyle name="표준 13 3 7 2" xfId="7414" xr:uid="{00000000-0005-0000-0000-0000C51C0000}"/>
    <cellStyle name="표준 13 3 7 2 2" xfId="7415" xr:uid="{00000000-0005-0000-0000-0000C61C0000}"/>
    <cellStyle name="표준 13 3 7 2 2 2" xfId="7416" xr:uid="{00000000-0005-0000-0000-0000C71C0000}"/>
    <cellStyle name="표준 13 3 7 2 2 2 2" xfId="7417" xr:uid="{00000000-0005-0000-0000-0000C81C0000}"/>
    <cellStyle name="표준 13 3 7 2 2 2 2 2" xfId="7418" xr:uid="{00000000-0005-0000-0000-0000C91C0000}"/>
    <cellStyle name="표준 13 3 7 2 2 2 3" xfId="7419" xr:uid="{00000000-0005-0000-0000-0000CA1C0000}"/>
    <cellStyle name="표준 13 3 7 2 2 3" xfId="7420" xr:uid="{00000000-0005-0000-0000-0000CB1C0000}"/>
    <cellStyle name="표준 13 3 7 2 2 3 2" xfId="7421" xr:uid="{00000000-0005-0000-0000-0000CC1C0000}"/>
    <cellStyle name="표준 13 3 7 2 2 4" xfId="7422" xr:uid="{00000000-0005-0000-0000-0000CD1C0000}"/>
    <cellStyle name="표준 13 3 7 2 3" xfId="7423" xr:uid="{00000000-0005-0000-0000-0000CE1C0000}"/>
    <cellStyle name="표준 13 3 7 2 3 2" xfId="7424" xr:uid="{00000000-0005-0000-0000-0000CF1C0000}"/>
    <cellStyle name="표준 13 3 7 2 3 2 2" xfId="7425" xr:uid="{00000000-0005-0000-0000-0000D01C0000}"/>
    <cellStyle name="표준 13 3 7 2 3 3" xfId="7426" xr:uid="{00000000-0005-0000-0000-0000D11C0000}"/>
    <cellStyle name="표준 13 3 7 2 4" xfId="7427" xr:uid="{00000000-0005-0000-0000-0000D21C0000}"/>
    <cellStyle name="표준 13 3 7 2 4 2" xfId="7428" xr:uid="{00000000-0005-0000-0000-0000D31C0000}"/>
    <cellStyle name="표준 13 3 7 2 5" xfId="7429" xr:uid="{00000000-0005-0000-0000-0000D41C0000}"/>
    <cellStyle name="표준 13 3 7 3" xfId="7430" xr:uid="{00000000-0005-0000-0000-0000D51C0000}"/>
    <cellStyle name="표준 13 3 7 3 2" xfId="7431" xr:uid="{00000000-0005-0000-0000-0000D61C0000}"/>
    <cellStyle name="표준 13 3 7 3 2 2" xfId="7432" xr:uid="{00000000-0005-0000-0000-0000D71C0000}"/>
    <cellStyle name="표준 13 3 7 3 2 2 2" xfId="7433" xr:uid="{00000000-0005-0000-0000-0000D81C0000}"/>
    <cellStyle name="표준 13 3 7 3 2 3" xfId="7434" xr:uid="{00000000-0005-0000-0000-0000D91C0000}"/>
    <cellStyle name="표준 13 3 7 3 3" xfId="7435" xr:uid="{00000000-0005-0000-0000-0000DA1C0000}"/>
    <cellStyle name="표준 13 3 7 3 3 2" xfId="7436" xr:uid="{00000000-0005-0000-0000-0000DB1C0000}"/>
    <cellStyle name="표준 13 3 7 3 4" xfId="7437" xr:uid="{00000000-0005-0000-0000-0000DC1C0000}"/>
    <cellStyle name="표준 13 3 7 4" xfId="7438" xr:uid="{00000000-0005-0000-0000-0000DD1C0000}"/>
    <cellStyle name="표준 13 3 7 4 2" xfId="7439" xr:uid="{00000000-0005-0000-0000-0000DE1C0000}"/>
    <cellStyle name="표준 13 3 7 4 2 2" xfId="7440" xr:uid="{00000000-0005-0000-0000-0000DF1C0000}"/>
    <cellStyle name="표준 13 3 7 4 3" xfId="7441" xr:uid="{00000000-0005-0000-0000-0000E01C0000}"/>
    <cellStyle name="표준 13 3 7 5" xfId="7442" xr:uid="{00000000-0005-0000-0000-0000E11C0000}"/>
    <cellStyle name="표준 13 3 7 5 2" xfId="7443" xr:uid="{00000000-0005-0000-0000-0000E21C0000}"/>
    <cellStyle name="표준 13 3 7 6" xfId="7444" xr:uid="{00000000-0005-0000-0000-0000E31C0000}"/>
    <cellStyle name="표준 13 3 8" xfId="7445" xr:uid="{00000000-0005-0000-0000-0000E41C0000}"/>
    <cellStyle name="표준 13 3 8 2" xfId="7446" xr:uid="{00000000-0005-0000-0000-0000E51C0000}"/>
    <cellStyle name="표준 13 3 8 2 2" xfId="7447" xr:uid="{00000000-0005-0000-0000-0000E61C0000}"/>
    <cellStyle name="표준 13 3 8 2 2 2" xfId="7448" xr:uid="{00000000-0005-0000-0000-0000E71C0000}"/>
    <cellStyle name="표준 13 3 8 2 2 2 2" xfId="7449" xr:uid="{00000000-0005-0000-0000-0000E81C0000}"/>
    <cellStyle name="표준 13 3 8 2 2 3" xfId="7450" xr:uid="{00000000-0005-0000-0000-0000E91C0000}"/>
    <cellStyle name="표준 13 3 8 2 3" xfId="7451" xr:uid="{00000000-0005-0000-0000-0000EA1C0000}"/>
    <cellStyle name="표준 13 3 8 2 3 2" xfId="7452" xr:uid="{00000000-0005-0000-0000-0000EB1C0000}"/>
    <cellStyle name="표준 13 3 8 2 4" xfId="7453" xr:uid="{00000000-0005-0000-0000-0000EC1C0000}"/>
    <cellStyle name="표준 13 3 8 3" xfId="7454" xr:uid="{00000000-0005-0000-0000-0000ED1C0000}"/>
    <cellStyle name="표준 13 3 8 3 2" xfId="7455" xr:uid="{00000000-0005-0000-0000-0000EE1C0000}"/>
    <cellStyle name="표준 13 3 8 3 2 2" xfId="7456" xr:uid="{00000000-0005-0000-0000-0000EF1C0000}"/>
    <cellStyle name="표준 13 3 8 3 3" xfId="7457" xr:uid="{00000000-0005-0000-0000-0000F01C0000}"/>
    <cellStyle name="표준 13 3 8 4" xfId="7458" xr:uid="{00000000-0005-0000-0000-0000F11C0000}"/>
    <cellStyle name="표준 13 3 8 4 2" xfId="7459" xr:uid="{00000000-0005-0000-0000-0000F21C0000}"/>
    <cellStyle name="표준 13 3 8 5" xfId="7460" xr:uid="{00000000-0005-0000-0000-0000F31C0000}"/>
    <cellStyle name="표준 13 3 9" xfId="7461" xr:uid="{00000000-0005-0000-0000-0000F41C0000}"/>
    <cellStyle name="표준 13 3 9 2" xfId="7462" xr:uid="{00000000-0005-0000-0000-0000F51C0000}"/>
    <cellStyle name="표준 13 3 9 2 2" xfId="7463" xr:uid="{00000000-0005-0000-0000-0000F61C0000}"/>
    <cellStyle name="표준 13 3 9 2 2 2" xfId="7464" xr:uid="{00000000-0005-0000-0000-0000F71C0000}"/>
    <cellStyle name="표준 13 3 9 2 3" xfId="7465" xr:uid="{00000000-0005-0000-0000-0000F81C0000}"/>
    <cellStyle name="표준 13 3 9 3" xfId="7466" xr:uid="{00000000-0005-0000-0000-0000F91C0000}"/>
    <cellStyle name="표준 13 3 9 3 2" xfId="7467" xr:uid="{00000000-0005-0000-0000-0000FA1C0000}"/>
    <cellStyle name="표준 13 3 9 4" xfId="7468" xr:uid="{00000000-0005-0000-0000-0000FB1C0000}"/>
    <cellStyle name="표준 13 4" xfId="7469" xr:uid="{00000000-0005-0000-0000-0000FC1C0000}"/>
    <cellStyle name="표준 13 4 2" xfId="7470" xr:uid="{00000000-0005-0000-0000-0000FD1C0000}"/>
    <cellStyle name="표준 13 4 2 2" xfId="7471" xr:uid="{00000000-0005-0000-0000-0000FE1C0000}"/>
    <cellStyle name="표준 13 4 2 2 2" xfId="7472" xr:uid="{00000000-0005-0000-0000-0000FF1C0000}"/>
    <cellStyle name="표준 13 4 2 2 2 2" xfId="7473" xr:uid="{00000000-0005-0000-0000-0000001D0000}"/>
    <cellStyle name="표준 13 4 2 2 2 2 2" xfId="7474" xr:uid="{00000000-0005-0000-0000-0000011D0000}"/>
    <cellStyle name="표준 13 4 2 2 2 2 2 2" xfId="7475" xr:uid="{00000000-0005-0000-0000-0000021D0000}"/>
    <cellStyle name="표준 13 4 2 2 2 2 3" xfId="7476" xr:uid="{00000000-0005-0000-0000-0000031D0000}"/>
    <cellStyle name="표준 13 4 2 2 2 3" xfId="7477" xr:uid="{00000000-0005-0000-0000-0000041D0000}"/>
    <cellStyle name="표준 13 4 2 2 2 3 2" xfId="7478" xr:uid="{00000000-0005-0000-0000-0000051D0000}"/>
    <cellStyle name="표준 13 4 2 2 2 4" xfId="7479" xr:uid="{00000000-0005-0000-0000-0000061D0000}"/>
    <cellStyle name="표준 13 4 2 2 3" xfId="7480" xr:uid="{00000000-0005-0000-0000-0000071D0000}"/>
    <cellStyle name="표준 13 4 2 2 3 2" xfId="7481" xr:uid="{00000000-0005-0000-0000-0000081D0000}"/>
    <cellStyle name="표준 13 4 2 2 3 2 2" xfId="7482" xr:uid="{00000000-0005-0000-0000-0000091D0000}"/>
    <cellStyle name="표준 13 4 2 2 3 3" xfId="7483" xr:uid="{00000000-0005-0000-0000-00000A1D0000}"/>
    <cellStyle name="표준 13 4 2 2 4" xfId="7484" xr:uid="{00000000-0005-0000-0000-00000B1D0000}"/>
    <cellStyle name="표준 13 4 2 2 4 2" xfId="7485" xr:uid="{00000000-0005-0000-0000-00000C1D0000}"/>
    <cellStyle name="표준 13 4 2 2 5" xfId="7486" xr:uid="{00000000-0005-0000-0000-00000D1D0000}"/>
    <cellStyle name="표준 13 4 2 3" xfId="7487" xr:uid="{00000000-0005-0000-0000-00000E1D0000}"/>
    <cellStyle name="표준 13 4 2 3 2" xfId="7488" xr:uid="{00000000-0005-0000-0000-00000F1D0000}"/>
    <cellStyle name="표준 13 4 2 3 2 2" xfId="7489" xr:uid="{00000000-0005-0000-0000-0000101D0000}"/>
    <cellStyle name="표준 13 4 2 3 2 2 2" xfId="7490" xr:uid="{00000000-0005-0000-0000-0000111D0000}"/>
    <cellStyle name="표준 13 4 2 3 2 3" xfId="7491" xr:uid="{00000000-0005-0000-0000-0000121D0000}"/>
    <cellStyle name="표준 13 4 2 3 3" xfId="7492" xr:uid="{00000000-0005-0000-0000-0000131D0000}"/>
    <cellStyle name="표준 13 4 2 3 3 2" xfId="7493" xr:uid="{00000000-0005-0000-0000-0000141D0000}"/>
    <cellStyle name="표준 13 4 2 3 4" xfId="7494" xr:uid="{00000000-0005-0000-0000-0000151D0000}"/>
    <cellStyle name="표준 13 4 2 4" xfId="7495" xr:uid="{00000000-0005-0000-0000-0000161D0000}"/>
    <cellStyle name="표준 13 4 2 4 2" xfId="7496" xr:uid="{00000000-0005-0000-0000-0000171D0000}"/>
    <cellStyle name="표준 13 4 2 4 2 2" xfId="7497" xr:uid="{00000000-0005-0000-0000-0000181D0000}"/>
    <cellStyle name="표준 13 4 2 4 3" xfId="7498" xr:uid="{00000000-0005-0000-0000-0000191D0000}"/>
    <cellStyle name="표준 13 4 2 5" xfId="7499" xr:uid="{00000000-0005-0000-0000-00001A1D0000}"/>
    <cellStyle name="표준 13 4 2 5 2" xfId="7500" xr:uid="{00000000-0005-0000-0000-00001B1D0000}"/>
    <cellStyle name="표준 13 4 2 6" xfId="7501" xr:uid="{00000000-0005-0000-0000-00001C1D0000}"/>
    <cellStyle name="표준 13 4 3" xfId="7502" xr:uid="{00000000-0005-0000-0000-00001D1D0000}"/>
    <cellStyle name="표준 13 4 3 2" xfId="7503" xr:uid="{00000000-0005-0000-0000-00001E1D0000}"/>
    <cellStyle name="표준 13 4 3 2 2" xfId="7504" xr:uid="{00000000-0005-0000-0000-00001F1D0000}"/>
    <cellStyle name="표준 13 4 3 2 2 2" xfId="7505" xr:uid="{00000000-0005-0000-0000-0000201D0000}"/>
    <cellStyle name="표준 13 4 3 2 2 2 2" xfId="7506" xr:uid="{00000000-0005-0000-0000-0000211D0000}"/>
    <cellStyle name="표준 13 4 3 2 2 3" xfId="7507" xr:uid="{00000000-0005-0000-0000-0000221D0000}"/>
    <cellStyle name="표준 13 4 3 2 3" xfId="7508" xr:uid="{00000000-0005-0000-0000-0000231D0000}"/>
    <cellStyle name="표준 13 4 3 2 3 2" xfId="7509" xr:uid="{00000000-0005-0000-0000-0000241D0000}"/>
    <cellStyle name="표준 13 4 3 2 4" xfId="7510" xr:uid="{00000000-0005-0000-0000-0000251D0000}"/>
    <cellStyle name="표준 13 4 3 3" xfId="7511" xr:uid="{00000000-0005-0000-0000-0000261D0000}"/>
    <cellStyle name="표준 13 4 3 3 2" xfId="7512" xr:uid="{00000000-0005-0000-0000-0000271D0000}"/>
    <cellStyle name="표준 13 4 3 3 2 2" xfId="7513" xr:uid="{00000000-0005-0000-0000-0000281D0000}"/>
    <cellStyle name="표준 13 4 3 3 3" xfId="7514" xr:uid="{00000000-0005-0000-0000-0000291D0000}"/>
    <cellStyle name="표준 13 4 3 4" xfId="7515" xr:uid="{00000000-0005-0000-0000-00002A1D0000}"/>
    <cellStyle name="표준 13 4 3 4 2" xfId="7516" xr:uid="{00000000-0005-0000-0000-00002B1D0000}"/>
    <cellStyle name="표준 13 4 3 5" xfId="7517" xr:uid="{00000000-0005-0000-0000-00002C1D0000}"/>
    <cellStyle name="표준 13 4 4" xfId="7518" xr:uid="{00000000-0005-0000-0000-00002D1D0000}"/>
    <cellStyle name="표준 13 4 4 2" xfId="7519" xr:uid="{00000000-0005-0000-0000-00002E1D0000}"/>
    <cellStyle name="표준 13 4 4 2 2" xfId="7520" xr:uid="{00000000-0005-0000-0000-00002F1D0000}"/>
    <cellStyle name="표준 13 4 4 2 2 2" xfId="7521" xr:uid="{00000000-0005-0000-0000-0000301D0000}"/>
    <cellStyle name="표준 13 4 4 2 3" xfId="7522" xr:uid="{00000000-0005-0000-0000-0000311D0000}"/>
    <cellStyle name="표준 13 4 4 3" xfId="7523" xr:uid="{00000000-0005-0000-0000-0000321D0000}"/>
    <cellStyle name="표준 13 4 4 3 2" xfId="7524" xr:uid="{00000000-0005-0000-0000-0000331D0000}"/>
    <cellStyle name="표준 13 4 4 4" xfId="7525" xr:uid="{00000000-0005-0000-0000-0000341D0000}"/>
    <cellStyle name="표준 13 4 5" xfId="7526" xr:uid="{00000000-0005-0000-0000-0000351D0000}"/>
    <cellStyle name="표준 13 4 5 2" xfId="7527" xr:uid="{00000000-0005-0000-0000-0000361D0000}"/>
    <cellStyle name="표준 13 4 5 2 2" xfId="7528" xr:uid="{00000000-0005-0000-0000-0000371D0000}"/>
    <cellStyle name="표준 13 4 5 3" xfId="7529" xr:uid="{00000000-0005-0000-0000-0000381D0000}"/>
    <cellStyle name="표준 13 4 6" xfId="7530" xr:uid="{00000000-0005-0000-0000-0000391D0000}"/>
    <cellStyle name="표준 13 4 6 2" xfId="7531" xr:uid="{00000000-0005-0000-0000-00003A1D0000}"/>
    <cellStyle name="표준 13 4 7" xfId="7532" xr:uid="{00000000-0005-0000-0000-00003B1D0000}"/>
    <cellStyle name="표준 13 4 8" xfId="7533" xr:uid="{00000000-0005-0000-0000-00003C1D0000}"/>
    <cellStyle name="표준 13 5" xfId="7534" xr:uid="{00000000-0005-0000-0000-00003D1D0000}"/>
    <cellStyle name="표준 13 5 2" xfId="7535" xr:uid="{00000000-0005-0000-0000-00003E1D0000}"/>
    <cellStyle name="표준 13 6" xfId="7536" xr:uid="{00000000-0005-0000-0000-00003F1D0000}"/>
    <cellStyle name="표준 14" xfId="15" xr:uid="{00000000-0005-0000-0000-0000401D0000}"/>
    <cellStyle name="표준 14 2" xfId="55" xr:uid="{00000000-0005-0000-0000-0000411D0000}"/>
    <cellStyle name="표준 14 2 2" xfId="7537" xr:uid="{00000000-0005-0000-0000-0000421D0000}"/>
    <cellStyle name="표준 14 2 2 2" xfId="7538" xr:uid="{00000000-0005-0000-0000-0000431D0000}"/>
    <cellStyle name="표준 14 2 2 2 2" xfId="7539" xr:uid="{00000000-0005-0000-0000-0000441D0000}"/>
    <cellStyle name="표준 14 2 2 2 2 2" xfId="7540" xr:uid="{00000000-0005-0000-0000-0000451D0000}"/>
    <cellStyle name="표준 14 2 2 2 2 2 2" xfId="7541" xr:uid="{00000000-0005-0000-0000-0000461D0000}"/>
    <cellStyle name="표준 14 2 2 2 2 3" xfId="7542" xr:uid="{00000000-0005-0000-0000-0000471D0000}"/>
    <cellStyle name="표준 14 2 2 2 3" xfId="7543" xr:uid="{00000000-0005-0000-0000-0000481D0000}"/>
    <cellStyle name="표준 14 2 2 2 3 2" xfId="7544" xr:uid="{00000000-0005-0000-0000-0000491D0000}"/>
    <cellStyle name="표준 14 2 2 2 4" xfId="7545" xr:uid="{00000000-0005-0000-0000-00004A1D0000}"/>
    <cellStyle name="표준 14 2 2 3" xfId="7546" xr:uid="{00000000-0005-0000-0000-00004B1D0000}"/>
    <cellStyle name="표준 14 2 2 3 2" xfId="7547" xr:uid="{00000000-0005-0000-0000-00004C1D0000}"/>
    <cellStyle name="표준 14 2 2 3 2 2" xfId="7548" xr:uid="{00000000-0005-0000-0000-00004D1D0000}"/>
    <cellStyle name="표준 14 2 2 3 3" xfId="7549" xr:uid="{00000000-0005-0000-0000-00004E1D0000}"/>
    <cellStyle name="표준 14 2 2 4" xfId="7550" xr:uid="{00000000-0005-0000-0000-00004F1D0000}"/>
    <cellStyle name="표준 14 2 2 4 2" xfId="7551" xr:uid="{00000000-0005-0000-0000-0000501D0000}"/>
    <cellStyle name="표준 14 2 2 5" xfId="7552" xr:uid="{00000000-0005-0000-0000-0000511D0000}"/>
    <cellStyle name="표준 14 2 3" xfId="7553" xr:uid="{00000000-0005-0000-0000-0000521D0000}"/>
    <cellStyle name="표준 14 2 3 2" xfId="7554" xr:uid="{00000000-0005-0000-0000-0000531D0000}"/>
    <cellStyle name="표준 14 2 3 2 2" xfId="7555" xr:uid="{00000000-0005-0000-0000-0000541D0000}"/>
    <cellStyle name="표준 14 2 3 2 2 2" xfId="7556" xr:uid="{00000000-0005-0000-0000-0000551D0000}"/>
    <cellStyle name="표준 14 2 3 2 3" xfId="7557" xr:uid="{00000000-0005-0000-0000-0000561D0000}"/>
    <cellStyle name="표준 14 2 3 3" xfId="7558" xr:uid="{00000000-0005-0000-0000-0000571D0000}"/>
    <cellStyle name="표준 14 2 3 3 2" xfId="7559" xr:uid="{00000000-0005-0000-0000-0000581D0000}"/>
    <cellStyle name="표준 14 2 3 4" xfId="7560" xr:uid="{00000000-0005-0000-0000-0000591D0000}"/>
    <cellStyle name="표준 14 2 4" xfId="7561" xr:uid="{00000000-0005-0000-0000-00005A1D0000}"/>
    <cellStyle name="표준 14 2 4 2" xfId="7562" xr:uid="{00000000-0005-0000-0000-00005B1D0000}"/>
    <cellStyle name="표준 14 2 4 2 2" xfId="7563" xr:uid="{00000000-0005-0000-0000-00005C1D0000}"/>
    <cellStyle name="표준 14 2 4 3" xfId="7564" xr:uid="{00000000-0005-0000-0000-00005D1D0000}"/>
    <cellStyle name="표준 14 2 5" xfId="7565" xr:uid="{00000000-0005-0000-0000-00005E1D0000}"/>
    <cellStyle name="표준 14 2 5 2" xfId="7566" xr:uid="{00000000-0005-0000-0000-00005F1D0000}"/>
    <cellStyle name="표준 14 2 6" xfId="7567" xr:uid="{00000000-0005-0000-0000-0000601D0000}"/>
    <cellStyle name="표준 14 2 8" xfId="7568" xr:uid="{00000000-0005-0000-0000-0000611D0000}"/>
    <cellStyle name="표준 14 3" xfId="7569" xr:uid="{00000000-0005-0000-0000-0000621D0000}"/>
    <cellStyle name="표준 14 3 2" xfId="7570" xr:uid="{00000000-0005-0000-0000-0000631D0000}"/>
    <cellStyle name="표준 14 3 2 2" xfId="7571" xr:uid="{00000000-0005-0000-0000-0000641D0000}"/>
    <cellStyle name="표준 14 3 2 2 2" xfId="7572" xr:uid="{00000000-0005-0000-0000-0000651D0000}"/>
    <cellStyle name="표준 14 3 2 2 2 2" xfId="7573" xr:uid="{00000000-0005-0000-0000-0000661D0000}"/>
    <cellStyle name="표준 14 3 2 2 3" xfId="7574" xr:uid="{00000000-0005-0000-0000-0000671D0000}"/>
    <cellStyle name="표준 14 3 2 3" xfId="7575" xr:uid="{00000000-0005-0000-0000-0000681D0000}"/>
    <cellStyle name="표준 14 3 2 3 2" xfId="7576" xr:uid="{00000000-0005-0000-0000-0000691D0000}"/>
    <cellStyle name="표준 14 3 2 4" xfId="7577" xr:uid="{00000000-0005-0000-0000-00006A1D0000}"/>
    <cellStyle name="표준 14 3 3" xfId="7578" xr:uid="{00000000-0005-0000-0000-00006B1D0000}"/>
    <cellStyle name="표준 14 3 3 2" xfId="7579" xr:uid="{00000000-0005-0000-0000-00006C1D0000}"/>
    <cellStyle name="표준 14 3 3 2 2" xfId="7580" xr:uid="{00000000-0005-0000-0000-00006D1D0000}"/>
    <cellStyle name="표준 14 3 3 3" xfId="7581" xr:uid="{00000000-0005-0000-0000-00006E1D0000}"/>
    <cellStyle name="표준 14 3 4" xfId="7582" xr:uid="{00000000-0005-0000-0000-00006F1D0000}"/>
    <cellStyle name="표준 14 3 4 2" xfId="7583" xr:uid="{00000000-0005-0000-0000-0000701D0000}"/>
    <cellStyle name="표준 14 3 5" xfId="7584" xr:uid="{00000000-0005-0000-0000-0000711D0000}"/>
    <cellStyle name="표준 14 4" xfId="7585" xr:uid="{00000000-0005-0000-0000-0000721D0000}"/>
    <cellStyle name="표준 14 4 2" xfId="7586" xr:uid="{00000000-0005-0000-0000-0000731D0000}"/>
    <cellStyle name="표준 14 4 2 2" xfId="7587" xr:uid="{00000000-0005-0000-0000-0000741D0000}"/>
    <cellStyle name="표준 14 4 2 2 2" xfId="7588" xr:uid="{00000000-0005-0000-0000-0000751D0000}"/>
    <cellStyle name="표준 14 4 2 3" xfId="7589" xr:uid="{00000000-0005-0000-0000-0000761D0000}"/>
    <cellStyle name="표준 14 4 3" xfId="7590" xr:uid="{00000000-0005-0000-0000-0000771D0000}"/>
    <cellStyle name="표준 14 4 3 2" xfId="7591" xr:uid="{00000000-0005-0000-0000-0000781D0000}"/>
    <cellStyle name="표준 14 4 4" xfId="7592" xr:uid="{00000000-0005-0000-0000-0000791D0000}"/>
    <cellStyle name="표준 14 5" xfId="7593" xr:uid="{00000000-0005-0000-0000-00007A1D0000}"/>
    <cellStyle name="표준 14 5 2" xfId="7594" xr:uid="{00000000-0005-0000-0000-00007B1D0000}"/>
    <cellStyle name="표준 14 5 2 2" xfId="7595" xr:uid="{00000000-0005-0000-0000-00007C1D0000}"/>
    <cellStyle name="표준 14 5 3" xfId="7596" xr:uid="{00000000-0005-0000-0000-00007D1D0000}"/>
    <cellStyle name="표준 14 6" xfId="7597" xr:uid="{00000000-0005-0000-0000-00007E1D0000}"/>
    <cellStyle name="표준 14 6 2" xfId="7598" xr:uid="{00000000-0005-0000-0000-00007F1D0000}"/>
    <cellStyle name="표준 14 7" xfId="7599" xr:uid="{00000000-0005-0000-0000-0000801D0000}"/>
    <cellStyle name="표준 14 8" xfId="7600" xr:uid="{00000000-0005-0000-0000-0000811D0000}"/>
    <cellStyle name="표준 14 9" xfId="7601" xr:uid="{00000000-0005-0000-0000-0000821D0000}"/>
    <cellStyle name="표준 15" xfId="16" xr:uid="{00000000-0005-0000-0000-0000831D0000}"/>
    <cellStyle name="표준 15 2" xfId="56" xr:uid="{00000000-0005-0000-0000-0000841D0000}"/>
    <cellStyle name="표준 15 2 2" xfId="7602" xr:uid="{00000000-0005-0000-0000-0000851D0000}"/>
    <cellStyle name="표준 15 2 2 2" xfId="7603" xr:uid="{00000000-0005-0000-0000-0000861D0000}"/>
    <cellStyle name="표준 15 2 2 2 2" xfId="7604" xr:uid="{00000000-0005-0000-0000-0000871D0000}"/>
    <cellStyle name="표준 15 2 2 2 2 2" xfId="7605" xr:uid="{00000000-0005-0000-0000-0000881D0000}"/>
    <cellStyle name="표준 15 2 2 2 3" xfId="7606" xr:uid="{00000000-0005-0000-0000-0000891D0000}"/>
    <cellStyle name="표준 15 2 2 3" xfId="7607" xr:uid="{00000000-0005-0000-0000-00008A1D0000}"/>
    <cellStyle name="표준 15 2 2 3 2" xfId="7608" xr:uid="{00000000-0005-0000-0000-00008B1D0000}"/>
    <cellStyle name="표준 15 2 2 4" xfId="7609" xr:uid="{00000000-0005-0000-0000-00008C1D0000}"/>
    <cellStyle name="표준 15 2 3" xfId="7610" xr:uid="{00000000-0005-0000-0000-00008D1D0000}"/>
    <cellStyle name="표준 15 2 3 2" xfId="7611" xr:uid="{00000000-0005-0000-0000-00008E1D0000}"/>
    <cellStyle name="표준 15 2 3 2 2" xfId="7612" xr:uid="{00000000-0005-0000-0000-00008F1D0000}"/>
    <cellStyle name="표준 15 2 3 3" xfId="7613" xr:uid="{00000000-0005-0000-0000-0000901D0000}"/>
    <cellStyle name="표준 15 2 4" xfId="7614" xr:uid="{00000000-0005-0000-0000-0000911D0000}"/>
    <cellStyle name="표준 15 2 4 2" xfId="7615" xr:uid="{00000000-0005-0000-0000-0000921D0000}"/>
    <cellStyle name="표준 15 2 5" xfId="7616" xr:uid="{00000000-0005-0000-0000-0000931D0000}"/>
    <cellStyle name="표준 15 3" xfId="7617" xr:uid="{00000000-0005-0000-0000-0000941D0000}"/>
    <cellStyle name="표준 15 3 2" xfId="7618" xr:uid="{00000000-0005-0000-0000-0000951D0000}"/>
    <cellStyle name="표준 15 3 2 2" xfId="7619" xr:uid="{00000000-0005-0000-0000-0000961D0000}"/>
    <cellStyle name="표준 15 3 2 2 2" xfId="7620" xr:uid="{00000000-0005-0000-0000-0000971D0000}"/>
    <cellStyle name="표준 15 3 2 3" xfId="7621" xr:uid="{00000000-0005-0000-0000-0000981D0000}"/>
    <cellStyle name="표준 15 3 3" xfId="7622" xr:uid="{00000000-0005-0000-0000-0000991D0000}"/>
    <cellStyle name="표준 15 3 3 2" xfId="7623" xr:uid="{00000000-0005-0000-0000-00009A1D0000}"/>
    <cellStyle name="표준 15 3 4" xfId="7624" xr:uid="{00000000-0005-0000-0000-00009B1D0000}"/>
    <cellStyle name="표준 15 4" xfId="7625" xr:uid="{00000000-0005-0000-0000-00009C1D0000}"/>
    <cellStyle name="표준 15 4 2" xfId="7626" xr:uid="{00000000-0005-0000-0000-00009D1D0000}"/>
    <cellStyle name="표준 15 4 2 2" xfId="7627" xr:uid="{00000000-0005-0000-0000-00009E1D0000}"/>
    <cellStyle name="표준 15 4 3" xfId="7628" xr:uid="{00000000-0005-0000-0000-00009F1D0000}"/>
    <cellStyle name="표준 15 5" xfId="7629" xr:uid="{00000000-0005-0000-0000-0000A01D0000}"/>
    <cellStyle name="표준 15 5 2" xfId="7630" xr:uid="{00000000-0005-0000-0000-0000A11D0000}"/>
    <cellStyle name="표준 15 6" xfId="7631" xr:uid="{00000000-0005-0000-0000-0000A21D0000}"/>
    <cellStyle name="표준 16" xfId="17" xr:uid="{00000000-0005-0000-0000-0000A31D0000}"/>
    <cellStyle name="표준 16 2" xfId="57" xr:uid="{00000000-0005-0000-0000-0000A41D0000}"/>
    <cellStyle name="표준 16 2 2" xfId="7632" xr:uid="{00000000-0005-0000-0000-0000A51D0000}"/>
    <cellStyle name="표준 16 2 2 2" xfId="7633" xr:uid="{00000000-0005-0000-0000-0000A61D0000}"/>
    <cellStyle name="표준 16 2 2 2 2" xfId="7634" xr:uid="{00000000-0005-0000-0000-0000A71D0000}"/>
    <cellStyle name="표준 16 2 2 3" xfId="7635" xr:uid="{00000000-0005-0000-0000-0000A81D0000}"/>
    <cellStyle name="표준 16 2 3" xfId="7636" xr:uid="{00000000-0005-0000-0000-0000A91D0000}"/>
    <cellStyle name="표준 16 2 3 2" xfId="7637" xr:uid="{00000000-0005-0000-0000-0000AA1D0000}"/>
    <cellStyle name="표준 16 2 4" xfId="7638" xr:uid="{00000000-0005-0000-0000-0000AB1D0000}"/>
    <cellStyle name="표준 16 3" xfId="7639" xr:uid="{00000000-0005-0000-0000-0000AC1D0000}"/>
    <cellStyle name="표준 16 3 2" xfId="7640" xr:uid="{00000000-0005-0000-0000-0000AD1D0000}"/>
    <cellStyle name="표준 16 3 2 2" xfId="7641" xr:uid="{00000000-0005-0000-0000-0000AE1D0000}"/>
    <cellStyle name="표준 16 3 3" xfId="7642" xr:uid="{00000000-0005-0000-0000-0000AF1D0000}"/>
    <cellStyle name="표준 16 4" xfId="7643" xr:uid="{00000000-0005-0000-0000-0000B01D0000}"/>
    <cellStyle name="표준 16 4 2" xfId="7644" xr:uid="{00000000-0005-0000-0000-0000B11D0000}"/>
    <cellStyle name="표준 16 5" xfId="7645" xr:uid="{00000000-0005-0000-0000-0000B21D0000}"/>
    <cellStyle name="표준 17" xfId="18" xr:uid="{00000000-0005-0000-0000-0000B31D0000}"/>
    <cellStyle name="표준 17 2" xfId="7646" xr:uid="{00000000-0005-0000-0000-0000B41D0000}"/>
    <cellStyle name="표준 17 2 2" xfId="7647" xr:uid="{00000000-0005-0000-0000-0000B51D0000}"/>
    <cellStyle name="표준 17 2 2 2" xfId="7648" xr:uid="{00000000-0005-0000-0000-0000B61D0000}"/>
    <cellStyle name="표준 17 2 3" xfId="7649" xr:uid="{00000000-0005-0000-0000-0000B71D0000}"/>
    <cellStyle name="표준 17 3" xfId="7650" xr:uid="{00000000-0005-0000-0000-0000B81D0000}"/>
    <cellStyle name="표준 17 3 2" xfId="7651" xr:uid="{00000000-0005-0000-0000-0000B91D0000}"/>
    <cellStyle name="표준 17 4" xfId="7652" xr:uid="{00000000-0005-0000-0000-0000BA1D0000}"/>
    <cellStyle name="표준 18" xfId="19" xr:uid="{00000000-0005-0000-0000-0000BB1D0000}"/>
    <cellStyle name="표준 18 2" xfId="58" xr:uid="{00000000-0005-0000-0000-0000BC1D0000}"/>
    <cellStyle name="표준 18 2 10" xfId="7653" xr:uid="{00000000-0005-0000-0000-0000BD1D0000}"/>
    <cellStyle name="표준 18 2 11" xfId="7654" xr:uid="{00000000-0005-0000-0000-0000BE1D0000}"/>
    <cellStyle name="표준 18 2 2" xfId="7655" xr:uid="{00000000-0005-0000-0000-0000BF1D0000}"/>
    <cellStyle name="표준 18 2 2 10" xfId="7656" xr:uid="{00000000-0005-0000-0000-0000C01D0000}"/>
    <cellStyle name="표준 18 2 2 2" xfId="7657" xr:uid="{00000000-0005-0000-0000-0000C11D0000}"/>
    <cellStyle name="표준 18 2 2 2 2" xfId="7658" xr:uid="{00000000-0005-0000-0000-0000C21D0000}"/>
    <cellStyle name="표준 18 2 2 2 2 2" xfId="7659" xr:uid="{00000000-0005-0000-0000-0000C31D0000}"/>
    <cellStyle name="표준 18 2 2 2 2 2 2" xfId="7660" xr:uid="{00000000-0005-0000-0000-0000C41D0000}"/>
    <cellStyle name="표준 18 2 2 2 2 2 2 2" xfId="7661" xr:uid="{00000000-0005-0000-0000-0000C51D0000}"/>
    <cellStyle name="표준 18 2 2 2 2 2 2 2 2" xfId="7662" xr:uid="{00000000-0005-0000-0000-0000C61D0000}"/>
    <cellStyle name="표준 18 2 2 2 2 2 2 2 2 2" xfId="7663" xr:uid="{00000000-0005-0000-0000-0000C71D0000}"/>
    <cellStyle name="표준 18 2 2 2 2 2 2 2 2 2 2" xfId="7664" xr:uid="{00000000-0005-0000-0000-0000C81D0000}"/>
    <cellStyle name="표준 18 2 2 2 2 2 2 2 2 3" xfId="7665" xr:uid="{00000000-0005-0000-0000-0000C91D0000}"/>
    <cellStyle name="표준 18 2 2 2 2 2 2 2 3" xfId="7666" xr:uid="{00000000-0005-0000-0000-0000CA1D0000}"/>
    <cellStyle name="표준 18 2 2 2 2 2 2 2 3 2" xfId="7667" xr:uid="{00000000-0005-0000-0000-0000CB1D0000}"/>
    <cellStyle name="표준 18 2 2 2 2 2 2 2 4" xfId="7668" xr:uid="{00000000-0005-0000-0000-0000CC1D0000}"/>
    <cellStyle name="표준 18 2 2 2 2 2 2 3" xfId="7669" xr:uid="{00000000-0005-0000-0000-0000CD1D0000}"/>
    <cellStyle name="표준 18 2 2 2 2 2 2 3 2" xfId="7670" xr:uid="{00000000-0005-0000-0000-0000CE1D0000}"/>
    <cellStyle name="표준 18 2 2 2 2 2 2 3 2 2" xfId="7671" xr:uid="{00000000-0005-0000-0000-0000CF1D0000}"/>
    <cellStyle name="표준 18 2 2 2 2 2 2 3 3" xfId="7672" xr:uid="{00000000-0005-0000-0000-0000D01D0000}"/>
    <cellStyle name="표준 18 2 2 2 2 2 2 4" xfId="7673" xr:uid="{00000000-0005-0000-0000-0000D11D0000}"/>
    <cellStyle name="표준 18 2 2 2 2 2 2 4 2" xfId="7674" xr:uid="{00000000-0005-0000-0000-0000D21D0000}"/>
    <cellStyle name="표준 18 2 2 2 2 2 2 5" xfId="7675" xr:uid="{00000000-0005-0000-0000-0000D31D0000}"/>
    <cellStyle name="표준 18 2 2 2 2 2 3" xfId="7676" xr:uid="{00000000-0005-0000-0000-0000D41D0000}"/>
    <cellStyle name="표준 18 2 2 2 2 2 3 2" xfId="7677" xr:uid="{00000000-0005-0000-0000-0000D51D0000}"/>
    <cellStyle name="표준 18 2 2 2 2 2 3 2 2" xfId="7678" xr:uid="{00000000-0005-0000-0000-0000D61D0000}"/>
    <cellStyle name="표준 18 2 2 2 2 2 3 2 2 2" xfId="7679" xr:uid="{00000000-0005-0000-0000-0000D71D0000}"/>
    <cellStyle name="표준 18 2 2 2 2 2 3 2 3" xfId="7680" xr:uid="{00000000-0005-0000-0000-0000D81D0000}"/>
    <cellStyle name="표준 18 2 2 2 2 2 3 3" xfId="7681" xr:uid="{00000000-0005-0000-0000-0000D91D0000}"/>
    <cellStyle name="표준 18 2 2 2 2 2 3 3 2" xfId="7682" xr:uid="{00000000-0005-0000-0000-0000DA1D0000}"/>
    <cellStyle name="표준 18 2 2 2 2 2 3 4" xfId="7683" xr:uid="{00000000-0005-0000-0000-0000DB1D0000}"/>
    <cellStyle name="표준 18 2 2 2 2 2 4" xfId="7684" xr:uid="{00000000-0005-0000-0000-0000DC1D0000}"/>
    <cellStyle name="표준 18 2 2 2 2 2 4 2" xfId="7685" xr:uid="{00000000-0005-0000-0000-0000DD1D0000}"/>
    <cellStyle name="표준 18 2 2 2 2 2 4 2 2" xfId="7686" xr:uid="{00000000-0005-0000-0000-0000DE1D0000}"/>
    <cellStyle name="표준 18 2 2 2 2 2 4 3" xfId="7687" xr:uid="{00000000-0005-0000-0000-0000DF1D0000}"/>
    <cellStyle name="표준 18 2 2 2 2 2 5" xfId="7688" xr:uid="{00000000-0005-0000-0000-0000E01D0000}"/>
    <cellStyle name="표준 18 2 2 2 2 2 5 2" xfId="7689" xr:uid="{00000000-0005-0000-0000-0000E11D0000}"/>
    <cellStyle name="표준 18 2 2 2 2 2 6" xfId="7690" xr:uid="{00000000-0005-0000-0000-0000E21D0000}"/>
    <cellStyle name="표준 18 2 2 2 2 3" xfId="7691" xr:uid="{00000000-0005-0000-0000-0000E31D0000}"/>
    <cellStyle name="표준 18 2 2 2 2 3 2" xfId="7692" xr:uid="{00000000-0005-0000-0000-0000E41D0000}"/>
    <cellStyle name="표준 18 2 2 2 2 3 2 2" xfId="7693" xr:uid="{00000000-0005-0000-0000-0000E51D0000}"/>
    <cellStyle name="표준 18 2 2 2 2 3 2 2 2" xfId="7694" xr:uid="{00000000-0005-0000-0000-0000E61D0000}"/>
    <cellStyle name="표준 18 2 2 2 2 3 2 2 2 2" xfId="7695" xr:uid="{00000000-0005-0000-0000-0000E71D0000}"/>
    <cellStyle name="표준 18 2 2 2 2 3 2 2 3" xfId="7696" xr:uid="{00000000-0005-0000-0000-0000E81D0000}"/>
    <cellStyle name="표준 18 2 2 2 2 3 2 3" xfId="7697" xr:uid="{00000000-0005-0000-0000-0000E91D0000}"/>
    <cellStyle name="표준 18 2 2 2 2 3 2 3 2" xfId="7698" xr:uid="{00000000-0005-0000-0000-0000EA1D0000}"/>
    <cellStyle name="표준 18 2 2 2 2 3 2 4" xfId="7699" xr:uid="{00000000-0005-0000-0000-0000EB1D0000}"/>
    <cellStyle name="표준 18 2 2 2 2 3 3" xfId="7700" xr:uid="{00000000-0005-0000-0000-0000EC1D0000}"/>
    <cellStyle name="표준 18 2 2 2 2 3 3 2" xfId="7701" xr:uid="{00000000-0005-0000-0000-0000ED1D0000}"/>
    <cellStyle name="표준 18 2 2 2 2 3 3 2 2" xfId="7702" xr:uid="{00000000-0005-0000-0000-0000EE1D0000}"/>
    <cellStyle name="표준 18 2 2 2 2 3 3 3" xfId="7703" xr:uid="{00000000-0005-0000-0000-0000EF1D0000}"/>
    <cellStyle name="표준 18 2 2 2 2 3 4" xfId="7704" xr:uid="{00000000-0005-0000-0000-0000F01D0000}"/>
    <cellStyle name="표준 18 2 2 2 2 3 4 2" xfId="7705" xr:uid="{00000000-0005-0000-0000-0000F11D0000}"/>
    <cellStyle name="표준 18 2 2 2 2 3 5" xfId="7706" xr:uid="{00000000-0005-0000-0000-0000F21D0000}"/>
    <cellStyle name="표준 18 2 2 2 2 4" xfId="7707" xr:uid="{00000000-0005-0000-0000-0000F31D0000}"/>
    <cellStyle name="표준 18 2 2 2 2 4 2" xfId="7708" xr:uid="{00000000-0005-0000-0000-0000F41D0000}"/>
    <cellStyle name="표준 18 2 2 2 2 4 2 2" xfId="7709" xr:uid="{00000000-0005-0000-0000-0000F51D0000}"/>
    <cellStyle name="표준 18 2 2 2 2 4 2 2 2" xfId="7710" xr:uid="{00000000-0005-0000-0000-0000F61D0000}"/>
    <cellStyle name="표준 18 2 2 2 2 4 2 3" xfId="7711" xr:uid="{00000000-0005-0000-0000-0000F71D0000}"/>
    <cellStyle name="표준 18 2 2 2 2 4 3" xfId="7712" xr:uid="{00000000-0005-0000-0000-0000F81D0000}"/>
    <cellStyle name="표준 18 2 2 2 2 4 3 2" xfId="7713" xr:uid="{00000000-0005-0000-0000-0000F91D0000}"/>
    <cellStyle name="표준 18 2 2 2 2 4 4" xfId="7714" xr:uid="{00000000-0005-0000-0000-0000FA1D0000}"/>
    <cellStyle name="표준 18 2 2 2 2 5" xfId="7715" xr:uid="{00000000-0005-0000-0000-0000FB1D0000}"/>
    <cellStyle name="표준 18 2 2 2 2 5 2" xfId="7716" xr:uid="{00000000-0005-0000-0000-0000FC1D0000}"/>
    <cellStyle name="표준 18 2 2 2 2 5 2 2" xfId="7717" xr:uid="{00000000-0005-0000-0000-0000FD1D0000}"/>
    <cellStyle name="표준 18 2 2 2 2 5 3" xfId="7718" xr:uid="{00000000-0005-0000-0000-0000FE1D0000}"/>
    <cellStyle name="표준 18 2 2 2 2 6" xfId="7719" xr:uid="{00000000-0005-0000-0000-0000FF1D0000}"/>
    <cellStyle name="표준 18 2 2 2 2 6 2" xfId="7720" xr:uid="{00000000-0005-0000-0000-0000001E0000}"/>
    <cellStyle name="표준 18 2 2 2 2 7" xfId="7721" xr:uid="{00000000-0005-0000-0000-0000011E0000}"/>
    <cellStyle name="표준 18 2 2 2 2 8" xfId="7722" xr:uid="{00000000-0005-0000-0000-0000021E0000}"/>
    <cellStyle name="표준 18 2 2 2 3" xfId="7723" xr:uid="{00000000-0005-0000-0000-0000031E0000}"/>
    <cellStyle name="표준 18 2 2 2 3 2" xfId="7724" xr:uid="{00000000-0005-0000-0000-0000041E0000}"/>
    <cellStyle name="표준 18 2 2 2 3 2 2" xfId="7725" xr:uid="{00000000-0005-0000-0000-0000051E0000}"/>
    <cellStyle name="표준 18 2 2 2 3 2 2 2" xfId="7726" xr:uid="{00000000-0005-0000-0000-0000061E0000}"/>
    <cellStyle name="표준 18 2 2 2 3 2 2 2 2" xfId="7727" xr:uid="{00000000-0005-0000-0000-0000071E0000}"/>
    <cellStyle name="표준 18 2 2 2 3 2 2 2 2 2" xfId="7728" xr:uid="{00000000-0005-0000-0000-0000081E0000}"/>
    <cellStyle name="표준 18 2 2 2 3 2 2 2 3" xfId="7729" xr:uid="{00000000-0005-0000-0000-0000091E0000}"/>
    <cellStyle name="표준 18 2 2 2 3 2 2 3" xfId="7730" xr:uid="{00000000-0005-0000-0000-00000A1E0000}"/>
    <cellStyle name="표준 18 2 2 2 3 2 2 3 2" xfId="7731" xr:uid="{00000000-0005-0000-0000-00000B1E0000}"/>
    <cellStyle name="표준 18 2 2 2 3 2 2 4" xfId="7732" xr:uid="{00000000-0005-0000-0000-00000C1E0000}"/>
    <cellStyle name="표준 18 2 2 2 3 2 3" xfId="7733" xr:uid="{00000000-0005-0000-0000-00000D1E0000}"/>
    <cellStyle name="표준 18 2 2 2 3 2 3 2" xfId="7734" xr:uid="{00000000-0005-0000-0000-00000E1E0000}"/>
    <cellStyle name="표준 18 2 2 2 3 2 3 2 2" xfId="7735" xr:uid="{00000000-0005-0000-0000-00000F1E0000}"/>
    <cellStyle name="표준 18 2 2 2 3 2 3 3" xfId="7736" xr:uid="{00000000-0005-0000-0000-0000101E0000}"/>
    <cellStyle name="표준 18 2 2 2 3 2 4" xfId="7737" xr:uid="{00000000-0005-0000-0000-0000111E0000}"/>
    <cellStyle name="표준 18 2 2 2 3 2 4 2" xfId="7738" xr:uid="{00000000-0005-0000-0000-0000121E0000}"/>
    <cellStyle name="표준 18 2 2 2 3 2 5" xfId="7739" xr:uid="{00000000-0005-0000-0000-0000131E0000}"/>
    <cellStyle name="표준 18 2 2 2 3 3" xfId="7740" xr:uid="{00000000-0005-0000-0000-0000141E0000}"/>
    <cellStyle name="표준 18 2 2 2 3 3 2" xfId="7741" xr:uid="{00000000-0005-0000-0000-0000151E0000}"/>
    <cellStyle name="표준 18 2 2 2 3 3 2 2" xfId="7742" xr:uid="{00000000-0005-0000-0000-0000161E0000}"/>
    <cellStyle name="표준 18 2 2 2 3 3 2 2 2" xfId="7743" xr:uid="{00000000-0005-0000-0000-0000171E0000}"/>
    <cellStyle name="표준 18 2 2 2 3 3 2 3" xfId="7744" xr:uid="{00000000-0005-0000-0000-0000181E0000}"/>
    <cellStyle name="표준 18 2 2 2 3 3 3" xfId="7745" xr:uid="{00000000-0005-0000-0000-0000191E0000}"/>
    <cellStyle name="표준 18 2 2 2 3 3 3 2" xfId="7746" xr:uid="{00000000-0005-0000-0000-00001A1E0000}"/>
    <cellStyle name="표준 18 2 2 2 3 3 4" xfId="7747" xr:uid="{00000000-0005-0000-0000-00001B1E0000}"/>
    <cellStyle name="표준 18 2 2 2 3 4" xfId="7748" xr:uid="{00000000-0005-0000-0000-00001C1E0000}"/>
    <cellStyle name="표준 18 2 2 2 3 4 2" xfId="7749" xr:uid="{00000000-0005-0000-0000-00001D1E0000}"/>
    <cellStyle name="표준 18 2 2 2 3 4 2 2" xfId="7750" xr:uid="{00000000-0005-0000-0000-00001E1E0000}"/>
    <cellStyle name="표준 18 2 2 2 3 4 3" xfId="7751" xr:uid="{00000000-0005-0000-0000-00001F1E0000}"/>
    <cellStyle name="표준 18 2 2 2 3 5" xfId="7752" xr:uid="{00000000-0005-0000-0000-0000201E0000}"/>
    <cellStyle name="표준 18 2 2 2 3 5 2" xfId="7753" xr:uid="{00000000-0005-0000-0000-0000211E0000}"/>
    <cellStyle name="표준 18 2 2 2 3 6" xfId="7754" xr:uid="{00000000-0005-0000-0000-0000221E0000}"/>
    <cellStyle name="표준 18 2 2 2 4" xfId="7755" xr:uid="{00000000-0005-0000-0000-0000231E0000}"/>
    <cellStyle name="표준 18 2 2 2 4 2" xfId="7756" xr:uid="{00000000-0005-0000-0000-0000241E0000}"/>
    <cellStyle name="표준 18 2 2 2 4 2 2" xfId="7757" xr:uid="{00000000-0005-0000-0000-0000251E0000}"/>
    <cellStyle name="표준 18 2 2 2 4 2 2 2" xfId="7758" xr:uid="{00000000-0005-0000-0000-0000261E0000}"/>
    <cellStyle name="표준 18 2 2 2 4 2 2 2 2" xfId="7759" xr:uid="{00000000-0005-0000-0000-0000271E0000}"/>
    <cellStyle name="표준 18 2 2 2 4 2 2 3" xfId="7760" xr:uid="{00000000-0005-0000-0000-0000281E0000}"/>
    <cellStyle name="표준 18 2 2 2 4 2 3" xfId="7761" xr:uid="{00000000-0005-0000-0000-0000291E0000}"/>
    <cellStyle name="표준 18 2 2 2 4 2 3 2" xfId="7762" xr:uid="{00000000-0005-0000-0000-00002A1E0000}"/>
    <cellStyle name="표준 18 2 2 2 4 2 4" xfId="7763" xr:uid="{00000000-0005-0000-0000-00002B1E0000}"/>
    <cellStyle name="표준 18 2 2 2 4 3" xfId="7764" xr:uid="{00000000-0005-0000-0000-00002C1E0000}"/>
    <cellStyle name="표준 18 2 2 2 4 3 2" xfId="7765" xr:uid="{00000000-0005-0000-0000-00002D1E0000}"/>
    <cellStyle name="표준 18 2 2 2 4 3 2 2" xfId="7766" xr:uid="{00000000-0005-0000-0000-00002E1E0000}"/>
    <cellStyle name="표준 18 2 2 2 4 3 3" xfId="7767" xr:uid="{00000000-0005-0000-0000-00002F1E0000}"/>
    <cellStyle name="표준 18 2 2 2 4 4" xfId="7768" xr:uid="{00000000-0005-0000-0000-0000301E0000}"/>
    <cellStyle name="표준 18 2 2 2 4 4 2" xfId="7769" xr:uid="{00000000-0005-0000-0000-0000311E0000}"/>
    <cellStyle name="표준 18 2 2 2 4 5" xfId="7770" xr:uid="{00000000-0005-0000-0000-0000321E0000}"/>
    <cellStyle name="표준 18 2 2 2 5" xfId="7771" xr:uid="{00000000-0005-0000-0000-0000331E0000}"/>
    <cellStyle name="표준 18 2 2 2 5 2" xfId="7772" xr:uid="{00000000-0005-0000-0000-0000341E0000}"/>
    <cellStyle name="표준 18 2 2 2 5 2 2" xfId="7773" xr:uid="{00000000-0005-0000-0000-0000351E0000}"/>
    <cellStyle name="표준 18 2 2 2 5 2 2 2" xfId="7774" xr:uid="{00000000-0005-0000-0000-0000361E0000}"/>
    <cellStyle name="표준 18 2 2 2 5 2 3" xfId="7775" xr:uid="{00000000-0005-0000-0000-0000371E0000}"/>
    <cellStyle name="표준 18 2 2 2 5 3" xfId="7776" xr:uid="{00000000-0005-0000-0000-0000381E0000}"/>
    <cellStyle name="표준 18 2 2 2 5 3 2" xfId="7777" xr:uid="{00000000-0005-0000-0000-0000391E0000}"/>
    <cellStyle name="표준 18 2 2 2 5 4" xfId="7778" xr:uid="{00000000-0005-0000-0000-00003A1E0000}"/>
    <cellStyle name="표준 18 2 2 2 6" xfId="7779" xr:uid="{00000000-0005-0000-0000-00003B1E0000}"/>
    <cellStyle name="표준 18 2 2 2 6 2" xfId="7780" xr:uid="{00000000-0005-0000-0000-00003C1E0000}"/>
    <cellStyle name="표준 18 2 2 2 6 2 2" xfId="7781" xr:uid="{00000000-0005-0000-0000-00003D1E0000}"/>
    <cellStyle name="표준 18 2 2 2 6 3" xfId="7782" xr:uid="{00000000-0005-0000-0000-00003E1E0000}"/>
    <cellStyle name="표준 18 2 2 2 7" xfId="7783" xr:uid="{00000000-0005-0000-0000-00003F1E0000}"/>
    <cellStyle name="표준 18 2 2 2 7 2" xfId="7784" xr:uid="{00000000-0005-0000-0000-0000401E0000}"/>
    <cellStyle name="표준 18 2 2 2 8" xfId="7785" xr:uid="{00000000-0005-0000-0000-0000411E0000}"/>
    <cellStyle name="표준 18 2 2 2 9" xfId="7786" xr:uid="{00000000-0005-0000-0000-0000421E0000}"/>
    <cellStyle name="표준 18 2 2 3" xfId="7787" xr:uid="{00000000-0005-0000-0000-0000431E0000}"/>
    <cellStyle name="표준 18 2 2 3 2" xfId="7788" xr:uid="{00000000-0005-0000-0000-0000441E0000}"/>
    <cellStyle name="표준 18 2 2 3 2 2" xfId="7789" xr:uid="{00000000-0005-0000-0000-0000451E0000}"/>
    <cellStyle name="표준 18 2 2 3 2 2 2" xfId="7790" xr:uid="{00000000-0005-0000-0000-0000461E0000}"/>
    <cellStyle name="표준 18 2 2 3 2 2 2 2" xfId="7791" xr:uid="{00000000-0005-0000-0000-0000471E0000}"/>
    <cellStyle name="표준 18 2 2 3 2 2 2 2 2" xfId="7792" xr:uid="{00000000-0005-0000-0000-0000481E0000}"/>
    <cellStyle name="표준 18 2 2 3 2 2 2 2 2 2" xfId="7793" xr:uid="{00000000-0005-0000-0000-0000491E0000}"/>
    <cellStyle name="표준 18 2 2 3 2 2 2 2 3" xfId="7794" xr:uid="{00000000-0005-0000-0000-00004A1E0000}"/>
    <cellStyle name="표준 18 2 2 3 2 2 2 3" xfId="7795" xr:uid="{00000000-0005-0000-0000-00004B1E0000}"/>
    <cellStyle name="표준 18 2 2 3 2 2 2 3 2" xfId="7796" xr:uid="{00000000-0005-0000-0000-00004C1E0000}"/>
    <cellStyle name="표준 18 2 2 3 2 2 2 4" xfId="7797" xr:uid="{00000000-0005-0000-0000-00004D1E0000}"/>
    <cellStyle name="표준 18 2 2 3 2 2 3" xfId="7798" xr:uid="{00000000-0005-0000-0000-00004E1E0000}"/>
    <cellStyle name="표준 18 2 2 3 2 2 3 2" xfId="7799" xr:uid="{00000000-0005-0000-0000-00004F1E0000}"/>
    <cellStyle name="표준 18 2 2 3 2 2 3 2 2" xfId="7800" xr:uid="{00000000-0005-0000-0000-0000501E0000}"/>
    <cellStyle name="표준 18 2 2 3 2 2 3 3" xfId="7801" xr:uid="{00000000-0005-0000-0000-0000511E0000}"/>
    <cellStyle name="표준 18 2 2 3 2 2 4" xfId="7802" xr:uid="{00000000-0005-0000-0000-0000521E0000}"/>
    <cellStyle name="표준 18 2 2 3 2 2 4 2" xfId="7803" xr:uid="{00000000-0005-0000-0000-0000531E0000}"/>
    <cellStyle name="표준 18 2 2 3 2 2 5" xfId="7804" xr:uid="{00000000-0005-0000-0000-0000541E0000}"/>
    <cellStyle name="표준 18 2 2 3 2 3" xfId="7805" xr:uid="{00000000-0005-0000-0000-0000551E0000}"/>
    <cellStyle name="표준 18 2 2 3 2 3 2" xfId="7806" xr:uid="{00000000-0005-0000-0000-0000561E0000}"/>
    <cellStyle name="표준 18 2 2 3 2 3 2 2" xfId="7807" xr:uid="{00000000-0005-0000-0000-0000571E0000}"/>
    <cellStyle name="표준 18 2 2 3 2 3 2 2 2" xfId="7808" xr:uid="{00000000-0005-0000-0000-0000581E0000}"/>
    <cellStyle name="표준 18 2 2 3 2 3 2 3" xfId="7809" xr:uid="{00000000-0005-0000-0000-0000591E0000}"/>
    <cellStyle name="표준 18 2 2 3 2 3 3" xfId="7810" xr:uid="{00000000-0005-0000-0000-00005A1E0000}"/>
    <cellStyle name="표준 18 2 2 3 2 3 3 2" xfId="7811" xr:uid="{00000000-0005-0000-0000-00005B1E0000}"/>
    <cellStyle name="표준 18 2 2 3 2 3 4" xfId="7812" xr:uid="{00000000-0005-0000-0000-00005C1E0000}"/>
    <cellStyle name="표준 18 2 2 3 2 4" xfId="7813" xr:uid="{00000000-0005-0000-0000-00005D1E0000}"/>
    <cellStyle name="표준 18 2 2 3 2 4 2" xfId="7814" xr:uid="{00000000-0005-0000-0000-00005E1E0000}"/>
    <cellStyle name="표준 18 2 2 3 2 4 2 2" xfId="7815" xr:uid="{00000000-0005-0000-0000-00005F1E0000}"/>
    <cellStyle name="표준 18 2 2 3 2 4 3" xfId="7816" xr:uid="{00000000-0005-0000-0000-0000601E0000}"/>
    <cellStyle name="표준 18 2 2 3 2 5" xfId="7817" xr:uid="{00000000-0005-0000-0000-0000611E0000}"/>
    <cellStyle name="표준 18 2 2 3 2 5 2" xfId="7818" xr:uid="{00000000-0005-0000-0000-0000621E0000}"/>
    <cellStyle name="표준 18 2 2 3 2 6" xfId="7819" xr:uid="{00000000-0005-0000-0000-0000631E0000}"/>
    <cellStyle name="표준 18 2 2 3 3" xfId="7820" xr:uid="{00000000-0005-0000-0000-0000641E0000}"/>
    <cellStyle name="표준 18 2 2 3 3 2" xfId="7821" xr:uid="{00000000-0005-0000-0000-0000651E0000}"/>
    <cellStyle name="표준 18 2 2 3 3 2 2" xfId="7822" xr:uid="{00000000-0005-0000-0000-0000661E0000}"/>
    <cellStyle name="표준 18 2 2 3 3 2 2 2" xfId="7823" xr:uid="{00000000-0005-0000-0000-0000671E0000}"/>
    <cellStyle name="표준 18 2 2 3 3 2 2 2 2" xfId="7824" xr:uid="{00000000-0005-0000-0000-0000681E0000}"/>
    <cellStyle name="표준 18 2 2 3 3 2 2 3" xfId="7825" xr:uid="{00000000-0005-0000-0000-0000691E0000}"/>
    <cellStyle name="표준 18 2 2 3 3 2 3" xfId="7826" xr:uid="{00000000-0005-0000-0000-00006A1E0000}"/>
    <cellStyle name="표준 18 2 2 3 3 2 3 2" xfId="7827" xr:uid="{00000000-0005-0000-0000-00006B1E0000}"/>
    <cellStyle name="표준 18 2 2 3 3 2 4" xfId="7828" xr:uid="{00000000-0005-0000-0000-00006C1E0000}"/>
    <cellStyle name="표준 18 2 2 3 3 3" xfId="7829" xr:uid="{00000000-0005-0000-0000-00006D1E0000}"/>
    <cellStyle name="표준 18 2 2 3 3 3 2" xfId="7830" xr:uid="{00000000-0005-0000-0000-00006E1E0000}"/>
    <cellStyle name="표준 18 2 2 3 3 3 2 2" xfId="7831" xr:uid="{00000000-0005-0000-0000-00006F1E0000}"/>
    <cellStyle name="표준 18 2 2 3 3 3 3" xfId="7832" xr:uid="{00000000-0005-0000-0000-0000701E0000}"/>
    <cellStyle name="표준 18 2 2 3 3 4" xfId="7833" xr:uid="{00000000-0005-0000-0000-0000711E0000}"/>
    <cellStyle name="표준 18 2 2 3 3 4 2" xfId="7834" xr:uid="{00000000-0005-0000-0000-0000721E0000}"/>
    <cellStyle name="표준 18 2 2 3 3 5" xfId="7835" xr:uid="{00000000-0005-0000-0000-0000731E0000}"/>
    <cellStyle name="표준 18 2 2 3 4" xfId="7836" xr:uid="{00000000-0005-0000-0000-0000741E0000}"/>
    <cellStyle name="표준 18 2 2 3 4 2" xfId="7837" xr:uid="{00000000-0005-0000-0000-0000751E0000}"/>
    <cellStyle name="표준 18 2 2 3 4 2 2" xfId="7838" xr:uid="{00000000-0005-0000-0000-0000761E0000}"/>
    <cellStyle name="표준 18 2 2 3 4 2 2 2" xfId="7839" xr:uid="{00000000-0005-0000-0000-0000771E0000}"/>
    <cellStyle name="표준 18 2 2 3 4 2 3" xfId="7840" xr:uid="{00000000-0005-0000-0000-0000781E0000}"/>
    <cellStyle name="표준 18 2 2 3 4 3" xfId="7841" xr:uid="{00000000-0005-0000-0000-0000791E0000}"/>
    <cellStyle name="표준 18 2 2 3 4 3 2" xfId="7842" xr:uid="{00000000-0005-0000-0000-00007A1E0000}"/>
    <cellStyle name="표준 18 2 2 3 4 4" xfId="7843" xr:uid="{00000000-0005-0000-0000-00007B1E0000}"/>
    <cellStyle name="표준 18 2 2 3 5" xfId="7844" xr:uid="{00000000-0005-0000-0000-00007C1E0000}"/>
    <cellStyle name="표준 18 2 2 3 5 2" xfId="7845" xr:uid="{00000000-0005-0000-0000-00007D1E0000}"/>
    <cellStyle name="표준 18 2 2 3 5 2 2" xfId="7846" xr:uid="{00000000-0005-0000-0000-00007E1E0000}"/>
    <cellStyle name="표준 18 2 2 3 5 3" xfId="7847" xr:uid="{00000000-0005-0000-0000-00007F1E0000}"/>
    <cellStyle name="표준 18 2 2 3 6" xfId="7848" xr:uid="{00000000-0005-0000-0000-0000801E0000}"/>
    <cellStyle name="표준 18 2 2 3 6 2" xfId="7849" xr:uid="{00000000-0005-0000-0000-0000811E0000}"/>
    <cellStyle name="표준 18 2 2 3 7" xfId="7850" xr:uid="{00000000-0005-0000-0000-0000821E0000}"/>
    <cellStyle name="표준 18 2 2 3 8" xfId="7851" xr:uid="{00000000-0005-0000-0000-0000831E0000}"/>
    <cellStyle name="표준 18 2 2 4" xfId="7852" xr:uid="{00000000-0005-0000-0000-0000841E0000}"/>
    <cellStyle name="표준 18 2 2 4 2" xfId="7853" xr:uid="{00000000-0005-0000-0000-0000851E0000}"/>
    <cellStyle name="표준 18 2 2 4 2 2" xfId="7854" xr:uid="{00000000-0005-0000-0000-0000861E0000}"/>
    <cellStyle name="표준 18 2 2 4 2 2 2" xfId="7855" xr:uid="{00000000-0005-0000-0000-0000871E0000}"/>
    <cellStyle name="표준 18 2 2 4 2 2 2 2" xfId="7856" xr:uid="{00000000-0005-0000-0000-0000881E0000}"/>
    <cellStyle name="표준 18 2 2 4 2 2 2 2 2" xfId="7857" xr:uid="{00000000-0005-0000-0000-0000891E0000}"/>
    <cellStyle name="표준 18 2 2 4 2 2 2 3" xfId="7858" xr:uid="{00000000-0005-0000-0000-00008A1E0000}"/>
    <cellStyle name="표준 18 2 2 4 2 2 3" xfId="7859" xr:uid="{00000000-0005-0000-0000-00008B1E0000}"/>
    <cellStyle name="표준 18 2 2 4 2 2 3 2" xfId="7860" xr:uid="{00000000-0005-0000-0000-00008C1E0000}"/>
    <cellStyle name="표준 18 2 2 4 2 2 4" xfId="7861" xr:uid="{00000000-0005-0000-0000-00008D1E0000}"/>
    <cellStyle name="표준 18 2 2 4 2 3" xfId="7862" xr:uid="{00000000-0005-0000-0000-00008E1E0000}"/>
    <cellStyle name="표준 18 2 2 4 2 3 2" xfId="7863" xr:uid="{00000000-0005-0000-0000-00008F1E0000}"/>
    <cellStyle name="표준 18 2 2 4 2 3 2 2" xfId="7864" xr:uid="{00000000-0005-0000-0000-0000901E0000}"/>
    <cellStyle name="표준 18 2 2 4 2 3 3" xfId="7865" xr:uid="{00000000-0005-0000-0000-0000911E0000}"/>
    <cellStyle name="표준 18 2 2 4 2 4" xfId="7866" xr:uid="{00000000-0005-0000-0000-0000921E0000}"/>
    <cellStyle name="표준 18 2 2 4 2 4 2" xfId="7867" xr:uid="{00000000-0005-0000-0000-0000931E0000}"/>
    <cellStyle name="표준 18 2 2 4 2 5" xfId="7868" xr:uid="{00000000-0005-0000-0000-0000941E0000}"/>
    <cellStyle name="표준 18 2 2 4 3" xfId="7869" xr:uid="{00000000-0005-0000-0000-0000951E0000}"/>
    <cellStyle name="표준 18 2 2 4 3 2" xfId="7870" xr:uid="{00000000-0005-0000-0000-0000961E0000}"/>
    <cellStyle name="표준 18 2 2 4 3 2 2" xfId="7871" xr:uid="{00000000-0005-0000-0000-0000971E0000}"/>
    <cellStyle name="표준 18 2 2 4 3 2 2 2" xfId="7872" xr:uid="{00000000-0005-0000-0000-0000981E0000}"/>
    <cellStyle name="표준 18 2 2 4 3 2 3" xfId="7873" xr:uid="{00000000-0005-0000-0000-0000991E0000}"/>
    <cellStyle name="표준 18 2 2 4 3 3" xfId="7874" xr:uid="{00000000-0005-0000-0000-00009A1E0000}"/>
    <cellStyle name="표준 18 2 2 4 3 3 2" xfId="7875" xr:uid="{00000000-0005-0000-0000-00009B1E0000}"/>
    <cellStyle name="표준 18 2 2 4 3 4" xfId="7876" xr:uid="{00000000-0005-0000-0000-00009C1E0000}"/>
    <cellStyle name="표준 18 2 2 4 4" xfId="7877" xr:uid="{00000000-0005-0000-0000-00009D1E0000}"/>
    <cellStyle name="표준 18 2 2 4 4 2" xfId="7878" xr:uid="{00000000-0005-0000-0000-00009E1E0000}"/>
    <cellStyle name="표준 18 2 2 4 4 2 2" xfId="7879" xr:uid="{00000000-0005-0000-0000-00009F1E0000}"/>
    <cellStyle name="표준 18 2 2 4 4 3" xfId="7880" xr:uid="{00000000-0005-0000-0000-0000A01E0000}"/>
    <cellStyle name="표준 18 2 2 4 5" xfId="7881" xr:uid="{00000000-0005-0000-0000-0000A11E0000}"/>
    <cellStyle name="표준 18 2 2 4 5 2" xfId="7882" xr:uid="{00000000-0005-0000-0000-0000A21E0000}"/>
    <cellStyle name="표준 18 2 2 4 6" xfId="7883" xr:uid="{00000000-0005-0000-0000-0000A31E0000}"/>
    <cellStyle name="표준 18 2 2 5" xfId="7884" xr:uid="{00000000-0005-0000-0000-0000A41E0000}"/>
    <cellStyle name="표준 18 2 2 5 2" xfId="7885" xr:uid="{00000000-0005-0000-0000-0000A51E0000}"/>
    <cellStyle name="표준 18 2 2 5 2 2" xfId="7886" xr:uid="{00000000-0005-0000-0000-0000A61E0000}"/>
    <cellStyle name="표준 18 2 2 5 2 2 2" xfId="7887" xr:uid="{00000000-0005-0000-0000-0000A71E0000}"/>
    <cellStyle name="표준 18 2 2 5 2 2 2 2" xfId="7888" xr:uid="{00000000-0005-0000-0000-0000A81E0000}"/>
    <cellStyle name="표준 18 2 2 5 2 2 3" xfId="7889" xr:uid="{00000000-0005-0000-0000-0000A91E0000}"/>
    <cellStyle name="표준 18 2 2 5 2 3" xfId="7890" xr:uid="{00000000-0005-0000-0000-0000AA1E0000}"/>
    <cellStyle name="표준 18 2 2 5 2 3 2" xfId="7891" xr:uid="{00000000-0005-0000-0000-0000AB1E0000}"/>
    <cellStyle name="표준 18 2 2 5 2 4" xfId="7892" xr:uid="{00000000-0005-0000-0000-0000AC1E0000}"/>
    <cellStyle name="표준 18 2 2 5 3" xfId="7893" xr:uid="{00000000-0005-0000-0000-0000AD1E0000}"/>
    <cellStyle name="표준 18 2 2 5 3 2" xfId="7894" xr:uid="{00000000-0005-0000-0000-0000AE1E0000}"/>
    <cellStyle name="표준 18 2 2 5 3 2 2" xfId="7895" xr:uid="{00000000-0005-0000-0000-0000AF1E0000}"/>
    <cellStyle name="표준 18 2 2 5 3 3" xfId="7896" xr:uid="{00000000-0005-0000-0000-0000B01E0000}"/>
    <cellStyle name="표준 18 2 2 5 4" xfId="7897" xr:uid="{00000000-0005-0000-0000-0000B11E0000}"/>
    <cellStyle name="표준 18 2 2 5 4 2" xfId="7898" xr:uid="{00000000-0005-0000-0000-0000B21E0000}"/>
    <cellStyle name="표준 18 2 2 5 5" xfId="7899" xr:uid="{00000000-0005-0000-0000-0000B31E0000}"/>
    <cellStyle name="표준 18 2 2 6" xfId="7900" xr:uid="{00000000-0005-0000-0000-0000B41E0000}"/>
    <cellStyle name="표준 18 2 2 6 2" xfId="7901" xr:uid="{00000000-0005-0000-0000-0000B51E0000}"/>
    <cellStyle name="표준 18 2 2 6 2 2" xfId="7902" xr:uid="{00000000-0005-0000-0000-0000B61E0000}"/>
    <cellStyle name="표준 18 2 2 6 2 2 2" xfId="7903" xr:uid="{00000000-0005-0000-0000-0000B71E0000}"/>
    <cellStyle name="표준 18 2 2 6 2 3" xfId="7904" xr:uid="{00000000-0005-0000-0000-0000B81E0000}"/>
    <cellStyle name="표준 18 2 2 6 3" xfId="7905" xr:uid="{00000000-0005-0000-0000-0000B91E0000}"/>
    <cellStyle name="표준 18 2 2 6 3 2" xfId="7906" xr:uid="{00000000-0005-0000-0000-0000BA1E0000}"/>
    <cellStyle name="표준 18 2 2 6 4" xfId="7907" xr:uid="{00000000-0005-0000-0000-0000BB1E0000}"/>
    <cellStyle name="표준 18 2 2 7" xfId="7908" xr:uid="{00000000-0005-0000-0000-0000BC1E0000}"/>
    <cellStyle name="표준 18 2 2 7 2" xfId="7909" xr:uid="{00000000-0005-0000-0000-0000BD1E0000}"/>
    <cellStyle name="표준 18 2 2 7 2 2" xfId="7910" xr:uid="{00000000-0005-0000-0000-0000BE1E0000}"/>
    <cellStyle name="표준 18 2 2 7 3" xfId="7911" xr:uid="{00000000-0005-0000-0000-0000BF1E0000}"/>
    <cellStyle name="표준 18 2 2 8" xfId="7912" xr:uid="{00000000-0005-0000-0000-0000C01E0000}"/>
    <cellStyle name="표준 18 2 2 8 2" xfId="7913" xr:uid="{00000000-0005-0000-0000-0000C11E0000}"/>
    <cellStyle name="표준 18 2 2 9" xfId="7914" xr:uid="{00000000-0005-0000-0000-0000C21E0000}"/>
    <cellStyle name="표준 18 2 3" xfId="7915" xr:uid="{00000000-0005-0000-0000-0000C31E0000}"/>
    <cellStyle name="표준 18 2 3 2" xfId="7916" xr:uid="{00000000-0005-0000-0000-0000C41E0000}"/>
    <cellStyle name="표준 18 2 3 2 2" xfId="7917" xr:uid="{00000000-0005-0000-0000-0000C51E0000}"/>
    <cellStyle name="표준 18 2 3 2 2 2" xfId="7918" xr:uid="{00000000-0005-0000-0000-0000C61E0000}"/>
    <cellStyle name="표준 18 2 3 2 2 2 2" xfId="7919" xr:uid="{00000000-0005-0000-0000-0000C71E0000}"/>
    <cellStyle name="표준 18 2 3 2 2 2 2 2" xfId="7920" xr:uid="{00000000-0005-0000-0000-0000C81E0000}"/>
    <cellStyle name="표준 18 2 3 2 2 2 2 2 2" xfId="7921" xr:uid="{00000000-0005-0000-0000-0000C91E0000}"/>
    <cellStyle name="표준 18 2 3 2 2 2 2 2 2 2" xfId="7922" xr:uid="{00000000-0005-0000-0000-0000CA1E0000}"/>
    <cellStyle name="표준 18 2 3 2 2 2 2 2 3" xfId="7923" xr:uid="{00000000-0005-0000-0000-0000CB1E0000}"/>
    <cellStyle name="표준 18 2 3 2 2 2 2 3" xfId="7924" xr:uid="{00000000-0005-0000-0000-0000CC1E0000}"/>
    <cellStyle name="표준 18 2 3 2 2 2 2 3 2" xfId="7925" xr:uid="{00000000-0005-0000-0000-0000CD1E0000}"/>
    <cellStyle name="표준 18 2 3 2 2 2 2 4" xfId="7926" xr:uid="{00000000-0005-0000-0000-0000CE1E0000}"/>
    <cellStyle name="표준 18 2 3 2 2 2 3" xfId="7927" xr:uid="{00000000-0005-0000-0000-0000CF1E0000}"/>
    <cellStyle name="표준 18 2 3 2 2 2 3 2" xfId="7928" xr:uid="{00000000-0005-0000-0000-0000D01E0000}"/>
    <cellStyle name="표준 18 2 3 2 2 2 3 2 2" xfId="7929" xr:uid="{00000000-0005-0000-0000-0000D11E0000}"/>
    <cellStyle name="표준 18 2 3 2 2 2 3 3" xfId="7930" xr:uid="{00000000-0005-0000-0000-0000D21E0000}"/>
    <cellStyle name="표준 18 2 3 2 2 2 4" xfId="7931" xr:uid="{00000000-0005-0000-0000-0000D31E0000}"/>
    <cellStyle name="표준 18 2 3 2 2 2 4 2" xfId="7932" xr:uid="{00000000-0005-0000-0000-0000D41E0000}"/>
    <cellStyle name="표준 18 2 3 2 2 2 5" xfId="7933" xr:uid="{00000000-0005-0000-0000-0000D51E0000}"/>
    <cellStyle name="표준 18 2 3 2 2 3" xfId="7934" xr:uid="{00000000-0005-0000-0000-0000D61E0000}"/>
    <cellStyle name="표준 18 2 3 2 2 3 2" xfId="7935" xr:uid="{00000000-0005-0000-0000-0000D71E0000}"/>
    <cellStyle name="표준 18 2 3 2 2 3 2 2" xfId="7936" xr:uid="{00000000-0005-0000-0000-0000D81E0000}"/>
    <cellStyle name="표준 18 2 3 2 2 3 2 2 2" xfId="7937" xr:uid="{00000000-0005-0000-0000-0000D91E0000}"/>
    <cellStyle name="표준 18 2 3 2 2 3 2 3" xfId="7938" xr:uid="{00000000-0005-0000-0000-0000DA1E0000}"/>
    <cellStyle name="표준 18 2 3 2 2 3 3" xfId="7939" xr:uid="{00000000-0005-0000-0000-0000DB1E0000}"/>
    <cellStyle name="표준 18 2 3 2 2 3 3 2" xfId="7940" xr:uid="{00000000-0005-0000-0000-0000DC1E0000}"/>
    <cellStyle name="표준 18 2 3 2 2 3 4" xfId="7941" xr:uid="{00000000-0005-0000-0000-0000DD1E0000}"/>
    <cellStyle name="표준 18 2 3 2 2 4" xfId="7942" xr:uid="{00000000-0005-0000-0000-0000DE1E0000}"/>
    <cellStyle name="표준 18 2 3 2 2 4 2" xfId="7943" xr:uid="{00000000-0005-0000-0000-0000DF1E0000}"/>
    <cellStyle name="표준 18 2 3 2 2 4 2 2" xfId="7944" xr:uid="{00000000-0005-0000-0000-0000E01E0000}"/>
    <cellStyle name="표준 18 2 3 2 2 4 3" xfId="7945" xr:uid="{00000000-0005-0000-0000-0000E11E0000}"/>
    <cellStyle name="표준 18 2 3 2 2 5" xfId="7946" xr:uid="{00000000-0005-0000-0000-0000E21E0000}"/>
    <cellStyle name="표준 18 2 3 2 2 5 2" xfId="7947" xr:uid="{00000000-0005-0000-0000-0000E31E0000}"/>
    <cellStyle name="표준 18 2 3 2 2 6" xfId="7948" xr:uid="{00000000-0005-0000-0000-0000E41E0000}"/>
    <cellStyle name="표준 18 2 3 2 3" xfId="7949" xr:uid="{00000000-0005-0000-0000-0000E51E0000}"/>
    <cellStyle name="표준 18 2 3 2 3 2" xfId="7950" xr:uid="{00000000-0005-0000-0000-0000E61E0000}"/>
    <cellStyle name="표준 18 2 3 2 3 2 2" xfId="7951" xr:uid="{00000000-0005-0000-0000-0000E71E0000}"/>
    <cellStyle name="표준 18 2 3 2 3 2 2 2" xfId="7952" xr:uid="{00000000-0005-0000-0000-0000E81E0000}"/>
    <cellStyle name="표준 18 2 3 2 3 2 2 2 2" xfId="7953" xr:uid="{00000000-0005-0000-0000-0000E91E0000}"/>
    <cellStyle name="표준 18 2 3 2 3 2 2 3" xfId="7954" xr:uid="{00000000-0005-0000-0000-0000EA1E0000}"/>
    <cellStyle name="표준 18 2 3 2 3 2 3" xfId="7955" xr:uid="{00000000-0005-0000-0000-0000EB1E0000}"/>
    <cellStyle name="표준 18 2 3 2 3 2 3 2" xfId="7956" xr:uid="{00000000-0005-0000-0000-0000EC1E0000}"/>
    <cellStyle name="표준 18 2 3 2 3 2 4" xfId="7957" xr:uid="{00000000-0005-0000-0000-0000ED1E0000}"/>
    <cellStyle name="표준 18 2 3 2 3 3" xfId="7958" xr:uid="{00000000-0005-0000-0000-0000EE1E0000}"/>
    <cellStyle name="표준 18 2 3 2 3 3 2" xfId="7959" xr:uid="{00000000-0005-0000-0000-0000EF1E0000}"/>
    <cellStyle name="표준 18 2 3 2 3 3 2 2" xfId="7960" xr:uid="{00000000-0005-0000-0000-0000F01E0000}"/>
    <cellStyle name="표준 18 2 3 2 3 3 3" xfId="7961" xr:uid="{00000000-0005-0000-0000-0000F11E0000}"/>
    <cellStyle name="표준 18 2 3 2 3 4" xfId="7962" xr:uid="{00000000-0005-0000-0000-0000F21E0000}"/>
    <cellStyle name="표준 18 2 3 2 3 4 2" xfId="7963" xr:uid="{00000000-0005-0000-0000-0000F31E0000}"/>
    <cellStyle name="표준 18 2 3 2 3 5" xfId="7964" xr:uid="{00000000-0005-0000-0000-0000F41E0000}"/>
    <cellStyle name="표준 18 2 3 2 4" xfId="7965" xr:uid="{00000000-0005-0000-0000-0000F51E0000}"/>
    <cellStyle name="표준 18 2 3 2 4 2" xfId="7966" xr:uid="{00000000-0005-0000-0000-0000F61E0000}"/>
    <cellStyle name="표준 18 2 3 2 4 2 2" xfId="7967" xr:uid="{00000000-0005-0000-0000-0000F71E0000}"/>
    <cellStyle name="표준 18 2 3 2 4 2 2 2" xfId="7968" xr:uid="{00000000-0005-0000-0000-0000F81E0000}"/>
    <cellStyle name="표준 18 2 3 2 4 2 3" xfId="7969" xr:uid="{00000000-0005-0000-0000-0000F91E0000}"/>
    <cellStyle name="표준 18 2 3 2 4 3" xfId="7970" xr:uid="{00000000-0005-0000-0000-0000FA1E0000}"/>
    <cellStyle name="표준 18 2 3 2 4 3 2" xfId="7971" xr:uid="{00000000-0005-0000-0000-0000FB1E0000}"/>
    <cellStyle name="표준 18 2 3 2 4 4" xfId="7972" xr:uid="{00000000-0005-0000-0000-0000FC1E0000}"/>
    <cellStyle name="표준 18 2 3 2 5" xfId="7973" xr:uid="{00000000-0005-0000-0000-0000FD1E0000}"/>
    <cellStyle name="표준 18 2 3 2 5 2" xfId="7974" xr:uid="{00000000-0005-0000-0000-0000FE1E0000}"/>
    <cellStyle name="표준 18 2 3 2 5 2 2" xfId="7975" xr:uid="{00000000-0005-0000-0000-0000FF1E0000}"/>
    <cellStyle name="표준 18 2 3 2 5 3" xfId="7976" xr:uid="{00000000-0005-0000-0000-0000001F0000}"/>
    <cellStyle name="표준 18 2 3 2 6" xfId="7977" xr:uid="{00000000-0005-0000-0000-0000011F0000}"/>
    <cellStyle name="표준 18 2 3 2 6 2" xfId="7978" xr:uid="{00000000-0005-0000-0000-0000021F0000}"/>
    <cellStyle name="표준 18 2 3 2 7" xfId="7979" xr:uid="{00000000-0005-0000-0000-0000031F0000}"/>
    <cellStyle name="표준 18 2 3 2 8" xfId="7980" xr:uid="{00000000-0005-0000-0000-0000041F0000}"/>
    <cellStyle name="표준 18 2 3 3" xfId="7981" xr:uid="{00000000-0005-0000-0000-0000051F0000}"/>
    <cellStyle name="표준 18 2 3 3 2" xfId="7982" xr:uid="{00000000-0005-0000-0000-0000061F0000}"/>
    <cellStyle name="표준 18 2 3 3 2 2" xfId="7983" xr:uid="{00000000-0005-0000-0000-0000071F0000}"/>
    <cellStyle name="표준 18 2 3 3 2 2 2" xfId="7984" xr:uid="{00000000-0005-0000-0000-0000081F0000}"/>
    <cellStyle name="표준 18 2 3 3 2 2 2 2" xfId="7985" xr:uid="{00000000-0005-0000-0000-0000091F0000}"/>
    <cellStyle name="표준 18 2 3 3 2 2 2 2 2" xfId="7986" xr:uid="{00000000-0005-0000-0000-00000A1F0000}"/>
    <cellStyle name="표준 18 2 3 3 2 2 2 3" xfId="7987" xr:uid="{00000000-0005-0000-0000-00000B1F0000}"/>
    <cellStyle name="표준 18 2 3 3 2 2 3" xfId="7988" xr:uid="{00000000-0005-0000-0000-00000C1F0000}"/>
    <cellStyle name="표준 18 2 3 3 2 2 3 2" xfId="7989" xr:uid="{00000000-0005-0000-0000-00000D1F0000}"/>
    <cellStyle name="표준 18 2 3 3 2 2 4" xfId="7990" xr:uid="{00000000-0005-0000-0000-00000E1F0000}"/>
    <cellStyle name="표준 18 2 3 3 2 3" xfId="7991" xr:uid="{00000000-0005-0000-0000-00000F1F0000}"/>
    <cellStyle name="표준 18 2 3 3 2 3 2" xfId="7992" xr:uid="{00000000-0005-0000-0000-0000101F0000}"/>
    <cellStyle name="표준 18 2 3 3 2 3 2 2" xfId="7993" xr:uid="{00000000-0005-0000-0000-0000111F0000}"/>
    <cellStyle name="표준 18 2 3 3 2 3 3" xfId="7994" xr:uid="{00000000-0005-0000-0000-0000121F0000}"/>
    <cellStyle name="표준 18 2 3 3 2 4" xfId="7995" xr:uid="{00000000-0005-0000-0000-0000131F0000}"/>
    <cellStyle name="표준 18 2 3 3 2 4 2" xfId="7996" xr:uid="{00000000-0005-0000-0000-0000141F0000}"/>
    <cellStyle name="표준 18 2 3 3 2 5" xfId="7997" xr:uid="{00000000-0005-0000-0000-0000151F0000}"/>
    <cellStyle name="표준 18 2 3 3 3" xfId="7998" xr:uid="{00000000-0005-0000-0000-0000161F0000}"/>
    <cellStyle name="표준 18 2 3 3 3 2" xfId="7999" xr:uid="{00000000-0005-0000-0000-0000171F0000}"/>
    <cellStyle name="표준 18 2 3 3 3 2 2" xfId="8000" xr:uid="{00000000-0005-0000-0000-0000181F0000}"/>
    <cellStyle name="표준 18 2 3 3 3 2 2 2" xfId="8001" xr:uid="{00000000-0005-0000-0000-0000191F0000}"/>
    <cellStyle name="표준 18 2 3 3 3 2 3" xfId="8002" xr:uid="{00000000-0005-0000-0000-00001A1F0000}"/>
    <cellStyle name="표준 18 2 3 3 3 3" xfId="8003" xr:uid="{00000000-0005-0000-0000-00001B1F0000}"/>
    <cellStyle name="표준 18 2 3 3 3 3 2" xfId="8004" xr:uid="{00000000-0005-0000-0000-00001C1F0000}"/>
    <cellStyle name="표준 18 2 3 3 3 4" xfId="8005" xr:uid="{00000000-0005-0000-0000-00001D1F0000}"/>
    <cellStyle name="표준 18 2 3 3 4" xfId="8006" xr:uid="{00000000-0005-0000-0000-00001E1F0000}"/>
    <cellStyle name="표준 18 2 3 3 4 2" xfId="8007" xr:uid="{00000000-0005-0000-0000-00001F1F0000}"/>
    <cellStyle name="표준 18 2 3 3 4 2 2" xfId="8008" xr:uid="{00000000-0005-0000-0000-0000201F0000}"/>
    <cellStyle name="표준 18 2 3 3 4 3" xfId="8009" xr:uid="{00000000-0005-0000-0000-0000211F0000}"/>
    <cellStyle name="표준 18 2 3 3 5" xfId="8010" xr:uid="{00000000-0005-0000-0000-0000221F0000}"/>
    <cellStyle name="표준 18 2 3 3 5 2" xfId="8011" xr:uid="{00000000-0005-0000-0000-0000231F0000}"/>
    <cellStyle name="표준 18 2 3 3 6" xfId="8012" xr:uid="{00000000-0005-0000-0000-0000241F0000}"/>
    <cellStyle name="표준 18 2 3 4" xfId="8013" xr:uid="{00000000-0005-0000-0000-0000251F0000}"/>
    <cellStyle name="표준 18 2 3 4 2" xfId="8014" xr:uid="{00000000-0005-0000-0000-0000261F0000}"/>
    <cellStyle name="표준 18 2 3 4 2 2" xfId="8015" xr:uid="{00000000-0005-0000-0000-0000271F0000}"/>
    <cellStyle name="표준 18 2 3 4 2 2 2" xfId="8016" xr:uid="{00000000-0005-0000-0000-0000281F0000}"/>
    <cellStyle name="표준 18 2 3 4 2 2 2 2" xfId="8017" xr:uid="{00000000-0005-0000-0000-0000291F0000}"/>
    <cellStyle name="표준 18 2 3 4 2 2 3" xfId="8018" xr:uid="{00000000-0005-0000-0000-00002A1F0000}"/>
    <cellStyle name="표준 18 2 3 4 2 3" xfId="8019" xr:uid="{00000000-0005-0000-0000-00002B1F0000}"/>
    <cellStyle name="표준 18 2 3 4 2 3 2" xfId="8020" xr:uid="{00000000-0005-0000-0000-00002C1F0000}"/>
    <cellStyle name="표준 18 2 3 4 2 4" xfId="8021" xr:uid="{00000000-0005-0000-0000-00002D1F0000}"/>
    <cellStyle name="표준 18 2 3 4 3" xfId="8022" xr:uid="{00000000-0005-0000-0000-00002E1F0000}"/>
    <cellStyle name="표준 18 2 3 4 3 2" xfId="8023" xr:uid="{00000000-0005-0000-0000-00002F1F0000}"/>
    <cellStyle name="표준 18 2 3 4 3 2 2" xfId="8024" xr:uid="{00000000-0005-0000-0000-0000301F0000}"/>
    <cellStyle name="표준 18 2 3 4 3 3" xfId="8025" xr:uid="{00000000-0005-0000-0000-0000311F0000}"/>
    <cellStyle name="표준 18 2 3 4 4" xfId="8026" xr:uid="{00000000-0005-0000-0000-0000321F0000}"/>
    <cellStyle name="표준 18 2 3 4 4 2" xfId="8027" xr:uid="{00000000-0005-0000-0000-0000331F0000}"/>
    <cellStyle name="표준 18 2 3 4 5" xfId="8028" xr:uid="{00000000-0005-0000-0000-0000341F0000}"/>
    <cellStyle name="표준 18 2 3 5" xfId="8029" xr:uid="{00000000-0005-0000-0000-0000351F0000}"/>
    <cellStyle name="표준 18 2 3 5 2" xfId="8030" xr:uid="{00000000-0005-0000-0000-0000361F0000}"/>
    <cellStyle name="표준 18 2 3 5 2 2" xfId="8031" xr:uid="{00000000-0005-0000-0000-0000371F0000}"/>
    <cellStyle name="표준 18 2 3 5 2 2 2" xfId="8032" xr:uid="{00000000-0005-0000-0000-0000381F0000}"/>
    <cellStyle name="표준 18 2 3 5 2 3" xfId="8033" xr:uid="{00000000-0005-0000-0000-0000391F0000}"/>
    <cellStyle name="표준 18 2 3 5 3" xfId="8034" xr:uid="{00000000-0005-0000-0000-00003A1F0000}"/>
    <cellStyle name="표준 18 2 3 5 3 2" xfId="8035" xr:uid="{00000000-0005-0000-0000-00003B1F0000}"/>
    <cellStyle name="표준 18 2 3 5 4" xfId="8036" xr:uid="{00000000-0005-0000-0000-00003C1F0000}"/>
    <cellStyle name="표준 18 2 3 6" xfId="8037" xr:uid="{00000000-0005-0000-0000-00003D1F0000}"/>
    <cellStyle name="표준 18 2 3 6 2" xfId="8038" xr:uid="{00000000-0005-0000-0000-00003E1F0000}"/>
    <cellStyle name="표준 18 2 3 6 2 2" xfId="8039" xr:uid="{00000000-0005-0000-0000-00003F1F0000}"/>
    <cellStyle name="표준 18 2 3 6 3" xfId="8040" xr:uid="{00000000-0005-0000-0000-0000401F0000}"/>
    <cellStyle name="표준 18 2 3 7" xfId="8041" xr:uid="{00000000-0005-0000-0000-0000411F0000}"/>
    <cellStyle name="표준 18 2 3 7 2" xfId="8042" xr:uid="{00000000-0005-0000-0000-0000421F0000}"/>
    <cellStyle name="표준 18 2 3 8" xfId="8043" xr:uid="{00000000-0005-0000-0000-0000431F0000}"/>
    <cellStyle name="표준 18 2 3 9" xfId="8044" xr:uid="{00000000-0005-0000-0000-0000441F0000}"/>
    <cellStyle name="표준 18 2 4" xfId="8045" xr:uid="{00000000-0005-0000-0000-0000451F0000}"/>
    <cellStyle name="표준 18 2 4 2" xfId="8046" xr:uid="{00000000-0005-0000-0000-0000461F0000}"/>
    <cellStyle name="표준 18 2 4 2 2" xfId="8047" xr:uid="{00000000-0005-0000-0000-0000471F0000}"/>
    <cellStyle name="표준 18 2 4 2 2 2" xfId="8048" xr:uid="{00000000-0005-0000-0000-0000481F0000}"/>
    <cellStyle name="표준 18 2 4 2 2 2 2" xfId="8049" xr:uid="{00000000-0005-0000-0000-0000491F0000}"/>
    <cellStyle name="표준 18 2 4 2 2 2 2 2" xfId="8050" xr:uid="{00000000-0005-0000-0000-00004A1F0000}"/>
    <cellStyle name="표준 18 2 4 2 2 2 2 2 2" xfId="8051" xr:uid="{00000000-0005-0000-0000-00004B1F0000}"/>
    <cellStyle name="표준 18 2 4 2 2 2 2 3" xfId="8052" xr:uid="{00000000-0005-0000-0000-00004C1F0000}"/>
    <cellStyle name="표준 18 2 4 2 2 2 3" xfId="8053" xr:uid="{00000000-0005-0000-0000-00004D1F0000}"/>
    <cellStyle name="표준 18 2 4 2 2 2 3 2" xfId="8054" xr:uid="{00000000-0005-0000-0000-00004E1F0000}"/>
    <cellStyle name="표준 18 2 4 2 2 2 4" xfId="8055" xr:uid="{00000000-0005-0000-0000-00004F1F0000}"/>
    <cellStyle name="표준 18 2 4 2 2 3" xfId="8056" xr:uid="{00000000-0005-0000-0000-0000501F0000}"/>
    <cellStyle name="표준 18 2 4 2 2 3 2" xfId="8057" xr:uid="{00000000-0005-0000-0000-0000511F0000}"/>
    <cellStyle name="표준 18 2 4 2 2 3 2 2" xfId="8058" xr:uid="{00000000-0005-0000-0000-0000521F0000}"/>
    <cellStyle name="표준 18 2 4 2 2 3 3" xfId="8059" xr:uid="{00000000-0005-0000-0000-0000531F0000}"/>
    <cellStyle name="표준 18 2 4 2 2 4" xfId="8060" xr:uid="{00000000-0005-0000-0000-0000541F0000}"/>
    <cellStyle name="표준 18 2 4 2 2 4 2" xfId="8061" xr:uid="{00000000-0005-0000-0000-0000551F0000}"/>
    <cellStyle name="표준 18 2 4 2 2 5" xfId="8062" xr:uid="{00000000-0005-0000-0000-0000561F0000}"/>
    <cellStyle name="표준 18 2 4 2 3" xfId="8063" xr:uid="{00000000-0005-0000-0000-0000571F0000}"/>
    <cellStyle name="표준 18 2 4 2 3 2" xfId="8064" xr:uid="{00000000-0005-0000-0000-0000581F0000}"/>
    <cellStyle name="표준 18 2 4 2 3 2 2" xfId="8065" xr:uid="{00000000-0005-0000-0000-0000591F0000}"/>
    <cellStyle name="표준 18 2 4 2 3 2 2 2" xfId="8066" xr:uid="{00000000-0005-0000-0000-00005A1F0000}"/>
    <cellStyle name="표준 18 2 4 2 3 2 3" xfId="8067" xr:uid="{00000000-0005-0000-0000-00005B1F0000}"/>
    <cellStyle name="표준 18 2 4 2 3 3" xfId="8068" xr:uid="{00000000-0005-0000-0000-00005C1F0000}"/>
    <cellStyle name="표준 18 2 4 2 3 3 2" xfId="8069" xr:uid="{00000000-0005-0000-0000-00005D1F0000}"/>
    <cellStyle name="표준 18 2 4 2 3 4" xfId="8070" xr:uid="{00000000-0005-0000-0000-00005E1F0000}"/>
    <cellStyle name="표준 18 2 4 2 4" xfId="8071" xr:uid="{00000000-0005-0000-0000-00005F1F0000}"/>
    <cellStyle name="표준 18 2 4 2 4 2" xfId="8072" xr:uid="{00000000-0005-0000-0000-0000601F0000}"/>
    <cellStyle name="표준 18 2 4 2 4 2 2" xfId="8073" xr:uid="{00000000-0005-0000-0000-0000611F0000}"/>
    <cellStyle name="표준 18 2 4 2 4 3" xfId="8074" xr:uid="{00000000-0005-0000-0000-0000621F0000}"/>
    <cellStyle name="표준 18 2 4 2 5" xfId="8075" xr:uid="{00000000-0005-0000-0000-0000631F0000}"/>
    <cellStyle name="표준 18 2 4 2 5 2" xfId="8076" xr:uid="{00000000-0005-0000-0000-0000641F0000}"/>
    <cellStyle name="표준 18 2 4 2 6" xfId="8077" xr:uid="{00000000-0005-0000-0000-0000651F0000}"/>
    <cellStyle name="표준 18 2 4 3" xfId="8078" xr:uid="{00000000-0005-0000-0000-0000661F0000}"/>
    <cellStyle name="표준 18 2 4 3 2" xfId="8079" xr:uid="{00000000-0005-0000-0000-0000671F0000}"/>
    <cellStyle name="표준 18 2 4 3 2 2" xfId="8080" xr:uid="{00000000-0005-0000-0000-0000681F0000}"/>
    <cellStyle name="표준 18 2 4 3 2 2 2" xfId="8081" xr:uid="{00000000-0005-0000-0000-0000691F0000}"/>
    <cellStyle name="표준 18 2 4 3 2 2 2 2" xfId="8082" xr:uid="{00000000-0005-0000-0000-00006A1F0000}"/>
    <cellStyle name="표준 18 2 4 3 2 2 3" xfId="8083" xr:uid="{00000000-0005-0000-0000-00006B1F0000}"/>
    <cellStyle name="표준 18 2 4 3 2 3" xfId="8084" xr:uid="{00000000-0005-0000-0000-00006C1F0000}"/>
    <cellStyle name="표준 18 2 4 3 2 3 2" xfId="8085" xr:uid="{00000000-0005-0000-0000-00006D1F0000}"/>
    <cellStyle name="표준 18 2 4 3 2 4" xfId="8086" xr:uid="{00000000-0005-0000-0000-00006E1F0000}"/>
    <cellStyle name="표준 18 2 4 3 3" xfId="8087" xr:uid="{00000000-0005-0000-0000-00006F1F0000}"/>
    <cellStyle name="표준 18 2 4 3 3 2" xfId="8088" xr:uid="{00000000-0005-0000-0000-0000701F0000}"/>
    <cellStyle name="표준 18 2 4 3 3 2 2" xfId="8089" xr:uid="{00000000-0005-0000-0000-0000711F0000}"/>
    <cellStyle name="표준 18 2 4 3 3 3" xfId="8090" xr:uid="{00000000-0005-0000-0000-0000721F0000}"/>
    <cellStyle name="표준 18 2 4 3 4" xfId="8091" xr:uid="{00000000-0005-0000-0000-0000731F0000}"/>
    <cellStyle name="표준 18 2 4 3 4 2" xfId="8092" xr:uid="{00000000-0005-0000-0000-0000741F0000}"/>
    <cellStyle name="표준 18 2 4 3 5" xfId="8093" xr:uid="{00000000-0005-0000-0000-0000751F0000}"/>
    <cellStyle name="표준 18 2 4 4" xfId="8094" xr:uid="{00000000-0005-0000-0000-0000761F0000}"/>
    <cellStyle name="표준 18 2 4 4 2" xfId="8095" xr:uid="{00000000-0005-0000-0000-0000771F0000}"/>
    <cellStyle name="표준 18 2 4 4 2 2" xfId="8096" xr:uid="{00000000-0005-0000-0000-0000781F0000}"/>
    <cellStyle name="표준 18 2 4 4 2 2 2" xfId="8097" xr:uid="{00000000-0005-0000-0000-0000791F0000}"/>
    <cellStyle name="표준 18 2 4 4 2 3" xfId="8098" xr:uid="{00000000-0005-0000-0000-00007A1F0000}"/>
    <cellStyle name="표준 18 2 4 4 3" xfId="8099" xr:uid="{00000000-0005-0000-0000-00007B1F0000}"/>
    <cellStyle name="표준 18 2 4 4 3 2" xfId="8100" xr:uid="{00000000-0005-0000-0000-00007C1F0000}"/>
    <cellStyle name="표준 18 2 4 4 4" xfId="8101" xr:uid="{00000000-0005-0000-0000-00007D1F0000}"/>
    <cellStyle name="표준 18 2 4 5" xfId="8102" xr:uid="{00000000-0005-0000-0000-00007E1F0000}"/>
    <cellStyle name="표준 18 2 4 5 2" xfId="8103" xr:uid="{00000000-0005-0000-0000-00007F1F0000}"/>
    <cellStyle name="표준 18 2 4 5 2 2" xfId="8104" xr:uid="{00000000-0005-0000-0000-0000801F0000}"/>
    <cellStyle name="표준 18 2 4 5 3" xfId="8105" xr:uid="{00000000-0005-0000-0000-0000811F0000}"/>
    <cellStyle name="표준 18 2 4 6" xfId="8106" xr:uid="{00000000-0005-0000-0000-0000821F0000}"/>
    <cellStyle name="표준 18 2 4 6 2" xfId="8107" xr:uid="{00000000-0005-0000-0000-0000831F0000}"/>
    <cellStyle name="표준 18 2 4 7" xfId="8108" xr:uid="{00000000-0005-0000-0000-0000841F0000}"/>
    <cellStyle name="표준 18 2 4 8" xfId="8109" xr:uid="{00000000-0005-0000-0000-0000851F0000}"/>
    <cellStyle name="표준 18 2 5" xfId="8110" xr:uid="{00000000-0005-0000-0000-0000861F0000}"/>
    <cellStyle name="표준 18 2 5 2" xfId="8111" xr:uid="{00000000-0005-0000-0000-0000871F0000}"/>
    <cellStyle name="표준 18 2 5 2 2" xfId="8112" xr:uid="{00000000-0005-0000-0000-0000881F0000}"/>
    <cellStyle name="표준 18 2 5 2 2 2" xfId="8113" xr:uid="{00000000-0005-0000-0000-0000891F0000}"/>
    <cellStyle name="표준 18 2 5 2 2 2 2" xfId="8114" xr:uid="{00000000-0005-0000-0000-00008A1F0000}"/>
    <cellStyle name="표준 18 2 5 2 2 2 2 2" xfId="8115" xr:uid="{00000000-0005-0000-0000-00008B1F0000}"/>
    <cellStyle name="표준 18 2 5 2 2 2 3" xfId="8116" xr:uid="{00000000-0005-0000-0000-00008C1F0000}"/>
    <cellStyle name="표준 18 2 5 2 2 3" xfId="8117" xr:uid="{00000000-0005-0000-0000-00008D1F0000}"/>
    <cellStyle name="표준 18 2 5 2 2 3 2" xfId="8118" xr:uid="{00000000-0005-0000-0000-00008E1F0000}"/>
    <cellStyle name="표준 18 2 5 2 2 4" xfId="8119" xr:uid="{00000000-0005-0000-0000-00008F1F0000}"/>
    <cellStyle name="표준 18 2 5 2 3" xfId="8120" xr:uid="{00000000-0005-0000-0000-0000901F0000}"/>
    <cellStyle name="표준 18 2 5 2 3 2" xfId="8121" xr:uid="{00000000-0005-0000-0000-0000911F0000}"/>
    <cellStyle name="표준 18 2 5 2 3 2 2" xfId="8122" xr:uid="{00000000-0005-0000-0000-0000921F0000}"/>
    <cellStyle name="표준 18 2 5 2 3 3" xfId="8123" xr:uid="{00000000-0005-0000-0000-0000931F0000}"/>
    <cellStyle name="표준 18 2 5 2 4" xfId="8124" xr:uid="{00000000-0005-0000-0000-0000941F0000}"/>
    <cellStyle name="표준 18 2 5 2 4 2" xfId="8125" xr:uid="{00000000-0005-0000-0000-0000951F0000}"/>
    <cellStyle name="표준 18 2 5 2 5" xfId="8126" xr:uid="{00000000-0005-0000-0000-0000961F0000}"/>
    <cellStyle name="표준 18 2 5 3" xfId="8127" xr:uid="{00000000-0005-0000-0000-0000971F0000}"/>
    <cellStyle name="표준 18 2 5 3 2" xfId="8128" xr:uid="{00000000-0005-0000-0000-0000981F0000}"/>
    <cellStyle name="표준 18 2 5 3 2 2" xfId="8129" xr:uid="{00000000-0005-0000-0000-0000991F0000}"/>
    <cellStyle name="표준 18 2 5 3 2 2 2" xfId="8130" xr:uid="{00000000-0005-0000-0000-00009A1F0000}"/>
    <cellStyle name="표준 18 2 5 3 2 3" xfId="8131" xr:uid="{00000000-0005-0000-0000-00009B1F0000}"/>
    <cellStyle name="표준 18 2 5 3 3" xfId="8132" xr:uid="{00000000-0005-0000-0000-00009C1F0000}"/>
    <cellStyle name="표준 18 2 5 3 3 2" xfId="8133" xr:uid="{00000000-0005-0000-0000-00009D1F0000}"/>
    <cellStyle name="표준 18 2 5 3 4" xfId="8134" xr:uid="{00000000-0005-0000-0000-00009E1F0000}"/>
    <cellStyle name="표준 18 2 5 4" xfId="8135" xr:uid="{00000000-0005-0000-0000-00009F1F0000}"/>
    <cellStyle name="표준 18 2 5 4 2" xfId="8136" xr:uid="{00000000-0005-0000-0000-0000A01F0000}"/>
    <cellStyle name="표준 18 2 5 4 2 2" xfId="8137" xr:uid="{00000000-0005-0000-0000-0000A11F0000}"/>
    <cellStyle name="표준 18 2 5 4 3" xfId="8138" xr:uid="{00000000-0005-0000-0000-0000A21F0000}"/>
    <cellStyle name="표준 18 2 5 5" xfId="8139" xr:uid="{00000000-0005-0000-0000-0000A31F0000}"/>
    <cellStyle name="표준 18 2 5 5 2" xfId="8140" xr:uid="{00000000-0005-0000-0000-0000A41F0000}"/>
    <cellStyle name="표준 18 2 5 6" xfId="8141" xr:uid="{00000000-0005-0000-0000-0000A51F0000}"/>
    <cellStyle name="표준 18 2 6" xfId="8142" xr:uid="{00000000-0005-0000-0000-0000A61F0000}"/>
    <cellStyle name="표준 18 2 6 2" xfId="8143" xr:uid="{00000000-0005-0000-0000-0000A71F0000}"/>
    <cellStyle name="표준 18 2 6 2 2" xfId="8144" xr:uid="{00000000-0005-0000-0000-0000A81F0000}"/>
    <cellStyle name="표준 18 2 6 2 2 2" xfId="8145" xr:uid="{00000000-0005-0000-0000-0000A91F0000}"/>
    <cellStyle name="표준 18 2 6 2 2 2 2" xfId="8146" xr:uid="{00000000-0005-0000-0000-0000AA1F0000}"/>
    <cellStyle name="표준 18 2 6 2 2 3" xfId="8147" xr:uid="{00000000-0005-0000-0000-0000AB1F0000}"/>
    <cellStyle name="표준 18 2 6 2 3" xfId="8148" xr:uid="{00000000-0005-0000-0000-0000AC1F0000}"/>
    <cellStyle name="표준 18 2 6 2 3 2" xfId="8149" xr:uid="{00000000-0005-0000-0000-0000AD1F0000}"/>
    <cellStyle name="표준 18 2 6 2 4" xfId="8150" xr:uid="{00000000-0005-0000-0000-0000AE1F0000}"/>
    <cellStyle name="표준 18 2 6 3" xfId="8151" xr:uid="{00000000-0005-0000-0000-0000AF1F0000}"/>
    <cellStyle name="표준 18 2 6 3 2" xfId="8152" xr:uid="{00000000-0005-0000-0000-0000B01F0000}"/>
    <cellStyle name="표준 18 2 6 3 2 2" xfId="8153" xr:uid="{00000000-0005-0000-0000-0000B11F0000}"/>
    <cellStyle name="표준 18 2 6 3 3" xfId="8154" xr:uid="{00000000-0005-0000-0000-0000B21F0000}"/>
    <cellStyle name="표준 18 2 6 4" xfId="8155" xr:uid="{00000000-0005-0000-0000-0000B31F0000}"/>
    <cellStyle name="표준 18 2 6 4 2" xfId="8156" xr:uid="{00000000-0005-0000-0000-0000B41F0000}"/>
    <cellStyle name="표준 18 2 6 5" xfId="8157" xr:uid="{00000000-0005-0000-0000-0000B51F0000}"/>
    <cellStyle name="표준 18 2 7" xfId="8158" xr:uid="{00000000-0005-0000-0000-0000B61F0000}"/>
    <cellStyle name="표준 18 2 7 2" xfId="8159" xr:uid="{00000000-0005-0000-0000-0000B71F0000}"/>
    <cellStyle name="표준 18 2 7 2 2" xfId="8160" xr:uid="{00000000-0005-0000-0000-0000B81F0000}"/>
    <cellStyle name="표준 18 2 7 2 2 2" xfId="8161" xr:uid="{00000000-0005-0000-0000-0000B91F0000}"/>
    <cellStyle name="표준 18 2 7 2 3" xfId="8162" xr:uid="{00000000-0005-0000-0000-0000BA1F0000}"/>
    <cellStyle name="표준 18 2 7 3" xfId="8163" xr:uid="{00000000-0005-0000-0000-0000BB1F0000}"/>
    <cellStyle name="표준 18 2 7 3 2" xfId="8164" xr:uid="{00000000-0005-0000-0000-0000BC1F0000}"/>
    <cellStyle name="표준 18 2 7 4" xfId="8165" xr:uid="{00000000-0005-0000-0000-0000BD1F0000}"/>
    <cellStyle name="표준 18 2 8" xfId="8166" xr:uid="{00000000-0005-0000-0000-0000BE1F0000}"/>
    <cellStyle name="표준 18 2 8 2" xfId="8167" xr:uid="{00000000-0005-0000-0000-0000BF1F0000}"/>
    <cellStyle name="표준 18 2 8 2 2" xfId="8168" xr:uid="{00000000-0005-0000-0000-0000C01F0000}"/>
    <cellStyle name="표준 18 2 8 3" xfId="8169" xr:uid="{00000000-0005-0000-0000-0000C11F0000}"/>
    <cellStyle name="표준 18 2 9" xfId="8170" xr:uid="{00000000-0005-0000-0000-0000C21F0000}"/>
    <cellStyle name="표준 18 2 9 2" xfId="8171" xr:uid="{00000000-0005-0000-0000-0000C31F0000}"/>
    <cellStyle name="표준 18 3" xfId="8172" xr:uid="{00000000-0005-0000-0000-0000C41F0000}"/>
    <cellStyle name="표준 18 3 10" xfId="8173" xr:uid="{00000000-0005-0000-0000-0000C51F0000}"/>
    <cellStyle name="표준 18 3 10 2" xfId="8174" xr:uid="{00000000-0005-0000-0000-0000C61F0000}"/>
    <cellStyle name="표준 18 3 10 2 2" xfId="8175" xr:uid="{00000000-0005-0000-0000-0000C71F0000}"/>
    <cellStyle name="표준 18 3 10 3" xfId="8176" xr:uid="{00000000-0005-0000-0000-0000C81F0000}"/>
    <cellStyle name="표준 18 3 11" xfId="8177" xr:uid="{00000000-0005-0000-0000-0000C91F0000}"/>
    <cellStyle name="표준 18 3 2" xfId="8178" xr:uid="{00000000-0005-0000-0000-0000CA1F0000}"/>
    <cellStyle name="표준 18 3 2 10" xfId="8179" xr:uid="{00000000-0005-0000-0000-0000CB1F0000}"/>
    <cellStyle name="표준 18 3 2 2" xfId="8180" xr:uid="{00000000-0005-0000-0000-0000CC1F0000}"/>
    <cellStyle name="표준 18 3 2 2 2" xfId="8181" xr:uid="{00000000-0005-0000-0000-0000CD1F0000}"/>
    <cellStyle name="표준 18 3 2 2 2 2" xfId="8182" xr:uid="{00000000-0005-0000-0000-0000CE1F0000}"/>
    <cellStyle name="표준 18 3 2 2 2 2 2" xfId="8183" xr:uid="{00000000-0005-0000-0000-0000CF1F0000}"/>
    <cellStyle name="표준 18 3 2 2 2 2 2 2" xfId="8184" xr:uid="{00000000-0005-0000-0000-0000D01F0000}"/>
    <cellStyle name="표준 18 3 2 2 2 2 2 2 2" xfId="8185" xr:uid="{00000000-0005-0000-0000-0000D11F0000}"/>
    <cellStyle name="표준 18 3 2 2 2 2 2 2 2 2" xfId="8186" xr:uid="{00000000-0005-0000-0000-0000D21F0000}"/>
    <cellStyle name="표준 18 3 2 2 2 2 2 2 2 2 2" xfId="8187" xr:uid="{00000000-0005-0000-0000-0000D31F0000}"/>
    <cellStyle name="표준 18 3 2 2 2 2 2 2 2 3" xfId="8188" xr:uid="{00000000-0005-0000-0000-0000D41F0000}"/>
    <cellStyle name="표준 18 3 2 2 2 2 2 2 3" xfId="8189" xr:uid="{00000000-0005-0000-0000-0000D51F0000}"/>
    <cellStyle name="표준 18 3 2 2 2 2 2 2 3 2" xfId="8190" xr:uid="{00000000-0005-0000-0000-0000D61F0000}"/>
    <cellStyle name="표준 18 3 2 2 2 2 2 2 4" xfId="8191" xr:uid="{00000000-0005-0000-0000-0000D71F0000}"/>
    <cellStyle name="표준 18 3 2 2 2 2 2 3" xfId="8192" xr:uid="{00000000-0005-0000-0000-0000D81F0000}"/>
    <cellStyle name="표준 18 3 2 2 2 2 2 3 2" xfId="8193" xr:uid="{00000000-0005-0000-0000-0000D91F0000}"/>
    <cellStyle name="표준 18 3 2 2 2 2 2 3 2 2" xfId="8194" xr:uid="{00000000-0005-0000-0000-0000DA1F0000}"/>
    <cellStyle name="표준 18 3 2 2 2 2 2 3 3" xfId="8195" xr:uid="{00000000-0005-0000-0000-0000DB1F0000}"/>
    <cellStyle name="표준 18 3 2 2 2 2 2 4" xfId="8196" xr:uid="{00000000-0005-0000-0000-0000DC1F0000}"/>
    <cellStyle name="표준 18 3 2 2 2 2 2 4 2" xfId="8197" xr:uid="{00000000-0005-0000-0000-0000DD1F0000}"/>
    <cellStyle name="표준 18 3 2 2 2 2 2 5" xfId="8198" xr:uid="{00000000-0005-0000-0000-0000DE1F0000}"/>
    <cellStyle name="표준 18 3 2 2 2 2 3" xfId="8199" xr:uid="{00000000-0005-0000-0000-0000DF1F0000}"/>
    <cellStyle name="표준 18 3 2 2 2 2 3 2" xfId="8200" xr:uid="{00000000-0005-0000-0000-0000E01F0000}"/>
    <cellStyle name="표준 18 3 2 2 2 2 3 2 2" xfId="8201" xr:uid="{00000000-0005-0000-0000-0000E11F0000}"/>
    <cellStyle name="표준 18 3 2 2 2 2 3 2 2 2" xfId="8202" xr:uid="{00000000-0005-0000-0000-0000E21F0000}"/>
    <cellStyle name="표준 18 3 2 2 2 2 3 2 3" xfId="8203" xr:uid="{00000000-0005-0000-0000-0000E31F0000}"/>
    <cellStyle name="표준 18 3 2 2 2 2 3 3" xfId="8204" xr:uid="{00000000-0005-0000-0000-0000E41F0000}"/>
    <cellStyle name="표준 18 3 2 2 2 2 3 3 2" xfId="8205" xr:uid="{00000000-0005-0000-0000-0000E51F0000}"/>
    <cellStyle name="표준 18 3 2 2 2 2 3 4" xfId="8206" xr:uid="{00000000-0005-0000-0000-0000E61F0000}"/>
    <cellStyle name="표준 18 3 2 2 2 2 4" xfId="8207" xr:uid="{00000000-0005-0000-0000-0000E71F0000}"/>
    <cellStyle name="표준 18 3 2 2 2 2 4 2" xfId="8208" xr:uid="{00000000-0005-0000-0000-0000E81F0000}"/>
    <cellStyle name="표준 18 3 2 2 2 2 4 2 2" xfId="8209" xr:uid="{00000000-0005-0000-0000-0000E91F0000}"/>
    <cellStyle name="표준 18 3 2 2 2 2 4 3" xfId="8210" xr:uid="{00000000-0005-0000-0000-0000EA1F0000}"/>
    <cellStyle name="표준 18 3 2 2 2 2 5" xfId="8211" xr:uid="{00000000-0005-0000-0000-0000EB1F0000}"/>
    <cellStyle name="표준 18 3 2 2 2 2 5 2" xfId="8212" xr:uid="{00000000-0005-0000-0000-0000EC1F0000}"/>
    <cellStyle name="표준 18 3 2 2 2 2 6" xfId="8213" xr:uid="{00000000-0005-0000-0000-0000ED1F0000}"/>
    <cellStyle name="표준 18 3 2 2 2 3" xfId="8214" xr:uid="{00000000-0005-0000-0000-0000EE1F0000}"/>
    <cellStyle name="표준 18 3 2 2 2 3 2" xfId="8215" xr:uid="{00000000-0005-0000-0000-0000EF1F0000}"/>
    <cellStyle name="표준 18 3 2 2 2 3 2 2" xfId="8216" xr:uid="{00000000-0005-0000-0000-0000F01F0000}"/>
    <cellStyle name="표준 18 3 2 2 2 3 2 2 2" xfId="8217" xr:uid="{00000000-0005-0000-0000-0000F11F0000}"/>
    <cellStyle name="표준 18 3 2 2 2 3 2 2 2 2" xfId="8218" xr:uid="{00000000-0005-0000-0000-0000F21F0000}"/>
    <cellStyle name="표준 18 3 2 2 2 3 2 2 3" xfId="8219" xr:uid="{00000000-0005-0000-0000-0000F31F0000}"/>
    <cellStyle name="표준 18 3 2 2 2 3 2 3" xfId="8220" xr:uid="{00000000-0005-0000-0000-0000F41F0000}"/>
    <cellStyle name="표준 18 3 2 2 2 3 2 3 2" xfId="8221" xr:uid="{00000000-0005-0000-0000-0000F51F0000}"/>
    <cellStyle name="표준 18 3 2 2 2 3 2 4" xfId="8222" xr:uid="{00000000-0005-0000-0000-0000F61F0000}"/>
    <cellStyle name="표준 18 3 2 2 2 3 3" xfId="8223" xr:uid="{00000000-0005-0000-0000-0000F71F0000}"/>
    <cellStyle name="표준 18 3 2 2 2 3 3 2" xfId="8224" xr:uid="{00000000-0005-0000-0000-0000F81F0000}"/>
    <cellStyle name="표준 18 3 2 2 2 3 3 2 2" xfId="8225" xr:uid="{00000000-0005-0000-0000-0000F91F0000}"/>
    <cellStyle name="표준 18 3 2 2 2 3 3 3" xfId="8226" xr:uid="{00000000-0005-0000-0000-0000FA1F0000}"/>
    <cellStyle name="표준 18 3 2 2 2 3 4" xfId="8227" xr:uid="{00000000-0005-0000-0000-0000FB1F0000}"/>
    <cellStyle name="표준 18 3 2 2 2 3 4 2" xfId="8228" xr:uid="{00000000-0005-0000-0000-0000FC1F0000}"/>
    <cellStyle name="표준 18 3 2 2 2 3 5" xfId="8229" xr:uid="{00000000-0005-0000-0000-0000FD1F0000}"/>
    <cellStyle name="표준 18 3 2 2 2 4" xfId="8230" xr:uid="{00000000-0005-0000-0000-0000FE1F0000}"/>
    <cellStyle name="표준 18 3 2 2 2 4 2" xfId="8231" xr:uid="{00000000-0005-0000-0000-0000FF1F0000}"/>
    <cellStyle name="표준 18 3 2 2 2 4 2 2" xfId="8232" xr:uid="{00000000-0005-0000-0000-000000200000}"/>
    <cellStyle name="표준 18 3 2 2 2 4 2 2 2" xfId="8233" xr:uid="{00000000-0005-0000-0000-000001200000}"/>
    <cellStyle name="표준 18 3 2 2 2 4 2 3" xfId="8234" xr:uid="{00000000-0005-0000-0000-000002200000}"/>
    <cellStyle name="표준 18 3 2 2 2 4 3" xfId="8235" xr:uid="{00000000-0005-0000-0000-000003200000}"/>
    <cellStyle name="표준 18 3 2 2 2 4 3 2" xfId="8236" xr:uid="{00000000-0005-0000-0000-000004200000}"/>
    <cellStyle name="표준 18 3 2 2 2 4 4" xfId="8237" xr:uid="{00000000-0005-0000-0000-000005200000}"/>
    <cellStyle name="표준 18 3 2 2 2 5" xfId="8238" xr:uid="{00000000-0005-0000-0000-000006200000}"/>
    <cellStyle name="표준 18 3 2 2 2 5 2" xfId="8239" xr:uid="{00000000-0005-0000-0000-000007200000}"/>
    <cellStyle name="표준 18 3 2 2 2 5 2 2" xfId="8240" xr:uid="{00000000-0005-0000-0000-000008200000}"/>
    <cellStyle name="표준 18 3 2 2 2 5 3" xfId="8241" xr:uid="{00000000-0005-0000-0000-000009200000}"/>
    <cellStyle name="표준 18 3 2 2 2 6" xfId="8242" xr:uid="{00000000-0005-0000-0000-00000A200000}"/>
    <cellStyle name="표준 18 3 2 2 2 6 2" xfId="8243" xr:uid="{00000000-0005-0000-0000-00000B200000}"/>
    <cellStyle name="표준 18 3 2 2 2 7" xfId="8244" xr:uid="{00000000-0005-0000-0000-00000C200000}"/>
    <cellStyle name="표준 18 3 2 2 2 8" xfId="8245" xr:uid="{00000000-0005-0000-0000-00000D200000}"/>
    <cellStyle name="표준 18 3 2 2 3" xfId="8246" xr:uid="{00000000-0005-0000-0000-00000E200000}"/>
    <cellStyle name="표준 18 3 2 2 3 2" xfId="8247" xr:uid="{00000000-0005-0000-0000-00000F200000}"/>
    <cellStyle name="표준 18 3 2 2 3 2 2" xfId="8248" xr:uid="{00000000-0005-0000-0000-000010200000}"/>
    <cellStyle name="표준 18 3 2 2 3 2 2 2" xfId="8249" xr:uid="{00000000-0005-0000-0000-000011200000}"/>
    <cellStyle name="표준 18 3 2 2 3 2 2 2 2" xfId="8250" xr:uid="{00000000-0005-0000-0000-000012200000}"/>
    <cellStyle name="표준 18 3 2 2 3 2 2 2 2 2" xfId="8251" xr:uid="{00000000-0005-0000-0000-000013200000}"/>
    <cellStyle name="표준 18 3 2 2 3 2 2 2 3" xfId="8252" xr:uid="{00000000-0005-0000-0000-000014200000}"/>
    <cellStyle name="표준 18 3 2 2 3 2 2 3" xfId="8253" xr:uid="{00000000-0005-0000-0000-000015200000}"/>
    <cellStyle name="표준 18 3 2 2 3 2 2 3 2" xfId="8254" xr:uid="{00000000-0005-0000-0000-000016200000}"/>
    <cellStyle name="표준 18 3 2 2 3 2 2 4" xfId="8255" xr:uid="{00000000-0005-0000-0000-000017200000}"/>
    <cellStyle name="표준 18 3 2 2 3 2 3" xfId="8256" xr:uid="{00000000-0005-0000-0000-000018200000}"/>
    <cellStyle name="표준 18 3 2 2 3 2 3 2" xfId="8257" xr:uid="{00000000-0005-0000-0000-000019200000}"/>
    <cellStyle name="표준 18 3 2 2 3 2 3 2 2" xfId="8258" xr:uid="{00000000-0005-0000-0000-00001A200000}"/>
    <cellStyle name="표준 18 3 2 2 3 2 3 3" xfId="8259" xr:uid="{00000000-0005-0000-0000-00001B200000}"/>
    <cellStyle name="표준 18 3 2 2 3 2 4" xfId="8260" xr:uid="{00000000-0005-0000-0000-00001C200000}"/>
    <cellStyle name="표준 18 3 2 2 3 2 4 2" xfId="8261" xr:uid="{00000000-0005-0000-0000-00001D200000}"/>
    <cellStyle name="표준 18 3 2 2 3 2 5" xfId="8262" xr:uid="{00000000-0005-0000-0000-00001E200000}"/>
    <cellStyle name="표준 18 3 2 2 3 3" xfId="8263" xr:uid="{00000000-0005-0000-0000-00001F200000}"/>
    <cellStyle name="표준 18 3 2 2 3 3 2" xfId="8264" xr:uid="{00000000-0005-0000-0000-000020200000}"/>
    <cellStyle name="표준 18 3 2 2 3 3 2 2" xfId="8265" xr:uid="{00000000-0005-0000-0000-000021200000}"/>
    <cellStyle name="표준 18 3 2 2 3 3 2 2 2" xfId="8266" xr:uid="{00000000-0005-0000-0000-000022200000}"/>
    <cellStyle name="표준 18 3 2 2 3 3 2 3" xfId="8267" xr:uid="{00000000-0005-0000-0000-000023200000}"/>
    <cellStyle name="표준 18 3 2 2 3 3 3" xfId="8268" xr:uid="{00000000-0005-0000-0000-000024200000}"/>
    <cellStyle name="표준 18 3 2 2 3 3 3 2" xfId="8269" xr:uid="{00000000-0005-0000-0000-000025200000}"/>
    <cellStyle name="표준 18 3 2 2 3 3 4" xfId="8270" xr:uid="{00000000-0005-0000-0000-000026200000}"/>
    <cellStyle name="표준 18 3 2 2 3 4" xfId="8271" xr:uid="{00000000-0005-0000-0000-000027200000}"/>
    <cellStyle name="표준 18 3 2 2 3 4 2" xfId="8272" xr:uid="{00000000-0005-0000-0000-000028200000}"/>
    <cellStyle name="표준 18 3 2 2 3 4 2 2" xfId="8273" xr:uid="{00000000-0005-0000-0000-000029200000}"/>
    <cellStyle name="표준 18 3 2 2 3 4 3" xfId="8274" xr:uid="{00000000-0005-0000-0000-00002A200000}"/>
    <cellStyle name="표준 18 3 2 2 3 5" xfId="8275" xr:uid="{00000000-0005-0000-0000-00002B200000}"/>
    <cellStyle name="표준 18 3 2 2 3 5 2" xfId="8276" xr:uid="{00000000-0005-0000-0000-00002C200000}"/>
    <cellStyle name="표준 18 3 2 2 3 6" xfId="8277" xr:uid="{00000000-0005-0000-0000-00002D200000}"/>
    <cellStyle name="표준 18 3 2 2 4" xfId="8278" xr:uid="{00000000-0005-0000-0000-00002E200000}"/>
    <cellStyle name="표준 18 3 2 2 4 2" xfId="8279" xr:uid="{00000000-0005-0000-0000-00002F200000}"/>
    <cellStyle name="표준 18 3 2 2 4 2 2" xfId="8280" xr:uid="{00000000-0005-0000-0000-000030200000}"/>
    <cellStyle name="표준 18 3 2 2 4 2 2 2" xfId="8281" xr:uid="{00000000-0005-0000-0000-000031200000}"/>
    <cellStyle name="표준 18 3 2 2 4 2 2 2 2" xfId="8282" xr:uid="{00000000-0005-0000-0000-000032200000}"/>
    <cellStyle name="표준 18 3 2 2 4 2 2 3" xfId="8283" xr:uid="{00000000-0005-0000-0000-000033200000}"/>
    <cellStyle name="표준 18 3 2 2 4 2 3" xfId="8284" xr:uid="{00000000-0005-0000-0000-000034200000}"/>
    <cellStyle name="표준 18 3 2 2 4 2 3 2" xfId="8285" xr:uid="{00000000-0005-0000-0000-000035200000}"/>
    <cellStyle name="표준 18 3 2 2 4 2 4" xfId="8286" xr:uid="{00000000-0005-0000-0000-000036200000}"/>
    <cellStyle name="표준 18 3 2 2 4 3" xfId="8287" xr:uid="{00000000-0005-0000-0000-000037200000}"/>
    <cellStyle name="표준 18 3 2 2 4 3 2" xfId="8288" xr:uid="{00000000-0005-0000-0000-000038200000}"/>
    <cellStyle name="표준 18 3 2 2 4 3 2 2" xfId="8289" xr:uid="{00000000-0005-0000-0000-000039200000}"/>
    <cellStyle name="표준 18 3 2 2 4 3 3" xfId="8290" xr:uid="{00000000-0005-0000-0000-00003A200000}"/>
    <cellStyle name="표준 18 3 2 2 4 4" xfId="8291" xr:uid="{00000000-0005-0000-0000-00003B200000}"/>
    <cellStyle name="표준 18 3 2 2 4 4 2" xfId="8292" xr:uid="{00000000-0005-0000-0000-00003C200000}"/>
    <cellStyle name="표준 18 3 2 2 4 5" xfId="8293" xr:uid="{00000000-0005-0000-0000-00003D200000}"/>
    <cellStyle name="표준 18 3 2 2 5" xfId="8294" xr:uid="{00000000-0005-0000-0000-00003E200000}"/>
    <cellStyle name="표준 18 3 2 2 5 2" xfId="8295" xr:uid="{00000000-0005-0000-0000-00003F200000}"/>
    <cellStyle name="표준 18 3 2 2 5 2 2" xfId="8296" xr:uid="{00000000-0005-0000-0000-000040200000}"/>
    <cellStyle name="표준 18 3 2 2 5 2 2 2" xfId="8297" xr:uid="{00000000-0005-0000-0000-000041200000}"/>
    <cellStyle name="표준 18 3 2 2 5 2 3" xfId="8298" xr:uid="{00000000-0005-0000-0000-000042200000}"/>
    <cellStyle name="표준 18 3 2 2 5 3" xfId="8299" xr:uid="{00000000-0005-0000-0000-000043200000}"/>
    <cellStyle name="표준 18 3 2 2 5 3 2" xfId="8300" xr:uid="{00000000-0005-0000-0000-000044200000}"/>
    <cellStyle name="표준 18 3 2 2 5 4" xfId="8301" xr:uid="{00000000-0005-0000-0000-000045200000}"/>
    <cellStyle name="표준 18 3 2 2 6" xfId="8302" xr:uid="{00000000-0005-0000-0000-000046200000}"/>
    <cellStyle name="표준 18 3 2 2 6 2" xfId="8303" xr:uid="{00000000-0005-0000-0000-000047200000}"/>
    <cellStyle name="표준 18 3 2 2 6 2 2" xfId="8304" xr:uid="{00000000-0005-0000-0000-000048200000}"/>
    <cellStyle name="표준 18 3 2 2 6 3" xfId="8305" xr:uid="{00000000-0005-0000-0000-000049200000}"/>
    <cellStyle name="표준 18 3 2 2 7" xfId="8306" xr:uid="{00000000-0005-0000-0000-00004A200000}"/>
    <cellStyle name="표준 18 3 2 2 7 2" xfId="8307" xr:uid="{00000000-0005-0000-0000-00004B200000}"/>
    <cellStyle name="표준 18 3 2 2 8" xfId="8308" xr:uid="{00000000-0005-0000-0000-00004C200000}"/>
    <cellStyle name="표준 18 3 2 2 9" xfId="8309" xr:uid="{00000000-0005-0000-0000-00004D200000}"/>
    <cellStyle name="표준 18 3 2 3" xfId="8310" xr:uid="{00000000-0005-0000-0000-00004E200000}"/>
    <cellStyle name="표준 18 3 2 3 2" xfId="8311" xr:uid="{00000000-0005-0000-0000-00004F200000}"/>
    <cellStyle name="표준 18 3 2 3 2 2" xfId="8312" xr:uid="{00000000-0005-0000-0000-000050200000}"/>
    <cellStyle name="표준 18 3 2 3 2 2 2" xfId="8313" xr:uid="{00000000-0005-0000-0000-000051200000}"/>
    <cellStyle name="표준 18 3 2 3 2 2 2 2" xfId="8314" xr:uid="{00000000-0005-0000-0000-000052200000}"/>
    <cellStyle name="표준 18 3 2 3 2 2 2 2 2" xfId="8315" xr:uid="{00000000-0005-0000-0000-000053200000}"/>
    <cellStyle name="표준 18 3 2 3 2 2 2 2 2 2" xfId="8316" xr:uid="{00000000-0005-0000-0000-000054200000}"/>
    <cellStyle name="표준 18 3 2 3 2 2 2 2 3" xfId="8317" xr:uid="{00000000-0005-0000-0000-000055200000}"/>
    <cellStyle name="표준 18 3 2 3 2 2 2 3" xfId="8318" xr:uid="{00000000-0005-0000-0000-000056200000}"/>
    <cellStyle name="표준 18 3 2 3 2 2 2 3 2" xfId="8319" xr:uid="{00000000-0005-0000-0000-000057200000}"/>
    <cellStyle name="표준 18 3 2 3 2 2 2 4" xfId="8320" xr:uid="{00000000-0005-0000-0000-000058200000}"/>
    <cellStyle name="표준 18 3 2 3 2 2 3" xfId="8321" xr:uid="{00000000-0005-0000-0000-000059200000}"/>
    <cellStyle name="표준 18 3 2 3 2 2 3 2" xfId="8322" xr:uid="{00000000-0005-0000-0000-00005A200000}"/>
    <cellStyle name="표준 18 3 2 3 2 2 3 2 2" xfId="8323" xr:uid="{00000000-0005-0000-0000-00005B200000}"/>
    <cellStyle name="표준 18 3 2 3 2 2 3 3" xfId="8324" xr:uid="{00000000-0005-0000-0000-00005C200000}"/>
    <cellStyle name="표준 18 3 2 3 2 2 4" xfId="8325" xr:uid="{00000000-0005-0000-0000-00005D200000}"/>
    <cellStyle name="표준 18 3 2 3 2 2 4 2" xfId="8326" xr:uid="{00000000-0005-0000-0000-00005E200000}"/>
    <cellStyle name="표준 18 3 2 3 2 2 5" xfId="8327" xr:uid="{00000000-0005-0000-0000-00005F200000}"/>
    <cellStyle name="표준 18 3 2 3 2 3" xfId="8328" xr:uid="{00000000-0005-0000-0000-000060200000}"/>
    <cellStyle name="표준 18 3 2 3 2 3 2" xfId="8329" xr:uid="{00000000-0005-0000-0000-000061200000}"/>
    <cellStyle name="표준 18 3 2 3 2 3 2 2" xfId="8330" xr:uid="{00000000-0005-0000-0000-000062200000}"/>
    <cellStyle name="표준 18 3 2 3 2 3 2 2 2" xfId="8331" xr:uid="{00000000-0005-0000-0000-000063200000}"/>
    <cellStyle name="표준 18 3 2 3 2 3 2 3" xfId="8332" xr:uid="{00000000-0005-0000-0000-000064200000}"/>
    <cellStyle name="표준 18 3 2 3 2 3 3" xfId="8333" xr:uid="{00000000-0005-0000-0000-000065200000}"/>
    <cellStyle name="표준 18 3 2 3 2 3 3 2" xfId="8334" xr:uid="{00000000-0005-0000-0000-000066200000}"/>
    <cellStyle name="표준 18 3 2 3 2 3 4" xfId="8335" xr:uid="{00000000-0005-0000-0000-000067200000}"/>
    <cellStyle name="표준 18 3 2 3 2 4" xfId="8336" xr:uid="{00000000-0005-0000-0000-000068200000}"/>
    <cellStyle name="표준 18 3 2 3 2 4 2" xfId="8337" xr:uid="{00000000-0005-0000-0000-000069200000}"/>
    <cellStyle name="표준 18 3 2 3 2 4 2 2" xfId="8338" xr:uid="{00000000-0005-0000-0000-00006A200000}"/>
    <cellStyle name="표준 18 3 2 3 2 4 3" xfId="8339" xr:uid="{00000000-0005-0000-0000-00006B200000}"/>
    <cellStyle name="표준 18 3 2 3 2 5" xfId="8340" xr:uid="{00000000-0005-0000-0000-00006C200000}"/>
    <cellStyle name="표준 18 3 2 3 2 5 2" xfId="8341" xr:uid="{00000000-0005-0000-0000-00006D200000}"/>
    <cellStyle name="표준 18 3 2 3 2 6" xfId="8342" xr:uid="{00000000-0005-0000-0000-00006E200000}"/>
    <cellStyle name="표준 18 3 2 3 3" xfId="8343" xr:uid="{00000000-0005-0000-0000-00006F200000}"/>
    <cellStyle name="표준 18 3 2 3 3 2" xfId="8344" xr:uid="{00000000-0005-0000-0000-000070200000}"/>
    <cellStyle name="표준 18 3 2 3 3 2 2" xfId="8345" xr:uid="{00000000-0005-0000-0000-000071200000}"/>
    <cellStyle name="표준 18 3 2 3 3 2 2 2" xfId="8346" xr:uid="{00000000-0005-0000-0000-000072200000}"/>
    <cellStyle name="표준 18 3 2 3 3 2 2 2 2" xfId="8347" xr:uid="{00000000-0005-0000-0000-000073200000}"/>
    <cellStyle name="표준 18 3 2 3 3 2 2 3" xfId="8348" xr:uid="{00000000-0005-0000-0000-000074200000}"/>
    <cellStyle name="표준 18 3 2 3 3 2 3" xfId="8349" xr:uid="{00000000-0005-0000-0000-000075200000}"/>
    <cellStyle name="표준 18 3 2 3 3 2 3 2" xfId="8350" xr:uid="{00000000-0005-0000-0000-000076200000}"/>
    <cellStyle name="표준 18 3 2 3 3 2 4" xfId="8351" xr:uid="{00000000-0005-0000-0000-000077200000}"/>
    <cellStyle name="표준 18 3 2 3 3 3" xfId="8352" xr:uid="{00000000-0005-0000-0000-000078200000}"/>
    <cellStyle name="표준 18 3 2 3 3 3 2" xfId="8353" xr:uid="{00000000-0005-0000-0000-000079200000}"/>
    <cellStyle name="표준 18 3 2 3 3 3 2 2" xfId="8354" xr:uid="{00000000-0005-0000-0000-00007A200000}"/>
    <cellStyle name="표준 18 3 2 3 3 3 3" xfId="8355" xr:uid="{00000000-0005-0000-0000-00007B200000}"/>
    <cellStyle name="표준 18 3 2 3 3 4" xfId="8356" xr:uid="{00000000-0005-0000-0000-00007C200000}"/>
    <cellStyle name="표준 18 3 2 3 3 4 2" xfId="8357" xr:uid="{00000000-0005-0000-0000-00007D200000}"/>
    <cellStyle name="표준 18 3 2 3 3 5" xfId="8358" xr:uid="{00000000-0005-0000-0000-00007E200000}"/>
    <cellStyle name="표준 18 3 2 3 4" xfId="8359" xr:uid="{00000000-0005-0000-0000-00007F200000}"/>
    <cellStyle name="표준 18 3 2 3 4 2" xfId="8360" xr:uid="{00000000-0005-0000-0000-000080200000}"/>
    <cellStyle name="표준 18 3 2 3 4 2 2" xfId="8361" xr:uid="{00000000-0005-0000-0000-000081200000}"/>
    <cellStyle name="표준 18 3 2 3 4 2 2 2" xfId="8362" xr:uid="{00000000-0005-0000-0000-000082200000}"/>
    <cellStyle name="표준 18 3 2 3 4 2 3" xfId="8363" xr:uid="{00000000-0005-0000-0000-000083200000}"/>
    <cellStyle name="표준 18 3 2 3 4 3" xfId="8364" xr:uid="{00000000-0005-0000-0000-000084200000}"/>
    <cellStyle name="표준 18 3 2 3 4 3 2" xfId="8365" xr:uid="{00000000-0005-0000-0000-000085200000}"/>
    <cellStyle name="표준 18 3 2 3 4 4" xfId="8366" xr:uid="{00000000-0005-0000-0000-000086200000}"/>
    <cellStyle name="표준 18 3 2 3 5" xfId="8367" xr:uid="{00000000-0005-0000-0000-000087200000}"/>
    <cellStyle name="표준 18 3 2 3 5 2" xfId="8368" xr:uid="{00000000-0005-0000-0000-000088200000}"/>
    <cellStyle name="표준 18 3 2 3 5 2 2" xfId="8369" xr:uid="{00000000-0005-0000-0000-000089200000}"/>
    <cellStyle name="표준 18 3 2 3 5 3" xfId="8370" xr:uid="{00000000-0005-0000-0000-00008A200000}"/>
    <cellStyle name="표준 18 3 2 3 6" xfId="8371" xr:uid="{00000000-0005-0000-0000-00008B200000}"/>
    <cellStyle name="표준 18 3 2 3 6 2" xfId="8372" xr:uid="{00000000-0005-0000-0000-00008C200000}"/>
    <cellStyle name="표준 18 3 2 3 7" xfId="8373" xr:uid="{00000000-0005-0000-0000-00008D200000}"/>
    <cellStyle name="표준 18 3 2 3 8" xfId="8374" xr:uid="{00000000-0005-0000-0000-00008E200000}"/>
    <cellStyle name="표준 18 3 2 4" xfId="8375" xr:uid="{00000000-0005-0000-0000-00008F200000}"/>
    <cellStyle name="표준 18 3 2 4 2" xfId="8376" xr:uid="{00000000-0005-0000-0000-000090200000}"/>
    <cellStyle name="표준 18 3 2 4 2 2" xfId="8377" xr:uid="{00000000-0005-0000-0000-000091200000}"/>
    <cellStyle name="표준 18 3 2 4 2 2 2" xfId="8378" xr:uid="{00000000-0005-0000-0000-000092200000}"/>
    <cellStyle name="표준 18 3 2 4 2 2 2 2" xfId="8379" xr:uid="{00000000-0005-0000-0000-000093200000}"/>
    <cellStyle name="표준 18 3 2 4 2 2 2 2 2" xfId="8380" xr:uid="{00000000-0005-0000-0000-000094200000}"/>
    <cellStyle name="표준 18 3 2 4 2 2 2 3" xfId="8381" xr:uid="{00000000-0005-0000-0000-000095200000}"/>
    <cellStyle name="표준 18 3 2 4 2 2 3" xfId="8382" xr:uid="{00000000-0005-0000-0000-000096200000}"/>
    <cellStyle name="표준 18 3 2 4 2 2 3 2" xfId="8383" xr:uid="{00000000-0005-0000-0000-000097200000}"/>
    <cellStyle name="표준 18 3 2 4 2 2 4" xfId="8384" xr:uid="{00000000-0005-0000-0000-000098200000}"/>
    <cellStyle name="표준 18 3 2 4 2 3" xfId="8385" xr:uid="{00000000-0005-0000-0000-000099200000}"/>
    <cellStyle name="표준 18 3 2 4 2 3 2" xfId="8386" xr:uid="{00000000-0005-0000-0000-00009A200000}"/>
    <cellStyle name="표준 18 3 2 4 2 3 2 2" xfId="8387" xr:uid="{00000000-0005-0000-0000-00009B200000}"/>
    <cellStyle name="표준 18 3 2 4 2 3 3" xfId="8388" xr:uid="{00000000-0005-0000-0000-00009C200000}"/>
    <cellStyle name="표준 18 3 2 4 2 4" xfId="8389" xr:uid="{00000000-0005-0000-0000-00009D200000}"/>
    <cellStyle name="표준 18 3 2 4 2 4 2" xfId="8390" xr:uid="{00000000-0005-0000-0000-00009E200000}"/>
    <cellStyle name="표준 18 3 2 4 2 5" xfId="8391" xr:uid="{00000000-0005-0000-0000-00009F200000}"/>
    <cellStyle name="표준 18 3 2 4 3" xfId="8392" xr:uid="{00000000-0005-0000-0000-0000A0200000}"/>
    <cellStyle name="표준 18 3 2 4 3 2" xfId="8393" xr:uid="{00000000-0005-0000-0000-0000A1200000}"/>
    <cellStyle name="표준 18 3 2 4 3 2 2" xfId="8394" xr:uid="{00000000-0005-0000-0000-0000A2200000}"/>
    <cellStyle name="표준 18 3 2 4 3 2 2 2" xfId="8395" xr:uid="{00000000-0005-0000-0000-0000A3200000}"/>
    <cellStyle name="표준 18 3 2 4 3 2 3" xfId="8396" xr:uid="{00000000-0005-0000-0000-0000A4200000}"/>
    <cellStyle name="표준 18 3 2 4 3 3" xfId="8397" xr:uid="{00000000-0005-0000-0000-0000A5200000}"/>
    <cellStyle name="표준 18 3 2 4 3 3 2" xfId="8398" xr:uid="{00000000-0005-0000-0000-0000A6200000}"/>
    <cellStyle name="표준 18 3 2 4 3 4" xfId="8399" xr:uid="{00000000-0005-0000-0000-0000A7200000}"/>
    <cellStyle name="표준 18 3 2 4 4" xfId="8400" xr:uid="{00000000-0005-0000-0000-0000A8200000}"/>
    <cellStyle name="표준 18 3 2 4 4 2" xfId="8401" xr:uid="{00000000-0005-0000-0000-0000A9200000}"/>
    <cellStyle name="표준 18 3 2 4 4 2 2" xfId="8402" xr:uid="{00000000-0005-0000-0000-0000AA200000}"/>
    <cellStyle name="표준 18 3 2 4 4 3" xfId="8403" xr:uid="{00000000-0005-0000-0000-0000AB200000}"/>
    <cellStyle name="표준 18 3 2 4 5" xfId="8404" xr:uid="{00000000-0005-0000-0000-0000AC200000}"/>
    <cellStyle name="표준 18 3 2 4 5 2" xfId="8405" xr:uid="{00000000-0005-0000-0000-0000AD200000}"/>
    <cellStyle name="표준 18 3 2 4 6" xfId="8406" xr:uid="{00000000-0005-0000-0000-0000AE200000}"/>
    <cellStyle name="표준 18 3 2 5" xfId="8407" xr:uid="{00000000-0005-0000-0000-0000AF200000}"/>
    <cellStyle name="표준 18 3 2 5 2" xfId="8408" xr:uid="{00000000-0005-0000-0000-0000B0200000}"/>
    <cellStyle name="표준 18 3 2 5 2 2" xfId="8409" xr:uid="{00000000-0005-0000-0000-0000B1200000}"/>
    <cellStyle name="표준 18 3 2 5 2 2 2" xfId="8410" xr:uid="{00000000-0005-0000-0000-0000B2200000}"/>
    <cellStyle name="표준 18 3 2 5 2 2 2 2" xfId="8411" xr:uid="{00000000-0005-0000-0000-0000B3200000}"/>
    <cellStyle name="표준 18 3 2 5 2 2 3" xfId="8412" xr:uid="{00000000-0005-0000-0000-0000B4200000}"/>
    <cellStyle name="표준 18 3 2 5 2 3" xfId="8413" xr:uid="{00000000-0005-0000-0000-0000B5200000}"/>
    <cellStyle name="표준 18 3 2 5 2 3 2" xfId="8414" xr:uid="{00000000-0005-0000-0000-0000B6200000}"/>
    <cellStyle name="표준 18 3 2 5 2 4" xfId="8415" xr:uid="{00000000-0005-0000-0000-0000B7200000}"/>
    <cellStyle name="표준 18 3 2 5 3" xfId="8416" xr:uid="{00000000-0005-0000-0000-0000B8200000}"/>
    <cellStyle name="표준 18 3 2 5 3 2" xfId="8417" xr:uid="{00000000-0005-0000-0000-0000B9200000}"/>
    <cellStyle name="표준 18 3 2 5 3 2 2" xfId="8418" xr:uid="{00000000-0005-0000-0000-0000BA200000}"/>
    <cellStyle name="표준 18 3 2 5 3 3" xfId="8419" xr:uid="{00000000-0005-0000-0000-0000BB200000}"/>
    <cellStyle name="표준 18 3 2 5 4" xfId="8420" xr:uid="{00000000-0005-0000-0000-0000BC200000}"/>
    <cellStyle name="표준 18 3 2 5 4 2" xfId="8421" xr:uid="{00000000-0005-0000-0000-0000BD200000}"/>
    <cellStyle name="표준 18 3 2 5 5" xfId="8422" xr:uid="{00000000-0005-0000-0000-0000BE200000}"/>
    <cellStyle name="표준 18 3 2 6" xfId="8423" xr:uid="{00000000-0005-0000-0000-0000BF200000}"/>
    <cellStyle name="표준 18 3 2 6 2" xfId="8424" xr:uid="{00000000-0005-0000-0000-0000C0200000}"/>
    <cellStyle name="표준 18 3 2 6 2 2" xfId="8425" xr:uid="{00000000-0005-0000-0000-0000C1200000}"/>
    <cellStyle name="표준 18 3 2 6 2 2 2" xfId="8426" xr:uid="{00000000-0005-0000-0000-0000C2200000}"/>
    <cellStyle name="표준 18 3 2 6 2 3" xfId="8427" xr:uid="{00000000-0005-0000-0000-0000C3200000}"/>
    <cellStyle name="표준 18 3 2 6 3" xfId="8428" xr:uid="{00000000-0005-0000-0000-0000C4200000}"/>
    <cellStyle name="표준 18 3 2 6 3 2" xfId="8429" xr:uid="{00000000-0005-0000-0000-0000C5200000}"/>
    <cellStyle name="표준 18 3 2 6 4" xfId="8430" xr:uid="{00000000-0005-0000-0000-0000C6200000}"/>
    <cellStyle name="표준 18 3 2 7" xfId="8431" xr:uid="{00000000-0005-0000-0000-0000C7200000}"/>
    <cellStyle name="표준 18 3 2 7 2" xfId="8432" xr:uid="{00000000-0005-0000-0000-0000C8200000}"/>
    <cellStyle name="표준 18 3 2 7 2 2" xfId="8433" xr:uid="{00000000-0005-0000-0000-0000C9200000}"/>
    <cellStyle name="표준 18 3 2 7 3" xfId="8434" xr:uid="{00000000-0005-0000-0000-0000CA200000}"/>
    <cellStyle name="표준 18 3 2 8" xfId="8435" xr:uid="{00000000-0005-0000-0000-0000CB200000}"/>
    <cellStyle name="표준 18 3 2 8 2" xfId="8436" xr:uid="{00000000-0005-0000-0000-0000CC200000}"/>
    <cellStyle name="표준 18 3 2 9" xfId="8437" xr:uid="{00000000-0005-0000-0000-0000CD200000}"/>
    <cellStyle name="표준 18 3 3" xfId="8438" xr:uid="{00000000-0005-0000-0000-0000CE200000}"/>
    <cellStyle name="표준 18 3 3 2" xfId="8439" xr:uid="{00000000-0005-0000-0000-0000CF200000}"/>
    <cellStyle name="표준 18 3 3 2 2" xfId="8440" xr:uid="{00000000-0005-0000-0000-0000D0200000}"/>
    <cellStyle name="표준 18 3 3 2 2 2" xfId="8441" xr:uid="{00000000-0005-0000-0000-0000D1200000}"/>
    <cellStyle name="표준 18 3 3 2 2 2 2" xfId="8442" xr:uid="{00000000-0005-0000-0000-0000D2200000}"/>
    <cellStyle name="표준 18 3 3 2 2 2 2 2" xfId="8443" xr:uid="{00000000-0005-0000-0000-0000D3200000}"/>
    <cellStyle name="표준 18 3 3 2 2 2 2 2 2" xfId="8444" xr:uid="{00000000-0005-0000-0000-0000D4200000}"/>
    <cellStyle name="표준 18 3 3 2 2 2 2 2 2 2" xfId="8445" xr:uid="{00000000-0005-0000-0000-0000D5200000}"/>
    <cellStyle name="표준 18 3 3 2 2 2 2 2 3" xfId="8446" xr:uid="{00000000-0005-0000-0000-0000D6200000}"/>
    <cellStyle name="표준 18 3 3 2 2 2 2 3" xfId="8447" xr:uid="{00000000-0005-0000-0000-0000D7200000}"/>
    <cellStyle name="표준 18 3 3 2 2 2 2 3 2" xfId="8448" xr:uid="{00000000-0005-0000-0000-0000D8200000}"/>
    <cellStyle name="표준 18 3 3 2 2 2 2 4" xfId="8449" xr:uid="{00000000-0005-0000-0000-0000D9200000}"/>
    <cellStyle name="표준 18 3 3 2 2 2 3" xfId="8450" xr:uid="{00000000-0005-0000-0000-0000DA200000}"/>
    <cellStyle name="표준 18 3 3 2 2 2 3 2" xfId="8451" xr:uid="{00000000-0005-0000-0000-0000DB200000}"/>
    <cellStyle name="표준 18 3 3 2 2 2 3 2 2" xfId="8452" xr:uid="{00000000-0005-0000-0000-0000DC200000}"/>
    <cellStyle name="표준 18 3 3 2 2 2 3 3" xfId="8453" xr:uid="{00000000-0005-0000-0000-0000DD200000}"/>
    <cellStyle name="표준 18 3 3 2 2 2 4" xfId="8454" xr:uid="{00000000-0005-0000-0000-0000DE200000}"/>
    <cellStyle name="표준 18 3 3 2 2 2 4 2" xfId="8455" xr:uid="{00000000-0005-0000-0000-0000DF200000}"/>
    <cellStyle name="표준 18 3 3 2 2 2 5" xfId="8456" xr:uid="{00000000-0005-0000-0000-0000E0200000}"/>
    <cellStyle name="표준 18 3 3 2 2 3" xfId="8457" xr:uid="{00000000-0005-0000-0000-0000E1200000}"/>
    <cellStyle name="표준 18 3 3 2 2 3 2" xfId="8458" xr:uid="{00000000-0005-0000-0000-0000E2200000}"/>
    <cellStyle name="표준 18 3 3 2 2 3 2 2" xfId="8459" xr:uid="{00000000-0005-0000-0000-0000E3200000}"/>
    <cellStyle name="표준 18 3 3 2 2 3 2 2 2" xfId="8460" xr:uid="{00000000-0005-0000-0000-0000E4200000}"/>
    <cellStyle name="표준 18 3 3 2 2 3 2 3" xfId="8461" xr:uid="{00000000-0005-0000-0000-0000E5200000}"/>
    <cellStyle name="표준 18 3 3 2 2 3 3" xfId="8462" xr:uid="{00000000-0005-0000-0000-0000E6200000}"/>
    <cellStyle name="표준 18 3 3 2 2 3 3 2" xfId="8463" xr:uid="{00000000-0005-0000-0000-0000E7200000}"/>
    <cellStyle name="표준 18 3 3 2 2 3 4" xfId="8464" xr:uid="{00000000-0005-0000-0000-0000E8200000}"/>
    <cellStyle name="표준 18 3 3 2 2 4" xfId="8465" xr:uid="{00000000-0005-0000-0000-0000E9200000}"/>
    <cellStyle name="표준 18 3 3 2 2 4 2" xfId="8466" xr:uid="{00000000-0005-0000-0000-0000EA200000}"/>
    <cellStyle name="표준 18 3 3 2 2 4 2 2" xfId="8467" xr:uid="{00000000-0005-0000-0000-0000EB200000}"/>
    <cellStyle name="표준 18 3 3 2 2 4 3" xfId="8468" xr:uid="{00000000-0005-0000-0000-0000EC200000}"/>
    <cellStyle name="표준 18 3 3 2 2 5" xfId="8469" xr:uid="{00000000-0005-0000-0000-0000ED200000}"/>
    <cellStyle name="표준 18 3 3 2 2 5 2" xfId="8470" xr:uid="{00000000-0005-0000-0000-0000EE200000}"/>
    <cellStyle name="표준 18 3 3 2 2 6" xfId="8471" xr:uid="{00000000-0005-0000-0000-0000EF200000}"/>
    <cellStyle name="표준 18 3 3 2 3" xfId="8472" xr:uid="{00000000-0005-0000-0000-0000F0200000}"/>
    <cellStyle name="표준 18 3 3 2 3 2" xfId="8473" xr:uid="{00000000-0005-0000-0000-0000F1200000}"/>
    <cellStyle name="표준 18 3 3 2 3 2 2" xfId="8474" xr:uid="{00000000-0005-0000-0000-0000F2200000}"/>
    <cellStyle name="표준 18 3 3 2 3 2 2 2" xfId="8475" xr:uid="{00000000-0005-0000-0000-0000F3200000}"/>
    <cellStyle name="표준 18 3 3 2 3 2 2 2 2" xfId="8476" xr:uid="{00000000-0005-0000-0000-0000F4200000}"/>
    <cellStyle name="표준 18 3 3 2 3 2 2 3" xfId="8477" xr:uid="{00000000-0005-0000-0000-0000F5200000}"/>
    <cellStyle name="표준 18 3 3 2 3 2 3" xfId="8478" xr:uid="{00000000-0005-0000-0000-0000F6200000}"/>
    <cellStyle name="표준 18 3 3 2 3 2 3 2" xfId="8479" xr:uid="{00000000-0005-0000-0000-0000F7200000}"/>
    <cellStyle name="표준 18 3 3 2 3 2 4" xfId="8480" xr:uid="{00000000-0005-0000-0000-0000F8200000}"/>
    <cellStyle name="표준 18 3 3 2 3 3" xfId="8481" xr:uid="{00000000-0005-0000-0000-0000F9200000}"/>
    <cellStyle name="표준 18 3 3 2 3 3 2" xfId="8482" xr:uid="{00000000-0005-0000-0000-0000FA200000}"/>
    <cellStyle name="표준 18 3 3 2 3 3 2 2" xfId="8483" xr:uid="{00000000-0005-0000-0000-0000FB200000}"/>
    <cellStyle name="표준 18 3 3 2 3 3 3" xfId="8484" xr:uid="{00000000-0005-0000-0000-0000FC200000}"/>
    <cellStyle name="표준 18 3 3 2 3 4" xfId="8485" xr:uid="{00000000-0005-0000-0000-0000FD200000}"/>
    <cellStyle name="표준 18 3 3 2 3 4 2" xfId="8486" xr:uid="{00000000-0005-0000-0000-0000FE200000}"/>
    <cellStyle name="표준 18 3 3 2 3 5" xfId="8487" xr:uid="{00000000-0005-0000-0000-0000FF200000}"/>
    <cellStyle name="표준 18 3 3 2 4" xfId="8488" xr:uid="{00000000-0005-0000-0000-000000210000}"/>
    <cellStyle name="표준 18 3 3 2 4 2" xfId="8489" xr:uid="{00000000-0005-0000-0000-000001210000}"/>
    <cellStyle name="표준 18 3 3 2 4 2 2" xfId="8490" xr:uid="{00000000-0005-0000-0000-000002210000}"/>
    <cellStyle name="표준 18 3 3 2 4 2 2 2" xfId="8491" xr:uid="{00000000-0005-0000-0000-000003210000}"/>
    <cellStyle name="표준 18 3 3 2 4 2 3" xfId="8492" xr:uid="{00000000-0005-0000-0000-000004210000}"/>
    <cellStyle name="표준 18 3 3 2 4 3" xfId="8493" xr:uid="{00000000-0005-0000-0000-000005210000}"/>
    <cellStyle name="표준 18 3 3 2 4 3 2" xfId="8494" xr:uid="{00000000-0005-0000-0000-000006210000}"/>
    <cellStyle name="표준 18 3 3 2 4 4" xfId="8495" xr:uid="{00000000-0005-0000-0000-000007210000}"/>
    <cellStyle name="표준 18 3 3 2 5" xfId="8496" xr:uid="{00000000-0005-0000-0000-000008210000}"/>
    <cellStyle name="표준 18 3 3 2 5 2" xfId="8497" xr:uid="{00000000-0005-0000-0000-000009210000}"/>
    <cellStyle name="표준 18 3 3 2 5 2 2" xfId="8498" xr:uid="{00000000-0005-0000-0000-00000A210000}"/>
    <cellStyle name="표준 18 3 3 2 5 3" xfId="8499" xr:uid="{00000000-0005-0000-0000-00000B210000}"/>
    <cellStyle name="표준 18 3 3 2 6" xfId="8500" xr:uid="{00000000-0005-0000-0000-00000C210000}"/>
    <cellStyle name="표준 18 3 3 2 6 2" xfId="8501" xr:uid="{00000000-0005-0000-0000-00000D210000}"/>
    <cellStyle name="표준 18 3 3 2 7" xfId="8502" xr:uid="{00000000-0005-0000-0000-00000E210000}"/>
    <cellStyle name="표준 18 3 3 2 8" xfId="8503" xr:uid="{00000000-0005-0000-0000-00000F210000}"/>
    <cellStyle name="표준 18 3 3 3" xfId="8504" xr:uid="{00000000-0005-0000-0000-000010210000}"/>
    <cellStyle name="표준 18 3 3 3 2" xfId="8505" xr:uid="{00000000-0005-0000-0000-000011210000}"/>
    <cellStyle name="표준 18 3 3 3 2 2" xfId="8506" xr:uid="{00000000-0005-0000-0000-000012210000}"/>
    <cellStyle name="표준 18 3 3 3 2 2 2" xfId="8507" xr:uid="{00000000-0005-0000-0000-000013210000}"/>
    <cellStyle name="표준 18 3 3 3 2 2 2 2" xfId="8508" xr:uid="{00000000-0005-0000-0000-000014210000}"/>
    <cellStyle name="표준 18 3 3 3 2 2 2 2 2" xfId="8509" xr:uid="{00000000-0005-0000-0000-000015210000}"/>
    <cellStyle name="표준 18 3 3 3 2 2 2 3" xfId="8510" xr:uid="{00000000-0005-0000-0000-000016210000}"/>
    <cellStyle name="표준 18 3 3 3 2 2 3" xfId="8511" xr:uid="{00000000-0005-0000-0000-000017210000}"/>
    <cellStyle name="표준 18 3 3 3 2 2 3 2" xfId="8512" xr:uid="{00000000-0005-0000-0000-000018210000}"/>
    <cellStyle name="표준 18 3 3 3 2 2 4" xfId="8513" xr:uid="{00000000-0005-0000-0000-000019210000}"/>
    <cellStyle name="표준 18 3 3 3 2 3" xfId="8514" xr:uid="{00000000-0005-0000-0000-00001A210000}"/>
    <cellStyle name="표준 18 3 3 3 2 3 2" xfId="8515" xr:uid="{00000000-0005-0000-0000-00001B210000}"/>
    <cellStyle name="표준 18 3 3 3 2 3 2 2" xfId="8516" xr:uid="{00000000-0005-0000-0000-00001C210000}"/>
    <cellStyle name="표준 18 3 3 3 2 3 3" xfId="8517" xr:uid="{00000000-0005-0000-0000-00001D210000}"/>
    <cellStyle name="표준 18 3 3 3 2 4" xfId="8518" xr:uid="{00000000-0005-0000-0000-00001E210000}"/>
    <cellStyle name="표준 18 3 3 3 2 4 2" xfId="8519" xr:uid="{00000000-0005-0000-0000-00001F210000}"/>
    <cellStyle name="표준 18 3 3 3 2 5" xfId="8520" xr:uid="{00000000-0005-0000-0000-000020210000}"/>
    <cellStyle name="표준 18 3 3 3 3" xfId="8521" xr:uid="{00000000-0005-0000-0000-000021210000}"/>
    <cellStyle name="표준 18 3 3 3 3 2" xfId="8522" xr:uid="{00000000-0005-0000-0000-000022210000}"/>
    <cellStyle name="표준 18 3 3 3 3 2 2" xfId="8523" xr:uid="{00000000-0005-0000-0000-000023210000}"/>
    <cellStyle name="표준 18 3 3 3 3 2 2 2" xfId="8524" xr:uid="{00000000-0005-0000-0000-000024210000}"/>
    <cellStyle name="표준 18 3 3 3 3 2 3" xfId="8525" xr:uid="{00000000-0005-0000-0000-000025210000}"/>
    <cellStyle name="표준 18 3 3 3 3 3" xfId="8526" xr:uid="{00000000-0005-0000-0000-000026210000}"/>
    <cellStyle name="표준 18 3 3 3 3 3 2" xfId="8527" xr:uid="{00000000-0005-0000-0000-000027210000}"/>
    <cellStyle name="표준 18 3 3 3 3 4" xfId="8528" xr:uid="{00000000-0005-0000-0000-000028210000}"/>
    <cellStyle name="표준 18 3 3 3 4" xfId="8529" xr:uid="{00000000-0005-0000-0000-000029210000}"/>
    <cellStyle name="표준 18 3 3 3 4 2" xfId="8530" xr:uid="{00000000-0005-0000-0000-00002A210000}"/>
    <cellStyle name="표준 18 3 3 3 4 2 2" xfId="8531" xr:uid="{00000000-0005-0000-0000-00002B210000}"/>
    <cellStyle name="표준 18 3 3 3 4 3" xfId="8532" xr:uid="{00000000-0005-0000-0000-00002C210000}"/>
    <cellStyle name="표준 18 3 3 3 5" xfId="8533" xr:uid="{00000000-0005-0000-0000-00002D210000}"/>
    <cellStyle name="표준 18 3 3 3 5 2" xfId="8534" xr:uid="{00000000-0005-0000-0000-00002E210000}"/>
    <cellStyle name="표준 18 3 3 3 6" xfId="8535" xr:uid="{00000000-0005-0000-0000-00002F210000}"/>
    <cellStyle name="표준 18 3 3 4" xfId="8536" xr:uid="{00000000-0005-0000-0000-000030210000}"/>
    <cellStyle name="표준 18 3 3 4 2" xfId="8537" xr:uid="{00000000-0005-0000-0000-000031210000}"/>
    <cellStyle name="표준 18 3 3 4 2 2" xfId="8538" xr:uid="{00000000-0005-0000-0000-000032210000}"/>
    <cellStyle name="표준 18 3 3 4 2 2 2" xfId="8539" xr:uid="{00000000-0005-0000-0000-000033210000}"/>
    <cellStyle name="표준 18 3 3 4 2 2 2 2" xfId="8540" xr:uid="{00000000-0005-0000-0000-000034210000}"/>
    <cellStyle name="표준 18 3 3 4 2 2 3" xfId="8541" xr:uid="{00000000-0005-0000-0000-000035210000}"/>
    <cellStyle name="표준 18 3 3 4 2 3" xfId="8542" xr:uid="{00000000-0005-0000-0000-000036210000}"/>
    <cellStyle name="표준 18 3 3 4 2 3 2" xfId="8543" xr:uid="{00000000-0005-0000-0000-000037210000}"/>
    <cellStyle name="표준 18 3 3 4 2 4" xfId="8544" xr:uid="{00000000-0005-0000-0000-000038210000}"/>
    <cellStyle name="표준 18 3 3 4 3" xfId="8545" xr:uid="{00000000-0005-0000-0000-000039210000}"/>
    <cellStyle name="표준 18 3 3 4 3 2" xfId="8546" xr:uid="{00000000-0005-0000-0000-00003A210000}"/>
    <cellStyle name="표준 18 3 3 4 3 2 2" xfId="8547" xr:uid="{00000000-0005-0000-0000-00003B210000}"/>
    <cellStyle name="표준 18 3 3 4 3 3" xfId="8548" xr:uid="{00000000-0005-0000-0000-00003C210000}"/>
    <cellStyle name="표준 18 3 3 4 4" xfId="8549" xr:uid="{00000000-0005-0000-0000-00003D210000}"/>
    <cellStyle name="표준 18 3 3 4 4 2" xfId="8550" xr:uid="{00000000-0005-0000-0000-00003E210000}"/>
    <cellStyle name="표준 18 3 3 4 5" xfId="8551" xr:uid="{00000000-0005-0000-0000-00003F210000}"/>
    <cellStyle name="표준 18 3 3 5" xfId="8552" xr:uid="{00000000-0005-0000-0000-000040210000}"/>
    <cellStyle name="표준 18 3 3 5 2" xfId="8553" xr:uid="{00000000-0005-0000-0000-000041210000}"/>
    <cellStyle name="표준 18 3 3 5 2 2" xfId="8554" xr:uid="{00000000-0005-0000-0000-000042210000}"/>
    <cellStyle name="표준 18 3 3 5 2 2 2" xfId="8555" xr:uid="{00000000-0005-0000-0000-000043210000}"/>
    <cellStyle name="표준 18 3 3 5 2 3" xfId="8556" xr:uid="{00000000-0005-0000-0000-000044210000}"/>
    <cellStyle name="표준 18 3 3 5 3" xfId="8557" xr:uid="{00000000-0005-0000-0000-000045210000}"/>
    <cellStyle name="표준 18 3 3 5 3 2" xfId="8558" xr:uid="{00000000-0005-0000-0000-000046210000}"/>
    <cellStyle name="표준 18 3 3 5 4" xfId="8559" xr:uid="{00000000-0005-0000-0000-000047210000}"/>
    <cellStyle name="표준 18 3 3 6" xfId="8560" xr:uid="{00000000-0005-0000-0000-000048210000}"/>
    <cellStyle name="표준 18 3 3 6 2" xfId="8561" xr:uid="{00000000-0005-0000-0000-000049210000}"/>
    <cellStyle name="표준 18 3 3 6 2 2" xfId="8562" xr:uid="{00000000-0005-0000-0000-00004A210000}"/>
    <cellStyle name="표준 18 3 3 6 3" xfId="8563" xr:uid="{00000000-0005-0000-0000-00004B210000}"/>
    <cellStyle name="표준 18 3 3 7" xfId="8564" xr:uid="{00000000-0005-0000-0000-00004C210000}"/>
    <cellStyle name="표준 18 3 3 7 2" xfId="8565" xr:uid="{00000000-0005-0000-0000-00004D210000}"/>
    <cellStyle name="표준 18 3 3 8" xfId="8566" xr:uid="{00000000-0005-0000-0000-00004E210000}"/>
    <cellStyle name="표준 18 3 3 9" xfId="8567" xr:uid="{00000000-0005-0000-0000-00004F210000}"/>
    <cellStyle name="표준 18 3 4" xfId="8568" xr:uid="{00000000-0005-0000-0000-000050210000}"/>
    <cellStyle name="표준 18 3 5" xfId="8569" xr:uid="{00000000-0005-0000-0000-000051210000}"/>
    <cellStyle name="표준 18 3 5 2" xfId="8570" xr:uid="{00000000-0005-0000-0000-000052210000}"/>
    <cellStyle name="표준 18 3 5 2 2" xfId="8571" xr:uid="{00000000-0005-0000-0000-000053210000}"/>
    <cellStyle name="표준 18 3 5 2 2 2" xfId="8572" xr:uid="{00000000-0005-0000-0000-000054210000}"/>
    <cellStyle name="표준 18 3 5 2 2 2 2" xfId="8573" xr:uid="{00000000-0005-0000-0000-000055210000}"/>
    <cellStyle name="표준 18 3 5 2 2 2 2 2" xfId="8574" xr:uid="{00000000-0005-0000-0000-000056210000}"/>
    <cellStyle name="표준 18 3 5 2 2 2 2 2 2" xfId="8575" xr:uid="{00000000-0005-0000-0000-000057210000}"/>
    <cellStyle name="표준 18 3 5 2 2 2 2 3" xfId="8576" xr:uid="{00000000-0005-0000-0000-000058210000}"/>
    <cellStyle name="표준 18 3 5 2 2 2 3" xfId="8577" xr:uid="{00000000-0005-0000-0000-000059210000}"/>
    <cellStyle name="표준 18 3 5 2 2 2 3 2" xfId="8578" xr:uid="{00000000-0005-0000-0000-00005A210000}"/>
    <cellStyle name="표준 18 3 5 2 2 2 4" xfId="8579" xr:uid="{00000000-0005-0000-0000-00005B210000}"/>
    <cellStyle name="표준 18 3 5 2 2 3" xfId="8580" xr:uid="{00000000-0005-0000-0000-00005C210000}"/>
    <cellStyle name="표준 18 3 5 2 2 3 2" xfId="8581" xr:uid="{00000000-0005-0000-0000-00005D210000}"/>
    <cellStyle name="표준 18 3 5 2 2 3 2 2" xfId="8582" xr:uid="{00000000-0005-0000-0000-00005E210000}"/>
    <cellStyle name="표준 18 3 5 2 2 3 3" xfId="8583" xr:uid="{00000000-0005-0000-0000-00005F210000}"/>
    <cellStyle name="표준 18 3 5 2 2 4" xfId="8584" xr:uid="{00000000-0005-0000-0000-000060210000}"/>
    <cellStyle name="표준 18 3 5 2 2 4 2" xfId="8585" xr:uid="{00000000-0005-0000-0000-000061210000}"/>
    <cellStyle name="표준 18 3 5 2 2 5" xfId="8586" xr:uid="{00000000-0005-0000-0000-000062210000}"/>
    <cellStyle name="표준 18 3 5 2 3" xfId="8587" xr:uid="{00000000-0005-0000-0000-000063210000}"/>
    <cellStyle name="표준 18 3 5 2 3 2" xfId="8588" xr:uid="{00000000-0005-0000-0000-000064210000}"/>
    <cellStyle name="표준 18 3 5 2 3 2 2" xfId="8589" xr:uid="{00000000-0005-0000-0000-000065210000}"/>
    <cellStyle name="표준 18 3 5 2 3 2 2 2" xfId="8590" xr:uid="{00000000-0005-0000-0000-000066210000}"/>
    <cellStyle name="표준 18 3 5 2 3 2 3" xfId="8591" xr:uid="{00000000-0005-0000-0000-000067210000}"/>
    <cellStyle name="표준 18 3 5 2 3 3" xfId="8592" xr:uid="{00000000-0005-0000-0000-000068210000}"/>
    <cellStyle name="표준 18 3 5 2 3 3 2" xfId="8593" xr:uid="{00000000-0005-0000-0000-000069210000}"/>
    <cellStyle name="표준 18 3 5 2 3 4" xfId="8594" xr:uid="{00000000-0005-0000-0000-00006A210000}"/>
    <cellStyle name="표준 18 3 5 2 4" xfId="8595" xr:uid="{00000000-0005-0000-0000-00006B210000}"/>
    <cellStyle name="표준 18 3 5 2 4 2" xfId="8596" xr:uid="{00000000-0005-0000-0000-00006C210000}"/>
    <cellStyle name="표준 18 3 5 2 4 2 2" xfId="8597" xr:uid="{00000000-0005-0000-0000-00006D210000}"/>
    <cellStyle name="표준 18 3 5 2 4 3" xfId="8598" xr:uid="{00000000-0005-0000-0000-00006E210000}"/>
    <cellStyle name="표준 18 3 5 2 5" xfId="8599" xr:uid="{00000000-0005-0000-0000-00006F210000}"/>
    <cellStyle name="표준 18 3 5 2 5 2" xfId="8600" xr:uid="{00000000-0005-0000-0000-000070210000}"/>
    <cellStyle name="표준 18 3 5 2 6" xfId="8601" xr:uid="{00000000-0005-0000-0000-000071210000}"/>
    <cellStyle name="표준 18 3 5 3" xfId="8602" xr:uid="{00000000-0005-0000-0000-000072210000}"/>
    <cellStyle name="표준 18 3 5 3 2" xfId="8603" xr:uid="{00000000-0005-0000-0000-000073210000}"/>
    <cellStyle name="표준 18 3 5 3 2 2" xfId="8604" xr:uid="{00000000-0005-0000-0000-000074210000}"/>
    <cellStyle name="표준 18 3 5 3 2 2 2" xfId="8605" xr:uid="{00000000-0005-0000-0000-000075210000}"/>
    <cellStyle name="표준 18 3 5 3 2 2 2 2" xfId="8606" xr:uid="{00000000-0005-0000-0000-000076210000}"/>
    <cellStyle name="표준 18 3 5 3 2 2 3" xfId="8607" xr:uid="{00000000-0005-0000-0000-000077210000}"/>
    <cellStyle name="표준 18 3 5 3 2 3" xfId="8608" xr:uid="{00000000-0005-0000-0000-000078210000}"/>
    <cellStyle name="표준 18 3 5 3 2 3 2" xfId="8609" xr:uid="{00000000-0005-0000-0000-000079210000}"/>
    <cellStyle name="표준 18 3 5 3 2 4" xfId="8610" xr:uid="{00000000-0005-0000-0000-00007A210000}"/>
    <cellStyle name="표준 18 3 5 3 3" xfId="8611" xr:uid="{00000000-0005-0000-0000-00007B210000}"/>
    <cellStyle name="표준 18 3 5 3 3 2" xfId="8612" xr:uid="{00000000-0005-0000-0000-00007C210000}"/>
    <cellStyle name="표준 18 3 5 3 3 2 2" xfId="8613" xr:uid="{00000000-0005-0000-0000-00007D210000}"/>
    <cellStyle name="표준 18 3 5 3 3 3" xfId="8614" xr:uid="{00000000-0005-0000-0000-00007E210000}"/>
    <cellStyle name="표준 18 3 5 3 4" xfId="8615" xr:uid="{00000000-0005-0000-0000-00007F210000}"/>
    <cellStyle name="표준 18 3 5 3 4 2" xfId="8616" xr:uid="{00000000-0005-0000-0000-000080210000}"/>
    <cellStyle name="표준 18 3 5 3 5" xfId="8617" xr:uid="{00000000-0005-0000-0000-000081210000}"/>
    <cellStyle name="표준 18 3 5 4" xfId="8618" xr:uid="{00000000-0005-0000-0000-000082210000}"/>
    <cellStyle name="표준 18 3 5 4 2" xfId="8619" xr:uid="{00000000-0005-0000-0000-000083210000}"/>
    <cellStyle name="표준 18 3 5 4 2 2" xfId="8620" xr:uid="{00000000-0005-0000-0000-000084210000}"/>
    <cellStyle name="표준 18 3 5 4 2 2 2" xfId="8621" xr:uid="{00000000-0005-0000-0000-000085210000}"/>
    <cellStyle name="표준 18 3 5 4 2 3" xfId="8622" xr:uid="{00000000-0005-0000-0000-000086210000}"/>
    <cellStyle name="표준 18 3 5 4 3" xfId="8623" xr:uid="{00000000-0005-0000-0000-000087210000}"/>
    <cellStyle name="표준 18 3 5 4 3 2" xfId="8624" xr:uid="{00000000-0005-0000-0000-000088210000}"/>
    <cellStyle name="표준 18 3 5 4 4" xfId="8625" xr:uid="{00000000-0005-0000-0000-000089210000}"/>
    <cellStyle name="표준 18 3 5 5" xfId="8626" xr:uid="{00000000-0005-0000-0000-00008A210000}"/>
    <cellStyle name="표준 18 3 5 5 2" xfId="8627" xr:uid="{00000000-0005-0000-0000-00008B210000}"/>
    <cellStyle name="표준 18 3 5 5 2 2" xfId="8628" xr:uid="{00000000-0005-0000-0000-00008C210000}"/>
    <cellStyle name="표준 18 3 5 5 3" xfId="8629" xr:uid="{00000000-0005-0000-0000-00008D210000}"/>
    <cellStyle name="표준 18 3 5 6" xfId="8630" xr:uid="{00000000-0005-0000-0000-00008E210000}"/>
    <cellStyle name="표준 18 3 5 6 2" xfId="8631" xr:uid="{00000000-0005-0000-0000-00008F210000}"/>
    <cellStyle name="표준 18 3 5 7" xfId="8632" xr:uid="{00000000-0005-0000-0000-000090210000}"/>
    <cellStyle name="표준 18 3 5 8" xfId="8633" xr:uid="{00000000-0005-0000-0000-000091210000}"/>
    <cellStyle name="표준 18 3 6" xfId="8634" xr:uid="{00000000-0005-0000-0000-000092210000}"/>
    <cellStyle name="표준 18 3 6 2" xfId="8635" xr:uid="{00000000-0005-0000-0000-000093210000}"/>
    <cellStyle name="표준 18 3 6 2 2" xfId="8636" xr:uid="{00000000-0005-0000-0000-000094210000}"/>
    <cellStyle name="표준 18 3 6 2 2 2" xfId="8637" xr:uid="{00000000-0005-0000-0000-000095210000}"/>
    <cellStyle name="표준 18 3 6 2 2 2 2" xfId="8638" xr:uid="{00000000-0005-0000-0000-000096210000}"/>
    <cellStyle name="표준 18 3 6 2 2 2 2 2" xfId="8639" xr:uid="{00000000-0005-0000-0000-000097210000}"/>
    <cellStyle name="표준 18 3 6 2 2 2 3" xfId="8640" xr:uid="{00000000-0005-0000-0000-000098210000}"/>
    <cellStyle name="표준 18 3 6 2 2 3" xfId="8641" xr:uid="{00000000-0005-0000-0000-000099210000}"/>
    <cellStyle name="표준 18 3 6 2 2 3 2" xfId="8642" xr:uid="{00000000-0005-0000-0000-00009A210000}"/>
    <cellStyle name="표준 18 3 6 2 2 4" xfId="8643" xr:uid="{00000000-0005-0000-0000-00009B210000}"/>
    <cellStyle name="표준 18 3 6 2 3" xfId="8644" xr:uid="{00000000-0005-0000-0000-00009C210000}"/>
    <cellStyle name="표준 18 3 6 2 3 2" xfId="8645" xr:uid="{00000000-0005-0000-0000-00009D210000}"/>
    <cellStyle name="표준 18 3 6 2 3 2 2" xfId="8646" xr:uid="{00000000-0005-0000-0000-00009E210000}"/>
    <cellStyle name="표준 18 3 6 2 3 3" xfId="8647" xr:uid="{00000000-0005-0000-0000-00009F210000}"/>
    <cellStyle name="표준 18 3 6 2 4" xfId="8648" xr:uid="{00000000-0005-0000-0000-0000A0210000}"/>
    <cellStyle name="표준 18 3 6 2 4 2" xfId="8649" xr:uid="{00000000-0005-0000-0000-0000A1210000}"/>
    <cellStyle name="표준 18 3 6 2 5" xfId="8650" xr:uid="{00000000-0005-0000-0000-0000A2210000}"/>
    <cellStyle name="표준 18 3 6 3" xfId="8651" xr:uid="{00000000-0005-0000-0000-0000A3210000}"/>
    <cellStyle name="표준 18 3 6 3 2" xfId="8652" xr:uid="{00000000-0005-0000-0000-0000A4210000}"/>
    <cellStyle name="표준 18 3 6 3 2 2" xfId="8653" xr:uid="{00000000-0005-0000-0000-0000A5210000}"/>
    <cellStyle name="표준 18 3 6 3 2 2 2" xfId="8654" xr:uid="{00000000-0005-0000-0000-0000A6210000}"/>
    <cellStyle name="표준 18 3 6 3 2 3" xfId="8655" xr:uid="{00000000-0005-0000-0000-0000A7210000}"/>
    <cellStyle name="표준 18 3 6 3 3" xfId="8656" xr:uid="{00000000-0005-0000-0000-0000A8210000}"/>
    <cellStyle name="표준 18 3 6 3 3 2" xfId="8657" xr:uid="{00000000-0005-0000-0000-0000A9210000}"/>
    <cellStyle name="표준 18 3 6 3 4" xfId="8658" xr:uid="{00000000-0005-0000-0000-0000AA210000}"/>
    <cellStyle name="표준 18 3 6 4" xfId="8659" xr:uid="{00000000-0005-0000-0000-0000AB210000}"/>
    <cellStyle name="표준 18 3 6 4 2" xfId="8660" xr:uid="{00000000-0005-0000-0000-0000AC210000}"/>
    <cellStyle name="표준 18 3 6 4 2 2" xfId="8661" xr:uid="{00000000-0005-0000-0000-0000AD210000}"/>
    <cellStyle name="표준 18 3 6 4 3" xfId="8662" xr:uid="{00000000-0005-0000-0000-0000AE210000}"/>
    <cellStyle name="표준 18 3 6 5" xfId="8663" xr:uid="{00000000-0005-0000-0000-0000AF210000}"/>
    <cellStyle name="표준 18 3 6 5 2" xfId="8664" xr:uid="{00000000-0005-0000-0000-0000B0210000}"/>
    <cellStyle name="표준 18 3 6 6" xfId="8665" xr:uid="{00000000-0005-0000-0000-0000B1210000}"/>
    <cellStyle name="표준 18 3 6 7" xfId="8666" xr:uid="{00000000-0005-0000-0000-0000B2210000}"/>
    <cellStyle name="표준 18 3 7" xfId="8667" xr:uid="{00000000-0005-0000-0000-0000B3210000}"/>
    <cellStyle name="표준 18 3 7 2" xfId="8668" xr:uid="{00000000-0005-0000-0000-0000B4210000}"/>
    <cellStyle name="표준 18 3 7 2 2" xfId="8669" xr:uid="{00000000-0005-0000-0000-0000B5210000}"/>
    <cellStyle name="표준 18 3 7 2 2 2" xfId="8670" xr:uid="{00000000-0005-0000-0000-0000B6210000}"/>
    <cellStyle name="표준 18 3 7 2 2 2 2" xfId="8671" xr:uid="{00000000-0005-0000-0000-0000B7210000}"/>
    <cellStyle name="표준 18 3 7 2 2 2 2 2" xfId="8672" xr:uid="{00000000-0005-0000-0000-0000B8210000}"/>
    <cellStyle name="표준 18 3 7 2 2 2 3" xfId="8673" xr:uid="{00000000-0005-0000-0000-0000B9210000}"/>
    <cellStyle name="표준 18 3 7 2 2 3" xfId="8674" xr:uid="{00000000-0005-0000-0000-0000BA210000}"/>
    <cellStyle name="표준 18 3 7 2 2 3 2" xfId="8675" xr:uid="{00000000-0005-0000-0000-0000BB210000}"/>
    <cellStyle name="표준 18 3 7 2 2 4" xfId="8676" xr:uid="{00000000-0005-0000-0000-0000BC210000}"/>
    <cellStyle name="표준 18 3 7 2 3" xfId="8677" xr:uid="{00000000-0005-0000-0000-0000BD210000}"/>
    <cellStyle name="표준 18 3 7 2 3 2" xfId="8678" xr:uid="{00000000-0005-0000-0000-0000BE210000}"/>
    <cellStyle name="표준 18 3 7 2 3 2 2" xfId="8679" xr:uid="{00000000-0005-0000-0000-0000BF210000}"/>
    <cellStyle name="표준 18 3 7 2 3 3" xfId="8680" xr:uid="{00000000-0005-0000-0000-0000C0210000}"/>
    <cellStyle name="표준 18 3 7 2 4" xfId="8681" xr:uid="{00000000-0005-0000-0000-0000C1210000}"/>
    <cellStyle name="표준 18 3 7 2 4 2" xfId="8682" xr:uid="{00000000-0005-0000-0000-0000C2210000}"/>
    <cellStyle name="표준 18 3 7 2 5" xfId="8683" xr:uid="{00000000-0005-0000-0000-0000C3210000}"/>
    <cellStyle name="표준 18 3 7 3" xfId="8684" xr:uid="{00000000-0005-0000-0000-0000C4210000}"/>
    <cellStyle name="표준 18 3 7 3 2" xfId="8685" xr:uid="{00000000-0005-0000-0000-0000C5210000}"/>
    <cellStyle name="표준 18 3 7 3 2 2" xfId="8686" xr:uid="{00000000-0005-0000-0000-0000C6210000}"/>
    <cellStyle name="표준 18 3 7 3 2 2 2" xfId="8687" xr:uid="{00000000-0005-0000-0000-0000C7210000}"/>
    <cellStyle name="표준 18 3 7 3 2 3" xfId="8688" xr:uid="{00000000-0005-0000-0000-0000C8210000}"/>
    <cellStyle name="표준 18 3 7 3 3" xfId="8689" xr:uid="{00000000-0005-0000-0000-0000C9210000}"/>
    <cellStyle name="표준 18 3 7 3 3 2" xfId="8690" xr:uid="{00000000-0005-0000-0000-0000CA210000}"/>
    <cellStyle name="표준 18 3 7 3 4" xfId="8691" xr:uid="{00000000-0005-0000-0000-0000CB210000}"/>
    <cellStyle name="표준 18 3 7 4" xfId="8692" xr:uid="{00000000-0005-0000-0000-0000CC210000}"/>
    <cellStyle name="표준 18 3 7 4 2" xfId="8693" xr:uid="{00000000-0005-0000-0000-0000CD210000}"/>
    <cellStyle name="표준 18 3 7 4 2 2" xfId="8694" xr:uid="{00000000-0005-0000-0000-0000CE210000}"/>
    <cellStyle name="표준 18 3 7 4 3" xfId="8695" xr:uid="{00000000-0005-0000-0000-0000CF210000}"/>
    <cellStyle name="표준 18 3 7 5" xfId="8696" xr:uid="{00000000-0005-0000-0000-0000D0210000}"/>
    <cellStyle name="표준 18 3 7 5 2" xfId="8697" xr:uid="{00000000-0005-0000-0000-0000D1210000}"/>
    <cellStyle name="표준 18 3 7 6" xfId="8698" xr:uid="{00000000-0005-0000-0000-0000D2210000}"/>
    <cellStyle name="표준 18 3 8" xfId="8699" xr:uid="{00000000-0005-0000-0000-0000D3210000}"/>
    <cellStyle name="표준 18 3 8 2" xfId="8700" xr:uid="{00000000-0005-0000-0000-0000D4210000}"/>
    <cellStyle name="표준 18 3 8 2 2" xfId="8701" xr:uid="{00000000-0005-0000-0000-0000D5210000}"/>
    <cellStyle name="표준 18 3 8 2 2 2" xfId="8702" xr:uid="{00000000-0005-0000-0000-0000D6210000}"/>
    <cellStyle name="표준 18 3 8 2 2 2 2" xfId="8703" xr:uid="{00000000-0005-0000-0000-0000D7210000}"/>
    <cellStyle name="표준 18 3 8 2 2 3" xfId="8704" xr:uid="{00000000-0005-0000-0000-0000D8210000}"/>
    <cellStyle name="표준 18 3 8 2 3" xfId="8705" xr:uid="{00000000-0005-0000-0000-0000D9210000}"/>
    <cellStyle name="표준 18 3 8 2 3 2" xfId="8706" xr:uid="{00000000-0005-0000-0000-0000DA210000}"/>
    <cellStyle name="표준 18 3 8 2 4" xfId="8707" xr:uid="{00000000-0005-0000-0000-0000DB210000}"/>
    <cellStyle name="표준 18 3 8 3" xfId="8708" xr:uid="{00000000-0005-0000-0000-0000DC210000}"/>
    <cellStyle name="표준 18 3 8 3 2" xfId="8709" xr:uid="{00000000-0005-0000-0000-0000DD210000}"/>
    <cellStyle name="표준 18 3 8 3 2 2" xfId="8710" xr:uid="{00000000-0005-0000-0000-0000DE210000}"/>
    <cellStyle name="표준 18 3 8 3 3" xfId="8711" xr:uid="{00000000-0005-0000-0000-0000DF210000}"/>
    <cellStyle name="표준 18 3 8 4" xfId="8712" xr:uid="{00000000-0005-0000-0000-0000E0210000}"/>
    <cellStyle name="표준 18 3 8 4 2" xfId="8713" xr:uid="{00000000-0005-0000-0000-0000E1210000}"/>
    <cellStyle name="표준 18 3 8 5" xfId="8714" xr:uid="{00000000-0005-0000-0000-0000E2210000}"/>
    <cellStyle name="표준 18 3 9" xfId="8715" xr:uid="{00000000-0005-0000-0000-0000E3210000}"/>
    <cellStyle name="표준 18 3 9 2" xfId="8716" xr:uid="{00000000-0005-0000-0000-0000E4210000}"/>
    <cellStyle name="표준 18 3 9 2 2" xfId="8717" xr:uid="{00000000-0005-0000-0000-0000E5210000}"/>
    <cellStyle name="표준 18 3 9 2 2 2" xfId="8718" xr:uid="{00000000-0005-0000-0000-0000E6210000}"/>
    <cellStyle name="표준 18 3 9 2 3" xfId="8719" xr:uid="{00000000-0005-0000-0000-0000E7210000}"/>
    <cellStyle name="표준 18 3 9 3" xfId="8720" xr:uid="{00000000-0005-0000-0000-0000E8210000}"/>
    <cellStyle name="표준 18 3 9 3 2" xfId="8721" xr:uid="{00000000-0005-0000-0000-0000E9210000}"/>
    <cellStyle name="표준 18 3 9 4" xfId="8722" xr:uid="{00000000-0005-0000-0000-0000EA210000}"/>
    <cellStyle name="표준 18 4" xfId="8723" xr:uid="{00000000-0005-0000-0000-0000EB210000}"/>
    <cellStyle name="표준 18 4 2" xfId="8724" xr:uid="{00000000-0005-0000-0000-0000EC210000}"/>
    <cellStyle name="표준 18 4 2 2" xfId="8725" xr:uid="{00000000-0005-0000-0000-0000ED210000}"/>
    <cellStyle name="표준 18 4 2 2 2" xfId="8726" xr:uid="{00000000-0005-0000-0000-0000EE210000}"/>
    <cellStyle name="표준 18 4 2 2 2 2" xfId="8727" xr:uid="{00000000-0005-0000-0000-0000EF210000}"/>
    <cellStyle name="표준 18 4 2 2 2 2 2" xfId="8728" xr:uid="{00000000-0005-0000-0000-0000F0210000}"/>
    <cellStyle name="표준 18 4 2 2 2 2 2 2" xfId="8729" xr:uid="{00000000-0005-0000-0000-0000F1210000}"/>
    <cellStyle name="표준 18 4 2 2 2 2 3" xfId="8730" xr:uid="{00000000-0005-0000-0000-0000F2210000}"/>
    <cellStyle name="표준 18 4 2 2 2 3" xfId="8731" xr:uid="{00000000-0005-0000-0000-0000F3210000}"/>
    <cellStyle name="표준 18 4 2 2 2 3 2" xfId="8732" xr:uid="{00000000-0005-0000-0000-0000F4210000}"/>
    <cellStyle name="표준 18 4 2 2 2 4" xfId="8733" xr:uid="{00000000-0005-0000-0000-0000F5210000}"/>
    <cellStyle name="표준 18 4 2 2 3" xfId="8734" xr:uid="{00000000-0005-0000-0000-0000F6210000}"/>
    <cellStyle name="표준 18 4 2 2 3 2" xfId="8735" xr:uid="{00000000-0005-0000-0000-0000F7210000}"/>
    <cellStyle name="표준 18 4 2 2 3 2 2" xfId="8736" xr:uid="{00000000-0005-0000-0000-0000F8210000}"/>
    <cellStyle name="표준 18 4 2 2 3 3" xfId="8737" xr:uid="{00000000-0005-0000-0000-0000F9210000}"/>
    <cellStyle name="표준 18 4 2 2 4" xfId="8738" xr:uid="{00000000-0005-0000-0000-0000FA210000}"/>
    <cellStyle name="표준 18 4 2 2 4 2" xfId="8739" xr:uid="{00000000-0005-0000-0000-0000FB210000}"/>
    <cellStyle name="표준 18 4 2 2 5" xfId="8740" xr:uid="{00000000-0005-0000-0000-0000FC210000}"/>
    <cellStyle name="표준 18 4 2 3" xfId="8741" xr:uid="{00000000-0005-0000-0000-0000FD210000}"/>
    <cellStyle name="표준 18 4 2 3 2" xfId="8742" xr:uid="{00000000-0005-0000-0000-0000FE210000}"/>
    <cellStyle name="표준 18 4 2 3 2 2" xfId="8743" xr:uid="{00000000-0005-0000-0000-0000FF210000}"/>
    <cellStyle name="표준 18 4 2 3 2 2 2" xfId="8744" xr:uid="{00000000-0005-0000-0000-000000220000}"/>
    <cellStyle name="표준 18 4 2 3 2 3" xfId="8745" xr:uid="{00000000-0005-0000-0000-000001220000}"/>
    <cellStyle name="표준 18 4 2 3 3" xfId="8746" xr:uid="{00000000-0005-0000-0000-000002220000}"/>
    <cellStyle name="표준 18 4 2 3 3 2" xfId="8747" xr:uid="{00000000-0005-0000-0000-000003220000}"/>
    <cellStyle name="표준 18 4 2 3 4" xfId="8748" xr:uid="{00000000-0005-0000-0000-000004220000}"/>
    <cellStyle name="표준 18 4 2 4" xfId="8749" xr:uid="{00000000-0005-0000-0000-000005220000}"/>
    <cellStyle name="표준 18 4 2 4 2" xfId="8750" xr:uid="{00000000-0005-0000-0000-000006220000}"/>
    <cellStyle name="표준 18 4 2 4 2 2" xfId="8751" xr:uid="{00000000-0005-0000-0000-000007220000}"/>
    <cellStyle name="표준 18 4 2 4 3" xfId="8752" xr:uid="{00000000-0005-0000-0000-000008220000}"/>
    <cellStyle name="표준 18 4 2 5" xfId="8753" xr:uid="{00000000-0005-0000-0000-000009220000}"/>
    <cellStyle name="표준 18 4 2 5 2" xfId="8754" xr:uid="{00000000-0005-0000-0000-00000A220000}"/>
    <cellStyle name="표준 18 4 2 6" xfId="8755" xr:uid="{00000000-0005-0000-0000-00000B220000}"/>
    <cellStyle name="표준 18 4 3" xfId="8756" xr:uid="{00000000-0005-0000-0000-00000C220000}"/>
    <cellStyle name="표준 18 4 3 2" xfId="8757" xr:uid="{00000000-0005-0000-0000-00000D220000}"/>
    <cellStyle name="표준 18 4 3 2 2" xfId="8758" xr:uid="{00000000-0005-0000-0000-00000E220000}"/>
    <cellStyle name="표준 18 4 3 2 2 2" xfId="8759" xr:uid="{00000000-0005-0000-0000-00000F220000}"/>
    <cellStyle name="표준 18 4 3 2 2 2 2" xfId="8760" xr:uid="{00000000-0005-0000-0000-000010220000}"/>
    <cellStyle name="표준 18 4 3 2 2 3" xfId="8761" xr:uid="{00000000-0005-0000-0000-000011220000}"/>
    <cellStyle name="표준 18 4 3 2 3" xfId="8762" xr:uid="{00000000-0005-0000-0000-000012220000}"/>
    <cellStyle name="표준 18 4 3 2 3 2" xfId="8763" xr:uid="{00000000-0005-0000-0000-000013220000}"/>
    <cellStyle name="표준 18 4 3 2 4" xfId="8764" xr:uid="{00000000-0005-0000-0000-000014220000}"/>
    <cellStyle name="표준 18 4 3 3" xfId="8765" xr:uid="{00000000-0005-0000-0000-000015220000}"/>
    <cellStyle name="표준 18 4 3 3 2" xfId="8766" xr:uid="{00000000-0005-0000-0000-000016220000}"/>
    <cellStyle name="표준 18 4 3 3 2 2" xfId="8767" xr:uid="{00000000-0005-0000-0000-000017220000}"/>
    <cellStyle name="표준 18 4 3 3 3" xfId="8768" xr:uid="{00000000-0005-0000-0000-000018220000}"/>
    <cellStyle name="표준 18 4 3 4" xfId="8769" xr:uid="{00000000-0005-0000-0000-000019220000}"/>
    <cellStyle name="표준 18 4 3 4 2" xfId="8770" xr:uid="{00000000-0005-0000-0000-00001A220000}"/>
    <cellStyle name="표준 18 4 3 5" xfId="8771" xr:uid="{00000000-0005-0000-0000-00001B220000}"/>
    <cellStyle name="표준 18 4 4" xfId="8772" xr:uid="{00000000-0005-0000-0000-00001C220000}"/>
    <cellStyle name="표준 18 4 4 2" xfId="8773" xr:uid="{00000000-0005-0000-0000-00001D220000}"/>
    <cellStyle name="표준 18 4 4 2 2" xfId="8774" xr:uid="{00000000-0005-0000-0000-00001E220000}"/>
    <cellStyle name="표준 18 4 4 2 2 2" xfId="8775" xr:uid="{00000000-0005-0000-0000-00001F220000}"/>
    <cellStyle name="표준 18 4 4 2 3" xfId="8776" xr:uid="{00000000-0005-0000-0000-000020220000}"/>
    <cellStyle name="표준 18 4 4 3" xfId="8777" xr:uid="{00000000-0005-0000-0000-000021220000}"/>
    <cellStyle name="표준 18 4 4 3 2" xfId="8778" xr:uid="{00000000-0005-0000-0000-000022220000}"/>
    <cellStyle name="표준 18 4 4 4" xfId="8779" xr:uid="{00000000-0005-0000-0000-000023220000}"/>
    <cellStyle name="표준 18 4 5" xfId="8780" xr:uid="{00000000-0005-0000-0000-000024220000}"/>
    <cellStyle name="표준 18 4 5 2" xfId="8781" xr:uid="{00000000-0005-0000-0000-000025220000}"/>
    <cellStyle name="표준 18 4 5 2 2" xfId="8782" xr:uid="{00000000-0005-0000-0000-000026220000}"/>
    <cellStyle name="표준 18 4 5 3" xfId="8783" xr:uid="{00000000-0005-0000-0000-000027220000}"/>
    <cellStyle name="표준 18 4 6" xfId="8784" xr:uid="{00000000-0005-0000-0000-000028220000}"/>
    <cellStyle name="표준 18 4 6 2" xfId="8785" xr:uid="{00000000-0005-0000-0000-000029220000}"/>
    <cellStyle name="표준 18 4 7" xfId="8786" xr:uid="{00000000-0005-0000-0000-00002A220000}"/>
    <cellStyle name="표준 18 4 8" xfId="8787" xr:uid="{00000000-0005-0000-0000-00002B220000}"/>
    <cellStyle name="표준 18 5" xfId="8788" xr:uid="{00000000-0005-0000-0000-00002C220000}"/>
    <cellStyle name="표준 18 5 2" xfId="8789" xr:uid="{00000000-0005-0000-0000-00002D220000}"/>
    <cellStyle name="표준 18 6" xfId="8790" xr:uid="{00000000-0005-0000-0000-00002E220000}"/>
    <cellStyle name="표준 19" xfId="20" xr:uid="{00000000-0005-0000-0000-00002F220000}"/>
    <cellStyle name="표준 19 2" xfId="62" xr:uid="{00000000-0005-0000-0000-000030220000}"/>
    <cellStyle name="표준 19 2 2" xfId="8791" xr:uid="{00000000-0005-0000-0000-000031220000}"/>
    <cellStyle name="표준 19 2 2 2" xfId="8792" xr:uid="{00000000-0005-0000-0000-000032220000}"/>
    <cellStyle name="표준 19 2 3" xfId="8793" xr:uid="{00000000-0005-0000-0000-000033220000}"/>
    <cellStyle name="표준 19 3" xfId="8794" xr:uid="{00000000-0005-0000-0000-000034220000}"/>
    <cellStyle name="표준 19 3 2" xfId="8795" xr:uid="{00000000-0005-0000-0000-000035220000}"/>
    <cellStyle name="표준 19 4" xfId="8796" xr:uid="{00000000-0005-0000-0000-000036220000}"/>
    <cellStyle name="표준 19 5" xfId="8797" xr:uid="{00000000-0005-0000-0000-000037220000}"/>
    <cellStyle name="표준 2" xfId="21" xr:uid="{00000000-0005-0000-0000-000038220000}"/>
    <cellStyle name="표준 2 10" xfId="8798" xr:uid="{00000000-0005-0000-0000-000039220000}"/>
    <cellStyle name="표준 2 11" xfId="8799" xr:uid="{00000000-0005-0000-0000-00003A220000}"/>
    <cellStyle name="표준 2 12" xfId="8800" xr:uid="{00000000-0005-0000-0000-00003B220000}"/>
    <cellStyle name="표준 2 13" xfId="8801" xr:uid="{00000000-0005-0000-0000-00003C220000}"/>
    <cellStyle name="표준 2 14" xfId="8802" xr:uid="{00000000-0005-0000-0000-00003D220000}"/>
    <cellStyle name="표준 2 15" xfId="8803" xr:uid="{00000000-0005-0000-0000-00003E220000}"/>
    <cellStyle name="표준 2 16" xfId="8804" xr:uid="{00000000-0005-0000-0000-00003F220000}"/>
    <cellStyle name="표준 2 17" xfId="8805" xr:uid="{00000000-0005-0000-0000-000040220000}"/>
    <cellStyle name="표준 2 18" xfId="8806" xr:uid="{00000000-0005-0000-0000-000041220000}"/>
    <cellStyle name="표준 2 19" xfId="8807" xr:uid="{00000000-0005-0000-0000-000042220000}"/>
    <cellStyle name="표준 2 2" xfId="52" xr:uid="{00000000-0005-0000-0000-000043220000}"/>
    <cellStyle name="표준 2 2 2 2" xfId="8808" xr:uid="{00000000-0005-0000-0000-000044220000}"/>
    <cellStyle name="표준 2 20" xfId="8809" xr:uid="{00000000-0005-0000-0000-000045220000}"/>
    <cellStyle name="표준 2 21" xfId="8810" xr:uid="{00000000-0005-0000-0000-000046220000}"/>
    <cellStyle name="표준 2 22" xfId="8811" xr:uid="{00000000-0005-0000-0000-000047220000}"/>
    <cellStyle name="표준 2 23" xfId="8812" xr:uid="{00000000-0005-0000-0000-000048220000}"/>
    <cellStyle name="표준 2 24" xfId="8813" xr:uid="{00000000-0005-0000-0000-000049220000}"/>
    <cellStyle name="표준 2 25" xfId="8814" xr:uid="{00000000-0005-0000-0000-00004A220000}"/>
    <cellStyle name="표준 2 26" xfId="8815" xr:uid="{00000000-0005-0000-0000-00004B220000}"/>
    <cellStyle name="표준 2 27" xfId="8816" xr:uid="{00000000-0005-0000-0000-00004C220000}"/>
    <cellStyle name="표준 2 28" xfId="8817" xr:uid="{00000000-0005-0000-0000-00004D220000}"/>
    <cellStyle name="표준 2 29" xfId="8818" xr:uid="{00000000-0005-0000-0000-00004E220000}"/>
    <cellStyle name="표준 2 3" xfId="8819" xr:uid="{00000000-0005-0000-0000-00004F220000}"/>
    <cellStyle name="표준 2 3 2" xfId="8820" xr:uid="{00000000-0005-0000-0000-000050220000}"/>
    <cellStyle name="표준 2 30" xfId="8821" xr:uid="{00000000-0005-0000-0000-000051220000}"/>
    <cellStyle name="표준 2 31" xfId="8822" xr:uid="{00000000-0005-0000-0000-000052220000}"/>
    <cellStyle name="표준 2 32" xfId="8823" xr:uid="{00000000-0005-0000-0000-000053220000}"/>
    <cellStyle name="표준 2 33" xfId="8824" xr:uid="{00000000-0005-0000-0000-000054220000}"/>
    <cellStyle name="표준 2 34" xfId="8825" xr:uid="{00000000-0005-0000-0000-000055220000}"/>
    <cellStyle name="표준 2 35" xfId="8826" xr:uid="{00000000-0005-0000-0000-000056220000}"/>
    <cellStyle name="표준 2 36" xfId="8827" xr:uid="{00000000-0005-0000-0000-000057220000}"/>
    <cellStyle name="표준 2 37" xfId="8828" xr:uid="{00000000-0005-0000-0000-000058220000}"/>
    <cellStyle name="표준 2 38" xfId="8829" xr:uid="{00000000-0005-0000-0000-000059220000}"/>
    <cellStyle name="표준 2 39" xfId="8830" xr:uid="{00000000-0005-0000-0000-00005A220000}"/>
    <cellStyle name="표준 2 4" xfId="8831" xr:uid="{00000000-0005-0000-0000-00005B220000}"/>
    <cellStyle name="표준 2 4 2" xfId="8832" xr:uid="{00000000-0005-0000-0000-00005C220000}"/>
    <cellStyle name="표준 2 40" xfId="8833" xr:uid="{00000000-0005-0000-0000-00005D220000}"/>
    <cellStyle name="표준 2 41" xfId="8834" xr:uid="{00000000-0005-0000-0000-00005E220000}"/>
    <cellStyle name="표준 2 42" xfId="8835" xr:uid="{00000000-0005-0000-0000-00005F220000}"/>
    <cellStyle name="표준 2 43" xfId="8836" xr:uid="{00000000-0005-0000-0000-000060220000}"/>
    <cellStyle name="표준 2 44" xfId="8837" xr:uid="{00000000-0005-0000-0000-000061220000}"/>
    <cellStyle name="표준 2 45" xfId="8838" xr:uid="{00000000-0005-0000-0000-000062220000}"/>
    <cellStyle name="표준 2 46" xfId="8839" xr:uid="{00000000-0005-0000-0000-000063220000}"/>
    <cellStyle name="표준 2 47" xfId="8840" xr:uid="{00000000-0005-0000-0000-000064220000}"/>
    <cellStyle name="표준 2 48" xfId="8841" xr:uid="{00000000-0005-0000-0000-000065220000}"/>
    <cellStyle name="표준 2 49" xfId="8842" xr:uid="{00000000-0005-0000-0000-000066220000}"/>
    <cellStyle name="표준 2 5" xfId="8843" xr:uid="{00000000-0005-0000-0000-000067220000}"/>
    <cellStyle name="표준 2 50" xfId="8844" xr:uid="{00000000-0005-0000-0000-000068220000}"/>
    <cellStyle name="표준 2 51" xfId="8845" xr:uid="{00000000-0005-0000-0000-000069220000}"/>
    <cellStyle name="표준 2 52" xfId="8846" xr:uid="{00000000-0005-0000-0000-00006A220000}"/>
    <cellStyle name="표준 2 53" xfId="8847" xr:uid="{00000000-0005-0000-0000-00006B220000}"/>
    <cellStyle name="표준 2 54" xfId="8848" xr:uid="{00000000-0005-0000-0000-00006C220000}"/>
    <cellStyle name="표준 2 55" xfId="8849" xr:uid="{00000000-0005-0000-0000-00006D220000}"/>
    <cellStyle name="표준 2 56" xfId="8850" xr:uid="{00000000-0005-0000-0000-00006E220000}"/>
    <cellStyle name="표준 2 57" xfId="8851" xr:uid="{00000000-0005-0000-0000-00006F220000}"/>
    <cellStyle name="표준 2 58" xfId="8852" xr:uid="{00000000-0005-0000-0000-000070220000}"/>
    <cellStyle name="표준 2 59" xfId="8853" xr:uid="{00000000-0005-0000-0000-000071220000}"/>
    <cellStyle name="표준 2 6" xfId="8854" xr:uid="{00000000-0005-0000-0000-000072220000}"/>
    <cellStyle name="표준 2 60" xfId="8855" xr:uid="{00000000-0005-0000-0000-000073220000}"/>
    <cellStyle name="표준 2 61" xfId="8856" xr:uid="{00000000-0005-0000-0000-000074220000}"/>
    <cellStyle name="표준 2 62" xfId="8857" xr:uid="{00000000-0005-0000-0000-000075220000}"/>
    <cellStyle name="표준 2 63" xfId="8858" xr:uid="{00000000-0005-0000-0000-000076220000}"/>
    <cellStyle name="표준 2 64" xfId="8859" xr:uid="{00000000-0005-0000-0000-000077220000}"/>
    <cellStyle name="표준 2 65" xfId="8860" xr:uid="{00000000-0005-0000-0000-000078220000}"/>
    <cellStyle name="표준 2 66" xfId="8861" xr:uid="{00000000-0005-0000-0000-000079220000}"/>
    <cellStyle name="표준 2 67" xfId="8862" xr:uid="{00000000-0005-0000-0000-00007A220000}"/>
    <cellStyle name="표준 2 7" xfId="8863" xr:uid="{00000000-0005-0000-0000-00007B220000}"/>
    <cellStyle name="표준 2 8" xfId="8864" xr:uid="{00000000-0005-0000-0000-00007C220000}"/>
    <cellStyle name="표준 2 9" xfId="8865" xr:uid="{00000000-0005-0000-0000-00007D220000}"/>
    <cellStyle name="표준 20" xfId="22" xr:uid="{00000000-0005-0000-0000-00007E220000}"/>
    <cellStyle name="표준 20 2" xfId="63" xr:uid="{00000000-0005-0000-0000-00007F220000}"/>
    <cellStyle name="표준 21" xfId="23" xr:uid="{00000000-0005-0000-0000-000080220000}"/>
    <cellStyle name="표준 21 2" xfId="8866" xr:uid="{00000000-0005-0000-0000-000081220000}"/>
    <cellStyle name="표준 21 2 2" xfId="8867" xr:uid="{00000000-0005-0000-0000-000082220000}"/>
    <cellStyle name="표준 21 3" xfId="8868" xr:uid="{00000000-0005-0000-0000-000083220000}"/>
    <cellStyle name="표준 22" xfId="24" xr:uid="{00000000-0005-0000-0000-000084220000}"/>
    <cellStyle name="표준 22 2" xfId="64" xr:uid="{00000000-0005-0000-0000-000085220000}"/>
    <cellStyle name="표준 23" xfId="25" xr:uid="{00000000-0005-0000-0000-000086220000}"/>
    <cellStyle name="표준 23 10" xfId="8869" xr:uid="{00000000-0005-0000-0000-000087220000}"/>
    <cellStyle name="표준 23 10 2" xfId="8870" xr:uid="{00000000-0005-0000-0000-000088220000}"/>
    <cellStyle name="표준 23 10 2 2" xfId="8871" xr:uid="{00000000-0005-0000-0000-000089220000}"/>
    <cellStyle name="표준 23 10 2 2 2" xfId="8872" xr:uid="{00000000-0005-0000-0000-00008A220000}"/>
    <cellStyle name="표준 23 10 2 2 2 2" xfId="8873" xr:uid="{00000000-0005-0000-0000-00008B220000}"/>
    <cellStyle name="표준 23 10 2 2 2 2 2" xfId="8874" xr:uid="{00000000-0005-0000-0000-00008C220000}"/>
    <cellStyle name="표준 23 10 2 2 2 2 2 2" xfId="8875" xr:uid="{00000000-0005-0000-0000-00008D220000}"/>
    <cellStyle name="표준 23 10 2 2 2 2 3" xfId="8876" xr:uid="{00000000-0005-0000-0000-00008E220000}"/>
    <cellStyle name="표준 23 10 2 2 2 3" xfId="8877" xr:uid="{00000000-0005-0000-0000-00008F220000}"/>
    <cellStyle name="표준 23 10 2 2 2 3 2" xfId="8878" xr:uid="{00000000-0005-0000-0000-000090220000}"/>
    <cellStyle name="표준 23 10 2 2 2 4" xfId="8879" xr:uid="{00000000-0005-0000-0000-000091220000}"/>
    <cellStyle name="표준 23 10 2 2 3" xfId="8880" xr:uid="{00000000-0005-0000-0000-000092220000}"/>
    <cellStyle name="표준 23 10 2 2 3 2" xfId="8881" xr:uid="{00000000-0005-0000-0000-000093220000}"/>
    <cellStyle name="표준 23 10 2 2 3 2 2" xfId="8882" xr:uid="{00000000-0005-0000-0000-000094220000}"/>
    <cellStyle name="표준 23 10 2 2 3 3" xfId="8883" xr:uid="{00000000-0005-0000-0000-000095220000}"/>
    <cellStyle name="표준 23 10 2 2 4" xfId="8884" xr:uid="{00000000-0005-0000-0000-000096220000}"/>
    <cellStyle name="표준 23 10 2 2 4 2" xfId="8885" xr:uid="{00000000-0005-0000-0000-000097220000}"/>
    <cellStyle name="표준 23 10 2 2 5" xfId="8886" xr:uid="{00000000-0005-0000-0000-000098220000}"/>
    <cellStyle name="표준 23 10 2 3" xfId="8887" xr:uid="{00000000-0005-0000-0000-000099220000}"/>
    <cellStyle name="표준 23 10 2 3 2" xfId="8888" xr:uid="{00000000-0005-0000-0000-00009A220000}"/>
    <cellStyle name="표준 23 10 2 3 2 2" xfId="8889" xr:uid="{00000000-0005-0000-0000-00009B220000}"/>
    <cellStyle name="표준 23 10 2 3 2 2 2" xfId="8890" xr:uid="{00000000-0005-0000-0000-00009C220000}"/>
    <cellStyle name="표준 23 10 2 3 2 3" xfId="8891" xr:uid="{00000000-0005-0000-0000-00009D220000}"/>
    <cellStyle name="표준 23 10 2 3 3" xfId="8892" xr:uid="{00000000-0005-0000-0000-00009E220000}"/>
    <cellStyle name="표준 23 10 2 3 3 2" xfId="8893" xr:uid="{00000000-0005-0000-0000-00009F220000}"/>
    <cellStyle name="표준 23 10 2 3 4" xfId="8894" xr:uid="{00000000-0005-0000-0000-0000A0220000}"/>
    <cellStyle name="표준 23 10 2 4" xfId="8895" xr:uid="{00000000-0005-0000-0000-0000A1220000}"/>
    <cellStyle name="표준 23 10 2 4 2" xfId="8896" xr:uid="{00000000-0005-0000-0000-0000A2220000}"/>
    <cellStyle name="표준 23 10 2 4 2 2" xfId="8897" xr:uid="{00000000-0005-0000-0000-0000A3220000}"/>
    <cellStyle name="표준 23 10 2 4 3" xfId="8898" xr:uid="{00000000-0005-0000-0000-0000A4220000}"/>
    <cellStyle name="표준 23 10 2 5" xfId="8899" xr:uid="{00000000-0005-0000-0000-0000A5220000}"/>
    <cellStyle name="표준 23 10 2 5 2" xfId="8900" xr:uid="{00000000-0005-0000-0000-0000A6220000}"/>
    <cellStyle name="표준 23 10 2 6" xfId="8901" xr:uid="{00000000-0005-0000-0000-0000A7220000}"/>
    <cellStyle name="표준 23 10 3" xfId="8902" xr:uid="{00000000-0005-0000-0000-0000A8220000}"/>
    <cellStyle name="표준 23 10 3 2" xfId="8903" xr:uid="{00000000-0005-0000-0000-0000A9220000}"/>
    <cellStyle name="표준 23 10 3 2 2" xfId="8904" xr:uid="{00000000-0005-0000-0000-0000AA220000}"/>
    <cellStyle name="표준 23 10 3 2 2 2" xfId="8905" xr:uid="{00000000-0005-0000-0000-0000AB220000}"/>
    <cellStyle name="표준 23 10 3 2 2 2 2" xfId="8906" xr:uid="{00000000-0005-0000-0000-0000AC220000}"/>
    <cellStyle name="표준 23 10 3 2 2 3" xfId="8907" xr:uid="{00000000-0005-0000-0000-0000AD220000}"/>
    <cellStyle name="표준 23 10 3 2 3" xfId="8908" xr:uid="{00000000-0005-0000-0000-0000AE220000}"/>
    <cellStyle name="표준 23 10 3 2 3 2" xfId="8909" xr:uid="{00000000-0005-0000-0000-0000AF220000}"/>
    <cellStyle name="표준 23 10 3 2 4" xfId="8910" xr:uid="{00000000-0005-0000-0000-0000B0220000}"/>
    <cellStyle name="표준 23 10 3 3" xfId="8911" xr:uid="{00000000-0005-0000-0000-0000B1220000}"/>
    <cellStyle name="표준 23 10 3 3 2" xfId="8912" xr:uid="{00000000-0005-0000-0000-0000B2220000}"/>
    <cellStyle name="표준 23 10 3 3 2 2" xfId="8913" xr:uid="{00000000-0005-0000-0000-0000B3220000}"/>
    <cellStyle name="표준 23 10 3 3 3" xfId="8914" xr:uid="{00000000-0005-0000-0000-0000B4220000}"/>
    <cellStyle name="표준 23 10 3 4" xfId="8915" xr:uid="{00000000-0005-0000-0000-0000B5220000}"/>
    <cellStyle name="표준 23 10 3 4 2" xfId="8916" xr:uid="{00000000-0005-0000-0000-0000B6220000}"/>
    <cellStyle name="표준 23 10 3 5" xfId="8917" xr:uid="{00000000-0005-0000-0000-0000B7220000}"/>
    <cellStyle name="표준 23 10 4" xfId="8918" xr:uid="{00000000-0005-0000-0000-0000B8220000}"/>
    <cellStyle name="표준 23 10 4 2" xfId="8919" xr:uid="{00000000-0005-0000-0000-0000B9220000}"/>
    <cellStyle name="표준 23 10 4 2 2" xfId="8920" xr:uid="{00000000-0005-0000-0000-0000BA220000}"/>
    <cellStyle name="표준 23 10 4 2 2 2" xfId="8921" xr:uid="{00000000-0005-0000-0000-0000BB220000}"/>
    <cellStyle name="표준 23 10 4 2 3" xfId="8922" xr:uid="{00000000-0005-0000-0000-0000BC220000}"/>
    <cellStyle name="표준 23 10 4 3" xfId="8923" xr:uid="{00000000-0005-0000-0000-0000BD220000}"/>
    <cellStyle name="표준 23 10 4 3 2" xfId="8924" xr:uid="{00000000-0005-0000-0000-0000BE220000}"/>
    <cellStyle name="표준 23 10 4 4" xfId="8925" xr:uid="{00000000-0005-0000-0000-0000BF220000}"/>
    <cellStyle name="표준 23 10 5" xfId="8926" xr:uid="{00000000-0005-0000-0000-0000C0220000}"/>
    <cellStyle name="표준 23 10 5 2" xfId="8927" xr:uid="{00000000-0005-0000-0000-0000C1220000}"/>
    <cellStyle name="표준 23 10 5 2 2" xfId="8928" xr:uid="{00000000-0005-0000-0000-0000C2220000}"/>
    <cellStyle name="표준 23 10 5 3" xfId="8929" xr:uid="{00000000-0005-0000-0000-0000C3220000}"/>
    <cellStyle name="표준 23 10 6" xfId="8930" xr:uid="{00000000-0005-0000-0000-0000C4220000}"/>
    <cellStyle name="표준 23 10 6 2" xfId="8931" xr:uid="{00000000-0005-0000-0000-0000C5220000}"/>
    <cellStyle name="표준 23 10 7" xfId="8932" xr:uid="{00000000-0005-0000-0000-0000C6220000}"/>
    <cellStyle name="표준 23 10 8" xfId="8933" xr:uid="{00000000-0005-0000-0000-0000C7220000}"/>
    <cellStyle name="표준 23 11" xfId="8934" xr:uid="{00000000-0005-0000-0000-0000C8220000}"/>
    <cellStyle name="표준 23 11 2" xfId="8935" xr:uid="{00000000-0005-0000-0000-0000C9220000}"/>
    <cellStyle name="표준 23 11 2 2" xfId="8936" xr:uid="{00000000-0005-0000-0000-0000CA220000}"/>
    <cellStyle name="표준 23 11 2 2 2" xfId="8937" xr:uid="{00000000-0005-0000-0000-0000CB220000}"/>
    <cellStyle name="표준 23 11 2 2 2 2" xfId="8938" xr:uid="{00000000-0005-0000-0000-0000CC220000}"/>
    <cellStyle name="표준 23 11 2 2 2 2 2" xfId="8939" xr:uid="{00000000-0005-0000-0000-0000CD220000}"/>
    <cellStyle name="표준 23 11 2 2 2 3" xfId="8940" xr:uid="{00000000-0005-0000-0000-0000CE220000}"/>
    <cellStyle name="표준 23 11 2 2 3" xfId="8941" xr:uid="{00000000-0005-0000-0000-0000CF220000}"/>
    <cellStyle name="표준 23 11 2 2 3 2" xfId="8942" xr:uid="{00000000-0005-0000-0000-0000D0220000}"/>
    <cellStyle name="표준 23 11 2 2 4" xfId="8943" xr:uid="{00000000-0005-0000-0000-0000D1220000}"/>
    <cellStyle name="표준 23 11 2 3" xfId="8944" xr:uid="{00000000-0005-0000-0000-0000D2220000}"/>
    <cellStyle name="표준 23 11 2 3 2" xfId="8945" xr:uid="{00000000-0005-0000-0000-0000D3220000}"/>
    <cellStyle name="표준 23 11 2 3 2 2" xfId="8946" xr:uid="{00000000-0005-0000-0000-0000D4220000}"/>
    <cellStyle name="표준 23 11 2 3 3" xfId="8947" xr:uid="{00000000-0005-0000-0000-0000D5220000}"/>
    <cellStyle name="표준 23 11 2 4" xfId="8948" xr:uid="{00000000-0005-0000-0000-0000D6220000}"/>
    <cellStyle name="표준 23 11 2 4 2" xfId="8949" xr:uid="{00000000-0005-0000-0000-0000D7220000}"/>
    <cellStyle name="표준 23 11 2 5" xfId="8950" xr:uid="{00000000-0005-0000-0000-0000D8220000}"/>
    <cellStyle name="표준 23 11 3" xfId="8951" xr:uid="{00000000-0005-0000-0000-0000D9220000}"/>
    <cellStyle name="표준 23 11 3 2" xfId="8952" xr:uid="{00000000-0005-0000-0000-0000DA220000}"/>
    <cellStyle name="표준 23 11 3 2 2" xfId="8953" xr:uid="{00000000-0005-0000-0000-0000DB220000}"/>
    <cellStyle name="표준 23 11 3 2 2 2" xfId="8954" xr:uid="{00000000-0005-0000-0000-0000DC220000}"/>
    <cellStyle name="표준 23 11 3 2 3" xfId="8955" xr:uid="{00000000-0005-0000-0000-0000DD220000}"/>
    <cellStyle name="표준 23 11 3 3" xfId="8956" xr:uid="{00000000-0005-0000-0000-0000DE220000}"/>
    <cellStyle name="표준 23 11 3 3 2" xfId="8957" xr:uid="{00000000-0005-0000-0000-0000DF220000}"/>
    <cellStyle name="표준 23 11 3 4" xfId="8958" xr:uid="{00000000-0005-0000-0000-0000E0220000}"/>
    <cellStyle name="표준 23 11 4" xfId="8959" xr:uid="{00000000-0005-0000-0000-0000E1220000}"/>
    <cellStyle name="표준 23 11 4 2" xfId="8960" xr:uid="{00000000-0005-0000-0000-0000E2220000}"/>
    <cellStyle name="표준 23 11 4 2 2" xfId="8961" xr:uid="{00000000-0005-0000-0000-0000E3220000}"/>
    <cellStyle name="표준 23 11 4 3" xfId="8962" xr:uid="{00000000-0005-0000-0000-0000E4220000}"/>
    <cellStyle name="표준 23 11 5" xfId="8963" xr:uid="{00000000-0005-0000-0000-0000E5220000}"/>
    <cellStyle name="표준 23 11 5 2" xfId="8964" xr:uid="{00000000-0005-0000-0000-0000E6220000}"/>
    <cellStyle name="표준 23 11 6" xfId="8965" xr:uid="{00000000-0005-0000-0000-0000E7220000}"/>
    <cellStyle name="표준 23 12" xfId="8966" xr:uid="{00000000-0005-0000-0000-0000E8220000}"/>
    <cellStyle name="표준 23 12 2" xfId="8967" xr:uid="{00000000-0005-0000-0000-0000E9220000}"/>
    <cellStyle name="표준 23 12 2 2" xfId="8968" xr:uid="{00000000-0005-0000-0000-0000EA220000}"/>
    <cellStyle name="표준 23 12 2 2 2" xfId="8969" xr:uid="{00000000-0005-0000-0000-0000EB220000}"/>
    <cellStyle name="표준 23 12 2 2 2 2" xfId="8970" xr:uid="{00000000-0005-0000-0000-0000EC220000}"/>
    <cellStyle name="표준 23 12 2 2 3" xfId="8971" xr:uid="{00000000-0005-0000-0000-0000ED220000}"/>
    <cellStyle name="표준 23 12 2 3" xfId="8972" xr:uid="{00000000-0005-0000-0000-0000EE220000}"/>
    <cellStyle name="표준 23 12 2 3 2" xfId="8973" xr:uid="{00000000-0005-0000-0000-0000EF220000}"/>
    <cellStyle name="표준 23 12 2 4" xfId="8974" xr:uid="{00000000-0005-0000-0000-0000F0220000}"/>
    <cellStyle name="표준 23 12 3" xfId="8975" xr:uid="{00000000-0005-0000-0000-0000F1220000}"/>
    <cellStyle name="표준 23 12 3 2" xfId="8976" xr:uid="{00000000-0005-0000-0000-0000F2220000}"/>
    <cellStyle name="표준 23 12 3 2 2" xfId="8977" xr:uid="{00000000-0005-0000-0000-0000F3220000}"/>
    <cellStyle name="표준 23 12 3 3" xfId="8978" xr:uid="{00000000-0005-0000-0000-0000F4220000}"/>
    <cellStyle name="표준 23 12 4" xfId="8979" xr:uid="{00000000-0005-0000-0000-0000F5220000}"/>
    <cellStyle name="표준 23 12 4 2" xfId="8980" xr:uid="{00000000-0005-0000-0000-0000F6220000}"/>
    <cellStyle name="표준 23 12 5" xfId="8981" xr:uid="{00000000-0005-0000-0000-0000F7220000}"/>
    <cellStyle name="표준 23 13" xfId="8982" xr:uid="{00000000-0005-0000-0000-0000F8220000}"/>
    <cellStyle name="표준 23 13 2" xfId="8983" xr:uid="{00000000-0005-0000-0000-0000F9220000}"/>
    <cellStyle name="표준 23 13 2 2" xfId="8984" xr:uid="{00000000-0005-0000-0000-0000FA220000}"/>
    <cellStyle name="표준 23 13 2 2 2" xfId="8985" xr:uid="{00000000-0005-0000-0000-0000FB220000}"/>
    <cellStyle name="표준 23 13 2 3" xfId="8986" xr:uid="{00000000-0005-0000-0000-0000FC220000}"/>
    <cellStyle name="표준 23 13 3" xfId="8987" xr:uid="{00000000-0005-0000-0000-0000FD220000}"/>
    <cellStyle name="표준 23 13 3 2" xfId="8988" xr:uid="{00000000-0005-0000-0000-0000FE220000}"/>
    <cellStyle name="표준 23 13 4" xfId="8989" xr:uid="{00000000-0005-0000-0000-0000FF220000}"/>
    <cellStyle name="표준 23 14" xfId="8990" xr:uid="{00000000-0005-0000-0000-000000230000}"/>
    <cellStyle name="표준 23 14 2" xfId="8991" xr:uid="{00000000-0005-0000-0000-000001230000}"/>
    <cellStyle name="표준 23 14 2 2" xfId="8992" xr:uid="{00000000-0005-0000-0000-000002230000}"/>
    <cellStyle name="표준 23 14 3" xfId="8993" xr:uid="{00000000-0005-0000-0000-000003230000}"/>
    <cellStyle name="표준 23 15" xfId="8994" xr:uid="{00000000-0005-0000-0000-000004230000}"/>
    <cellStyle name="표준 23 15 2" xfId="8995" xr:uid="{00000000-0005-0000-0000-000005230000}"/>
    <cellStyle name="표준 23 16" xfId="8996" xr:uid="{00000000-0005-0000-0000-000006230000}"/>
    <cellStyle name="표준 23 17" xfId="8997" xr:uid="{00000000-0005-0000-0000-000007230000}"/>
    <cellStyle name="표준 23 2" xfId="8998" xr:uid="{00000000-0005-0000-0000-000008230000}"/>
    <cellStyle name="표준 23 3" xfId="8999" xr:uid="{00000000-0005-0000-0000-000009230000}"/>
    <cellStyle name="표준 23 3 10" xfId="9000" xr:uid="{00000000-0005-0000-0000-00000A230000}"/>
    <cellStyle name="표준 23 3 10 2" xfId="9001" xr:uid="{00000000-0005-0000-0000-00000B230000}"/>
    <cellStyle name="표준 23 3 10 2 2" xfId="9002" xr:uid="{00000000-0005-0000-0000-00000C230000}"/>
    <cellStyle name="표준 23 3 10 2 2 2" xfId="9003" xr:uid="{00000000-0005-0000-0000-00000D230000}"/>
    <cellStyle name="표준 23 3 10 2 2 2 2" xfId="9004" xr:uid="{00000000-0005-0000-0000-00000E230000}"/>
    <cellStyle name="표준 23 3 10 2 2 2 2 2" xfId="9005" xr:uid="{00000000-0005-0000-0000-00000F230000}"/>
    <cellStyle name="표준 23 3 10 2 2 2 3" xfId="9006" xr:uid="{00000000-0005-0000-0000-000010230000}"/>
    <cellStyle name="표준 23 3 10 2 2 3" xfId="9007" xr:uid="{00000000-0005-0000-0000-000011230000}"/>
    <cellStyle name="표준 23 3 10 2 2 3 2" xfId="9008" xr:uid="{00000000-0005-0000-0000-000012230000}"/>
    <cellStyle name="표준 23 3 10 2 2 4" xfId="9009" xr:uid="{00000000-0005-0000-0000-000013230000}"/>
    <cellStyle name="표준 23 3 10 2 3" xfId="9010" xr:uid="{00000000-0005-0000-0000-000014230000}"/>
    <cellStyle name="표준 23 3 10 2 3 2" xfId="9011" xr:uid="{00000000-0005-0000-0000-000015230000}"/>
    <cellStyle name="표준 23 3 10 2 3 2 2" xfId="9012" xr:uid="{00000000-0005-0000-0000-000016230000}"/>
    <cellStyle name="표준 23 3 10 2 3 3" xfId="9013" xr:uid="{00000000-0005-0000-0000-000017230000}"/>
    <cellStyle name="표준 23 3 10 2 4" xfId="9014" xr:uid="{00000000-0005-0000-0000-000018230000}"/>
    <cellStyle name="표준 23 3 10 2 4 2" xfId="9015" xr:uid="{00000000-0005-0000-0000-000019230000}"/>
    <cellStyle name="표준 23 3 10 2 5" xfId="9016" xr:uid="{00000000-0005-0000-0000-00001A230000}"/>
    <cellStyle name="표준 23 3 10 3" xfId="9017" xr:uid="{00000000-0005-0000-0000-00001B230000}"/>
    <cellStyle name="표준 23 3 10 3 2" xfId="9018" xr:uid="{00000000-0005-0000-0000-00001C230000}"/>
    <cellStyle name="표준 23 3 10 3 2 2" xfId="9019" xr:uid="{00000000-0005-0000-0000-00001D230000}"/>
    <cellStyle name="표준 23 3 10 3 2 2 2" xfId="9020" xr:uid="{00000000-0005-0000-0000-00001E230000}"/>
    <cellStyle name="표준 23 3 10 3 2 3" xfId="9021" xr:uid="{00000000-0005-0000-0000-00001F230000}"/>
    <cellStyle name="표준 23 3 10 3 3" xfId="9022" xr:uid="{00000000-0005-0000-0000-000020230000}"/>
    <cellStyle name="표준 23 3 10 3 3 2" xfId="9023" xr:uid="{00000000-0005-0000-0000-000021230000}"/>
    <cellStyle name="표준 23 3 10 3 4" xfId="9024" xr:uid="{00000000-0005-0000-0000-000022230000}"/>
    <cellStyle name="표준 23 3 10 4" xfId="9025" xr:uid="{00000000-0005-0000-0000-000023230000}"/>
    <cellStyle name="표준 23 3 10 4 2" xfId="9026" xr:uid="{00000000-0005-0000-0000-000024230000}"/>
    <cellStyle name="표준 23 3 10 4 2 2" xfId="9027" xr:uid="{00000000-0005-0000-0000-000025230000}"/>
    <cellStyle name="표준 23 3 10 4 3" xfId="9028" xr:uid="{00000000-0005-0000-0000-000026230000}"/>
    <cellStyle name="표준 23 3 10 5" xfId="9029" xr:uid="{00000000-0005-0000-0000-000027230000}"/>
    <cellStyle name="표준 23 3 10 5 2" xfId="9030" xr:uid="{00000000-0005-0000-0000-000028230000}"/>
    <cellStyle name="표준 23 3 10 6" xfId="9031" xr:uid="{00000000-0005-0000-0000-000029230000}"/>
    <cellStyle name="표준 23 3 11" xfId="9032" xr:uid="{00000000-0005-0000-0000-00002A230000}"/>
    <cellStyle name="표준 23 3 11 2" xfId="9033" xr:uid="{00000000-0005-0000-0000-00002B230000}"/>
    <cellStyle name="표준 23 3 11 2 2" xfId="9034" xr:uid="{00000000-0005-0000-0000-00002C230000}"/>
    <cellStyle name="표준 23 3 11 2 2 2" xfId="9035" xr:uid="{00000000-0005-0000-0000-00002D230000}"/>
    <cellStyle name="표준 23 3 11 2 2 2 2" xfId="9036" xr:uid="{00000000-0005-0000-0000-00002E230000}"/>
    <cellStyle name="표준 23 3 11 2 2 3" xfId="9037" xr:uid="{00000000-0005-0000-0000-00002F230000}"/>
    <cellStyle name="표준 23 3 11 2 3" xfId="9038" xr:uid="{00000000-0005-0000-0000-000030230000}"/>
    <cellStyle name="표준 23 3 11 2 3 2" xfId="9039" xr:uid="{00000000-0005-0000-0000-000031230000}"/>
    <cellStyle name="표준 23 3 11 2 4" xfId="9040" xr:uid="{00000000-0005-0000-0000-000032230000}"/>
    <cellStyle name="표준 23 3 11 3" xfId="9041" xr:uid="{00000000-0005-0000-0000-000033230000}"/>
    <cellStyle name="표준 23 3 11 3 2" xfId="9042" xr:uid="{00000000-0005-0000-0000-000034230000}"/>
    <cellStyle name="표준 23 3 11 3 2 2" xfId="9043" xr:uid="{00000000-0005-0000-0000-000035230000}"/>
    <cellStyle name="표준 23 3 11 3 3" xfId="9044" xr:uid="{00000000-0005-0000-0000-000036230000}"/>
    <cellStyle name="표준 23 3 11 4" xfId="9045" xr:uid="{00000000-0005-0000-0000-000037230000}"/>
    <cellStyle name="표준 23 3 11 4 2" xfId="9046" xr:uid="{00000000-0005-0000-0000-000038230000}"/>
    <cellStyle name="표준 23 3 11 5" xfId="9047" xr:uid="{00000000-0005-0000-0000-000039230000}"/>
    <cellStyle name="표준 23 3 12" xfId="9048" xr:uid="{00000000-0005-0000-0000-00003A230000}"/>
    <cellStyle name="표준 23 3 12 2" xfId="9049" xr:uid="{00000000-0005-0000-0000-00003B230000}"/>
    <cellStyle name="표준 23 3 12 2 2" xfId="9050" xr:uid="{00000000-0005-0000-0000-00003C230000}"/>
    <cellStyle name="표준 23 3 12 2 2 2" xfId="9051" xr:uid="{00000000-0005-0000-0000-00003D230000}"/>
    <cellStyle name="표준 23 3 12 2 3" xfId="9052" xr:uid="{00000000-0005-0000-0000-00003E230000}"/>
    <cellStyle name="표준 23 3 12 3" xfId="9053" xr:uid="{00000000-0005-0000-0000-00003F230000}"/>
    <cellStyle name="표준 23 3 12 3 2" xfId="9054" xr:uid="{00000000-0005-0000-0000-000040230000}"/>
    <cellStyle name="표준 23 3 12 4" xfId="9055" xr:uid="{00000000-0005-0000-0000-000041230000}"/>
    <cellStyle name="표준 23 3 13" xfId="9056" xr:uid="{00000000-0005-0000-0000-000042230000}"/>
    <cellStyle name="표준 23 3 13 2" xfId="9057" xr:uid="{00000000-0005-0000-0000-000043230000}"/>
    <cellStyle name="표준 23 3 13 2 2" xfId="9058" xr:uid="{00000000-0005-0000-0000-000044230000}"/>
    <cellStyle name="표준 23 3 13 3" xfId="9059" xr:uid="{00000000-0005-0000-0000-000045230000}"/>
    <cellStyle name="표준 23 3 14" xfId="9060" xr:uid="{00000000-0005-0000-0000-000046230000}"/>
    <cellStyle name="표준 23 3 14 2" xfId="9061" xr:uid="{00000000-0005-0000-0000-000047230000}"/>
    <cellStyle name="표준 23 3 15" xfId="9062" xr:uid="{00000000-0005-0000-0000-000048230000}"/>
    <cellStyle name="표준 23 3 16" xfId="9063" xr:uid="{00000000-0005-0000-0000-000049230000}"/>
    <cellStyle name="표준 23 3 2" xfId="9064" xr:uid="{00000000-0005-0000-0000-00004A230000}"/>
    <cellStyle name="표준 23 3 2 10" xfId="9065" xr:uid="{00000000-0005-0000-0000-00004B230000}"/>
    <cellStyle name="표준 23 3 2 10 2" xfId="9066" xr:uid="{00000000-0005-0000-0000-00004C230000}"/>
    <cellStyle name="표준 23 3 2 11" xfId="9067" xr:uid="{00000000-0005-0000-0000-00004D230000}"/>
    <cellStyle name="표준 23 3 2 12" xfId="9068" xr:uid="{00000000-0005-0000-0000-00004E230000}"/>
    <cellStyle name="표준 23 3 2 2" xfId="9069" xr:uid="{00000000-0005-0000-0000-00004F230000}"/>
    <cellStyle name="표준 23 3 2 2 10" xfId="9070" xr:uid="{00000000-0005-0000-0000-000050230000}"/>
    <cellStyle name="표준 23 3 2 2 11" xfId="9071" xr:uid="{00000000-0005-0000-0000-000051230000}"/>
    <cellStyle name="표준 23 3 2 2 2" xfId="9072" xr:uid="{00000000-0005-0000-0000-000052230000}"/>
    <cellStyle name="표준 23 3 2 2 2 10" xfId="9073" xr:uid="{00000000-0005-0000-0000-000053230000}"/>
    <cellStyle name="표준 23 3 2 2 2 2" xfId="9074" xr:uid="{00000000-0005-0000-0000-000054230000}"/>
    <cellStyle name="표준 23 3 2 2 2 2 2" xfId="9075" xr:uid="{00000000-0005-0000-0000-000055230000}"/>
    <cellStyle name="표준 23 3 2 2 2 2 2 2" xfId="9076" xr:uid="{00000000-0005-0000-0000-000056230000}"/>
    <cellStyle name="표준 23 3 2 2 2 2 2 2 2" xfId="9077" xr:uid="{00000000-0005-0000-0000-000057230000}"/>
    <cellStyle name="표준 23 3 2 2 2 2 2 2 2 2" xfId="9078" xr:uid="{00000000-0005-0000-0000-000058230000}"/>
    <cellStyle name="표준 23 3 2 2 2 2 2 2 2 2 2" xfId="9079" xr:uid="{00000000-0005-0000-0000-000059230000}"/>
    <cellStyle name="표준 23 3 2 2 2 2 2 2 2 2 2 2" xfId="9080" xr:uid="{00000000-0005-0000-0000-00005A230000}"/>
    <cellStyle name="표준 23 3 2 2 2 2 2 2 2 2 2 2 2" xfId="9081" xr:uid="{00000000-0005-0000-0000-00005B230000}"/>
    <cellStyle name="표준 23 3 2 2 2 2 2 2 2 2 2 3" xfId="9082" xr:uid="{00000000-0005-0000-0000-00005C230000}"/>
    <cellStyle name="표준 23 3 2 2 2 2 2 2 2 2 3" xfId="9083" xr:uid="{00000000-0005-0000-0000-00005D230000}"/>
    <cellStyle name="표준 23 3 2 2 2 2 2 2 2 2 3 2" xfId="9084" xr:uid="{00000000-0005-0000-0000-00005E230000}"/>
    <cellStyle name="표준 23 3 2 2 2 2 2 2 2 2 4" xfId="9085" xr:uid="{00000000-0005-0000-0000-00005F230000}"/>
    <cellStyle name="표준 23 3 2 2 2 2 2 2 2 3" xfId="9086" xr:uid="{00000000-0005-0000-0000-000060230000}"/>
    <cellStyle name="표준 23 3 2 2 2 2 2 2 2 3 2" xfId="9087" xr:uid="{00000000-0005-0000-0000-000061230000}"/>
    <cellStyle name="표준 23 3 2 2 2 2 2 2 2 3 2 2" xfId="9088" xr:uid="{00000000-0005-0000-0000-000062230000}"/>
    <cellStyle name="표준 23 3 2 2 2 2 2 2 2 3 3" xfId="9089" xr:uid="{00000000-0005-0000-0000-000063230000}"/>
    <cellStyle name="표준 23 3 2 2 2 2 2 2 2 4" xfId="9090" xr:uid="{00000000-0005-0000-0000-000064230000}"/>
    <cellStyle name="표준 23 3 2 2 2 2 2 2 2 4 2" xfId="9091" xr:uid="{00000000-0005-0000-0000-000065230000}"/>
    <cellStyle name="표준 23 3 2 2 2 2 2 2 2 5" xfId="9092" xr:uid="{00000000-0005-0000-0000-000066230000}"/>
    <cellStyle name="표준 23 3 2 2 2 2 2 2 3" xfId="9093" xr:uid="{00000000-0005-0000-0000-000067230000}"/>
    <cellStyle name="표준 23 3 2 2 2 2 2 2 3 2" xfId="9094" xr:uid="{00000000-0005-0000-0000-000068230000}"/>
    <cellStyle name="표준 23 3 2 2 2 2 2 2 3 2 2" xfId="9095" xr:uid="{00000000-0005-0000-0000-000069230000}"/>
    <cellStyle name="표준 23 3 2 2 2 2 2 2 3 2 2 2" xfId="9096" xr:uid="{00000000-0005-0000-0000-00006A230000}"/>
    <cellStyle name="표준 23 3 2 2 2 2 2 2 3 2 3" xfId="9097" xr:uid="{00000000-0005-0000-0000-00006B230000}"/>
    <cellStyle name="표준 23 3 2 2 2 2 2 2 3 3" xfId="9098" xr:uid="{00000000-0005-0000-0000-00006C230000}"/>
    <cellStyle name="표준 23 3 2 2 2 2 2 2 3 3 2" xfId="9099" xr:uid="{00000000-0005-0000-0000-00006D230000}"/>
    <cellStyle name="표준 23 3 2 2 2 2 2 2 3 4" xfId="9100" xr:uid="{00000000-0005-0000-0000-00006E230000}"/>
    <cellStyle name="표준 23 3 2 2 2 2 2 2 4" xfId="9101" xr:uid="{00000000-0005-0000-0000-00006F230000}"/>
    <cellStyle name="표준 23 3 2 2 2 2 2 2 4 2" xfId="9102" xr:uid="{00000000-0005-0000-0000-000070230000}"/>
    <cellStyle name="표준 23 3 2 2 2 2 2 2 4 2 2" xfId="9103" xr:uid="{00000000-0005-0000-0000-000071230000}"/>
    <cellStyle name="표준 23 3 2 2 2 2 2 2 4 3" xfId="9104" xr:uid="{00000000-0005-0000-0000-000072230000}"/>
    <cellStyle name="표준 23 3 2 2 2 2 2 2 5" xfId="9105" xr:uid="{00000000-0005-0000-0000-000073230000}"/>
    <cellStyle name="표준 23 3 2 2 2 2 2 2 5 2" xfId="9106" xr:uid="{00000000-0005-0000-0000-000074230000}"/>
    <cellStyle name="표준 23 3 2 2 2 2 2 2 6" xfId="9107" xr:uid="{00000000-0005-0000-0000-000075230000}"/>
    <cellStyle name="표준 23 3 2 2 2 2 2 3" xfId="9108" xr:uid="{00000000-0005-0000-0000-000076230000}"/>
    <cellStyle name="표준 23 3 2 2 2 2 2 3 2" xfId="9109" xr:uid="{00000000-0005-0000-0000-000077230000}"/>
    <cellStyle name="표준 23 3 2 2 2 2 2 3 2 2" xfId="9110" xr:uid="{00000000-0005-0000-0000-000078230000}"/>
    <cellStyle name="표준 23 3 2 2 2 2 2 3 2 2 2" xfId="9111" xr:uid="{00000000-0005-0000-0000-000079230000}"/>
    <cellStyle name="표준 23 3 2 2 2 2 2 3 2 2 2 2" xfId="9112" xr:uid="{00000000-0005-0000-0000-00007A230000}"/>
    <cellStyle name="표준 23 3 2 2 2 2 2 3 2 2 3" xfId="9113" xr:uid="{00000000-0005-0000-0000-00007B230000}"/>
    <cellStyle name="표준 23 3 2 2 2 2 2 3 2 3" xfId="9114" xr:uid="{00000000-0005-0000-0000-00007C230000}"/>
    <cellStyle name="표준 23 3 2 2 2 2 2 3 2 3 2" xfId="9115" xr:uid="{00000000-0005-0000-0000-00007D230000}"/>
    <cellStyle name="표준 23 3 2 2 2 2 2 3 2 4" xfId="9116" xr:uid="{00000000-0005-0000-0000-00007E230000}"/>
    <cellStyle name="표준 23 3 2 2 2 2 2 3 3" xfId="9117" xr:uid="{00000000-0005-0000-0000-00007F230000}"/>
    <cellStyle name="표준 23 3 2 2 2 2 2 3 3 2" xfId="9118" xr:uid="{00000000-0005-0000-0000-000080230000}"/>
    <cellStyle name="표준 23 3 2 2 2 2 2 3 3 2 2" xfId="9119" xr:uid="{00000000-0005-0000-0000-000081230000}"/>
    <cellStyle name="표준 23 3 2 2 2 2 2 3 3 3" xfId="9120" xr:uid="{00000000-0005-0000-0000-000082230000}"/>
    <cellStyle name="표준 23 3 2 2 2 2 2 3 4" xfId="9121" xr:uid="{00000000-0005-0000-0000-000083230000}"/>
    <cellStyle name="표준 23 3 2 2 2 2 2 3 4 2" xfId="9122" xr:uid="{00000000-0005-0000-0000-000084230000}"/>
    <cellStyle name="표준 23 3 2 2 2 2 2 3 5" xfId="9123" xr:uid="{00000000-0005-0000-0000-000085230000}"/>
    <cellStyle name="표준 23 3 2 2 2 2 2 4" xfId="9124" xr:uid="{00000000-0005-0000-0000-000086230000}"/>
    <cellStyle name="표준 23 3 2 2 2 2 2 4 2" xfId="9125" xr:uid="{00000000-0005-0000-0000-000087230000}"/>
    <cellStyle name="표준 23 3 2 2 2 2 2 4 2 2" xfId="9126" xr:uid="{00000000-0005-0000-0000-000088230000}"/>
    <cellStyle name="표준 23 3 2 2 2 2 2 4 2 2 2" xfId="9127" xr:uid="{00000000-0005-0000-0000-000089230000}"/>
    <cellStyle name="표준 23 3 2 2 2 2 2 4 2 3" xfId="9128" xr:uid="{00000000-0005-0000-0000-00008A230000}"/>
    <cellStyle name="표준 23 3 2 2 2 2 2 4 3" xfId="9129" xr:uid="{00000000-0005-0000-0000-00008B230000}"/>
    <cellStyle name="표준 23 3 2 2 2 2 2 4 3 2" xfId="9130" xr:uid="{00000000-0005-0000-0000-00008C230000}"/>
    <cellStyle name="표준 23 3 2 2 2 2 2 4 4" xfId="9131" xr:uid="{00000000-0005-0000-0000-00008D230000}"/>
    <cellStyle name="표준 23 3 2 2 2 2 2 5" xfId="9132" xr:uid="{00000000-0005-0000-0000-00008E230000}"/>
    <cellStyle name="표준 23 3 2 2 2 2 2 5 2" xfId="9133" xr:uid="{00000000-0005-0000-0000-00008F230000}"/>
    <cellStyle name="표준 23 3 2 2 2 2 2 5 2 2" xfId="9134" xr:uid="{00000000-0005-0000-0000-000090230000}"/>
    <cellStyle name="표준 23 3 2 2 2 2 2 5 3" xfId="9135" xr:uid="{00000000-0005-0000-0000-000091230000}"/>
    <cellStyle name="표준 23 3 2 2 2 2 2 6" xfId="9136" xr:uid="{00000000-0005-0000-0000-000092230000}"/>
    <cellStyle name="표준 23 3 2 2 2 2 2 6 2" xfId="9137" xr:uid="{00000000-0005-0000-0000-000093230000}"/>
    <cellStyle name="표준 23 3 2 2 2 2 2 7" xfId="9138" xr:uid="{00000000-0005-0000-0000-000094230000}"/>
    <cellStyle name="표준 23 3 2 2 2 2 2 8" xfId="9139" xr:uid="{00000000-0005-0000-0000-000095230000}"/>
    <cellStyle name="표준 23 3 2 2 2 2 3" xfId="9140" xr:uid="{00000000-0005-0000-0000-000096230000}"/>
    <cellStyle name="표준 23 3 2 2 2 2 3 2" xfId="9141" xr:uid="{00000000-0005-0000-0000-000097230000}"/>
    <cellStyle name="표준 23 3 2 2 2 2 3 2 2" xfId="9142" xr:uid="{00000000-0005-0000-0000-000098230000}"/>
    <cellStyle name="표준 23 3 2 2 2 2 3 2 2 2" xfId="9143" xr:uid="{00000000-0005-0000-0000-000099230000}"/>
    <cellStyle name="표준 23 3 2 2 2 2 3 2 2 2 2" xfId="9144" xr:uid="{00000000-0005-0000-0000-00009A230000}"/>
    <cellStyle name="표준 23 3 2 2 2 2 3 2 2 2 2 2" xfId="9145" xr:uid="{00000000-0005-0000-0000-00009B230000}"/>
    <cellStyle name="표준 23 3 2 2 2 2 3 2 2 2 3" xfId="9146" xr:uid="{00000000-0005-0000-0000-00009C230000}"/>
    <cellStyle name="표준 23 3 2 2 2 2 3 2 2 3" xfId="9147" xr:uid="{00000000-0005-0000-0000-00009D230000}"/>
    <cellStyle name="표준 23 3 2 2 2 2 3 2 2 3 2" xfId="9148" xr:uid="{00000000-0005-0000-0000-00009E230000}"/>
    <cellStyle name="표준 23 3 2 2 2 2 3 2 2 4" xfId="9149" xr:uid="{00000000-0005-0000-0000-00009F230000}"/>
    <cellStyle name="표준 23 3 2 2 2 2 3 2 3" xfId="9150" xr:uid="{00000000-0005-0000-0000-0000A0230000}"/>
    <cellStyle name="표준 23 3 2 2 2 2 3 2 3 2" xfId="9151" xr:uid="{00000000-0005-0000-0000-0000A1230000}"/>
    <cellStyle name="표준 23 3 2 2 2 2 3 2 3 2 2" xfId="9152" xr:uid="{00000000-0005-0000-0000-0000A2230000}"/>
    <cellStyle name="표준 23 3 2 2 2 2 3 2 3 3" xfId="9153" xr:uid="{00000000-0005-0000-0000-0000A3230000}"/>
    <cellStyle name="표준 23 3 2 2 2 2 3 2 4" xfId="9154" xr:uid="{00000000-0005-0000-0000-0000A4230000}"/>
    <cellStyle name="표준 23 3 2 2 2 2 3 2 4 2" xfId="9155" xr:uid="{00000000-0005-0000-0000-0000A5230000}"/>
    <cellStyle name="표준 23 3 2 2 2 2 3 2 5" xfId="9156" xr:uid="{00000000-0005-0000-0000-0000A6230000}"/>
    <cellStyle name="표준 23 3 2 2 2 2 3 3" xfId="9157" xr:uid="{00000000-0005-0000-0000-0000A7230000}"/>
    <cellStyle name="표준 23 3 2 2 2 2 3 3 2" xfId="9158" xr:uid="{00000000-0005-0000-0000-0000A8230000}"/>
    <cellStyle name="표준 23 3 2 2 2 2 3 3 2 2" xfId="9159" xr:uid="{00000000-0005-0000-0000-0000A9230000}"/>
    <cellStyle name="표준 23 3 2 2 2 2 3 3 2 2 2" xfId="9160" xr:uid="{00000000-0005-0000-0000-0000AA230000}"/>
    <cellStyle name="표준 23 3 2 2 2 2 3 3 2 3" xfId="9161" xr:uid="{00000000-0005-0000-0000-0000AB230000}"/>
    <cellStyle name="표준 23 3 2 2 2 2 3 3 3" xfId="9162" xr:uid="{00000000-0005-0000-0000-0000AC230000}"/>
    <cellStyle name="표준 23 3 2 2 2 2 3 3 3 2" xfId="9163" xr:uid="{00000000-0005-0000-0000-0000AD230000}"/>
    <cellStyle name="표준 23 3 2 2 2 2 3 3 4" xfId="9164" xr:uid="{00000000-0005-0000-0000-0000AE230000}"/>
    <cellStyle name="표준 23 3 2 2 2 2 3 4" xfId="9165" xr:uid="{00000000-0005-0000-0000-0000AF230000}"/>
    <cellStyle name="표준 23 3 2 2 2 2 3 4 2" xfId="9166" xr:uid="{00000000-0005-0000-0000-0000B0230000}"/>
    <cellStyle name="표준 23 3 2 2 2 2 3 4 2 2" xfId="9167" xr:uid="{00000000-0005-0000-0000-0000B1230000}"/>
    <cellStyle name="표준 23 3 2 2 2 2 3 4 3" xfId="9168" xr:uid="{00000000-0005-0000-0000-0000B2230000}"/>
    <cellStyle name="표준 23 3 2 2 2 2 3 5" xfId="9169" xr:uid="{00000000-0005-0000-0000-0000B3230000}"/>
    <cellStyle name="표준 23 3 2 2 2 2 3 5 2" xfId="9170" xr:uid="{00000000-0005-0000-0000-0000B4230000}"/>
    <cellStyle name="표준 23 3 2 2 2 2 3 6" xfId="9171" xr:uid="{00000000-0005-0000-0000-0000B5230000}"/>
    <cellStyle name="표준 23 3 2 2 2 2 4" xfId="9172" xr:uid="{00000000-0005-0000-0000-0000B6230000}"/>
    <cellStyle name="표준 23 3 2 2 2 2 4 2" xfId="9173" xr:uid="{00000000-0005-0000-0000-0000B7230000}"/>
    <cellStyle name="표준 23 3 2 2 2 2 4 2 2" xfId="9174" xr:uid="{00000000-0005-0000-0000-0000B8230000}"/>
    <cellStyle name="표준 23 3 2 2 2 2 4 2 2 2" xfId="9175" xr:uid="{00000000-0005-0000-0000-0000B9230000}"/>
    <cellStyle name="표준 23 3 2 2 2 2 4 2 2 2 2" xfId="9176" xr:uid="{00000000-0005-0000-0000-0000BA230000}"/>
    <cellStyle name="표준 23 3 2 2 2 2 4 2 2 3" xfId="9177" xr:uid="{00000000-0005-0000-0000-0000BB230000}"/>
    <cellStyle name="표준 23 3 2 2 2 2 4 2 3" xfId="9178" xr:uid="{00000000-0005-0000-0000-0000BC230000}"/>
    <cellStyle name="표준 23 3 2 2 2 2 4 2 3 2" xfId="9179" xr:uid="{00000000-0005-0000-0000-0000BD230000}"/>
    <cellStyle name="표준 23 3 2 2 2 2 4 2 4" xfId="9180" xr:uid="{00000000-0005-0000-0000-0000BE230000}"/>
    <cellStyle name="표준 23 3 2 2 2 2 4 3" xfId="9181" xr:uid="{00000000-0005-0000-0000-0000BF230000}"/>
    <cellStyle name="표준 23 3 2 2 2 2 4 3 2" xfId="9182" xr:uid="{00000000-0005-0000-0000-0000C0230000}"/>
    <cellStyle name="표준 23 3 2 2 2 2 4 3 2 2" xfId="9183" xr:uid="{00000000-0005-0000-0000-0000C1230000}"/>
    <cellStyle name="표준 23 3 2 2 2 2 4 3 3" xfId="9184" xr:uid="{00000000-0005-0000-0000-0000C2230000}"/>
    <cellStyle name="표준 23 3 2 2 2 2 4 4" xfId="9185" xr:uid="{00000000-0005-0000-0000-0000C3230000}"/>
    <cellStyle name="표준 23 3 2 2 2 2 4 4 2" xfId="9186" xr:uid="{00000000-0005-0000-0000-0000C4230000}"/>
    <cellStyle name="표준 23 3 2 2 2 2 4 5" xfId="9187" xr:uid="{00000000-0005-0000-0000-0000C5230000}"/>
    <cellStyle name="표준 23 3 2 2 2 2 5" xfId="9188" xr:uid="{00000000-0005-0000-0000-0000C6230000}"/>
    <cellStyle name="표준 23 3 2 2 2 2 5 2" xfId="9189" xr:uid="{00000000-0005-0000-0000-0000C7230000}"/>
    <cellStyle name="표준 23 3 2 2 2 2 5 2 2" xfId="9190" xr:uid="{00000000-0005-0000-0000-0000C8230000}"/>
    <cellStyle name="표준 23 3 2 2 2 2 5 2 2 2" xfId="9191" xr:uid="{00000000-0005-0000-0000-0000C9230000}"/>
    <cellStyle name="표준 23 3 2 2 2 2 5 2 3" xfId="9192" xr:uid="{00000000-0005-0000-0000-0000CA230000}"/>
    <cellStyle name="표준 23 3 2 2 2 2 5 3" xfId="9193" xr:uid="{00000000-0005-0000-0000-0000CB230000}"/>
    <cellStyle name="표준 23 3 2 2 2 2 5 3 2" xfId="9194" xr:uid="{00000000-0005-0000-0000-0000CC230000}"/>
    <cellStyle name="표준 23 3 2 2 2 2 5 4" xfId="9195" xr:uid="{00000000-0005-0000-0000-0000CD230000}"/>
    <cellStyle name="표준 23 3 2 2 2 2 6" xfId="9196" xr:uid="{00000000-0005-0000-0000-0000CE230000}"/>
    <cellStyle name="표준 23 3 2 2 2 2 6 2" xfId="9197" xr:uid="{00000000-0005-0000-0000-0000CF230000}"/>
    <cellStyle name="표준 23 3 2 2 2 2 6 2 2" xfId="9198" xr:uid="{00000000-0005-0000-0000-0000D0230000}"/>
    <cellStyle name="표준 23 3 2 2 2 2 6 3" xfId="9199" xr:uid="{00000000-0005-0000-0000-0000D1230000}"/>
    <cellStyle name="표준 23 3 2 2 2 2 7" xfId="9200" xr:uid="{00000000-0005-0000-0000-0000D2230000}"/>
    <cellStyle name="표준 23 3 2 2 2 2 7 2" xfId="9201" xr:uid="{00000000-0005-0000-0000-0000D3230000}"/>
    <cellStyle name="표준 23 3 2 2 2 2 8" xfId="9202" xr:uid="{00000000-0005-0000-0000-0000D4230000}"/>
    <cellStyle name="표준 23 3 2 2 2 2 9" xfId="9203" xr:uid="{00000000-0005-0000-0000-0000D5230000}"/>
    <cellStyle name="표준 23 3 2 2 2 3" xfId="9204" xr:uid="{00000000-0005-0000-0000-0000D6230000}"/>
    <cellStyle name="표준 23 3 2 2 2 3 2" xfId="9205" xr:uid="{00000000-0005-0000-0000-0000D7230000}"/>
    <cellStyle name="표준 23 3 2 2 2 3 2 2" xfId="9206" xr:uid="{00000000-0005-0000-0000-0000D8230000}"/>
    <cellStyle name="표준 23 3 2 2 2 3 2 2 2" xfId="9207" xr:uid="{00000000-0005-0000-0000-0000D9230000}"/>
    <cellStyle name="표준 23 3 2 2 2 3 2 2 2 2" xfId="9208" xr:uid="{00000000-0005-0000-0000-0000DA230000}"/>
    <cellStyle name="표준 23 3 2 2 2 3 2 2 2 2 2" xfId="9209" xr:uid="{00000000-0005-0000-0000-0000DB230000}"/>
    <cellStyle name="표준 23 3 2 2 2 3 2 2 2 2 2 2" xfId="9210" xr:uid="{00000000-0005-0000-0000-0000DC230000}"/>
    <cellStyle name="표준 23 3 2 2 2 3 2 2 2 2 3" xfId="9211" xr:uid="{00000000-0005-0000-0000-0000DD230000}"/>
    <cellStyle name="표준 23 3 2 2 2 3 2 2 2 3" xfId="9212" xr:uid="{00000000-0005-0000-0000-0000DE230000}"/>
    <cellStyle name="표준 23 3 2 2 2 3 2 2 2 3 2" xfId="9213" xr:uid="{00000000-0005-0000-0000-0000DF230000}"/>
    <cellStyle name="표준 23 3 2 2 2 3 2 2 2 4" xfId="9214" xr:uid="{00000000-0005-0000-0000-0000E0230000}"/>
    <cellStyle name="표준 23 3 2 2 2 3 2 2 3" xfId="9215" xr:uid="{00000000-0005-0000-0000-0000E1230000}"/>
    <cellStyle name="표준 23 3 2 2 2 3 2 2 3 2" xfId="9216" xr:uid="{00000000-0005-0000-0000-0000E2230000}"/>
    <cellStyle name="표준 23 3 2 2 2 3 2 2 3 2 2" xfId="9217" xr:uid="{00000000-0005-0000-0000-0000E3230000}"/>
    <cellStyle name="표준 23 3 2 2 2 3 2 2 3 3" xfId="9218" xr:uid="{00000000-0005-0000-0000-0000E4230000}"/>
    <cellStyle name="표준 23 3 2 2 2 3 2 2 4" xfId="9219" xr:uid="{00000000-0005-0000-0000-0000E5230000}"/>
    <cellStyle name="표준 23 3 2 2 2 3 2 2 4 2" xfId="9220" xr:uid="{00000000-0005-0000-0000-0000E6230000}"/>
    <cellStyle name="표준 23 3 2 2 2 3 2 2 5" xfId="9221" xr:uid="{00000000-0005-0000-0000-0000E7230000}"/>
    <cellStyle name="표준 23 3 2 2 2 3 2 3" xfId="9222" xr:uid="{00000000-0005-0000-0000-0000E8230000}"/>
    <cellStyle name="표준 23 3 2 2 2 3 2 3 2" xfId="9223" xr:uid="{00000000-0005-0000-0000-0000E9230000}"/>
    <cellStyle name="표준 23 3 2 2 2 3 2 3 2 2" xfId="9224" xr:uid="{00000000-0005-0000-0000-0000EA230000}"/>
    <cellStyle name="표준 23 3 2 2 2 3 2 3 2 2 2" xfId="9225" xr:uid="{00000000-0005-0000-0000-0000EB230000}"/>
    <cellStyle name="표준 23 3 2 2 2 3 2 3 2 3" xfId="9226" xr:uid="{00000000-0005-0000-0000-0000EC230000}"/>
    <cellStyle name="표준 23 3 2 2 2 3 2 3 3" xfId="9227" xr:uid="{00000000-0005-0000-0000-0000ED230000}"/>
    <cellStyle name="표준 23 3 2 2 2 3 2 3 3 2" xfId="9228" xr:uid="{00000000-0005-0000-0000-0000EE230000}"/>
    <cellStyle name="표준 23 3 2 2 2 3 2 3 4" xfId="9229" xr:uid="{00000000-0005-0000-0000-0000EF230000}"/>
    <cellStyle name="표준 23 3 2 2 2 3 2 4" xfId="9230" xr:uid="{00000000-0005-0000-0000-0000F0230000}"/>
    <cellStyle name="표준 23 3 2 2 2 3 2 4 2" xfId="9231" xr:uid="{00000000-0005-0000-0000-0000F1230000}"/>
    <cellStyle name="표준 23 3 2 2 2 3 2 4 2 2" xfId="9232" xr:uid="{00000000-0005-0000-0000-0000F2230000}"/>
    <cellStyle name="표준 23 3 2 2 2 3 2 4 3" xfId="9233" xr:uid="{00000000-0005-0000-0000-0000F3230000}"/>
    <cellStyle name="표준 23 3 2 2 2 3 2 5" xfId="9234" xr:uid="{00000000-0005-0000-0000-0000F4230000}"/>
    <cellStyle name="표준 23 3 2 2 2 3 2 5 2" xfId="9235" xr:uid="{00000000-0005-0000-0000-0000F5230000}"/>
    <cellStyle name="표준 23 3 2 2 2 3 2 6" xfId="9236" xr:uid="{00000000-0005-0000-0000-0000F6230000}"/>
    <cellStyle name="표준 23 3 2 2 2 3 3" xfId="9237" xr:uid="{00000000-0005-0000-0000-0000F7230000}"/>
    <cellStyle name="표준 23 3 2 2 2 3 3 2" xfId="9238" xr:uid="{00000000-0005-0000-0000-0000F8230000}"/>
    <cellStyle name="표준 23 3 2 2 2 3 3 2 2" xfId="9239" xr:uid="{00000000-0005-0000-0000-0000F9230000}"/>
    <cellStyle name="표준 23 3 2 2 2 3 3 2 2 2" xfId="9240" xr:uid="{00000000-0005-0000-0000-0000FA230000}"/>
    <cellStyle name="표준 23 3 2 2 2 3 3 2 2 2 2" xfId="9241" xr:uid="{00000000-0005-0000-0000-0000FB230000}"/>
    <cellStyle name="표준 23 3 2 2 2 3 3 2 2 3" xfId="9242" xr:uid="{00000000-0005-0000-0000-0000FC230000}"/>
    <cellStyle name="표준 23 3 2 2 2 3 3 2 3" xfId="9243" xr:uid="{00000000-0005-0000-0000-0000FD230000}"/>
    <cellStyle name="표준 23 3 2 2 2 3 3 2 3 2" xfId="9244" xr:uid="{00000000-0005-0000-0000-0000FE230000}"/>
    <cellStyle name="표준 23 3 2 2 2 3 3 2 4" xfId="9245" xr:uid="{00000000-0005-0000-0000-0000FF230000}"/>
    <cellStyle name="표준 23 3 2 2 2 3 3 3" xfId="9246" xr:uid="{00000000-0005-0000-0000-000000240000}"/>
    <cellStyle name="표준 23 3 2 2 2 3 3 3 2" xfId="9247" xr:uid="{00000000-0005-0000-0000-000001240000}"/>
    <cellStyle name="표준 23 3 2 2 2 3 3 3 2 2" xfId="9248" xr:uid="{00000000-0005-0000-0000-000002240000}"/>
    <cellStyle name="표준 23 3 2 2 2 3 3 3 3" xfId="9249" xr:uid="{00000000-0005-0000-0000-000003240000}"/>
    <cellStyle name="표준 23 3 2 2 2 3 3 4" xfId="9250" xr:uid="{00000000-0005-0000-0000-000004240000}"/>
    <cellStyle name="표준 23 3 2 2 2 3 3 4 2" xfId="9251" xr:uid="{00000000-0005-0000-0000-000005240000}"/>
    <cellStyle name="표준 23 3 2 2 2 3 3 5" xfId="9252" xr:uid="{00000000-0005-0000-0000-000006240000}"/>
    <cellStyle name="표준 23 3 2 2 2 3 4" xfId="9253" xr:uid="{00000000-0005-0000-0000-000007240000}"/>
    <cellStyle name="표준 23 3 2 2 2 3 4 2" xfId="9254" xr:uid="{00000000-0005-0000-0000-000008240000}"/>
    <cellStyle name="표준 23 3 2 2 2 3 4 2 2" xfId="9255" xr:uid="{00000000-0005-0000-0000-000009240000}"/>
    <cellStyle name="표준 23 3 2 2 2 3 4 2 2 2" xfId="9256" xr:uid="{00000000-0005-0000-0000-00000A240000}"/>
    <cellStyle name="표준 23 3 2 2 2 3 4 2 3" xfId="9257" xr:uid="{00000000-0005-0000-0000-00000B240000}"/>
    <cellStyle name="표준 23 3 2 2 2 3 4 3" xfId="9258" xr:uid="{00000000-0005-0000-0000-00000C240000}"/>
    <cellStyle name="표준 23 3 2 2 2 3 4 3 2" xfId="9259" xr:uid="{00000000-0005-0000-0000-00000D240000}"/>
    <cellStyle name="표준 23 3 2 2 2 3 4 4" xfId="9260" xr:uid="{00000000-0005-0000-0000-00000E240000}"/>
    <cellStyle name="표준 23 3 2 2 2 3 5" xfId="9261" xr:uid="{00000000-0005-0000-0000-00000F240000}"/>
    <cellStyle name="표준 23 3 2 2 2 3 5 2" xfId="9262" xr:uid="{00000000-0005-0000-0000-000010240000}"/>
    <cellStyle name="표준 23 3 2 2 2 3 5 2 2" xfId="9263" xr:uid="{00000000-0005-0000-0000-000011240000}"/>
    <cellStyle name="표준 23 3 2 2 2 3 5 3" xfId="9264" xr:uid="{00000000-0005-0000-0000-000012240000}"/>
    <cellStyle name="표준 23 3 2 2 2 3 6" xfId="9265" xr:uid="{00000000-0005-0000-0000-000013240000}"/>
    <cellStyle name="표준 23 3 2 2 2 3 6 2" xfId="9266" xr:uid="{00000000-0005-0000-0000-000014240000}"/>
    <cellStyle name="표준 23 3 2 2 2 3 7" xfId="9267" xr:uid="{00000000-0005-0000-0000-000015240000}"/>
    <cellStyle name="표준 23 3 2 2 2 3 8" xfId="9268" xr:uid="{00000000-0005-0000-0000-000016240000}"/>
    <cellStyle name="표준 23 3 2 2 2 4" xfId="9269" xr:uid="{00000000-0005-0000-0000-000017240000}"/>
    <cellStyle name="표준 23 3 2 2 2 4 2" xfId="9270" xr:uid="{00000000-0005-0000-0000-000018240000}"/>
    <cellStyle name="표준 23 3 2 2 2 4 2 2" xfId="9271" xr:uid="{00000000-0005-0000-0000-000019240000}"/>
    <cellStyle name="표준 23 3 2 2 2 4 2 2 2" xfId="9272" xr:uid="{00000000-0005-0000-0000-00001A240000}"/>
    <cellStyle name="표준 23 3 2 2 2 4 2 2 2 2" xfId="9273" xr:uid="{00000000-0005-0000-0000-00001B240000}"/>
    <cellStyle name="표준 23 3 2 2 2 4 2 2 2 2 2" xfId="9274" xr:uid="{00000000-0005-0000-0000-00001C240000}"/>
    <cellStyle name="표준 23 3 2 2 2 4 2 2 2 3" xfId="9275" xr:uid="{00000000-0005-0000-0000-00001D240000}"/>
    <cellStyle name="표준 23 3 2 2 2 4 2 2 3" xfId="9276" xr:uid="{00000000-0005-0000-0000-00001E240000}"/>
    <cellStyle name="표준 23 3 2 2 2 4 2 2 3 2" xfId="9277" xr:uid="{00000000-0005-0000-0000-00001F240000}"/>
    <cellStyle name="표준 23 3 2 2 2 4 2 2 4" xfId="9278" xr:uid="{00000000-0005-0000-0000-000020240000}"/>
    <cellStyle name="표준 23 3 2 2 2 4 2 3" xfId="9279" xr:uid="{00000000-0005-0000-0000-000021240000}"/>
    <cellStyle name="표준 23 3 2 2 2 4 2 3 2" xfId="9280" xr:uid="{00000000-0005-0000-0000-000022240000}"/>
    <cellStyle name="표준 23 3 2 2 2 4 2 3 2 2" xfId="9281" xr:uid="{00000000-0005-0000-0000-000023240000}"/>
    <cellStyle name="표준 23 3 2 2 2 4 2 3 3" xfId="9282" xr:uid="{00000000-0005-0000-0000-000024240000}"/>
    <cellStyle name="표준 23 3 2 2 2 4 2 4" xfId="9283" xr:uid="{00000000-0005-0000-0000-000025240000}"/>
    <cellStyle name="표준 23 3 2 2 2 4 2 4 2" xfId="9284" xr:uid="{00000000-0005-0000-0000-000026240000}"/>
    <cellStyle name="표준 23 3 2 2 2 4 2 5" xfId="9285" xr:uid="{00000000-0005-0000-0000-000027240000}"/>
    <cellStyle name="표준 23 3 2 2 2 4 3" xfId="9286" xr:uid="{00000000-0005-0000-0000-000028240000}"/>
    <cellStyle name="표준 23 3 2 2 2 4 3 2" xfId="9287" xr:uid="{00000000-0005-0000-0000-000029240000}"/>
    <cellStyle name="표준 23 3 2 2 2 4 3 2 2" xfId="9288" xr:uid="{00000000-0005-0000-0000-00002A240000}"/>
    <cellStyle name="표준 23 3 2 2 2 4 3 2 2 2" xfId="9289" xr:uid="{00000000-0005-0000-0000-00002B240000}"/>
    <cellStyle name="표준 23 3 2 2 2 4 3 2 3" xfId="9290" xr:uid="{00000000-0005-0000-0000-00002C240000}"/>
    <cellStyle name="표준 23 3 2 2 2 4 3 3" xfId="9291" xr:uid="{00000000-0005-0000-0000-00002D240000}"/>
    <cellStyle name="표준 23 3 2 2 2 4 3 3 2" xfId="9292" xr:uid="{00000000-0005-0000-0000-00002E240000}"/>
    <cellStyle name="표준 23 3 2 2 2 4 3 4" xfId="9293" xr:uid="{00000000-0005-0000-0000-00002F240000}"/>
    <cellStyle name="표준 23 3 2 2 2 4 4" xfId="9294" xr:uid="{00000000-0005-0000-0000-000030240000}"/>
    <cellStyle name="표준 23 3 2 2 2 4 4 2" xfId="9295" xr:uid="{00000000-0005-0000-0000-000031240000}"/>
    <cellStyle name="표준 23 3 2 2 2 4 4 2 2" xfId="9296" xr:uid="{00000000-0005-0000-0000-000032240000}"/>
    <cellStyle name="표준 23 3 2 2 2 4 4 3" xfId="9297" xr:uid="{00000000-0005-0000-0000-000033240000}"/>
    <cellStyle name="표준 23 3 2 2 2 4 5" xfId="9298" xr:uid="{00000000-0005-0000-0000-000034240000}"/>
    <cellStyle name="표준 23 3 2 2 2 4 5 2" xfId="9299" xr:uid="{00000000-0005-0000-0000-000035240000}"/>
    <cellStyle name="표준 23 3 2 2 2 4 6" xfId="9300" xr:uid="{00000000-0005-0000-0000-000036240000}"/>
    <cellStyle name="표준 23 3 2 2 2 5" xfId="9301" xr:uid="{00000000-0005-0000-0000-000037240000}"/>
    <cellStyle name="표준 23 3 2 2 2 5 2" xfId="9302" xr:uid="{00000000-0005-0000-0000-000038240000}"/>
    <cellStyle name="표준 23 3 2 2 2 5 2 2" xfId="9303" xr:uid="{00000000-0005-0000-0000-000039240000}"/>
    <cellStyle name="표준 23 3 2 2 2 5 2 2 2" xfId="9304" xr:uid="{00000000-0005-0000-0000-00003A240000}"/>
    <cellStyle name="표준 23 3 2 2 2 5 2 2 2 2" xfId="9305" xr:uid="{00000000-0005-0000-0000-00003B240000}"/>
    <cellStyle name="표준 23 3 2 2 2 5 2 2 3" xfId="9306" xr:uid="{00000000-0005-0000-0000-00003C240000}"/>
    <cellStyle name="표준 23 3 2 2 2 5 2 3" xfId="9307" xr:uid="{00000000-0005-0000-0000-00003D240000}"/>
    <cellStyle name="표준 23 3 2 2 2 5 2 3 2" xfId="9308" xr:uid="{00000000-0005-0000-0000-00003E240000}"/>
    <cellStyle name="표준 23 3 2 2 2 5 2 4" xfId="9309" xr:uid="{00000000-0005-0000-0000-00003F240000}"/>
    <cellStyle name="표준 23 3 2 2 2 5 3" xfId="9310" xr:uid="{00000000-0005-0000-0000-000040240000}"/>
    <cellStyle name="표준 23 3 2 2 2 5 3 2" xfId="9311" xr:uid="{00000000-0005-0000-0000-000041240000}"/>
    <cellStyle name="표준 23 3 2 2 2 5 3 2 2" xfId="9312" xr:uid="{00000000-0005-0000-0000-000042240000}"/>
    <cellStyle name="표준 23 3 2 2 2 5 3 3" xfId="9313" xr:uid="{00000000-0005-0000-0000-000043240000}"/>
    <cellStyle name="표준 23 3 2 2 2 5 4" xfId="9314" xr:uid="{00000000-0005-0000-0000-000044240000}"/>
    <cellStyle name="표준 23 3 2 2 2 5 4 2" xfId="9315" xr:uid="{00000000-0005-0000-0000-000045240000}"/>
    <cellStyle name="표준 23 3 2 2 2 5 5" xfId="9316" xr:uid="{00000000-0005-0000-0000-000046240000}"/>
    <cellStyle name="표준 23 3 2 2 2 6" xfId="9317" xr:uid="{00000000-0005-0000-0000-000047240000}"/>
    <cellStyle name="표준 23 3 2 2 2 6 2" xfId="9318" xr:uid="{00000000-0005-0000-0000-000048240000}"/>
    <cellStyle name="표준 23 3 2 2 2 6 2 2" xfId="9319" xr:uid="{00000000-0005-0000-0000-000049240000}"/>
    <cellStyle name="표준 23 3 2 2 2 6 2 2 2" xfId="9320" xr:uid="{00000000-0005-0000-0000-00004A240000}"/>
    <cellStyle name="표준 23 3 2 2 2 6 2 3" xfId="9321" xr:uid="{00000000-0005-0000-0000-00004B240000}"/>
    <cellStyle name="표준 23 3 2 2 2 6 3" xfId="9322" xr:uid="{00000000-0005-0000-0000-00004C240000}"/>
    <cellStyle name="표준 23 3 2 2 2 6 3 2" xfId="9323" xr:uid="{00000000-0005-0000-0000-00004D240000}"/>
    <cellStyle name="표준 23 3 2 2 2 6 4" xfId="9324" xr:uid="{00000000-0005-0000-0000-00004E240000}"/>
    <cellStyle name="표준 23 3 2 2 2 7" xfId="9325" xr:uid="{00000000-0005-0000-0000-00004F240000}"/>
    <cellStyle name="표준 23 3 2 2 2 7 2" xfId="9326" xr:uid="{00000000-0005-0000-0000-000050240000}"/>
    <cellStyle name="표준 23 3 2 2 2 7 2 2" xfId="9327" xr:uid="{00000000-0005-0000-0000-000051240000}"/>
    <cellStyle name="표준 23 3 2 2 2 7 3" xfId="9328" xr:uid="{00000000-0005-0000-0000-000052240000}"/>
    <cellStyle name="표준 23 3 2 2 2 8" xfId="9329" xr:uid="{00000000-0005-0000-0000-000053240000}"/>
    <cellStyle name="표준 23 3 2 2 2 8 2" xfId="9330" xr:uid="{00000000-0005-0000-0000-000054240000}"/>
    <cellStyle name="표준 23 3 2 2 2 9" xfId="9331" xr:uid="{00000000-0005-0000-0000-000055240000}"/>
    <cellStyle name="표준 23 3 2 2 3" xfId="9332" xr:uid="{00000000-0005-0000-0000-000056240000}"/>
    <cellStyle name="표준 23 3 2 2 3 2" xfId="9333" xr:uid="{00000000-0005-0000-0000-000057240000}"/>
    <cellStyle name="표준 23 3 2 2 3 2 2" xfId="9334" xr:uid="{00000000-0005-0000-0000-000058240000}"/>
    <cellStyle name="표준 23 3 2 2 3 2 2 2" xfId="9335" xr:uid="{00000000-0005-0000-0000-000059240000}"/>
    <cellStyle name="표준 23 3 2 2 3 2 2 2 2" xfId="9336" xr:uid="{00000000-0005-0000-0000-00005A240000}"/>
    <cellStyle name="표준 23 3 2 2 3 2 2 2 2 2" xfId="9337" xr:uid="{00000000-0005-0000-0000-00005B240000}"/>
    <cellStyle name="표준 23 3 2 2 3 2 2 2 2 2 2" xfId="9338" xr:uid="{00000000-0005-0000-0000-00005C240000}"/>
    <cellStyle name="표준 23 3 2 2 3 2 2 2 2 2 2 2" xfId="9339" xr:uid="{00000000-0005-0000-0000-00005D240000}"/>
    <cellStyle name="표준 23 3 2 2 3 2 2 2 2 2 3" xfId="9340" xr:uid="{00000000-0005-0000-0000-00005E240000}"/>
    <cellStyle name="표준 23 3 2 2 3 2 2 2 2 3" xfId="9341" xr:uid="{00000000-0005-0000-0000-00005F240000}"/>
    <cellStyle name="표준 23 3 2 2 3 2 2 2 2 3 2" xfId="9342" xr:uid="{00000000-0005-0000-0000-000060240000}"/>
    <cellStyle name="표준 23 3 2 2 3 2 2 2 2 4" xfId="9343" xr:uid="{00000000-0005-0000-0000-000061240000}"/>
    <cellStyle name="표준 23 3 2 2 3 2 2 2 3" xfId="9344" xr:uid="{00000000-0005-0000-0000-000062240000}"/>
    <cellStyle name="표준 23 3 2 2 3 2 2 2 3 2" xfId="9345" xr:uid="{00000000-0005-0000-0000-000063240000}"/>
    <cellStyle name="표준 23 3 2 2 3 2 2 2 3 2 2" xfId="9346" xr:uid="{00000000-0005-0000-0000-000064240000}"/>
    <cellStyle name="표준 23 3 2 2 3 2 2 2 3 3" xfId="9347" xr:uid="{00000000-0005-0000-0000-000065240000}"/>
    <cellStyle name="표준 23 3 2 2 3 2 2 2 4" xfId="9348" xr:uid="{00000000-0005-0000-0000-000066240000}"/>
    <cellStyle name="표준 23 3 2 2 3 2 2 2 4 2" xfId="9349" xr:uid="{00000000-0005-0000-0000-000067240000}"/>
    <cellStyle name="표준 23 3 2 2 3 2 2 2 5" xfId="9350" xr:uid="{00000000-0005-0000-0000-000068240000}"/>
    <cellStyle name="표준 23 3 2 2 3 2 2 3" xfId="9351" xr:uid="{00000000-0005-0000-0000-000069240000}"/>
    <cellStyle name="표준 23 3 2 2 3 2 2 3 2" xfId="9352" xr:uid="{00000000-0005-0000-0000-00006A240000}"/>
    <cellStyle name="표준 23 3 2 2 3 2 2 3 2 2" xfId="9353" xr:uid="{00000000-0005-0000-0000-00006B240000}"/>
    <cellStyle name="표준 23 3 2 2 3 2 2 3 2 2 2" xfId="9354" xr:uid="{00000000-0005-0000-0000-00006C240000}"/>
    <cellStyle name="표준 23 3 2 2 3 2 2 3 2 3" xfId="9355" xr:uid="{00000000-0005-0000-0000-00006D240000}"/>
    <cellStyle name="표준 23 3 2 2 3 2 2 3 3" xfId="9356" xr:uid="{00000000-0005-0000-0000-00006E240000}"/>
    <cellStyle name="표준 23 3 2 2 3 2 2 3 3 2" xfId="9357" xr:uid="{00000000-0005-0000-0000-00006F240000}"/>
    <cellStyle name="표준 23 3 2 2 3 2 2 3 4" xfId="9358" xr:uid="{00000000-0005-0000-0000-000070240000}"/>
    <cellStyle name="표준 23 3 2 2 3 2 2 4" xfId="9359" xr:uid="{00000000-0005-0000-0000-000071240000}"/>
    <cellStyle name="표준 23 3 2 2 3 2 2 4 2" xfId="9360" xr:uid="{00000000-0005-0000-0000-000072240000}"/>
    <cellStyle name="표준 23 3 2 2 3 2 2 4 2 2" xfId="9361" xr:uid="{00000000-0005-0000-0000-000073240000}"/>
    <cellStyle name="표준 23 3 2 2 3 2 2 4 3" xfId="9362" xr:uid="{00000000-0005-0000-0000-000074240000}"/>
    <cellStyle name="표준 23 3 2 2 3 2 2 5" xfId="9363" xr:uid="{00000000-0005-0000-0000-000075240000}"/>
    <cellStyle name="표준 23 3 2 2 3 2 2 5 2" xfId="9364" xr:uid="{00000000-0005-0000-0000-000076240000}"/>
    <cellStyle name="표준 23 3 2 2 3 2 2 6" xfId="9365" xr:uid="{00000000-0005-0000-0000-000077240000}"/>
    <cellStyle name="표준 23 3 2 2 3 2 3" xfId="9366" xr:uid="{00000000-0005-0000-0000-000078240000}"/>
    <cellStyle name="표준 23 3 2 2 3 2 3 2" xfId="9367" xr:uid="{00000000-0005-0000-0000-000079240000}"/>
    <cellStyle name="표준 23 3 2 2 3 2 3 2 2" xfId="9368" xr:uid="{00000000-0005-0000-0000-00007A240000}"/>
    <cellStyle name="표준 23 3 2 2 3 2 3 2 2 2" xfId="9369" xr:uid="{00000000-0005-0000-0000-00007B240000}"/>
    <cellStyle name="표준 23 3 2 2 3 2 3 2 2 2 2" xfId="9370" xr:uid="{00000000-0005-0000-0000-00007C240000}"/>
    <cellStyle name="표준 23 3 2 2 3 2 3 2 2 3" xfId="9371" xr:uid="{00000000-0005-0000-0000-00007D240000}"/>
    <cellStyle name="표준 23 3 2 2 3 2 3 2 3" xfId="9372" xr:uid="{00000000-0005-0000-0000-00007E240000}"/>
    <cellStyle name="표준 23 3 2 2 3 2 3 2 3 2" xfId="9373" xr:uid="{00000000-0005-0000-0000-00007F240000}"/>
    <cellStyle name="표준 23 3 2 2 3 2 3 2 4" xfId="9374" xr:uid="{00000000-0005-0000-0000-000080240000}"/>
    <cellStyle name="표준 23 3 2 2 3 2 3 3" xfId="9375" xr:uid="{00000000-0005-0000-0000-000081240000}"/>
    <cellStyle name="표준 23 3 2 2 3 2 3 3 2" xfId="9376" xr:uid="{00000000-0005-0000-0000-000082240000}"/>
    <cellStyle name="표준 23 3 2 2 3 2 3 3 2 2" xfId="9377" xr:uid="{00000000-0005-0000-0000-000083240000}"/>
    <cellStyle name="표준 23 3 2 2 3 2 3 3 3" xfId="9378" xr:uid="{00000000-0005-0000-0000-000084240000}"/>
    <cellStyle name="표준 23 3 2 2 3 2 3 4" xfId="9379" xr:uid="{00000000-0005-0000-0000-000085240000}"/>
    <cellStyle name="표준 23 3 2 2 3 2 3 4 2" xfId="9380" xr:uid="{00000000-0005-0000-0000-000086240000}"/>
    <cellStyle name="표준 23 3 2 2 3 2 3 5" xfId="9381" xr:uid="{00000000-0005-0000-0000-000087240000}"/>
    <cellStyle name="표준 23 3 2 2 3 2 4" xfId="9382" xr:uid="{00000000-0005-0000-0000-000088240000}"/>
    <cellStyle name="표준 23 3 2 2 3 2 4 2" xfId="9383" xr:uid="{00000000-0005-0000-0000-000089240000}"/>
    <cellStyle name="표준 23 3 2 2 3 2 4 2 2" xfId="9384" xr:uid="{00000000-0005-0000-0000-00008A240000}"/>
    <cellStyle name="표준 23 3 2 2 3 2 4 2 2 2" xfId="9385" xr:uid="{00000000-0005-0000-0000-00008B240000}"/>
    <cellStyle name="표준 23 3 2 2 3 2 4 2 3" xfId="9386" xr:uid="{00000000-0005-0000-0000-00008C240000}"/>
    <cellStyle name="표준 23 3 2 2 3 2 4 3" xfId="9387" xr:uid="{00000000-0005-0000-0000-00008D240000}"/>
    <cellStyle name="표준 23 3 2 2 3 2 4 3 2" xfId="9388" xr:uid="{00000000-0005-0000-0000-00008E240000}"/>
    <cellStyle name="표준 23 3 2 2 3 2 4 4" xfId="9389" xr:uid="{00000000-0005-0000-0000-00008F240000}"/>
    <cellStyle name="표준 23 3 2 2 3 2 5" xfId="9390" xr:uid="{00000000-0005-0000-0000-000090240000}"/>
    <cellStyle name="표준 23 3 2 2 3 2 5 2" xfId="9391" xr:uid="{00000000-0005-0000-0000-000091240000}"/>
    <cellStyle name="표준 23 3 2 2 3 2 5 2 2" xfId="9392" xr:uid="{00000000-0005-0000-0000-000092240000}"/>
    <cellStyle name="표준 23 3 2 2 3 2 5 3" xfId="9393" xr:uid="{00000000-0005-0000-0000-000093240000}"/>
    <cellStyle name="표준 23 3 2 2 3 2 6" xfId="9394" xr:uid="{00000000-0005-0000-0000-000094240000}"/>
    <cellStyle name="표준 23 3 2 2 3 2 6 2" xfId="9395" xr:uid="{00000000-0005-0000-0000-000095240000}"/>
    <cellStyle name="표준 23 3 2 2 3 2 7" xfId="9396" xr:uid="{00000000-0005-0000-0000-000096240000}"/>
    <cellStyle name="표준 23 3 2 2 3 2 8" xfId="9397" xr:uid="{00000000-0005-0000-0000-000097240000}"/>
    <cellStyle name="표준 23 3 2 2 3 3" xfId="9398" xr:uid="{00000000-0005-0000-0000-000098240000}"/>
    <cellStyle name="표준 23 3 2 2 3 3 2" xfId="9399" xr:uid="{00000000-0005-0000-0000-000099240000}"/>
    <cellStyle name="표준 23 3 2 2 3 3 2 2" xfId="9400" xr:uid="{00000000-0005-0000-0000-00009A240000}"/>
    <cellStyle name="표준 23 3 2 2 3 3 2 2 2" xfId="9401" xr:uid="{00000000-0005-0000-0000-00009B240000}"/>
    <cellStyle name="표준 23 3 2 2 3 3 2 2 2 2" xfId="9402" xr:uid="{00000000-0005-0000-0000-00009C240000}"/>
    <cellStyle name="표준 23 3 2 2 3 3 2 2 2 2 2" xfId="9403" xr:uid="{00000000-0005-0000-0000-00009D240000}"/>
    <cellStyle name="표준 23 3 2 2 3 3 2 2 2 3" xfId="9404" xr:uid="{00000000-0005-0000-0000-00009E240000}"/>
    <cellStyle name="표준 23 3 2 2 3 3 2 2 3" xfId="9405" xr:uid="{00000000-0005-0000-0000-00009F240000}"/>
    <cellStyle name="표준 23 3 2 2 3 3 2 2 3 2" xfId="9406" xr:uid="{00000000-0005-0000-0000-0000A0240000}"/>
    <cellStyle name="표준 23 3 2 2 3 3 2 2 4" xfId="9407" xr:uid="{00000000-0005-0000-0000-0000A1240000}"/>
    <cellStyle name="표준 23 3 2 2 3 3 2 3" xfId="9408" xr:uid="{00000000-0005-0000-0000-0000A2240000}"/>
    <cellStyle name="표준 23 3 2 2 3 3 2 3 2" xfId="9409" xr:uid="{00000000-0005-0000-0000-0000A3240000}"/>
    <cellStyle name="표준 23 3 2 2 3 3 2 3 2 2" xfId="9410" xr:uid="{00000000-0005-0000-0000-0000A4240000}"/>
    <cellStyle name="표준 23 3 2 2 3 3 2 3 3" xfId="9411" xr:uid="{00000000-0005-0000-0000-0000A5240000}"/>
    <cellStyle name="표준 23 3 2 2 3 3 2 4" xfId="9412" xr:uid="{00000000-0005-0000-0000-0000A6240000}"/>
    <cellStyle name="표준 23 3 2 2 3 3 2 4 2" xfId="9413" xr:uid="{00000000-0005-0000-0000-0000A7240000}"/>
    <cellStyle name="표준 23 3 2 2 3 3 2 5" xfId="9414" xr:uid="{00000000-0005-0000-0000-0000A8240000}"/>
    <cellStyle name="표준 23 3 2 2 3 3 3" xfId="9415" xr:uid="{00000000-0005-0000-0000-0000A9240000}"/>
    <cellStyle name="표준 23 3 2 2 3 3 3 2" xfId="9416" xr:uid="{00000000-0005-0000-0000-0000AA240000}"/>
    <cellStyle name="표준 23 3 2 2 3 3 3 2 2" xfId="9417" xr:uid="{00000000-0005-0000-0000-0000AB240000}"/>
    <cellStyle name="표준 23 3 2 2 3 3 3 2 2 2" xfId="9418" xr:uid="{00000000-0005-0000-0000-0000AC240000}"/>
    <cellStyle name="표준 23 3 2 2 3 3 3 2 3" xfId="9419" xr:uid="{00000000-0005-0000-0000-0000AD240000}"/>
    <cellStyle name="표준 23 3 2 2 3 3 3 3" xfId="9420" xr:uid="{00000000-0005-0000-0000-0000AE240000}"/>
    <cellStyle name="표준 23 3 2 2 3 3 3 3 2" xfId="9421" xr:uid="{00000000-0005-0000-0000-0000AF240000}"/>
    <cellStyle name="표준 23 3 2 2 3 3 3 4" xfId="9422" xr:uid="{00000000-0005-0000-0000-0000B0240000}"/>
    <cellStyle name="표준 23 3 2 2 3 3 4" xfId="9423" xr:uid="{00000000-0005-0000-0000-0000B1240000}"/>
    <cellStyle name="표준 23 3 2 2 3 3 4 2" xfId="9424" xr:uid="{00000000-0005-0000-0000-0000B2240000}"/>
    <cellStyle name="표준 23 3 2 2 3 3 4 2 2" xfId="9425" xr:uid="{00000000-0005-0000-0000-0000B3240000}"/>
    <cellStyle name="표준 23 3 2 2 3 3 4 3" xfId="9426" xr:uid="{00000000-0005-0000-0000-0000B4240000}"/>
    <cellStyle name="표준 23 3 2 2 3 3 5" xfId="9427" xr:uid="{00000000-0005-0000-0000-0000B5240000}"/>
    <cellStyle name="표준 23 3 2 2 3 3 5 2" xfId="9428" xr:uid="{00000000-0005-0000-0000-0000B6240000}"/>
    <cellStyle name="표준 23 3 2 2 3 3 6" xfId="9429" xr:uid="{00000000-0005-0000-0000-0000B7240000}"/>
    <cellStyle name="표준 23 3 2 2 3 4" xfId="9430" xr:uid="{00000000-0005-0000-0000-0000B8240000}"/>
    <cellStyle name="표준 23 3 2 2 3 4 2" xfId="9431" xr:uid="{00000000-0005-0000-0000-0000B9240000}"/>
    <cellStyle name="표준 23 3 2 2 3 4 2 2" xfId="9432" xr:uid="{00000000-0005-0000-0000-0000BA240000}"/>
    <cellStyle name="표준 23 3 2 2 3 4 2 2 2" xfId="9433" xr:uid="{00000000-0005-0000-0000-0000BB240000}"/>
    <cellStyle name="표준 23 3 2 2 3 4 2 2 2 2" xfId="9434" xr:uid="{00000000-0005-0000-0000-0000BC240000}"/>
    <cellStyle name="표준 23 3 2 2 3 4 2 2 3" xfId="9435" xr:uid="{00000000-0005-0000-0000-0000BD240000}"/>
    <cellStyle name="표준 23 3 2 2 3 4 2 3" xfId="9436" xr:uid="{00000000-0005-0000-0000-0000BE240000}"/>
    <cellStyle name="표준 23 3 2 2 3 4 2 3 2" xfId="9437" xr:uid="{00000000-0005-0000-0000-0000BF240000}"/>
    <cellStyle name="표준 23 3 2 2 3 4 2 4" xfId="9438" xr:uid="{00000000-0005-0000-0000-0000C0240000}"/>
    <cellStyle name="표준 23 3 2 2 3 4 3" xfId="9439" xr:uid="{00000000-0005-0000-0000-0000C1240000}"/>
    <cellStyle name="표준 23 3 2 2 3 4 3 2" xfId="9440" xr:uid="{00000000-0005-0000-0000-0000C2240000}"/>
    <cellStyle name="표준 23 3 2 2 3 4 3 2 2" xfId="9441" xr:uid="{00000000-0005-0000-0000-0000C3240000}"/>
    <cellStyle name="표준 23 3 2 2 3 4 3 3" xfId="9442" xr:uid="{00000000-0005-0000-0000-0000C4240000}"/>
    <cellStyle name="표준 23 3 2 2 3 4 4" xfId="9443" xr:uid="{00000000-0005-0000-0000-0000C5240000}"/>
    <cellStyle name="표준 23 3 2 2 3 4 4 2" xfId="9444" xr:uid="{00000000-0005-0000-0000-0000C6240000}"/>
    <cellStyle name="표준 23 3 2 2 3 4 5" xfId="9445" xr:uid="{00000000-0005-0000-0000-0000C7240000}"/>
    <cellStyle name="표준 23 3 2 2 3 5" xfId="9446" xr:uid="{00000000-0005-0000-0000-0000C8240000}"/>
    <cellStyle name="표준 23 3 2 2 3 5 2" xfId="9447" xr:uid="{00000000-0005-0000-0000-0000C9240000}"/>
    <cellStyle name="표준 23 3 2 2 3 5 2 2" xfId="9448" xr:uid="{00000000-0005-0000-0000-0000CA240000}"/>
    <cellStyle name="표준 23 3 2 2 3 5 2 2 2" xfId="9449" xr:uid="{00000000-0005-0000-0000-0000CB240000}"/>
    <cellStyle name="표준 23 3 2 2 3 5 2 3" xfId="9450" xr:uid="{00000000-0005-0000-0000-0000CC240000}"/>
    <cellStyle name="표준 23 3 2 2 3 5 3" xfId="9451" xr:uid="{00000000-0005-0000-0000-0000CD240000}"/>
    <cellStyle name="표준 23 3 2 2 3 5 3 2" xfId="9452" xr:uid="{00000000-0005-0000-0000-0000CE240000}"/>
    <cellStyle name="표준 23 3 2 2 3 5 4" xfId="9453" xr:uid="{00000000-0005-0000-0000-0000CF240000}"/>
    <cellStyle name="표준 23 3 2 2 3 6" xfId="9454" xr:uid="{00000000-0005-0000-0000-0000D0240000}"/>
    <cellStyle name="표준 23 3 2 2 3 6 2" xfId="9455" xr:uid="{00000000-0005-0000-0000-0000D1240000}"/>
    <cellStyle name="표준 23 3 2 2 3 6 2 2" xfId="9456" xr:uid="{00000000-0005-0000-0000-0000D2240000}"/>
    <cellStyle name="표준 23 3 2 2 3 6 3" xfId="9457" xr:uid="{00000000-0005-0000-0000-0000D3240000}"/>
    <cellStyle name="표준 23 3 2 2 3 7" xfId="9458" xr:uid="{00000000-0005-0000-0000-0000D4240000}"/>
    <cellStyle name="표준 23 3 2 2 3 7 2" xfId="9459" xr:uid="{00000000-0005-0000-0000-0000D5240000}"/>
    <cellStyle name="표준 23 3 2 2 3 8" xfId="9460" xr:uid="{00000000-0005-0000-0000-0000D6240000}"/>
    <cellStyle name="표준 23 3 2 2 3 9" xfId="9461" xr:uid="{00000000-0005-0000-0000-0000D7240000}"/>
    <cellStyle name="표준 23 3 2 2 4" xfId="9462" xr:uid="{00000000-0005-0000-0000-0000D8240000}"/>
    <cellStyle name="표준 23 3 2 2 4 2" xfId="9463" xr:uid="{00000000-0005-0000-0000-0000D9240000}"/>
    <cellStyle name="표준 23 3 2 2 4 2 2" xfId="9464" xr:uid="{00000000-0005-0000-0000-0000DA240000}"/>
    <cellStyle name="표준 23 3 2 2 4 2 2 2" xfId="9465" xr:uid="{00000000-0005-0000-0000-0000DB240000}"/>
    <cellStyle name="표준 23 3 2 2 4 2 2 2 2" xfId="9466" xr:uid="{00000000-0005-0000-0000-0000DC240000}"/>
    <cellStyle name="표준 23 3 2 2 4 2 2 2 2 2" xfId="9467" xr:uid="{00000000-0005-0000-0000-0000DD240000}"/>
    <cellStyle name="표준 23 3 2 2 4 2 2 2 2 2 2" xfId="9468" xr:uid="{00000000-0005-0000-0000-0000DE240000}"/>
    <cellStyle name="표준 23 3 2 2 4 2 2 2 2 3" xfId="9469" xr:uid="{00000000-0005-0000-0000-0000DF240000}"/>
    <cellStyle name="표준 23 3 2 2 4 2 2 2 3" xfId="9470" xr:uid="{00000000-0005-0000-0000-0000E0240000}"/>
    <cellStyle name="표준 23 3 2 2 4 2 2 2 3 2" xfId="9471" xr:uid="{00000000-0005-0000-0000-0000E1240000}"/>
    <cellStyle name="표준 23 3 2 2 4 2 2 2 4" xfId="9472" xr:uid="{00000000-0005-0000-0000-0000E2240000}"/>
    <cellStyle name="표준 23 3 2 2 4 2 2 3" xfId="9473" xr:uid="{00000000-0005-0000-0000-0000E3240000}"/>
    <cellStyle name="표준 23 3 2 2 4 2 2 3 2" xfId="9474" xr:uid="{00000000-0005-0000-0000-0000E4240000}"/>
    <cellStyle name="표준 23 3 2 2 4 2 2 3 2 2" xfId="9475" xr:uid="{00000000-0005-0000-0000-0000E5240000}"/>
    <cellStyle name="표준 23 3 2 2 4 2 2 3 3" xfId="9476" xr:uid="{00000000-0005-0000-0000-0000E6240000}"/>
    <cellStyle name="표준 23 3 2 2 4 2 2 4" xfId="9477" xr:uid="{00000000-0005-0000-0000-0000E7240000}"/>
    <cellStyle name="표준 23 3 2 2 4 2 2 4 2" xfId="9478" xr:uid="{00000000-0005-0000-0000-0000E8240000}"/>
    <cellStyle name="표준 23 3 2 2 4 2 2 5" xfId="9479" xr:uid="{00000000-0005-0000-0000-0000E9240000}"/>
    <cellStyle name="표준 23 3 2 2 4 2 3" xfId="9480" xr:uid="{00000000-0005-0000-0000-0000EA240000}"/>
    <cellStyle name="표준 23 3 2 2 4 2 3 2" xfId="9481" xr:uid="{00000000-0005-0000-0000-0000EB240000}"/>
    <cellStyle name="표준 23 3 2 2 4 2 3 2 2" xfId="9482" xr:uid="{00000000-0005-0000-0000-0000EC240000}"/>
    <cellStyle name="표준 23 3 2 2 4 2 3 2 2 2" xfId="9483" xr:uid="{00000000-0005-0000-0000-0000ED240000}"/>
    <cellStyle name="표준 23 3 2 2 4 2 3 2 3" xfId="9484" xr:uid="{00000000-0005-0000-0000-0000EE240000}"/>
    <cellStyle name="표준 23 3 2 2 4 2 3 3" xfId="9485" xr:uid="{00000000-0005-0000-0000-0000EF240000}"/>
    <cellStyle name="표준 23 3 2 2 4 2 3 3 2" xfId="9486" xr:uid="{00000000-0005-0000-0000-0000F0240000}"/>
    <cellStyle name="표준 23 3 2 2 4 2 3 4" xfId="9487" xr:uid="{00000000-0005-0000-0000-0000F1240000}"/>
    <cellStyle name="표준 23 3 2 2 4 2 4" xfId="9488" xr:uid="{00000000-0005-0000-0000-0000F2240000}"/>
    <cellStyle name="표준 23 3 2 2 4 2 4 2" xfId="9489" xr:uid="{00000000-0005-0000-0000-0000F3240000}"/>
    <cellStyle name="표준 23 3 2 2 4 2 4 2 2" xfId="9490" xr:uid="{00000000-0005-0000-0000-0000F4240000}"/>
    <cellStyle name="표준 23 3 2 2 4 2 4 3" xfId="9491" xr:uid="{00000000-0005-0000-0000-0000F5240000}"/>
    <cellStyle name="표준 23 3 2 2 4 2 5" xfId="9492" xr:uid="{00000000-0005-0000-0000-0000F6240000}"/>
    <cellStyle name="표준 23 3 2 2 4 2 5 2" xfId="9493" xr:uid="{00000000-0005-0000-0000-0000F7240000}"/>
    <cellStyle name="표준 23 3 2 2 4 2 6" xfId="9494" xr:uid="{00000000-0005-0000-0000-0000F8240000}"/>
    <cellStyle name="표준 23 3 2 2 4 3" xfId="9495" xr:uid="{00000000-0005-0000-0000-0000F9240000}"/>
    <cellStyle name="표준 23 3 2 2 4 3 2" xfId="9496" xr:uid="{00000000-0005-0000-0000-0000FA240000}"/>
    <cellStyle name="표준 23 3 2 2 4 3 2 2" xfId="9497" xr:uid="{00000000-0005-0000-0000-0000FB240000}"/>
    <cellStyle name="표준 23 3 2 2 4 3 2 2 2" xfId="9498" xr:uid="{00000000-0005-0000-0000-0000FC240000}"/>
    <cellStyle name="표준 23 3 2 2 4 3 2 2 2 2" xfId="9499" xr:uid="{00000000-0005-0000-0000-0000FD240000}"/>
    <cellStyle name="표준 23 3 2 2 4 3 2 2 3" xfId="9500" xr:uid="{00000000-0005-0000-0000-0000FE240000}"/>
    <cellStyle name="표준 23 3 2 2 4 3 2 3" xfId="9501" xr:uid="{00000000-0005-0000-0000-0000FF240000}"/>
    <cellStyle name="표준 23 3 2 2 4 3 2 3 2" xfId="9502" xr:uid="{00000000-0005-0000-0000-000000250000}"/>
    <cellStyle name="표준 23 3 2 2 4 3 2 4" xfId="9503" xr:uid="{00000000-0005-0000-0000-000001250000}"/>
    <cellStyle name="표준 23 3 2 2 4 3 3" xfId="9504" xr:uid="{00000000-0005-0000-0000-000002250000}"/>
    <cellStyle name="표준 23 3 2 2 4 3 3 2" xfId="9505" xr:uid="{00000000-0005-0000-0000-000003250000}"/>
    <cellStyle name="표준 23 3 2 2 4 3 3 2 2" xfId="9506" xr:uid="{00000000-0005-0000-0000-000004250000}"/>
    <cellStyle name="표준 23 3 2 2 4 3 3 3" xfId="9507" xr:uid="{00000000-0005-0000-0000-000005250000}"/>
    <cellStyle name="표준 23 3 2 2 4 3 4" xfId="9508" xr:uid="{00000000-0005-0000-0000-000006250000}"/>
    <cellStyle name="표준 23 3 2 2 4 3 4 2" xfId="9509" xr:uid="{00000000-0005-0000-0000-000007250000}"/>
    <cellStyle name="표준 23 3 2 2 4 3 5" xfId="9510" xr:uid="{00000000-0005-0000-0000-000008250000}"/>
    <cellStyle name="표준 23 3 2 2 4 4" xfId="9511" xr:uid="{00000000-0005-0000-0000-000009250000}"/>
    <cellStyle name="표준 23 3 2 2 4 4 2" xfId="9512" xr:uid="{00000000-0005-0000-0000-00000A250000}"/>
    <cellStyle name="표준 23 3 2 2 4 4 2 2" xfId="9513" xr:uid="{00000000-0005-0000-0000-00000B250000}"/>
    <cellStyle name="표준 23 3 2 2 4 4 2 2 2" xfId="9514" xr:uid="{00000000-0005-0000-0000-00000C250000}"/>
    <cellStyle name="표준 23 3 2 2 4 4 2 3" xfId="9515" xr:uid="{00000000-0005-0000-0000-00000D250000}"/>
    <cellStyle name="표준 23 3 2 2 4 4 3" xfId="9516" xr:uid="{00000000-0005-0000-0000-00000E250000}"/>
    <cellStyle name="표준 23 3 2 2 4 4 3 2" xfId="9517" xr:uid="{00000000-0005-0000-0000-00000F250000}"/>
    <cellStyle name="표준 23 3 2 2 4 4 4" xfId="9518" xr:uid="{00000000-0005-0000-0000-000010250000}"/>
    <cellStyle name="표준 23 3 2 2 4 5" xfId="9519" xr:uid="{00000000-0005-0000-0000-000011250000}"/>
    <cellStyle name="표준 23 3 2 2 4 5 2" xfId="9520" xr:uid="{00000000-0005-0000-0000-000012250000}"/>
    <cellStyle name="표준 23 3 2 2 4 5 2 2" xfId="9521" xr:uid="{00000000-0005-0000-0000-000013250000}"/>
    <cellStyle name="표준 23 3 2 2 4 5 3" xfId="9522" xr:uid="{00000000-0005-0000-0000-000014250000}"/>
    <cellStyle name="표준 23 3 2 2 4 6" xfId="9523" xr:uid="{00000000-0005-0000-0000-000015250000}"/>
    <cellStyle name="표준 23 3 2 2 4 6 2" xfId="9524" xr:uid="{00000000-0005-0000-0000-000016250000}"/>
    <cellStyle name="표준 23 3 2 2 4 7" xfId="9525" xr:uid="{00000000-0005-0000-0000-000017250000}"/>
    <cellStyle name="표준 23 3 2 2 4 8" xfId="9526" xr:uid="{00000000-0005-0000-0000-000018250000}"/>
    <cellStyle name="표준 23 3 2 2 5" xfId="9527" xr:uid="{00000000-0005-0000-0000-000019250000}"/>
    <cellStyle name="표준 23 3 2 2 5 2" xfId="9528" xr:uid="{00000000-0005-0000-0000-00001A250000}"/>
    <cellStyle name="표준 23 3 2 2 5 2 2" xfId="9529" xr:uid="{00000000-0005-0000-0000-00001B250000}"/>
    <cellStyle name="표준 23 3 2 2 5 2 2 2" xfId="9530" xr:uid="{00000000-0005-0000-0000-00001C250000}"/>
    <cellStyle name="표준 23 3 2 2 5 2 2 2 2" xfId="9531" xr:uid="{00000000-0005-0000-0000-00001D250000}"/>
    <cellStyle name="표준 23 3 2 2 5 2 2 2 2 2" xfId="9532" xr:uid="{00000000-0005-0000-0000-00001E250000}"/>
    <cellStyle name="표준 23 3 2 2 5 2 2 2 3" xfId="9533" xr:uid="{00000000-0005-0000-0000-00001F250000}"/>
    <cellStyle name="표준 23 3 2 2 5 2 2 3" xfId="9534" xr:uid="{00000000-0005-0000-0000-000020250000}"/>
    <cellStyle name="표준 23 3 2 2 5 2 2 3 2" xfId="9535" xr:uid="{00000000-0005-0000-0000-000021250000}"/>
    <cellStyle name="표준 23 3 2 2 5 2 2 4" xfId="9536" xr:uid="{00000000-0005-0000-0000-000022250000}"/>
    <cellStyle name="표준 23 3 2 2 5 2 3" xfId="9537" xr:uid="{00000000-0005-0000-0000-000023250000}"/>
    <cellStyle name="표준 23 3 2 2 5 2 3 2" xfId="9538" xr:uid="{00000000-0005-0000-0000-000024250000}"/>
    <cellStyle name="표준 23 3 2 2 5 2 3 2 2" xfId="9539" xr:uid="{00000000-0005-0000-0000-000025250000}"/>
    <cellStyle name="표준 23 3 2 2 5 2 3 3" xfId="9540" xr:uid="{00000000-0005-0000-0000-000026250000}"/>
    <cellStyle name="표준 23 3 2 2 5 2 4" xfId="9541" xr:uid="{00000000-0005-0000-0000-000027250000}"/>
    <cellStyle name="표준 23 3 2 2 5 2 4 2" xfId="9542" xr:uid="{00000000-0005-0000-0000-000028250000}"/>
    <cellStyle name="표준 23 3 2 2 5 2 5" xfId="9543" xr:uid="{00000000-0005-0000-0000-000029250000}"/>
    <cellStyle name="표준 23 3 2 2 5 3" xfId="9544" xr:uid="{00000000-0005-0000-0000-00002A250000}"/>
    <cellStyle name="표준 23 3 2 2 5 3 2" xfId="9545" xr:uid="{00000000-0005-0000-0000-00002B250000}"/>
    <cellStyle name="표준 23 3 2 2 5 3 2 2" xfId="9546" xr:uid="{00000000-0005-0000-0000-00002C250000}"/>
    <cellStyle name="표준 23 3 2 2 5 3 2 2 2" xfId="9547" xr:uid="{00000000-0005-0000-0000-00002D250000}"/>
    <cellStyle name="표준 23 3 2 2 5 3 2 3" xfId="9548" xr:uid="{00000000-0005-0000-0000-00002E250000}"/>
    <cellStyle name="표준 23 3 2 2 5 3 3" xfId="9549" xr:uid="{00000000-0005-0000-0000-00002F250000}"/>
    <cellStyle name="표준 23 3 2 2 5 3 3 2" xfId="9550" xr:uid="{00000000-0005-0000-0000-000030250000}"/>
    <cellStyle name="표준 23 3 2 2 5 3 4" xfId="9551" xr:uid="{00000000-0005-0000-0000-000031250000}"/>
    <cellStyle name="표준 23 3 2 2 5 4" xfId="9552" xr:uid="{00000000-0005-0000-0000-000032250000}"/>
    <cellStyle name="표준 23 3 2 2 5 4 2" xfId="9553" xr:uid="{00000000-0005-0000-0000-000033250000}"/>
    <cellStyle name="표준 23 3 2 2 5 4 2 2" xfId="9554" xr:uid="{00000000-0005-0000-0000-000034250000}"/>
    <cellStyle name="표준 23 3 2 2 5 4 3" xfId="9555" xr:uid="{00000000-0005-0000-0000-000035250000}"/>
    <cellStyle name="표준 23 3 2 2 5 5" xfId="9556" xr:uid="{00000000-0005-0000-0000-000036250000}"/>
    <cellStyle name="표준 23 3 2 2 5 5 2" xfId="9557" xr:uid="{00000000-0005-0000-0000-000037250000}"/>
    <cellStyle name="표준 23 3 2 2 5 6" xfId="9558" xr:uid="{00000000-0005-0000-0000-000038250000}"/>
    <cellStyle name="표준 23 3 2 2 6" xfId="9559" xr:uid="{00000000-0005-0000-0000-000039250000}"/>
    <cellStyle name="표준 23 3 2 2 6 2" xfId="9560" xr:uid="{00000000-0005-0000-0000-00003A250000}"/>
    <cellStyle name="표준 23 3 2 2 6 2 2" xfId="9561" xr:uid="{00000000-0005-0000-0000-00003B250000}"/>
    <cellStyle name="표준 23 3 2 2 6 2 2 2" xfId="9562" xr:uid="{00000000-0005-0000-0000-00003C250000}"/>
    <cellStyle name="표준 23 3 2 2 6 2 2 2 2" xfId="9563" xr:uid="{00000000-0005-0000-0000-00003D250000}"/>
    <cellStyle name="표준 23 3 2 2 6 2 2 3" xfId="9564" xr:uid="{00000000-0005-0000-0000-00003E250000}"/>
    <cellStyle name="표준 23 3 2 2 6 2 3" xfId="9565" xr:uid="{00000000-0005-0000-0000-00003F250000}"/>
    <cellStyle name="표준 23 3 2 2 6 2 3 2" xfId="9566" xr:uid="{00000000-0005-0000-0000-000040250000}"/>
    <cellStyle name="표준 23 3 2 2 6 2 4" xfId="9567" xr:uid="{00000000-0005-0000-0000-000041250000}"/>
    <cellStyle name="표준 23 3 2 2 6 3" xfId="9568" xr:uid="{00000000-0005-0000-0000-000042250000}"/>
    <cellStyle name="표준 23 3 2 2 6 3 2" xfId="9569" xr:uid="{00000000-0005-0000-0000-000043250000}"/>
    <cellStyle name="표준 23 3 2 2 6 3 2 2" xfId="9570" xr:uid="{00000000-0005-0000-0000-000044250000}"/>
    <cellStyle name="표준 23 3 2 2 6 3 3" xfId="9571" xr:uid="{00000000-0005-0000-0000-000045250000}"/>
    <cellStyle name="표준 23 3 2 2 6 4" xfId="9572" xr:uid="{00000000-0005-0000-0000-000046250000}"/>
    <cellStyle name="표준 23 3 2 2 6 4 2" xfId="9573" xr:uid="{00000000-0005-0000-0000-000047250000}"/>
    <cellStyle name="표준 23 3 2 2 6 5" xfId="9574" xr:uid="{00000000-0005-0000-0000-000048250000}"/>
    <cellStyle name="표준 23 3 2 2 7" xfId="9575" xr:uid="{00000000-0005-0000-0000-000049250000}"/>
    <cellStyle name="표준 23 3 2 2 7 2" xfId="9576" xr:uid="{00000000-0005-0000-0000-00004A250000}"/>
    <cellStyle name="표준 23 3 2 2 7 2 2" xfId="9577" xr:uid="{00000000-0005-0000-0000-00004B250000}"/>
    <cellStyle name="표준 23 3 2 2 7 2 2 2" xfId="9578" xr:uid="{00000000-0005-0000-0000-00004C250000}"/>
    <cellStyle name="표준 23 3 2 2 7 2 3" xfId="9579" xr:uid="{00000000-0005-0000-0000-00004D250000}"/>
    <cellStyle name="표준 23 3 2 2 7 3" xfId="9580" xr:uid="{00000000-0005-0000-0000-00004E250000}"/>
    <cellStyle name="표준 23 3 2 2 7 3 2" xfId="9581" xr:uid="{00000000-0005-0000-0000-00004F250000}"/>
    <cellStyle name="표준 23 3 2 2 7 4" xfId="9582" xr:uid="{00000000-0005-0000-0000-000050250000}"/>
    <cellStyle name="표준 23 3 2 2 8" xfId="9583" xr:uid="{00000000-0005-0000-0000-000051250000}"/>
    <cellStyle name="표준 23 3 2 2 8 2" xfId="9584" xr:uid="{00000000-0005-0000-0000-000052250000}"/>
    <cellStyle name="표준 23 3 2 2 8 2 2" xfId="9585" xr:uid="{00000000-0005-0000-0000-000053250000}"/>
    <cellStyle name="표준 23 3 2 2 8 3" xfId="9586" xr:uid="{00000000-0005-0000-0000-000054250000}"/>
    <cellStyle name="표준 23 3 2 2 9" xfId="9587" xr:uid="{00000000-0005-0000-0000-000055250000}"/>
    <cellStyle name="표준 23 3 2 2 9 2" xfId="9588" xr:uid="{00000000-0005-0000-0000-000056250000}"/>
    <cellStyle name="표준 23 3 2 3" xfId="9589" xr:uid="{00000000-0005-0000-0000-000057250000}"/>
    <cellStyle name="표준 23 3 2 3 10" xfId="9590" xr:uid="{00000000-0005-0000-0000-000058250000}"/>
    <cellStyle name="표준 23 3 2 3 2" xfId="9591" xr:uid="{00000000-0005-0000-0000-000059250000}"/>
    <cellStyle name="표준 23 3 2 3 2 2" xfId="9592" xr:uid="{00000000-0005-0000-0000-00005A250000}"/>
    <cellStyle name="표준 23 3 2 3 2 2 2" xfId="9593" xr:uid="{00000000-0005-0000-0000-00005B250000}"/>
    <cellStyle name="표준 23 3 2 3 2 2 2 2" xfId="9594" xr:uid="{00000000-0005-0000-0000-00005C250000}"/>
    <cellStyle name="표준 23 3 2 3 2 2 2 2 2" xfId="9595" xr:uid="{00000000-0005-0000-0000-00005D250000}"/>
    <cellStyle name="표준 23 3 2 3 2 2 2 2 2 2" xfId="9596" xr:uid="{00000000-0005-0000-0000-00005E250000}"/>
    <cellStyle name="표준 23 3 2 3 2 2 2 2 2 2 2" xfId="9597" xr:uid="{00000000-0005-0000-0000-00005F250000}"/>
    <cellStyle name="표준 23 3 2 3 2 2 2 2 2 2 2 2" xfId="9598" xr:uid="{00000000-0005-0000-0000-000060250000}"/>
    <cellStyle name="표준 23 3 2 3 2 2 2 2 2 2 3" xfId="9599" xr:uid="{00000000-0005-0000-0000-000061250000}"/>
    <cellStyle name="표준 23 3 2 3 2 2 2 2 2 3" xfId="9600" xr:uid="{00000000-0005-0000-0000-000062250000}"/>
    <cellStyle name="표준 23 3 2 3 2 2 2 2 2 3 2" xfId="9601" xr:uid="{00000000-0005-0000-0000-000063250000}"/>
    <cellStyle name="표준 23 3 2 3 2 2 2 2 2 4" xfId="9602" xr:uid="{00000000-0005-0000-0000-000064250000}"/>
    <cellStyle name="표준 23 3 2 3 2 2 2 2 3" xfId="9603" xr:uid="{00000000-0005-0000-0000-000065250000}"/>
    <cellStyle name="표준 23 3 2 3 2 2 2 2 3 2" xfId="9604" xr:uid="{00000000-0005-0000-0000-000066250000}"/>
    <cellStyle name="표준 23 3 2 3 2 2 2 2 3 2 2" xfId="9605" xr:uid="{00000000-0005-0000-0000-000067250000}"/>
    <cellStyle name="표준 23 3 2 3 2 2 2 2 3 3" xfId="9606" xr:uid="{00000000-0005-0000-0000-000068250000}"/>
    <cellStyle name="표준 23 3 2 3 2 2 2 2 4" xfId="9607" xr:uid="{00000000-0005-0000-0000-000069250000}"/>
    <cellStyle name="표준 23 3 2 3 2 2 2 2 4 2" xfId="9608" xr:uid="{00000000-0005-0000-0000-00006A250000}"/>
    <cellStyle name="표준 23 3 2 3 2 2 2 2 5" xfId="9609" xr:uid="{00000000-0005-0000-0000-00006B250000}"/>
    <cellStyle name="표준 23 3 2 3 2 2 2 3" xfId="9610" xr:uid="{00000000-0005-0000-0000-00006C250000}"/>
    <cellStyle name="표준 23 3 2 3 2 2 2 3 2" xfId="9611" xr:uid="{00000000-0005-0000-0000-00006D250000}"/>
    <cellStyle name="표준 23 3 2 3 2 2 2 3 2 2" xfId="9612" xr:uid="{00000000-0005-0000-0000-00006E250000}"/>
    <cellStyle name="표준 23 3 2 3 2 2 2 3 2 2 2" xfId="9613" xr:uid="{00000000-0005-0000-0000-00006F250000}"/>
    <cellStyle name="표준 23 3 2 3 2 2 2 3 2 3" xfId="9614" xr:uid="{00000000-0005-0000-0000-000070250000}"/>
    <cellStyle name="표준 23 3 2 3 2 2 2 3 3" xfId="9615" xr:uid="{00000000-0005-0000-0000-000071250000}"/>
    <cellStyle name="표준 23 3 2 3 2 2 2 3 3 2" xfId="9616" xr:uid="{00000000-0005-0000-0000-000072250000}"/>
    <cellStyle name="표준 23 3 2 3 2 2 2 3 4" xfId="9617" xr:uid="{00000000-0005-0000-0000-000073250000}"/>
    <cellStyle name="표준 23 3 2 3 2 2 2 4" xfId="9618" xr:uid="{00000000-0005-0000-0000-000074250000}"/>
    <cellStyle name="표준 23 3 2 3 2 2 2 4 2" xfId="9619" xr:uid="{00000000-0005-0000-0000-000075250000}"/>
    <cellStyle name="표준 23 3 2 3 2 2 2 4 2 2" xfId="9620" xr:uid="{00000000-0005-0000-0000-000076250000}"/>
    <cellStyle name="표준 23 3 2 3 2 2 2 4 3" xfId="9621" xr:uid="{00000000-0005-0000-0000-000077250000}"/>
    <cellStyle name="표준 23 3 2 3 2 2 2 5" xfId="9622" xr:uid="{00000000-0005-0000-0000-000078250000}"/>
    <cellStyle name="표준 23 3 2 3 2 2 2 5 2" xfId="9623" xr:uid="{00000000-0005-0000-0000-000079250000}"/>
    <cellStyle name="표준 23 3 2 3 2 2 2 6" xfId="9624" xr:uid="{00000000-0005-0000-0000-00007A250000}"/>
    <cellStyle name="표준 23 3 2 3 2 2 3" xfId="9625" xr:uid="{00000000-0005-0000-0000-00007B250000}"/>
    <cellStyle name="표준 23 3 2 3 2 2 3 2" xfId="9626" xr:uid="{00000000-0005-0000-0000-00007C250000}"/>
    <cellStyle name="표준 23 3 2 3 2 2 3 2 2" xfId="9627" xr:uid="{00000000-0005-0000-0000-00007D250000}"/>
    <cellStyle name="표준 23 3 2 3 2 2 3 2 2 2" xfId="9628" xr:uid="{00000000-0005-0000-0000-00007E250000}"/>
    <cellStyle name="표준 23 3 2 3 2 2 3 2 2 2 2" xfId="9629" xr:uid="{00000000-0005-0000-0000-00007F250000}"/>
    <cellStyle name="표준 23 3 2 3 2 2 3 2 2 3" xfId="9630" xr:uid="{00000000-0005-0000-0000-000080250000}"/>
    <cellStyle name="표준 23 3 2 3 2 2 3 2 3" xfId="9631" xr:uid="{00000000-0005-0000-0000-000081250000}"/>
    <cellStyle name="표준 23 3 2 3 2 2 3 2 3 2" xfId="9632" xr:uid="{00000000-0005-0000-0000-000082250000}"/>
    <cellStyle name="표준 23 3 2 3 2 2 3 2 4" xfId="9633" xr:uid="{00000000-0005-0000-0000-000083250000}"/>
    <cellStyle name="표준 23 3 2 3 2 2 3 3" xfId="9634" xr:uid="{00000000-0005-0000-0000-000084250000}"/>
    <cellStyle name="표준 23 3 2 3 2 2 3 3 2" xfId="9635" xr:uid="{00000000-0005-0000-0000-000085250000}"/>
    <cellStyle name="표준 23 3 2 3 2 2 3 3 2 2" xfId="9636" xr:uid="{00000000-0005-0000-0000-000086250000}"/>
    <cellStyle name="표준 23 3 2 3 2 2 3 3 3" xfId="9637" xr:uid="{00000000-0005-0000-0000-000087250000}"/>
    <cellStyle name="표준 23 3 2 3 2 2 3 4" xfId="9638" xr:uid="{00000000-0005-0000-0000-000088250000}"/>
    <cellStyle name="표준 23 3 2 3 2 2 3 4 2" xfId="9639" xr:uid="{00000000-0005-0000-0000-000089250000}"/>
    <cellStyle name="표준 23 3 2 3 2 2 3 5" xfId="9640" xr:uid="{00000000-0005-0000-0000-00008A250000}"/>
    <cellStyle name="표준 23 3 2 3 2 2 4" xfId="9641" xr:uid="{00000000-0005-0000-0000-00008B250000}"/>
    <cellStyle name="표준 23 3 2 3 2 2 4 2" xfId="9642" xr:uid="{00000000-0005-0000-0000-00008C250000}"/>
    <cellStyle name="표준 23 3 2 3 2 2 4 2 2" xfId="9643" xr:uid="{00000000-0005-0000-0000-00008D250000}"/>
    <cellStyle name="표준 23 3 2 3 2 2 4 2 2 2" xfId="9644" xr:uid="{00000000-0005-0000-0000-00008E250000}"/>
    <cellStyle name="표준 23 3 2 3 2 2 4 2 3" xfId="9645" xr:uid="{00000000-0005-0000-0000-00008F250000}"/>
    <cellStyle name="표준 23 3 2 3 2 2 4 3" xfId="9646" xr:uid="{00000000-0005-0000-0000-000090250000}"/>
    <cellStyle name="표준 23 3 2 3 2 2 4 3 2" xfId="9647" xr:uid="{00000000-0005-0000-0000-000091250000}"/>
    <cellStyle name="표준 23 3 2 3 2 2 4 4" xfId="9648" xr:uid="{00000000-0005-0000-0000-000092250000}"/>
    <cellStyle name="표준 23 3 2 3 2 2 5" xfId="9649" xr:uid="{00000000-0005-0000-0000-000093250000}"/>
    <cellStyle name="표준 23 3 2 3 2 2 5 2" xfId="9650" xr:uid="{00000000-0005-0000-0000-000094250000}"/>
    <cellStyle name="표준 23 3 2 3 2 2 5 2 2" xfId="9651" xr:uid="{00000000-0005-0000-0000-000095250000}"/>
    <cellStyle name="표준 23 3 2 3 2 2 5 3" xfId="9652" xr:uid="{00000000-0005-0000-0000-000096250000}"/>
    <cellStyle name="표준 23 3 2 3 2 2 6" xfId="9653" xr:uid="{00000000-0005-0000-0000-000097250000}"/>
    <cellStyle name="표준 23 3 2 3 2 2 6 2" xfId="9654" xr:uid="{00000000-0005-0000-0000-000098250000}"/>
    <cellStyle name="표준 23 3 2 3 2 2 7" xfId="9655" xr:uid="{00000000-0005-0000-0000-000099250000}"/>
    <cellStyle name="표준 23 3 2 3 2 2 8" xfId="9656" xr:uid="{00000000-0005-0000-0000-00009A250000}"/>
    <cellStyle name="표준 23 3 2 3 2 3" xfId="9657" xr:uid="{00000000-0005-0000-0000-00009B250000}"/>
    <cellStyle name="표준 23 3 2 3 2 3 2" xfId="9658" xr:uid="{00000000-0005-0000-0000-00009C250000}"/>
    <cellStyle name="표준 23 3 2 3 2 3 2 2" xfId="9659" xr:uid="{00000000-0005-0000-0000-00009D250000}"/>
    <cellStyle name="표준 23 3 2 3 2 3 2 2 2" xfId="9660" xr:uid="{00000000-0005-0000-0000-00009E250000}"/>
    <cellStyle name="표준 23 3 2 3 2 3 2 2 2 2" xfId="9661" xr:uid="{00000000-0005-0000-0000-00009F250000}"/>
    <cellStyle name="표준 23 3 2 3 2 3 2 2 2 2 2" xfId="9662" xr:uid="{00000000-0005-0000-0000-0000A0250000}"/>
    <cellStyle name="표준 23 3 2 3 2 3 2 2 2 3" xfId="9663" xr:uid="{00000000-0005-0000-0000-0000A1250000}"/>
    <cellStyle name="표준 23 3 2 3 2 3 2 2 3" xfId="9664" xr:uid="{00000000-0005-0000-0000-0000A2250000}"/>
    <cellStyle name="표준 23 3 2 3 2 3 2 2 3 2" xfId="9665" xr:uid="{00000000-0005-0000-0000-0000A3250000}"/>
    <cellStyle name="표준 23 3 2 3 2 3 2 2 4" xfId="9666" xr:uid="{00000000-0005-0000-0000-0000A4250000}"/>
    <cellStyle name="표준 23 3 2 3 2 3 2 3" xfId="9667" xr:uid="{00000000-0005-0000-0000-0000A5250000}"/>
    <cellStyle name="표준 23 3 2 3 2 3 2 3 2" xfId="9668" xr:uid="{00000000-0005-0000-0000-0000A6250000}"/>
    <cellStyle name="표준 23 3 2 3 2 3 2 3 2 2" xfId="9669" xr:uid="{00000000-0005-0000-0000-0000A7250000}"/>
    <cellStyle name="표준 23 3 2 3 2 3 2 3 3" xfId="9670" xr:uid="{00000000-0005-0000-0000-0000A8250000}"/>
    <cellStyle name="표준 23 3 2 3 2 3 2 4" xfId="9671" xr:uid="{00000000-0005-0000-0000-0000A9250000}"/>
    <cellStyle name="표준 23 3 2 3 2 3 2 4 2" xfId="9672" xr:uid="{00000000-0005-0000-0000-0000AA250000}"/>
    <cellStyle name="표준 23 3 2 3 2 3 2 5" xfId="9673" xr:uid="{00000000-0005-0000-0000-0000AB250000}"/>
    <cellStyle name="표준 23 3 2 3 2 3 3" xfId="9674" xr:uid="{00000000-0005-0000-0000-0000AC250000}"/>
    <cellStyle name="표준 23 3 2 3 2 3 3 2" xfId="9675" xr:uid="{00000000-0005-0000-0000-0000AD250000}"/>
    <cellStyle name="표준 23 3 2 3 2 3 3 2 2" xfId="9676" xr:uid="{00000000-0005-0000-0000-0000AE250000}"/>
    <cellStyle name="표준 23 3 2 3 2 3 3 2 2 2" xfId="9677" xr:uid="{00000000-0005-0000-0000-0000AF250000}"/>
    <cellStyle name="표준 23 3 2 3 2 3 3 2 3" xfId="9678" xr:uid="{00000000-0005-0000-0000-0000B0250000}"/>
    <cellStyle name="표준 23 3 2 3 2 3 3 3" xfId="9679" xr:uid="{00000000-0005-0000-0000-0000B1250000}"/>
    <cellStyle name="표준 23 3 2 3 2 3 3 3 2" xfId="9680" xr:uid="{00000000-0005-0000-0000-0000B2250000}"/>
    <cellStyle name="표준 23 3 2 3 2 3 3 4" xfId="9681" xr:uid="{00000000-0005-0000-0000-0000B3250000}"/>
    <cellStyle name="표준 23 3 2 3 2 3 4" xfId="9682" xr:uid="{00000000-0005-0000-0000-0000B4250000}"/>
    <cellStyle name="표준 23 3 2 3 2 3 4 2" xfId="9683" xr:uid="{00000000-0005-0000-0000-0000B5250000}"/>
    <cellStyle name="표준 23 3 2 3 2 3 4 2 2" xfId="9684" xr:uid="{00000000-0005-0000-0000-0000B6250000}"/>
    <cellStyle name="표준 23 3 2 3 2 3 4 3" xfId="9685" xr:uid="{00000000-0005-0000-0000-0000B7250000}"/>
    <cellStyle name="표준 23 3 2 3 2 3 5" xfId="9686" xr:uid="{00000000-0005-0000-0000-0000B8250000}"/>
    <cellStyle name="표준 23 3 2 3 2 3 5 2" xfId="9687" xr:uid="{00000000-0005-0000-0000-0000B9250000}"/>
    <cellStyle name="표준 23 3 2 3 2 3 6" xfId="9688" xr:uid="{00000000-0005-0000-0000-0000BA250000}"/>
    <cellStyle name="표준 23 3 2 3 2 4" xfId="9689" xr:uid="{00000000-0005-0000-0000-0000BB250000}"/>
    <cellStyle name="표준 23 3 2 3 2 4 2" xfId="9690" xr:uid="{00000000-0005-0000-0000-0000BC250000}"/>
    <cellStyle name="표준 23 3 2 3 2 4 2 2" xfId="9691" xr:uid="{00000000-0005-0000-0000-0000BD250000}"/>
    <cellStyle name="표준 23 3 2 3 2 4 2 2 2" xfId="9692" xr:uid="{00000000-0005-0000-0000-0000BE250000}"/>
    <cellStyle name="표준 23 3 2 3 2 4 2 2 2 2" xfId="9693" xr:uid="{00000000-0005-0000-0000-0000BF250000}"/>
    <cellStyle name="표준 23 3 2 3 2 4 2 2 3" xfId="9694" xr:uid="{00000000-0005-0000-0000-0000C0250000}"/>
    <cellStyle name="표준 23 3 2 3 2 4 2 3" xfId="9695" xr:uid="{00000000-0005-0000-0000-0000C1250000}"/>
    <cellStyle name="표준 23 3 2 3 2 4 2 3 2" xfId="9696" xr:uid="{00000000-0005-0000-0000-0000C2250000}"/>
    <cellStyle name="표준 23 3 2 3 2 4 2 4" xfId="9697" xr:uid="{00000000-0005-0000-0000-0000C3250000}"/>
    <cellStyle name="표준 23 3 2 3 2 4 3" xfId="9698" xr:uid="{00000000-0005-0000-0000-0000C4250000}"/>
    <cellStyle name="표준 23 3 2 3 2 4 3 2" xfId="9699" xr:uid="{00000000-0005-0000-0000-0000C5250000}"/>
    <cellStyle name="표준 23 3 2 3 2 4 3 2 2" xfId="9700" xr:uid="{00000000-0005-0000-0000-0000C6250000}"/>
    <cellStyle name="표준 23 3 2 3 2 4 3 3" xfId="9701" xr:uid="{00000000-0005-0000-0000-0000C7250000}"/>
    <cellStyle name="표준 23 3 2 3 2 4 4" xfId="9702" xr:uid="{00000000-0005-0000-0000-0000C8250000}"/>
    <cellStyle name="표준 23 3 2 3 2 4 4 2" xfId="9703" xr:uid="{00000000-0005-0000-0000-0000C9250000}"/>
    <cellStyle name="표준 23 3 2 3 2 4 5" xfId="9704" xr:uid="{00000000-0005-0000-0000-0000CA250000}"/>
    <cellStyle name="표준 23 3 2 3 2 5" xfId="9705" xr:uid="{00000000-0005-0000-0000-0000CB250000}"/>
    <cellStyle name="표준 23 3 2 3 2 5 2" xfId="9706" xr:uid="{00000000-0005-0000-0000-0000CC250000}"/>
    <cellStyle name="표준 23 3 2 3 2 5 2 2" xfId="9707" xr:uid="{00000000-0005-0000-0000-0000CD250000}"/>
    <cellStyle name="표준 23 3 2 3 2 5 2 2 2" xfId="9708" xr:uid="{00000000-0005-0000-0000-0000CE250000}"/>
    <cellStyle name="표준 23 3 2 3 2 5 2 3" xfId="9709" xr:uid="{00000000-0005-0000-0000-0000CF250000}"/>
    <cellStyle name="표준 23 3 2 3 2 5 3" xfId="9710" xr:uid="{00000000-0005-0000-0000-0000D0250000}"/>
    <cellStyle name="표준 23 3 2 3 2 5 3 2" xfId="9711" xr:uid="{00000000-0005-0000-0000-0000D1250000}"/>
    <cellStyle name="표준 23 3 2 3 2 5 4" xfId="9712" xr:uid="{00000000-0005-0000-0000-0000D2250000}"/>
    <cellStyle name="표준 23 3 2 3 2 6" xfId="9713" xr:uid="{00000000-0005-0000-0000-0000D3250000}"/>
    <cellStyle name="표준 23 3 2 3 2 6 2" xfId="9714" xr:uid="{00000000-0005-0000-0000-0000D4250000}"/>
    <cellStyle name="표준 23 3 2 3 2 6 2 2" xfId="9715" xr:uid="{00000000-0005-0000-0000-0000D5250000}"/>
    <cellStyle name="표준 23 3 2 3 2 6 3" xfId="9716" xr:uid="{00000000-0005-0000-0000-0000D6250000}"/>
    <cellStyle name="표준 23 3 2 3 2 7" xfId="9717" xr:uid="{00000000-0005-0000-0000-0000D7250000}"/>
    <cellStyle name="표준 23 3 2 3 2 7 2" xfId="9718" xr:uid="{00000000-0005-0000-0000-0000D8250000}"/>
    <cellStyle name="표준 23 3 2 3 2 8" xfId="9719" xr:uid="{00000000-0005-0000-0000-0000D9250000}"/>
    <cellStyle name="표준 23 3 2 3 2 9" xfId="9720" xr:uid="{00000000-0005-0000-0000-0000DA250000}"/>
    <cellStyle name="표준 23 3 2 3 3" xfId="9721" xr:uid="{00000000-0005-0000-0000-0000DB250000}"/>
    <cellStyle name="표준 23 3 2 3 3 2" xfId="9722" xr:uid="{00000000-0005-0000-0000-0000DC250000}"/>
    <cellStyle name="표준 23 3 2 3 3 2 2" xfId="9723" xr:uid="{00000000-0005-0000-0000-0000DD250000}"/>
    <cellStyle name="표준 23 3 2 3 3 2 2 2" xfId="9724" xr:uid="{00000000-0005-0000-0000-0000DE250000}"/>
    <cellStyle name="표준 23 3 2 3 3 2 2 2 2" xfId="9725" xr:uid="{00000000-0005-0000-0000-0000DF250000}"/>
    <cellStyle name="표준 23 3 2 3 3 2 2 2 2 2" xfId="9726" xr:uid="{00000000-0005-0000-0000-0000E0250000}"/>
    <cellStyle name="표준 23 3 2 3 3 2 2 2 2 2 2" xfId="9727" xr:uid="{00000000-0005-0000-0000-0000E1250000}"/>
    <cellStyle name="표준 23 3 2 3 3 2 2 2 2 3" xfId="9728" xr:uid="{00000000-0005-0000-0000-0000E2250000}"/>
    <cellStyle name="표준 23 3 2 3 3 2 2 2 3" xfId="9729" xr:uid="{00000000-0005-0000-0000-0000E3250000}"/>
    <cellStyle name="표준 23 3 2 3 3 2 2 2 3 2" xfId="9730" xr:uid="{00000000-0005-0000-0000-0000E4250000}"/>
    <cellStyle name="표준 23 3 2 3 3 2 2 2 4" xfId="9731" xr:uid="{00000000-0005-0000-0000-0000E5250000}"/>
    <cellStyle name="표준 23 3 2 3 3 2 2 3" xfId="9732" xr:uid="{00000000-0005-0000-0000-0000E6250000}"/>
    <cellStyle name="표준 23 3 2 3 3 2 2 3 2" xfId="9733" xr:uid="{00000000-0005-0000-0000-0000E7250000}"/>
    <cellStyle name="표준 23 3 2 3 3 2 2 3 2 2" xfId="9734" xr:uid="{00000000-0005-0000-0000-0000E8250000}"/>
    <cellStyle name="표준 23 3 2 3 3 2 2 3 3" xfId="9735" xr:uid="{00000000-0005-0000-0000-0000E9250000}"/>
    <cellStyle name="표준 23 3 2 3 3 2 2 4" xfId="9736" xr:uid="{00000000-0005-0000-0000-0000EA250000}"/>
    <cellStyle name="표준 23 3 2 3 3 2 2 4 2" xfId="9737" xr:uid="{00000000-0005-0000-0000-0000EB250000}"/>
    <cellStyle name="표준 23 3 2 3 3 2 2 5" xfId="9738" xr:uid="{00000000-0005-0000-0000-0000EC250000}"/>
    <cellStyle name="표준 23 3 2 3 3 2 3" xfId="9739" xr:uid="{00000000-0005-0000-0000-0000ED250000}"/>
    <cellStyle name="표준 23 3 2 3 3 2 3 2" xfId="9740" xr:uid="{00000000-0005-0000-0000-0000EE250000}"/>
    <cellStyle name="표준 23 3 2 3 3 2 3 2 2" xfId="9741" xr:uid="{00000000-0005-0000-0000-0000EF250000}"/>
    <cellStyle name="표준 23 3 2 3 3 2 3 2 2 2" xfId="9742" xr:uid="{00000000-0005-0000-0000-0000F0250000}"/>
    <cellStyle name="표준 23 3 2 3 3 2 3 2 3" xfId="9743" xr:uid="{00000000-0005-0000-0000-0000F1250000}"/>
    <cellStyle name="표준 23 3 2 3 3 2 3 3" xfId="9744" xr:uid="{00000000-0005-0000-0000-0000F2250000}"/>
    <cellStyle name="표준 23 3 2 3 3 2 3 3 2" xfId="9745" xr:uid="{00000000-0005-0000-0000-0000F3250000}"/>
    <cellStyle name="표준 23 3 2 3 3 2 3 4" xfId="9746" xr:uid="{00000000-0005-0000-0000-0000F4250000}"/>
    <cellStyle name="표준 23 3 2 3 3 2 4" xfId="9747" xr:uid="{00000000-0005-0000-0000-0000F5250000}"/>
    <cellStyle name="표준 23 3 2 3 3 2 4 2" xfId="9748" xr:uid="{00000000-0005-0000-0000-0000F6250000}"/>
    <cellStyle name="표준 23 3 2 3 3 2 4 2 2" xfId="9749" xr:uid="{00000000-0005-0000-0000-0000F7250000}"/>
    <cellStyle name="표준 23 3 2 3 3 2 4 3" xfId="9750" xr:uid="{00000000-0005-0000-0000-0000F8250000}"/>
    <cellStyle name="표준 23 3 2 3 3 2 5" xfId="9751" xr:uid="{00000000-0005-0000-0000-0000F9250000}"/>
    <cellStyle name="표준 23 3 2 3 3 2 5 2" xfId="9752" xr:uid="{00000000-0005-0000-0000-0000FA250000}"/>
    <cellStyle name="표준 23 3 2 3 3 2 6" xfId="9753" xr:uid="{00000000-0005-0000-0000-0000FB250000}"/>
    <cellStyle name="표준 23 3 2 3 3 3" xfId="9754" xr:uid="{00000000-0005-0000-0000-0000FC250000}"/>
    <cellStyle name="표준 23 3 2 3 3 3 2" xfId="9755" xr:uid="{00000000-0005-0000-0000-0000FD250000}"/>
    <cellStyle name="표준 23 3 2 3 3 3 2 2" xfId="9756" xr:uid="{00000000-0005-0000-0000-0000FE250000}"/>
    <cellStyle name="표준 23 3 2 3 3 3 2 2 2" xfId="9757" xr:uid="{00000000-0005-0000-0000-0000FF250000}"/>
    <cellStyle name="표준 23 3 2 3 3 3 2 2 2 2" xfId="9758" xr:uid="{00000000-0005-0000-0000-000000260000}"/>
    <cellStyle name="표준 23 3 2 3 3 3 2 2 3" xfId="9759" xr:uid="{00000000-0005-0000-0000-000001260000}"/>
    <cellStyle name="표준 23 3 2 3 3 3 2 3" xfId="9760" xr:uid="{00000000-0005-0000-0000-000002260000}"/>
    <cellStyle name="표준 23 3 2 3 3 3 2 3 2" xfId="9761" xr:uid="{00000000-0005-0000-0000-000003260000}"/>
    <cellStyle name="표준 23 3 2 3 3 3 2 4" xfId="9762" xr:uid="{00000000-0005-0000-0000-000004260000}"/>
    <cellStyle name="표준 23 3 2 3 3 3 3" xfId="9763" xr:uid="{00000000-0005-0000-0000-000005260000}"/>
    <cellStyle name="표준 23 3 2 3 3 3 3 2" xfId="9764" xr:uid="{00000000-0005-0000-0000-000006260000}"/>
    <cellStyle name="표준 23 3 2 3 3 3 3 2 2" xfId="9765" xr:uid="{00000000-0005-0000-0000-000007260000}"/>
    <cellStyle name="표준 23 3 2 3 3 3 3 3" xfId="9766" xr:uid="{00000000-0005-0000-0000-000008260000}"/>
    <cellStyle name="표준 23 3 2 3 3 3 4" xfId="9767" xr:uid="{00000000-0005-0000-0000-000009260000}"/>
    <cellStyle name="표준 23 3 2 3 3 3 4 2" xfId="9768" xr:uid="{00000000-0005-0000-0000-00000A260000}"/>
    <cellStyle name="표준 23 3 2 3 3 3 5" xfId="9769" xr:uid="{00000000-0005-0000-0000-00000B260000}"/>
    <cellStyle name="표준 23 3 2 3 3 4" xfId="9770" xr:uid="{00000000-0005-0000-0000-00000C260000}"/>
    <cellStyle name="표준 23 3 2 3 3 4 2" xfId="9771" xr:uid="{00000000-0005-0000-0000-00000D260000}"/>
    <cellStyle name="표준 23 3 2 3 3 4 2 2" xfId="9772" xr:uid="{00000000-0005-0000-0000-00000E260000}"/>
    <cellStyle name="표준 23 3 2 3 3 4 2 2 2" xfId="9773" xr:uid="{00000000-0005-0000-0000-00000F260000}"/>
    <cellStyle name="표준 23 3 2 3 3 4 2 3" xfId="9774" xr:uid="{00000000-0005-0000-0000-000010260000}"/>
    <cellStyle name="표준 23 3 2 3 3 4 3" xfId="9775" xr:uid="{00000000-0005-0000-0000-000011260000}"/>
    <cellStyle name="표준 23 3 2 3 3 4 3 2" xfId="9776" xr:uid="{00000000-0005-0000-0000-000012260000}"/>
    <cellStyle name="표준 23 3 2 3 3 4 4" xfId="9777" xr:uid="{00000000-0005-0000-0000-000013260000}"/>
    <cellStyle name="표준 23 3 2 3 3 5" xfId="9778" xr:uid="{00000000-0005-0000-0000-000014260000}"/>
    <cellStyle name="표준 23 3 2 3 3 5 2" xfId="9779" xr:uid="{00000000-0005-0000-0000-000015260000}"/>
    <cellStyle name="표준 23 3 2 3 3 5 2 2" xfId="9780" xr:uid="{00000000-0005-0000-0000-000016260000}"/>
    <cellStyle name="표준 23 3 2 3 3 5 3" xfId="9781" xr:uid="{00000000-0005-0000-0000-000017260000}"/>
    <cellStyle name="표준 23 3 2 3 3 6" xfId="9782" xr:uid="{00000000-0005-0000-0000-000018260000}"/>
    <cellStyle name="표준 23 3 2 3 3 6 2" xfId="9783" xr:uid="{00000000-0005-0000-0000-000019260000}"/>
    <cellStyle name="표준 23 3 2 3 3 7" xfId="9784" xr:uid="{00000000-0005-0000-0000-00001A260000}"/>
    <cellStyle name="표준 23 3 2 3 3 8" xfId="9785" xr:uid="{00000000-0005-0000-0000-00001B260000}"/>
    <cellStyle name="표준 23 3 2 3 4" xfId="9786" xr:uid="{00000000-0005-0000-0000-00001C260000}"/>
    <cellStyle name="표준 23 3 2 3 4 2" xfId="9787" xr:uid="{00000000-0005-0000-0000-00001D260000}"/>
    <cellStyle name="표준 23 3 2 3 4 2 2" xfId="9788" xr:uid="{00000000-0005-0000-0000-00001E260000}"/>
    <cellStyle name="표준 23 3 2 3 4 2 2 2" xfId="9789" xr:uid="{00000000-0005-0000-0000-00001F260000}"/>
    <cellStyle name="표준 23 3 2 3 4 2 2 2 2" xfId="9790" xr:uid="{00000000-0005-0000-0000-000020260000}"/>
    <cellStyle name="표준 23 3 2 3 4 2 2 2 2 2" xfId="9791" xr:uid="{00000000-0005-0000-0000-000021260000}"/>
    <cellStyle name="표준 23 3 2 3 4 2 2 2 3" xfId="9792" xr:uid="{00000000-0005-0000-0000-000022260000}"/>
    <cellStyle name="표준 23 3 2 3 4 2 2 3" xfId="9793" xr:uid="{00000000-0005-0000-0000-000023260000}"/>
    <cellStyle name="표준 23 3 2 3 4 2 2 3 2" xfId="9794" xr:uid="{00000000-0005-0000-0000-000024260000}"/>
    <cellStyle name="표준 23 3 2 3 4 2 2 4" xfId="9795" xr:uid="{00000000-0005-0000-0000-000025260000}"/>
    <cellStyle name="표준 23 3 2 3 4 2 3" xfId="9796" xr:uid="{00000000-0005-0000-0000-000026260000}"/>
    <cellStyle name="표준 23 3 2 3 4 2 3 2" xfId="9797" xr:uid="{00000000-0005-0000-0000-000027260000}"/>
    <cellStyle name="표준 23 3 2 3 4 2 3 2 2" xfId="9798" xr:uid="{00000000-0005-0000-0000-000028260000}"/>
    <cellStyle name="표준 23 3 2 3 4 2 3 3" xfId="9799" xr:uid="{00000000-0005-0000-0000-000029260000}"/>
    <cellStyle name="표준 23 3 2 3 4 2 4" xfId="9800" xr:uid="{00000000-0005-0000-0000-00002A260000}"/>
    <cellStyle name="표준 23 3 2 3 4 2 4 2" xfId="9801" xr:uid="{00000000-0005-0000-0000-00002B260000}"/>
    <cellStyle name="표준 23 3 2 3 4 2 5" xfId="9802" xr:uid="{00000000-0005-0000-0000-00002C260000}"/>
    <cellStyle name="표준 23 3 2 3 4 3" xfId="9803" xr:uid="{00000000-0005-0000-0000-00002D260000}"/>
    <cellStyle name="표준 23 3 2 3 4 3 2" xfId="9804" xr:uid="{00000000-0005-0000-0000-00002E260000}"/>
    <cellStyle name="표준 23 3 2 3 4 3 2 2" xfId="9805" xr:uid="{00000000-0005-0000-0000-00002F260000}"/>
    <cellStyle name="표준 23 3 2 3 4 3 2 2 2" xfId="9806" xr:uid="{00000000-0005-0000-0000-000030260000}"/>
    <cellStyle name="표준 23 3 2 3 4 3 2 3" xfId="9807" xr:uid="{00000000-0005-0000-0000-000031260000}"/>
    <cellStyle name="표준 23 3 2 3 4 3 3" xfId="9808" xr:uid="{00000000-0005-0000-0000-000032260000}"/>
    <cellStyle name="표준 23 3 2 3 4 3 3 2" xfId="9809" xr:uid="{00000000-0005-0000-0000-000033260000}"/>
    <cellStyle name="표준 23 3 2 3 4 3 4" xfId="9810" xr:uid="{00000000-0005-0000-0000-000034260000}"/>
    <cellStyle name="표준 23 3 2 3 4 4" xfId="9811" xr:uid="{00000000-0005-0000-0000-000035260000}"/>
    <cellStyle name="표준 23 3 2 3 4 4 2" xfId="9812" xr:uid="{00000000-0005-0000-0000-000036260000}"/>
    <cellStyle name="표준 23 3 2 3 4 4 2 2" xfId="9813" xr:uid="{00000000-0005-0000-0000-000037260000}"/>
    <cellStyle name="표준 23 3 2 3 4 4 3" xfId="9814" xr:uid="{00000000-0005-0000-0000-000038260000}"/>
    <cellStyle name="표준 23 3 2 3 4 5" xfId="9815" xr:uid="{00000000-0005-0000-0000-000039260000}"/>
    <cellStyle name="표준 23 3 2 3 4 5 2" xfId="9816" xr:uid="{00000000-0005-0000-0000-00003A260000}"/>
    <cellStyle name="표준 23 3 2 3 4 6" xfId="9817" xr:uid="{00000000-0005-0000-0000-00003B260000}"/>
    <cellStyle name="표준 23 3 2 3 5" xfId="9818" xr:uid="{00000000-0005-0000-0000-00003C260000}"/>
    <cellStyle name="표준 23 3 2 3 5 2" xfId="9819" xr:uid="{00000000-0005-0000-0000-00003D260000}"/>
    <cellStyle name="표준 23 3 2 3 5 2 2" xfId="9820" xr:uid="{00000000-0005-0000-0000-00003E260000}"/>
    <cellStyle name="표준 23 3 2 3 5 2 2 2" xfId="9821" xr:uid="{00000000-0005-0000-0000-00003F260000}"/>
    <cellStyle name="표준 23 3 2 3 5 2 2 2 2" xfId="9822" xr:uid="{00000000-0005-0000-0000-000040260000}"/>
    <cellStyle name="표준 23 3 2 3 5 2 2 3" xfId="9823" xr:uid="{00000000-0005-0000-0000-000041260000}"/>
    <cellStyle name="표준 23 3 2 3 5 2 3" xfId="9824" xr:uid="{00000000-0005-0000-0000-000042260000}"/>
    <cellStyle name="표준 23 3 2 3 5 2 3 2" xfId="9825" xr:uid="{00000000-0005-0000-0000-000043260000}"/>
    <cellStyle name="표준 23 3 2 3 5 2 4" xfId="9826" xr:uid="{00000000-0005-0000-0000-000044260000}"/>
    <cellStyle name="표준 23 3 2 3 5 3" xfId="9827" xr:uid="{00000000-0005-0000-0000-000045260000}"/>
    <cellStyle name="표준 23 3 2 3 5 3 2" xfId="9828" xr:uid="{00000000-0005-0000-0000-000046260000}"/>
    <cellStyle name="표준 23 3 2 3 5 3 2 2" xfId="9829" xr:uid="{00000000-0005-0000-0000-000047260000}"/>
    <cellStyle name="표준 23 3 2 3 5 3 3" xfId="9830" xr:uid="{00000000-0005-0000-0000-000048260000}"/>
    <cellStyle name="표준 23 3 2 3 5 4" xfId="9831" xr:uid="{00000000-0005-0000-0000-000049260000}"/>
    <cellStyle name="표준 23 3 2 3 5 4 2" xfId="9832" xr:uid="{00000000-0005-0000-0000-00004A260000}"/>
    <cellStyle name="표준 23 3 2 3 5 5" xfId="9833" xr:uid="{00000000-0005-0000-0000-00004B260000}"/>
    <cellStyle name="표준 23 3 2 3 6" xfId="9834" xr:uid="{00000000-0005-0000-0000-00004C260000}"/>
    <cellStyle name="표준 23 3 2 3 6 2" xfId="9835" xr:uid="{00000000-0005-0000-0000-00004D260000}"/>
    <cellStyle name="표준 23 3 2 3 6 2 2" xfId="9836" xr:uid="{00000000-0005-0000-0000-00004E260000}"/>
    <cellStyle name="표준 23 3 2 3 6 2 2 2" xfId="9837" xr:uid="{00000000-0005-0000-0000-00004F260000}"/>
    <cellStyle name="표준 23 3 2 3 6 2 3" xfId="9838" xr:uid="{00000000-0005-0000-0000-000050260000}"/>
    <cellStyle name="표준 23 3 2 3 6 3" xfId="9839" xr:uid="{00000000-0005-0000-0000-000051260000}"/>
    <cellStyle name="표준 23 3 2 3 6 3 2" xfId="9840" xr:uid="{00000000-0005-0000-0000-000052260000}"/>
    <cellStyle name="표준 23 3 2 3 6 4" xfId="9841" xr:uid="{00000000-0005-0000-0000-000053260000}"/>
    <cellStyle name="표준 23 3 2 3 7" xfId="9842" xr:uid="{00000000-0005-0000-0000-000054260000}"/>
    <cellStyle name="표준 23 3 2 3 7 2" xfId="9843" xr:uid="{00000000-0005-0000-0000-000055260000}"/>
    <cellStyle name="표준 23 3 2 3 7 2 2" xfId="9844" xr:uid="{00000000-0005-0000-0000-000056260000}"/>
    <cellStyle name="표준 23 3 2 3 7 3" xfId="9845" xr:uid="{00000000-0005-0000-0000-000057260000}"/>
    <cellStyle name="표준 23 3 2 3 8" xfId="9846" xr:uid="{00000000-0005-0000-0000-000058260000}"/>
    <cellStyle name="표준 23 3 2 3 8 2" xfId="9847" xr:uid="{00000000-0005-0000-0000-000059260000}"/>
    <cellStyle name="표준 23 3 2 3 9" xfId="9848" xr:uid="{00000000-0005-0000-0000-00005A260000}"/>
    <cellStyle name="표준 23 3 2 4" xfId="9849" xr:uid="{00000000-0005-0000-0000-00005B260000}"/>
    <cellStyle name="표준 23 3 2 4 2" xfId="9850" xr:uid="{00000000-0005-0000-0000-00005C260000}"/>
    <cellStyle name="표준 23 3 2 4 2 2" xfId="9851" xr:uid="{00000000-0005-0000-0000-00005D260000}"/>
    <cellStyle name="표준 23 3 2 4 2 2 2" xfId="9852" xr:uid="{00000000-0005-0000-0000-00005E260000}"/>
    <cellStyle name="표준 23 3 2 4 2 2 2 2" xfId="9853" xr:uid="{00000000-0005-0000-0000-00005F260000}"/>
    <cellStyle name="표준 23 3 2 4 2 2 2 2 2" xfId="9854" xr:uid="{00000000-0005-0000-0000-000060260000}"/>
    <cellStyle name="표준 23 3 2 4 2 2 2 2 2 2" xfId="9855" xr:uid="{00000000-0005-0000-0000-000061260000}"/>
    <cellStyle name="표준 23 3 2 4 2 2 2 2 2 2 2" xfId="9856" xr:uid="{00000000-0005-0000-0000-000062260000}"/>
    <cellStyle name="표준 23 3 2 4 2 2 2 2 2 3" xfId="9857" xr:uid="{00000000-0005-0000-0000-000063260000}"/>
    <cellStyle name="표준 23 3 2 4 2 2 2 2 3" xfId="9858" xr:uid="{00000000-0005-0000-0000-000064260000}"/>
    <cellStyle name="표준 23 3 2 4 2 2 2 2 3 2" xfId="9859" xr:uid="{00000000-0005-0000-0000-000065260000}"/>
    <cellStyle name="표준 23 3 2 4 2 2 2 2 4" xfId="9860" xr:uid="{00000000-0005-0000-0000-000066260000}"/>
    <cellStyle name="표준 23 3 2 4 2 2 2 3" xfId="9861" xr:uid="{00000000-0005-0000-0000-000067260000}"/>
    <cellStyle name="표준 23 3 2 4 2 2 2 3 2" xfId="9862" xr:uid="{00000000-0005-0000-0000-000068260000}"/>
    <cellStyle name="표준 23 3 2 4 2 2 2 3 2 2" xfId="9863" xr:uid="{00000000-0005-0000-0000-000069260000}"/>
    <cellStyle name="표준 23 3 2 4 2 2 2 3 3" xfId="9864" xr:uid="{00000000-0005-0000-0000-00006A260000}"/>
    <cellStyle name="표준 23 3 2 4 2 2 2 4" xfId="9865" xr:uid="{00000000-0005-0000-0000-00006B260000}"/>
    <cellStyle name="표준 23 3 2 4 2 2 2 4 2" xfId="9866" xr:uid="{00000000-0005-0000-0000-00006C260000}"/>
    <cellStyle name="표준 23 3 2 4 2 2 2 5" xfId="9867" xr:uid="{00000000-0005-0000-0000-00006D260000}"/>
    <cellStyle name="표준 23 3 2 4 2 2 3" xfId="9868" xr:uid="{00000000-0005-0000-0000-00006E260000}"/>
    <cellStyle name="표준 23 3 2 4 2 2 3 2" xfId="9869" xr:uid="{00000000-0005-0000-0000-00006F260000}"/>
    <cellStyle name="표준 23 3 2 4 2 2 3 2 2" xfId="9870" xr:uid="{00000000-0005-0000-0000-000070260000}"/>
    <cellStyle name="표준 23 3 2 4 2 2 3 2 2 2" xfId="9871" xr:uid="{00000000-0005-0000-0000-000071260000}"/>
    <cellStyle name="표준 23 3 2 4 2 2 3 2 3" xfId="9872" xr:uid="{00000000-0005-0000-0000-000072260000}"/>
    <cellStyle name="표준 23 3 2 4 2 2 3 3" xfId="9873" xr:uid="{00000000-0005-0000-0000-000073260000}"/>
    <cellStyle name="표준 23 3 2 4 2 2 3 3 2" xfId="9874" xr:uid="{00000000-0005-0000-0000-000074260000}"/>
    <cellStyle name="표준 23 3 2 4 2 2 3 4" xfId="9875" xr:uid="{00000000-0005-0000-0000-000075260000}"/>
    <cellStyle name="표준 23 3 2 4 2 2 4" xfId="9876" xr:uid="{00000000-0005-0000-0000-000076260000}"/>
    <cellStyle name="표준 23 3 2 4 2 2 4 2" xfId="9877" xr:uid="{00000000-0005-0000-0000-000077260000}"/>
    <cellStyle name="표준 23 3 2 4 2 2 4 2 2" xfId="9878" xr:uid="{00000000-0005-0000-0000-000078260000}"/>
    <cellStyle name="표준 23 3 2 4 2 2 4 3" xfId="9879" xr:uid="{00000000-0005-0000-0000-000079260000}"/>
    <cellStyle name="표준 23 3 2 4 2 2 5" xfId="9880" xr:uid="{00000000-0005-0000-0000-00007A260000}"/>
    <cellStyle name="표준 23 3 2 4 2 2 5 2" xfId="9881" xr:uid="{00000000-0005-0000-0000-00007B260000}"/>
    <cellStyle name="표준 23 3 2 4 2 2 6" xfId="9882" xr:uid="{00000000-0005-0000-0000-00007C260000}"/>
    <cellStyle name="표준 23 3 2 4 2 3" xfId="9883" xr:uid="{00000000-0005-0000-0000-00007D260000}"/>
    <cellStyle name="표준 23 3 2 4 2 3 2" xfId="9884" xr:uid="{00000000-0005-0000-0000-00007E260000}"/>
    <cellStyle name="표준 23 3 2 4 2 3 2 2" xfId="9885" xr:uid="{00000000-0005-0000-0000-00007F260000}"/>
    <cellStyle name="표준 23 3 2 4 2 3 2 2 2" xfId="9886" xr:uid="{00000000-0005-0000-0000-000080260000}"/>
    <cellStyle name="표준 23 3 2 4 2 3 2 2 2 2" xfId="9887" xr:uid="{00000000-0005-0000-0000-000081260000}"/>
    <cellStyle name="표준 23 3 2 4 2 3 2 2 3" xfId="9888" xr:uid="{00000000-0005-0000-0000-000082260000}"/>
    <cellStyle name="표준 23 3 2 4 2 3 2 3" xfId="9889" xr:uid="{00000000-0005-0000-0000-000083260000}"/>
    <cellStyle name="표준 23 3 2 4 2 3 2 3 2" xfId="9890" xr:uid="{00000000-0005-0000-0000-000084260000}"/>
    <cellStyle name="표준 23 3 2 4 2 3 2 4" xfId="9891" xr:uid="{00000000-0005-0000-0000-000085260000}"/>
    <cellStyle name="표준 23 3 2 4 2 3 3" xfId="9892" xr:uid="{00000000-0005-0000-0000-000086260000}"/>
    <cellStyle name="표준 23 3 2 4 2 3 3 2" xfId="9893" xr:uid="{00000000-0005-0000-0000-000087260000}"/>
    <cellStyle name="표준 23 3 2 4 2 3 3 2 2" xfId="9894" xr:uid="{00000000-0005-0000-0000-000088260000}"/>
    <cellStyle name="표준 23 3 2 4 2 3 3 3" xfId="9895" xr:uid="{00000000-0005-0000-0000-000089260000}"/>
    <cellStyle name="표준 23 3 2 4 2 3 4" xfId="9896" xr:uid="{00000000-0005-0000-0000-00008A260000}"/>
    <cellStyle name="표준 23 3 2 4 2 3 4 2" xfId="9897" xr:uid="{00000000-0005-0000-0000-00008B260000}"/>
    <cellStyle name="표준 23 3 2 4 2 3 5" xfId="9898" xr:uid="{00000000-0005-0000-0000-00008C260000}"/>
    <cellStyle name="표준 23 3 2 4 2 4" xfId="9899" xr:uid="{00000000-0005-0000-0000-00008D260000}"/>
    <cellStyle name="표준 23 3 2 4 2 4 2" xfId="9900" xr:uid="{00000000-0005-0000-0000-00008E260000}"/>
    <cellStyle name="표준 23 3 2 4 2 4 2 2" xfId="9901" xr:uid="{00000000-0005-0000-0000-00008F260000}"/>
    <cellStyle name="표준 23 3 2 4 2 4 2 2 2" xfId="9902" xr:uid="{00000000-0005-0000-0000-000090260000}"/>
    <cellStyle name="표준 23 3 2 4 2 4 2 3" xfId="9903" xr:uid="{00000000-0005-0000-0000-000091260000}"/>
    <cellStyle name="표준 23 3 2 4 2 4 3" xfId="9904" xr:uid="{00000000-0005-0000-0000-000092260000}"/>
    <cellStyle name="표준 23 3 2 4 2 4 3 2" xfId="9905" xr:uid="{00000000-0005-0000-0000-000093260000}"/>
    <cellStyle name="표준 23 3 2 4 2 4 4" xfId="9906" xr:uid="{00000000-0005-0000-0000-000094260000}"/>
    <cellStyle name="표준 23 3 2 4 2 5" xfId="9907" xr:uid="{00000000-0005-0000-0000-000095260000}"/>
    <cellStyle name="표준 23 3 2 4 2 5 2" xfId="9908" xr:uid="{00000000-0005-0000-0000-000096260000}"/>
    <cellStyle name="표준 23 3 2 4 2 5 2 2" xfId="9909" xr:uid="{00000000-0005-0000-0000-000097260000}"/>
    <cellStyle name="표준 23 3 2 4 2 5 3" xfId="9910" xr:uid="{00000000-0005-0000-0000-000098260000}"/>
    <cellStyle name="표준 23 3 2 4 2 6" xfId="9911" xr:uid="{00000000-0005-0000-0000-000099260000}"/>
    <cellStyle name="표준 23 3 2 4 2 6 2" xfId="9912" xr:uid="{00000000-0005-0000-0000-00009A260000}"/>
    <cellStyle name="표준 23 3 2 4 2 7" xfId="9913" xr:uid="{00000000-0005-0000-0000-00009B260000}"/>
    <cellStyle name="표준 23 3 2 4 2 8" xfId="9914" xr:uid="{00000000-0005-0000-0000-00009C260000}"/>
    <cellStyle name="표준 23 3 2 4 3" xfId="9915" xr:uid="{00000000-0005-0000-0000-00009D260000}"/>
    <cellStyle name="표준 23 3 2 4 3 2" xfId="9916" xr:uid="{00000000-0005-0000-0000-00009E260000}"/>
    <cellStyle name="표준 23 3 2 4 3 2 2" xfId="9917" xr:uid="{00000000-0005-0000-0000-00009F260000}"/>
    <cellStyle name="표준 23 3 2 4 3 2 2 2" xfId="9918" xr:uid="{00000000-0005-0000-0000-0000A0260000}"/>
    <cellStyle name="표준 23 3 2 4 3 2 2 2 2" xfId="9919" xr:uid="{00000000-0005-0000-0000-0000A1260000}"/>
    <cellStyle name="표준 23 3 2 4 3 2 2 2 2 2" xfId="9920" xr:uid="{00000000-0005-0000-0000-0000A2260000}"/>
    <cellStyle name="표준 23 3 2 4 3 2 2 2 3" xfId="9921" xr:uid="{00000000-0005-0000-0000-0000A3260000}"/>
    <cellStyle name="표준 23 3 2 4 3 2 2 3" xfId="9922" xr:uid="{00000000-0005-0000-0000-0000A4260000}"/>
    <cellStyle name="표준 23 3 2 4 3 2 2 3 2" xfId="9923" xr:uid="{00000000-0005-0000-0000-0000A5260000}"/>
    <cellStyle name="표준 23 3 2 4 3 2 2 4" xfId="9924" xr:uid="{00000000-0005-0000-0000-0000A6260000}"/>
    <cellStyle name="표준 23 3 2 4 3 2 3" xfId="9925" xr:uid="{00000000-0005-0000-0000-0000A7260000}"/>
    <cellStyle name="표준 23 3 2 4 3 2 3 2" xfId="9926" xr:uid="{00000000-0005-0000-0000-0000A8260000}"/>
    <cellStyle name="표준 23 3 2 4 3 2 3 2 2" xfId="9927" xr:uid="{00000000-0005-0000-0000-0000A9260000}"/>
    <cellStyle name="표준 23 3 2 4 3 2 3 3" xfId="9928" xr:uid="{00000000-0005-0000-0000-0000AA260000}"/>
    <cellStyle name="표준 23 3 2 4 3 2 4" xfId="9929" xr:uid="{00000000-0005-0000-0000-0000AB260000}"/>
    <cellStyle name="표준 23 3 2 4 3 2 4 2" xfId="9930" xr:uid="{00000000-0005-0000-0000-0000AC260000}"/>
    <cellStyle name="표준 23 3 2 4 3 2 5" xfId="9931" xr:uid="{00000000-0005-0000-0000-0000AD260000}"/>
    <cellStyle name="표준 23 3 2 4 3 3" xfId="9932" xr:uid="{00000000-0005-0000-0000-0000AE260000}"/>
    <cellStyle name="표준 23 3 2 4 3 3 2" xfId="9933" xr:uid="{00000000-0005-0000-0000-0000AF260000}"/>
    <cellStyle name="표준 23 3 2 4 3 3 2 2" xfId="9934" xr:uid="{00000000-0005-0000-0000-0000B0260000}"/>
    <cellStyle name="표준 23 3 2 4 3 3 2 2 2" xfId="9935" xr:uid="{00000000-0005-0000-0000-0000B1260000}"/>
    <cellStyle name="표준 23 3 2 4 3 3 2 3" xfId="9936" xr:uid="{00000000-0005-0000-0000-0000B2260000}"/>
    <cellStyle name="표준 23 3 2 4 3 3 3" xfId="9937" xr:uid="{00000000-0005-0000-0000-0000B3260000}"/>
    <cellStyle name="표준 23 3 2 4 3 3 3 2" xfId="9938" xr:uid="{00000000-0005-0000-0000-0000B4260000}"/>
    <cellStyle name="표준 23 3 2 4 3 3 4" xfId="9939" xr:uid="{00000000-0005-0000-0000-0000B5260000}"/>
    <cellStyle name="표준 23 3 2 4 3 4" xfId="9940" xr:uid="{00000000-0005-0000-0000-0000B6260000}"/>
    <cellStyle name="표준 23 3 2 4 3 4 2" xfId="9941" xr:uid="{00000000-0005-0000-0000-0000B7260000}"/>
    <cellStyle name="표준 23 3 2 4 3 4 2 2" xfId="9942" xr:uid="{00000000-0005-0000-0000-0000B8260000}"/>
    <cellStyle name="표준 23 3 2 4 3 4 3" xfId="9943" xr:uid="{00000000-0005-0000-0000-0000B9260000}"/>
    <cellStyle name="표준 23 3 2 4 3 5" xfId="9944" xr:uid="{00000000-0005-0000-0000-0000BA260000}"/>
    <cellStyle name="표준 23 3 2 4 3 5 2" xfId="9945" xr:uid="{00000000-0005-0000-0000-0000BB260000}"/>
    <cellStyle name="표준 23 3 2 4 3 6" xfId="9946" xr:uid="{00000000-0005-0000-0000-0000BC260000}"/>
    <cellStyle name="표준 23 3 2 4 4" xfId="9947" xr:uid="{00000000-0005-0000-0000-0000BD260000}"/>
    <cellStyle name="표준 23 3 2 4 4 2" xfId="9948" xr:uid="{00000000-0005-0000-0000-0000BE260000}"/>
    <cellStyle name="표준 23 3 2 4 4 2 2" xfId="9949" xr:uid="{00000000-0005-0000-0000-0000BF260000}"/>
    <cellStyle name="표준 23 3 2 4 4 2 2 2" xfId="9950" xr:uid="{00000000-0005-0000-0000-0000C0260000}"/>
    <cellStyle name="표준 23 3 2 4 4 2 2 2 2" xfId="9951" xr:uid="{00000000-0005-0000-0000-0000C1260000}"/>
    <cellStyle name="표준 23 3 2 4 4 2 2 3" xfId="9952" xr:uid="{00000000-0005-0000-0000-0000C2260000}"/>
    <cellStyle name="표준 23 3 2 4 4 2 3" xfId="9953" xr:uid="{00000000-0005-0000-0000-0000C3260000}"/>
    <cellStyle name="표준 23 3 2 4 4 2 3 2" xfId="9954" xr:uid="{00000000-0005-0000-0000-0000C4260000}"/>
    <cellStyle name="표준 23 3 2 4 4 2 4" xfId="9955" xr:uid="{00000000-0005-0000-0000-0000C5260000}"/>
    <cellStyle name="표준 23 3 2 4 4 3" xfId="9956" xr:uid="{00000000-0005-0000-0000-0000C6260000}"/>
    <cellStyle name="표준 23 3 2 4 4 3 2" xfId="9957" xr:uid="{00000000-0005-0000-0000-0000C7260000}"/>
    <cellStyle name="표준 23 3 2 4 4 3 2 2" xfId="9958" xr:uid="{00000000-0005-0000-0000-0000C8260000}"/>
    <cellStyle name="표준 23 3 2 4 4 3 3" xfId="9959" xr:uid="{00000000-0005-0000-0000-0000C9260000}"/>
    <cellStyle name="표준 23 3 2 4 4 4" xfId="9960" xr:uid="{00000000-0005-0000-0000-0000CA260000}"/>
    <cellStyle name="표준 23 3 2 4 4 4 2" xfId="9961" xr:uid="{00000000-0005-0000-0000-0000CB260000}"/>
    <cellStyle name="표준 23 3 2 4 4 5" xfId="9962" xr:uid="{00000000-0005-0000-0000-0000CC260000}"/>
    <cellStyle name="표준 23 3 2 4 5" xfId="9963" xr:uid="{00000000-0005-0000-0000-0000CD260000}"/>
    <cellStyle name="표준 23 3 2 4 5 2" xfId="9964" xr:uid="{00000000-0005-0000-0000-0000CE260000}"/>
    <cellStyle name="표준 23 3 2 4 5 2 2" xfId="9965" xr:uid="{00000000-0005-0000-0000-0000CF260000}"/>
    <cellStyle name="표준 23 3 2 4 5 2 2 2" xfId="9966" xr:uid="{00000000-0005-0000-0000-0000D0260000}"/>
    <cellStyle name="표준 23 3 2 4 5 2 3" xfId="9967" xr:uid="{00000000-0005-0000-0000-0000D1260000}"/>
    <cellStyle name="표준 23 3 2 4 5 3" xfId="9968" xr:uid="{00000000-0005-0000-0000-0000D2260000}"/>
    <cellStyle name="표준 23 3 2 4 5 3 2" xfId="9969" xr:uid="{00000000-0005-0000-0000-0000D3260000}"/>
    <cellStyle name="표준 23 3 2 4 5 4" xfId="9970" xr:uid="{00000000-0005-0000-0000-0000D4260000}"/>
    <cellStyle name="표준 23 3 2 4 6" xfId="9971" xr:uid="{00000000-0005-0000-0000-0000D5260000}"/>
    <cellStyle name="표준 23 3 2 4 6 2" xfId="9972" xr:uid="{00000000-0005-0000-0000-0000D6260000}"/>
    <cellStyle name="표준 23 3 2 4 6 2 2" xfId="9973" xr:uid="{00000000-0005-0000-0000-0000D7260000}"/>
    <cellStyle name="표준 23 3 2 4 6 3" xfId="9974" xr:uid="{00000000-0005-0000-0000-0000D8260000}"/>
    <cellStyle name="표준 23 3 2 4 7" xfId="9975" xr:uid="{00000000-0005-0000-0000-0000D9260000}"/>
    <cellStyle name="표준 23 3 2 4 7 2" xfId="9976" xr:uid="{00000000-0005-0000-0000-0000DA260000}"/>
    <cellStyle name="표준 23 3 2 4 8" xfId="9977" xr:uid="{00000000-0005-0000-0000-0000DB260000}"/>
    <cellStyle name="표준 23 3 2 4 9" xfId="9978" xr:uid="{00000000-0005-0000-0000-0000DC260000}"/>
    <cellStyle name="표준 23 3 2 5" xfId="9979" xr:uid="{00000000-0005-0000-0000-0000DD260000}"/>
    <cellStyle name="표준 23 3 2 5 2" xfId="9980" xr:uid="{00000000-0005-0000-0000-0000DE260000}"/>
    <cellStyle name="표준 23 3 2 5 2 2" xfId="9981" xr:uid="{00000000-0005-0000-0000-0000DF260000}"/>
    <cellStyle name="표준 23 3 2 5 2 2 2" xfId="9982" xr:uid="{00000000-0005-0000-0000-0000E0260000}"/>
    <cellStyle name="표준 23 3 2 5 2 2 2 2" xfId="9983" xr:uid="{00000000-0005-0000-0000-0000E1260000}"/>
    <cellStyle name="표준 23 3 2 5 2 2 2 2 2" xfId="9984" xr:uid="{00000000-0005-0000-0000-0000E2260000}"/>
    <cellStyle name="표준 23 3 2 5 2 2 2 2 2 2" xfId="9985" xr:uid="{00000000-0005-0000-0000-0000E3260000}"/>
    <cellStyle name="표준 23 3 2 5 2 2 2 2 3" xfId="9986" xr:uid="{00000000-0005-0000-0000-0000E4260000}"/>
    <cellStyle name="표준 23 3 2 5 2 2 2 3" xfId="9987" xr:uid="{00000000-0005-0000-0000-0000E5260000}"/>
    <cellStyle name="표준 23 3 2 5 2 2 2 3 2" xfId="9988" xr:uid="{00000000-0005-0000-0000-0000E6260000}"/>
    <cellStyle name="표준 23 3 2 5 2 2 2 4" xfId="9989" xr:uid="{00000000-0005-0000-0000-0000E7260000}"/>
    <cellStyle name="표준 23 3 2 5 2 2 3" xfId="9990" xr:uid="{00000000-0005-0000-0000-0000E8260000}"/>
    <cellStyle name="표준 23 3 2 5 2 2 3 2" xfId="9991" xr:uid="{00000000-0005-0000-0000-0000E9260000}"/>
    <cellStyle name="표준 23 3 2 5 2 2 3 2 2" xfId="9992" xr:uid="{00000000-0005-0000-0000-0000EA260000}"/>
    <cellStyle name="표준 23 3 2 5 2 2 3 3" xfId="9993" xr:uid="{00000000-0005-0000-0000-0000EB260000}"/>
    <cellStyle name="표준 23 3 2 5 2 2 4" xfId="9994" xr:uid="{00000000-0005-0000-0000-0000EC260000}"/>
    <cellStyle name="표준 23 3 2 5 2 2 4 2" xfId="9995" xr:uid="{00000000-0005-0000-0000-0000ED260000}"/>
    <cellStyle name="표준 23 3 2 5 2 2 5" xfId="9996" xr:uid="{00000000-0005-0000-0000-0000EE260000}"/>
    <cellStyle name="표준 23 3 2 5 2 3" xfId="9997" xr:uid="{00000000-0005-0000-0000-0000EF260000}"/>
    <cellStyle name="표준 23 3 2 5 2 3 2" xfId="9998" xr:uid="{00000000-0005-0000-0000-0000F0260000}"/>
    <cellStyle name="표준 23 3 2 5 2 3 2 2" xfId="9999" xr:uid="{00000000-0005-0000-0000-0000F1260000}"/>
    <cellStyle name="표준 23 3 2 5 2 3 2 2 2" xfId="10000" xr:uid="{00000000-0005-0000-0000-0000F2260000}"/>
    <cellStyle name="표준 23 3 2 5 2 3 2 3" xfId="10001" xr:uid="{00000000-0005-0000-0000-0000F3260000}"/>
    <cellStyle name="표준 23 3 2 5 2 3 3" xfId="10002" xr:uid="{00000000-0005-0000-0000-0000F4260000}"/>
    <cellStyle name="표준 23 3 2 5 2 3 3 2" xfId="10003" xr:uid="{00000000-0005-0000-0000-0000F5260000}"/>
    <cellStyle name="표준 23 3 2 5 2 3 4" xfId="10004" xr:uid="{00000000-0005-0000-0000-0000F6260000}"/>
    <cellStyle name="표준 23 3 2 5 2 4" xfId="10005" xr:uid="{00000000-0005-0000-0000-0000F7260000}"/>
    <cellStyle name="표준 23 3 2 5 2 4 2" xfId="10006" xr:uid="{00000000-0005-0000-0000-0000F8260000}"/>
    <cellStyle name="표준 23 3 2 5 2 4 2 2" xfId="10007" xr:uid="{00000000-0005-0000-0000-0000F9260000}"/>
    <cellStyle name="표준 23 3 2 5 2 4 3" xfId="10008" xr:uid="{00000000-0005-0000-0000-0000FA260000}"/>
    <cellStyle name="표준 23 3 2 5 2 5" xfId="10009" xr:uid="{00000000-0005-0000-0000-0000FB260000}"/>
    <cellStyle name="표준 23 3 2 5 2 5 2" xfId="10010" xr:uid="{00000000-0005-0000-0000-0000FC260000}"/>
    <cellStyle name="표준 23 3 2 5 2 6" xfId="10011" xr:uid="{00000000-0005-0000-0000-0000FD260000}"/>
    <cellStyle name="표준 23 3 2 5 3" xfId="10012" xr:uid="{00000000-0005-0000-0000-0000FE260000}"/>
    <cellStyle name="표준 23 3 2 5 3 2" xfId="10013" xr:uid="{00000000-0005-0000-0000-0000FF260000}"/>
    <cellStyle name="표준 23 3 2 5 3 2 2" xfId="10014" xr:uid="{00000000-0005-0000-0000-000000270000}"/>
    <cellStyle name="표준 23 3 2 5 3 2 2 2" xfId="10015" xr:uid="{00000000-0005-0000-0000-000001270000}"/>
    <cellStyle name="표준 23 3 2 5 3 2 2 2 2" xfId="10016" xr:uid="{00000000-0005-0000-0000-000002270000}"/>
    <cellStyle name="표준 23 3 2 5 3 2 2 3" xfId="10017" xr:uid="{00000000-0005-0000-0000-000003270000}"/>
    <cellStyle name="표준 23 3 2 5 3 2 3" xfId="10018" xr:uid="{00000000-0005-0000-0000-000004270000}"/>
    <cellStyle name="표준 23 3 2 5 3 2 3 2" xfId="10019" xr:uid="{00000000-0005-0000-0000-000005270000}"/>
    <cellStyle name="표준 23 3 2 5 3 2 4" xfId="10020" xr:uid="{00000000-0005-0000-0000-000006270000}"/>
    <cellStyle name="표준 23 3 2 5 3 3" xfId="10021" xr:uid="{00000000-0005-0000-0000-000007270000}"/>
    <cellStyle name="표준 23 3 2 5 3 3 2" xfId="10022" xr:uid="{00000000-0005-0000-0000-000008270000}"/>
    <cellStyle name="표준 23 3 2 5 3 3 2 2" xfId="10023" xr:uid="{00000000-0005-0000-0000-000009270000}"/>
    <cellStyle name="표준 23 3 2 5 3 3 3" xfId="10024" xr:uid="{00000000-0005-0000-0000-00000A270000}"/>
    <cellStyle name="표준 23 3 2 5 3 4" xfId="10025" xr:uid="{00000000-0005-0000-0000-00000B270000}"/>
    <cellStyle name="표준 23 3 2 5 3 4 2" xfId="10026" xr:uid="{00000000-0005-0000-0000-00000C270000}"/>
    <cellStyle name="표준 23 3 2 5 3 5" xfId="10027" xr:uid="{00000000-0005-0000-0000-00000D270000}"/>
    <cellStyle name="표준 23 3 2 5 4" xfId="10028" xr:uid="{00000000-0005-0000-0000-00000E270000}"/>
    <cellStyle name="표준 23 3 2 5 4 2" xfId="10029" xr:uid="{00000000-0005-0000-0000-00000F270000}"/>
    <cellStyle name="표준 23 3 2 5 4 2 2" xfId="10030" xr:uid="{00000000-0005-0000-0000-000010270000}"/>
    <cellStyle name="표준 23 3 2 5 4 2 2 2" xfId="10031" xr:uid="{00000000-0005-0000-0000-000011270000}"/>
    <cellStyle name="표준 23 3 2 5 4 2 3" xfId="10032" xr:uid="{00000000-0005-0000-0000-000012270000}"/>
    <cellStyle name="표준 23 3 2 5 4 3" xfId="10033" xr:uid="{00000000-0005-0000-0000-000013270000}"/>
    <cellStyle name="표준 23 3 2 5 4 3 2" xfId="10034" xr:uid="{00000000-0005-0000-0000-000014270000}"/>
    <cellStyle name="표준 23 3 2 5 4 4" xfId="10035" xr:uid="{00000000-0005-0000-0000-000015270000}"/>
    <cellStyle name="표준 23 3 2 5 5" xfId="10036" xr:uid="{00000000-0005-0000-0000-000016270000}"/>
    <cellStyle name="표준 23 3 2 5 5 2" xfId="10037" xr:uid="{00000000-0005-0000-0000-000017270000}"/>
    <cellStyle name="표준 23 3 2 5 5 2 2" xfId="10038" xr:uid="{00000000-0005-0000-0000-000018270000}"/>
    <cellStyle name="표준 23 3 2 5 5 3" xfId="10039" xr:uid="{00000000-0005-0000-0000-000019270000}"/>
    <cellStyle name="표준 23 3 2 5 6" xfId="10040" xr:uid="{00000000-0005-0000-0000-00001A270000}"/>
    <cellStyle name="표준 23 3 2 5 6 2" xfId="10041" xr:uid="{00000000-0005-0000-0000-00001B270000}"/>
    <cellStyle name="표준 23 3 2 5 7" xfId="10042" xr:uid="{00000000-0005-0000-0000-00001C270000}"/>
    <cellStyle name="표준 23 3 2 5 8" xfId="10043" xr:uid="{00000000-0005-0000-0000-00001D270000}"/>
    <cellStyle name="표준 23 3 2 6" xfId="10044" xr:uid="{00000000-0005-0000-0000-00001E270000}"/>
    <cellStyle name="표준 23 3 2 6 2" xfId="10045" xr:uid="{00000000-0005-0000-0000-00001F270000}"/>
    <cellStyle name="표준 23 3 2 6 2 2" xfId="10046" xr:uid="{00000000-0005-0000-0000-000020270000}"/>
    <cellStyle name="표준 23 3 2 6 2 2 2" xfId="10047" xr:uid="{00000000-0005-0000-0000-000021270000}"/>
    <cellStyle name="표준 23 3 2 6 2 2 2 2" xfId="10048" xr:uid="{00000000-0005-0000-0000-000022270000}"/>
    <cellStyle name="표준 23 3 2 6 2 2 2 2 2" xfId="10049" xr:uid="{00000000-0005-0000-0000-000023270000}"/>
    <cellStyle name="표준 23 3 2 6 2 2 2 3" xfId="10050" xr:uid="{00000000-0005-0000-0000-000024270000}"/>
    <cellStyle name="표준 23 3 2 6 2 2 3" xfId="10051" xr:uid="{00000000-0005-0000-0000-000025270000}"/>
    <cellStyle name="표준 23 3 2 6 2 2 3 2" xfId="10052" xr:uid="{00000000-0005-0000-0000-000026270000}"/>
    <cellStyle name="표준 23 3 2 6 2 2 4" xfId="10053" xr:uid="{00000000-0005-0000-0000-000027270000}"/>
    <cellStyle name="표준 23 3 2 6 2 3" xfId="10054" xr:uid="{00000000-0005-0000-0000-000028270000}"/>
    <cellStyle name="표준 23 3 2 6 2 3 2" xfId="10055" xr:uid="{00000000-0005-0000-0000-000029270000}"/>
    <cellStyle name="표준 23 3 2 6 2 3 2 2" xfId="10056" xr:uid="{00000000-0005-0000-0000-00002A270000}"/>
    <cellStyle name="표준 23 3 2 6 2 3 3" xfId="10057" xr:uid="{00000000-0005-0000-0000-00002B270000}"/>
    <cellStyle name="표준 23 3 2 6 2 4" xfId="10058" xr:uid="{00000000-0005-0000-0000-00002C270000}"/>
    <cellStyle name="표준 23 3 2 6 2 4 2" xfId="10059" xr:uid="{00000000-0005-0000-0000-00002D270000}"/>
    <cellStyle name="표준 23 3 2 6 2 5" xfId="10060" xr:uid="{00000000-0005-0000-0000-00002E270000}"/>
    <cellStyle name="표준 23 3 2 6 3" xfId="10061" xr:uid="{00000000-0005-0000-0000-00002F270000}"/>
    <cellStyle name="표준 23 3 2 6 3 2" xfId="10062" xr:uid="{00000000-0005-0000-0000-000030270000}"/>
    <cellStyle name="표준 23 3 2 6 3 2 2" xfId="10063" xr:uid="{00000000-0005-0000-0000-000031270000}"/>
    <cellStyle name="표준 23 3 2 6 3 2 2 2" xfId="10064" xr:uid="{00000000-0005-0000-0000-000032270000}"/>
    <cellStyle name="표준 23 3 2 6 3 2 3" xfId="10065" xr:uid="{00000000-0005-0000-0000-000033270000}"/>
    <cellStyle name="표준 23 3 2 6 3 3" xfId="10066" xr:uid="{00000000-0005-0000-0000-000034270000}"/>
    <cellStyle name="표준 23 3 2 6 3 3 2" xfId="10067" xr:uid="{00000000-0005-0000-0000-000035270000}"/>
    <cellStyle name="표준 23 3 2 6 3 4" xfId="10068" xr:uid="{00000000-0005-0000-0000-000036270000}"/>
    <cellStyle name="표준 23 3 2 6 4" xfId="10069" xr:uid="{00000000-0005-0000-0000-000037270000}"/>
    <cellStyle name="표준 23 3 2 6 4 2" xfId="10070" xr:uid="{00000000-0005-0000-0000-000038270000}"/>
    <cellStyle name="표준 23 3 2 6 4 2 2" xfId="10071" xr:uid="{00000000-0005-0000-0000-000039270000}"/>
    <cellStyle name="표준 23 3 2 6 4 3" xfId="10072" xr:uid="{00000000-0005-0000-0000-00003A270000}"/>
    <cellStyle name="표준 23 3 2 6 5" xfId="10073" xr:uid="{00000000-0005-0000-0000-00003B270000}"/>
    <cellStyle name="표준 23 3 2 6 5 2" xfId="10074" xr:uid="{00000000-0005-0000-0000-00003C270000}"/>
    <cellStyle name="표준 23 3 2 6 6" xfId="10075" xr:uid="{00000000-0005-0000-0000-00003D270000}"/>
    <cellStyle name="표준 23 3 2 7" xfId="10076" xr:uid="{00000000-0005-0000-0000-00003E270000}"/>
    <cellStyle name="표준 23 3 2 7 2" xfId="10077" xr:uid="{00000000-0005-0000-0000-00003F270000}"/>
    <cellStyle name="표준 23 3 2 7 2 2" xfId="10078" xr:uid="{00000000-0005-0000-0000-000040270000}"/>
    <cellStyle name="표준 23 3 2 7 2 2 2" xfId="10079" xr:uid="{00000000-0005-0000-0000-000041270000}"/>
    <cellStyle name="표준 23 3 2 7 2 2 2 2" xfId="10080" xr:uid="{00000000-0005-0000-0000-000042270000}"/>
    <cellStyle name="표준 23 3 2 7 2 2 3" xfId="10081" xr:uid="{00000000-0005-0000-0000-000043270000}"/>
    <cellStyle name="표준 23 3 2 7 2 3" xfId="10082" xr:uid="{00000000-0005-0000-0000-000044270000}"/>
    <cellStyle name="표준 23 3 2 7 2 3 2" xfId="10083" xr:uid="{00000000-0005-0000-0000-000045270000}"/>
    <cellStyle name="표준 23 3 2 7 2 4" xfId="10084" xr:uid="{00000000-0005-0000-0000-000046270000}"/>
    <cellStyle name="표준 23 3 2 7 3" xfId="10085" xr:uid="{00000000-0005-0000-0000-000047270000}"/>
    <cellStyle name="표준 23 3 2 7 3 2" xfId="10086" xr:uid="{00000000-0005-0000-0000-000048270000}"/>
    <cellStyle name="표준 23 3 2 7 3 2 2" xfId="10087" xr:uid="{00000000-0005-0000-0000-000049270000}"/>
    <cellStyle name="표준 23 3 2 7 3 3" xfId="10088" xr:uid="{00000000-0005-0000-0000-00004A270000}"/>
    <cellStyle name="표준 23 3 2 7 4" xfId="10089" xr:uid="{00000000-0005-0000-0000-00004B270000}"/>
    <cellStyle name="표준 23 3 2 7 4 2" xfId="10090" xr:uid="{00000000-0005-0000-0000-00004C270000}"/>
    <cellStyle name="표준 23 3 2 7 5" xfId="10091" xr:uid="{00000000-0005-0000-0000-00004D270000}"/>
    <cellStyle name="표준 23 3 2 8" xfId="10092" xr:uid="{00000000-0005-0000-0000-00004E270000}"/>
    <cellStyle name="표준 23 3 2 8 2" xfId="10093" xr:uid="{00000000-0005-0000-0000-00004F270000}"/>
    <cellStyle name="표준 23 3 2 8 2 2" xfId="10094" xr:uid="{00000000-0005-0000-0000-000050270000}"/>
    <cellStyle name="표준 23 3 2 8 2 2 2" xfId="10095" xr:uid="{00000000-0005-0000-0000-000051270000}"/>
    <cellStyle name="표준 23 3 2 8 2 3" xfId="10096" xr:uid="{00000000-0005-0000-0000-000052270000}"/>
    <cellStyle name="표준 23 3 2 8 3" xfId="10097" xr:uid="{00000000-0005-0000-0000-000053270000}"/>
    <cellStyle name="표준 23 3 2 8 3 2" xfId="10098" xr:uid="{00000000-0005-0000-0000-000054270000}"/>
    <cellStyle name="표준 23 3 2 8 4" xfId="10099" xr:uid="{00000000-0005-0000-0000-000055270000}"/>
    <cellStyle name="표준 23 3 2 9" xfId="10100" xr:uid="{00000000-0005-0000-0000-000056270000}"/>
    <cellStyle name="표준 23 3 2 9 2" xfId="10101" xr:uid="{00000000-0005-0000-0000-000057270000}"/>
    <cellStyle name="표준 23 3 2 9 2 2" xfId="10102" xr:uid="{00000000-0005-0000-0000-000058270000}"/>
    <cellStyle name="표준 23 3 2 9 3" xfId="10103" xr:uid="{00000000-0005-0000-0000-000059270000}"/>
    <cellStyle name="표준 23 3 3" xfId="10104" xr:uid="{00000000-0005-0000-0000-00005A270000}"/>
    <cellStyle name="표준 23 3 3 10" xfId="10105" xr:uid="{00000000-0005-0000-0000-00005B270000}"/>
    <cellStyle name="표준 23 3 3 10 2" xfId="10106" xr:uid="{00000000-0005-0000-0000-00005C270000}"/>
    <cellStyle name="표준 23 3 3 11" xfId="10107" xr:uid="{00000000-0005-0000-0000-00005D270000}"/>
    <cellStyle name="표준 23 3 3 12" xfId="10108" xr:uid="{00000000-0005-0000-0000-00005E270000}"/>
    <cellStyle name="표준 23 3 3 2" xfId="10109" xr:uid="{00000000-0005-0000-0000-00005F270000}"/>
    <cellStyle name="표준 23 3 3 2 10" xfId="10110" xr:uid="{00000000-0005-0000-0000-000060270000}"/>
    <cellStyle name="표준 23 3 3 2 11" xfId="10111" xr:uid="{00000000-0005-0000-0000-000061270000}"/>
    <cellStyle name="표준 23 3 3 2 2" xfId="10112" xr:uid="{00000000-0005-0000-0000-000062270000}"/>
    <cellStyle name="표준 23 3 3 2 2 10" xfId="10113" xr:uid="{00000000-0005-0000-0000-000063270000}"/>
    <cellStyle name="표준 23 3 3 2 2 2" xfId="10114" xr:uid="{00000000-0005-0000-0000-000064270000}"/>
    <cellStyle name="표준 23 3 3 2 2 2 2" xfId="10115" xr:uid="{00000000-0005-0000-0000-000065270000}"/>
    <cellStyle name="표준 23 3 3 2 2 2 2 2" xfId="10116" xr:uid="{00000000-0005-0000-0000-000066270000}"/>
    <cellStyle name="표준 23 3 3 2 2 2 2 2 2" xfId="10117" xr:uid="{00000000-0005-0000-0000-000067270000}"/>
    <cellStyle name="표준 23 3 3 2 2 2 2 2 2 2" xfId="10118" xr:uid="{00000000-0005-0000-0000-000068270000}"/>
    <cellStyle name="표준 23 3 3 2 2 2 2 2 2 2 2" xfId="10119" xr:uid="{00000000-0005-0000-0000-000069270000}"/>
    <cellStyle name="표준 23 3 3 2 2 2 2 2 2 2 2 2" xfId="10120" xr:uid="{00000000-0005-0000-0000-00006A270000}"/>
    <cellStyle name="표준 23 3 3 2 2 2 2 2 2 2 2 2 2" xfId="10121" xr:uid="{00000000-0005-0000-0000-00006B270000}"/>
    <cellStyle name="표준 23 3 3 2 2 2 2 2 2 2 2 3" xfId="10122" xr:uid="{00000000-0005-0000-0000-00006C270000}"/>
    <cellStyle name="표준 23 3 3 2 2 2 2 2 2 2 3" xfId="10123" xr:uid="{00000000-0005-0000-0000-00006D270000}"/>
    <cellStyle name="표준 23 3 3 2 2 2 2 2 2 2 3 2" xfId="10124" xr:uid="{00000000-0005-0000-0000-00006E270000}"/>
    <cellStyle name="표준 23 3 3 2 2 2 2 2 2 2 4" xfId="10125" xr:uid="{00000000-0005-0000-0000-00006F270000}"/>
    <cellStyle name="표준 23 3 3 2 2 2 2 2 2 3" xfId="10126" xr:uid="{00000000-0005-0000-0000-000070270000}"/>
    <cellStyle name="표준 23 3 3 2 2 2 2 2 2 3 2" xfId="10127" xr:uid="{00000000-0005-0000-0000-000071270000}"/>
    <cellStyle name="표준 23 3 3 2 2 2 2 2 2 3 2 2" xfId="10128" xr:uid="{00000000-0005-0000-0000-000072270000}"/>
    <cellStyle name="표준 23 3 3 2 2 2 2 2 2 3 3" xfId="10129" xr:uid="{00000000-0005-0000-0000-000073270000}"/>
    <cellStyle name="표준 23 3 3 2 2 2 2 2 2 4" xfId="10130" xr:uid="{00000000-0005-0000-0000-000074270000}"/>
    <cellStyle name="표준 23 3 3 2 2 2 2 2 2 4 2" xfId="10131" xr:uid="{00000000-0005-0000-0000-000075270000}"/>
    <cellStyle name="표준 23 3 3 2 2 2 2 2 2 5" xfId="10132" xr:uid="{00000000-0005-0000-0000-000076270000}"/>
    <cellStyle name="표준 23 3 3 2 2 2 2 2 3" xfId="10133" xr:uid="{00000000-0005-0000-0000-000077270000}"/>
    <cellStyle name="표준 23 3 3 2 2 2 2 2 3 2" xfId="10134" xr:uid="{00000000-0005-0000-0000-000078270000}"/>
    <cellStyle name="표준 23 3 3 2 2 2 2 2 3 2 2" xfId="10135" xr:uid="{00000000-0005-0000-0000-000079270000}"/>
    <cellStyle name="표준 23 3 3 2 2 2 2 2 3 2 2 2" xfId="10136" xr:uid="{00000000-0005-0000-0000-00007A270000}"/>
    <cellStyle name="표준 23 3 3 2 2 2 2 2 3 2 3" xfId="10137" xr:uid="{00000000-0005-0000-0000-00007B270000}"/>
    <cellStyle name="표준 23 3 3 2 2 2 2 2 3 3" xfId="10138" xr:uid="{00000000-0005-0000-0000-00007C270000}"/>
    <cellStyle name="표준 23 3 3 2 2 2 2 2 3 3 2" xfId="10139" xr:uid="{00000000-0005-0000-0000-00007D270000}"/>
    <cellStyle name="표준 23 3 3 2 2 2 2 2 3 4" xfId="10140" xr:uid="{00000000-0005-0000-0000-00007E270000}"/>
    <cellStyle name="표준 23 3 3 2 2 2 2 2 4" xfId="10141" xr:uid="{00000000-0005-0000-0000-00007F270000}"/>
    <cellStyle name="표준 23 3 3 2 2 2 2 2 4 2" xfId="10142" xr:uid="{00000000-0005-0000-0000-000080270000}"/>
    <cellStyle name="표준 23 3 3 2 2 2 2 2 4 2 2" xfId="10143" xr:uid="{00000000-0005-0000-0000-000081270000}"/>
    <cellStyle name="표준 23 3 3 2 2 2 2 2 4 3" xfId="10144" xr:uid="{00000000-0005-0000-0000-000082270000}"/>
    <cellStyle name="표준 23 3 3 2 2 2 2 2 5" xfId="10145" xr:uid="{00000000-0005-0000-0000-000083270000}"/>
    <cellStyle name="표준 23 3 3 2 2 2 2 2 5 2" xfId="10146" xr:uid="{00000000-0005-0000-0000-000084270000}"/>
    <cellStyle name="표준 23 3 3 2 2 2 2 2 6" xfId="10147" xr:uid="{00000000-0005-0000-0000-000085270000}"/>
    <cellStyle name="표준 23 3 3 2 2 2 2 3" xfId="10148" xr:uid="{00000000-0005-0000-0000-000086270000}"/>
    <cellStyle name="표준 23 3 3 2 2 2 2 3 2" xfId="10149" xr:uid="{00000000-0005-0000-0000-000087270000}"/>
    <cellStyle name="표준 23 3 3 2 2 2 2 3 2 2" xfId="10150" xr:uid="{00000000-0005-0000-0000-000088270000}"/>
    <cellStyle name="표준 23 3 3 2 2 2 2 3 2 2 2" xfId="10151" xr:uid="{00000000-0005-0000-0000-000089270000}"/>
    <cellStyle name="표준 23 3 3 2 2 2 2 3 2 2 2 2" xfId="10152" xr:uid="{00000000-0005-0000-0000-00008A270000}"/>
    <cellStyle name="표준 23 3 3 2 2 2 2 3 2 2 3" xfId="10153" xr:uid="{00000000-0005-0000-0000-00008B270000}"/>
    <cellStyle name="표준 23 3 3 2 2 2 2 3 2 3" xfId="10154" xr:uid="{00000000-0005-0000-0000-00008C270000}"/>
    <cellStyle name="표준 23 3 3 2 2 2 2 3 2 3 2" xfId="10155" xr:uid="{00000000-0005-0000-0000-00008D270000}"/>
    <cellStyle name="표준 23 3 3 2 2 2 2 3 2 4" xfId="10156" xr:uid="{00000000-0005-0000-0000-00008E270000}"/>
    <cellStyle name="표준 23 3 3 2 2 2 2 3 3" xfId="10157" xr:uid="{00000000-0005-0000-0000-00008F270000}"/>
    <cellStyle name="표준 23 3 3 2 2 2 2 3 3 2" xfId="10158" xr:uid="{00000000-0005-0000-0000-000090270000}"/>
    <cellStyle name="표준 23 3 3 2 2 2 2 3 3 2 2" xfId="10159" xr:uid="{00000000-0005-0000-0000-000091270000}"/>
    <cellStyle name="표준 23 3 3 2 2 2 2 3 3 3" xfId="10160" xr:uid="{00000000-0005-0000-0000-000092270000}"/>
    <cellStyle name="표준 23 3 3 2 2 2 2 3 4" xfId="10161" xr:uid="{00000000-0005-0000-0000-000093270000}"/>
    <cellStyle name="표준 23 3 3 2 2 2 2 3 4 2" xfId="10162" xr:uid="{00000000-0005-0000-0000-000094270000}"/>
    <cellStyle name="표준 23 3 3 2 2 2 2 3 5" xfId="10163" xr:uid="{00000000-0005-0000-0000-000095270000}"/>
    <cellStyle name="표준 23 3 3 2 2 2 2 4" xfId="10164" xr:uid="{00000000-0005-0000-0000-000096270000}"/>
    <cellStyle name="표준 23 3 3 2 2 2 2 4 2" xfId="10165" xr:uid="{00000000-0005-0000-0000-000097270000}"/>
    <cellStyle name="표준 23 3 3 2 2 2 2 4 2 2" xfId="10166" xr:uid="{00000000-0005-0000-0000-000098270000}"/>
    <cellStyle name="표준 23 3 3 2 2 2 2 4 2 2 2" xfId="10167" xr:uid="{00000000-0005-0000-0000-000099270000}"/>
    <cellStyle name="표준 23 3 3 2 2 2 2 4 2 3" xfId="10168" xr:uid="{00000000-0005-0000-0000-00009A270000}"/>
    <cellStyle name="표준 23 3 3 2 2 2 2 4 3" xfId="10169" xr:uid="{00000000-0005-0000-0000-00009B270000}"/>
    <cellStyle name="표준 23 3 3 2 2 2 2 4 3 2" xfId="10170" xr:uid="{00000000-0005-0000-0000-00009C270000}"/>
    <cellStyle name="표준 23 3 3 2 2 2 2 4 4" xfId="10171" xr:uid="{00000000-0005-0000-0000-00009D270000}"/>
    <cellStyle name="표준 23 3 3 2 2 2 2 5" xfId="10172" xr:uid="{00000000-0005-0000-0000-00009E270000}"/>
    <cellStyle name="표준 23 3 3 2 2 2 2 5 2" xfId="10173" xr:uid="{00000000-0005-0000-0000-00009F270000}"/>
    <cellStyle name="표준 23 3 3 2 2 2 2 5 2 2" xfId="10174" xr:uid="{00000000-0005-0000-0000-0000A0270000}"/>
    <cellStyle name="표준 23 3 3 2 2 2 2 5 3" xfId="10175" xr:uid="{00000000-0005-0000-0000-0000A1270000}"/>
    <cellStyle name="표준 23 3 3 2 2 2 2 6" xfId="10176" xr:uid="{00000000-0005-0000-0000-0000A2270000}"/>
    <cellStyle name="표준 23 3 3 2 2 2 2 6 2" xfId="10177" xr:uid="{00000000-0005-0000-0000-0000A3270000}"/>
    <cellStyle name="표준 23 3 3 2 2 2 2 7" xfId="10178" xr:uid="{00000000-0005-0000-0000-0000A4270000}"/>
    <cellStyle name="표준 23 3 3 2 2 2 2 8" xfId="10179" xr:uid="{00000000-0005-0000-0000-0000A5270000}"/>
    <cellStyle name="표준 23 3 3 2 2 2 3" xfId="10180" xr:uid="{00000000-0005-0000-0000-0000A6270000}"/>
    <cellStyle name="표준 23 3 3 2 2 2 3 2" xfId="10181" xr:uid="{00000000-0005-0000-0000-0000A7270000}"/>
    <cellStyle name="표준 23 3 3 2 2 2 3 2 2" xfId="10182" xr:uid="{00000000-0005-0000-0000-0000A8270000}"/>
    <cellStyle name="표준 23 3 3 2 2 2 3 2 2 2" xfId="10183" xr:uid="{00000000-0005-0000-0000-0000A9270000}"/>
    <cellStyle name="표준 23 3 3 2 2 2 3 2 2 2 2" xfId="10184" xr:uid="{00000000-0005-0000-0000-0000AA270000}"/>
    <cellStyle name="표준 23 3 3 2 2 2 3 2 2 2 2 2" xfId="10185" xr:uid="{00000000-0005-0000-0000-0000AB270000}"/>
    <cellStyle name="표준 23 3 3 2 2 2 3 2 2 2 3" xfId="10186" xr:uid="{00000000-0005-0000-0000-0000AC270000}"/>
    <cellStyle name="표준 23 3 3 2 2 2 3 2 2 3" xfId="10187" xr:uid="{00000000-0005-0000-0000-0000AD270000}"/>
    <cellStyle name="표준 23 3 3 2 2 2 3 2 2 3 2" xfId="10188" xr:uid="{00000000-0005-0000-0000-0000AE270000}"/>
    <cellStyle name="표준 23 3 3 2 2 2 3 2 2 4" xfId="10189" xr:uid="{00000000-0005-0000-0000-0000AF270000}"/>
    <cellStyle name="표준 23 3 3 2 2 2 3 2 3" xfId="10190" xr:uid="{00000000-0005-0000-0000-0000B0270000}"/>
    <cellStyle name="표준 23 3 3 2 2 2 3 2 3 2" xfId="10191" xr:uid="{00000000-0005-0000-0000-0000B1270000}"/>
    <cellStyle name="표준 23 3 3 2 2 2 3 2 3 2 2" xfId="10192" xr:uid="{00000000-0005-0000-0000-0000B2270000}"/>
    <cellStyle name="표준 23 3 3 2 2 2 3 2 3 3" xfId="10193" xr:uid="{00000000-0005-0000-0000-0000B3270000}"/>
    <cellStyle name="표준 23 3 3 2 2 2 3 2 4" xfId="10194" xr:uid="{00000000-0005-0000-0000-0000B4270000}"/>
    <cellStyle name="표준 23 3 3 2 2 2 3 2 4 2" xfId="10195" xr:uid="{00000000-0005-0000-0000-0000B5270000}"/>
    <cellStyle name="표준 23 3 3 2 2 2 3 2 5" xfId="10196" xr:uid="{00000000-0005-0000-0000-0000B6270000}"/>
    <cellStyle name="표준 23 3 3 2 2 2 3 3" xfId="10197" xr:uid="{00000000-0005-0000-0000-0000B7270000}"/>
    <cellStyle name="표준 23 3 3 2 2 2 3 3 2" xfId="10198" xr:uid="{00000000-0005-0000-0000-0000B8270000}"/>
    <cellStyle name="표준 23 3 3 2 2 2 3 3 2 2" xfId="10199" xr:uid="{00000000-0005-0000-0000-0000B9270000}"/>
    <cellStyle name="표준 23 3 3 2 2 2 3 3 2 2 2" xfId="10200" xr:uid="{00000000-0005-0000-0000-0000BA270000}"/>
    <cellStyle name="표준 23 3 3 2 2 2 3 3 2 3" xfId="10201" xr:uid="{00000000-0005-0000-0000-0000BB270000}"/>
    <cellStyle name="표준 23 3 3 2 2 2 3 3 3" xfId="10202" xr:uid="{00000000-0005-0000-0000-0000BC270000}"/>
    <cellStyle name="표준 23 3 3 2 2 2 3 3 3 2" xfId="10203" xr:uid="{00000000-0005-0000-0000-0000BD270000}"/>
    <cellStyle name="표준 23 3 3 2 2 2 3 3 4" xfId="10204" xr:uid="{00000000-0005-0000-0000-0000BE270000}"/>
    <cellStyle name="표준 23 3 3 2 2 2 3 4" xfId="10205" xr:uid="{00000000-0005-0000-0000-0000BF270000}"/>
    <cellStyle name="표준 23 3 3 2 2 2 3 4 2" xfId="10206" xr:uid="{00000000-0005-0000-0000-0000C0270000}"/>
    <cellStyle name="표준 23 3 3 2 2 2 3 4 2 2" xfId="10207" xr:uid="{00000000-0005-0000-0000-0000C1270000}"/>
    <cellStyle name="표준 23 3 3 2 2 2 3 4 3" xfId="10208" xr:uid="{00000000-0005-0000-0000-0000C2270000}"/>
    <cellStyle name="표준 23 3 3 2 2 2 3 5" xfId="10209" xr:uid="{00000000-0005-0000-0000-0000C3270000}"/>
    <cellStyle name="표준 23 3 3 2 2 2 3 5 2" xfId="10210" xr:uid="{00000000-0005-0000-0000-0000C4270000}"/>
    <cellStyle name="표준 23 3 3 2 2 2 3 6" xfId="10211" xr:uid="{00000000-0005-0000-0000-0000C5270000}"/>
    <cellStyle name="표준 23 3 3 2 2 2 4" xfId="10212" xr:uid="{00000000-0005-0000-0000-0000C6270000}"/>
    <cellStyle name="표준 23 3 3 2 2 2 4 2" xfId="10213" xr:uid="{00000000-0005-0000-0000-0000C7270000}"/>
    <cellStyle name="표준 23 3 3 2 2 2 4 2 2" xfId="10214" xr:uid="{00000000-0005-0000-0000-0000C8270000}"/>
    <cellStyle name="표준 23 3 3 2 2 2 4 2 2 2" xfId="10215" xr:uid="{00000000-0005-0000-0000-0000C9270000}"/>
    <cellStyle name="표준 23 3 3 2 2 2 4 2 2 2 2" xfId="10216" xr:uid="{00000000-0005-0000-0000-0000CA270000}"/>
    <cellStyle name="표준 23 3 3 2 2 2 4 2 2 3" xfId="10217" xr:uid="{00000000-0005-0000-0000-0000CB270000}"/>
    <cellStyle name="표준 23 3 3 2 2 2 4 2 3" xfId="10218" xr:uid="{00000000-0005-0000-0000-0000CC270000}"/>
    <cellStyle name="표준 23 3 3 2 2 2 4 2 3 2" xfId="10219" xr:uid="{00000000-0005-0000-0000-0000CD270000}"/>
    <cellStyle name="표준 23 3 3 2 2 2 4 2 4" xfId="10220" xr:uid="{00000000-0005-0000-0000-0000CE270000}"/>
    <cellStyle name="표준 23 3 3 2 2 2 4 3" xfId="10221" xr:uid="{00000000-0005-0000-0000-0000CF270000}"/>
    <cellStyle name="표준 23 3 3 2 2 2 4 3 2" xfId="10222" xr:uid="{00000000-0005-0000-0000-0000D0270000}"/>
    <cellStyle name="표준 23 3 3 2 2 2 4 3 2 2" xfId="10223" xr:uid="{00000000-0005-0000-0000-0000D1270000}"/>
    <cellStyle name="표준 23 3 3 2 2 2 4 3 3" xfId="10224" xr:uid="{00000000-0005-0000-0000-0000D2270000}"/>
    <cellStyle name="표준 23 3 3 2 2 2 4 4" xfId="10225" xr:uid="{00000000-0005-0000-0000-0000D3270000}"/>
    <cellStyle name="표준 23 3 3 2 2 2 4 4 2" xfId="10226" xr:uid="{00000000-0005-0000-0000-0000D4270000}"/>
    <cellStyle name="표준 23 3 3 2 2 2 4 5" xfId="10227" xr:uid="{00000000-0005-0000-0000-0000D5270000}"/>
    <cellStyle name="표준 23 3 3 2 2 2 5" xfId="10228" xr:uid="{00000000-0005-0000-0000-0000D6270000}"/>
    <cellStyle name="표준 23 3 3 2 2 2 5 2" xfId="10229" xr:uid="{00000000-0005-0000-0000-0000D7270000}"/>
    <cellStyle name="표준 23 3 3 2 2 2 5 2 2" xfId="10230" xr:uid="{00000000-0005-0000-0000-0000D8270000}"/>
    <cellStyle name="표준 23 3 3 2 2 2 5 2 2 2" xfId="10231" xr:uid="{00000000-0005-0000-0000-0000D9270000}"/>
    <cellStyle name="표준 23 3 3 2 2 2 5 2 3" xfId="10232" xr:uid="{00000000-0005-0000-0000-0000DA270000}"/>
    <cellStyle name="표준 23 3 3 2 2 2 5 3" xfId="10233" xr:uid="{00000000-0005-0000-0000-0000DB270000}"/>
    <cellStyle name="표준 23 3 3 2 2 2 5 3 2" xfId="10234" xr:uid="{00000000-0005-0000-0000-0000DC270000}"/>
    <cellStyle name="표준 23 3 3 2 2 2 5 4" xfId="10235" xr:uid="{00000000-0005-0000-0000-0000DD270000}"/>
    <cellStyle name="표준 23 3 3 2 2 2 6" xfId="10236" xr:uid="{00000000-0005-0000-0000-0000DE270000}"/>
    <cellStyle name="표준 23 3 3 2 2 2 6 2" xfId="10237" xr:uid="{00000000-0005-0000-0000-0000DF270000}"/>
    <cellStyle name="표준 23 3 3 2 2 2 6 2 2" xfId="10238" xr:uid="{00000000-0005-0000-0000-0000E0270000}"/>
    <cellStyle name="표준 23 3 3 2 2 2 6 3" xfId="10239" xr:uid="{00000000-0005-0000-0000-0000E1270000}"/>
    <cellStyle name="표준 23 3 3 2 2 2 7" xfId="10240" xr:uid="{00000000-0005-0000-0000-0000E2270000}"/>
    <cellStyle name="표준 23 3 3 2 2 2 7 2" xfId="10241" xr:uid="{00000000-0005-0000-0000-0000E3270000}"/>
    <cellStyle name="표준 23 3 3 2 2 2 8" xfId="10242" xr:uid="{00000000-0005-0000-0000-0000E4270000}"/>
    <cellStyle name="표준 23 3 3 2 2 2 9" xfId="10243" xr:uid="{00000000-0005-0000-0000-0000E5270000}"/>
    <cellStyle name="표준 23 3 3 2 2 3" xfId="10244" xr:uid="{00000000-0005-0000-0000-0000E6270000}"/>
    <cellStyle name="표준 23 3 3 2 2 3 2" xfId="10245" xr:uid="{00000000-0005-0000-0000-0000E7270000}"/>
    <cellStyle name="표준 23 3 3 2 2 3 2 2" xfId="10246" xr:uid="{00000000-0005-0000-0000-0000E8270000}"/>
    <cellStyle name="표준 23 3 3 2 2 3 2 2 2" xfId="10247" xr:uid="{00000000-0005-0000-0000-0000E9270000}"/>
    <cellStyle name="표준 23 3 3 2 2 3 2 2 2 2" xfId="10248" xr:uid="{00000000-0005-0000-0000-0000EA270000}"/>
    <cellStyle name="표준 23 3 3 2 2 3 2 2 2 2 2" xfId="10249" xr:uid="{00000000-0005-0000-0000-0000EB270000}"/>
    <cellStyle name="표준 23 3 3 2 2 3 2 2 2 2 2 2" xfId="10250" xr:uid="{00000000-0005-0000-0000-0000EC270000}"/>
    <cellStyle name="표준 23 3 3 2 2 3 2 2 2 2 3" xfId="10251" xr:uid="{00000000-0005-0000-0000-0000ED270000}"/>
    <cellStyle name="표준 23 3 3 2 2 3 2 2 2 3" xfId="10252" xr:uid="{00000000-0005-0000-0000-0000EE270000}"/>
    <cellStyle name="표준 23 3 3 2 2 3 2 2 2 3 2" xfId="10253" xr:uid="{00000000-0005-0000-0000-0000EF270000}"/>
    <cellStyle name="표준 23 3 3 2 2 3 2 2 2 4" xfId="10254" xr:uid="{00000000-0005-0000-0000-0000F0270000}"/>
    <cellStyle name="표준 23 3 3 2 2 3 2 2 3" xfId="10255" xr:uid="{00000000-0005-0000-0000-0000F1270000}"/>
    <cellStyle name="표준 23 3 3 2 2 3 2 2 3 2" xfId="10256" xr:uid="{00000000-0005-0000-0000-0000F2270000}"/>
    <cellStyle name="표준 23 3 3 2 2 3 2 2 3 2 2" xfId="10257" xr:uid="{00000000-0005-0000-0000-0000F3270000}"/>
    <cellStyle name="표준 23 3 3 2 2 3 2 2 3 3" xfId="10258" xr:uid="{00000000-0005-0000-0000-0000F4270000}"/>
    <cellStyle name="표준 23 3 3 2 2 3 2 2 4" xfId="10259" xr:uid="{00000000-0005-0000-0000-0000F5270000}"/>
    <cellStyle name="표준 23 3 3 2 2 3 2 2 4 2" xfId="10260" xr:uid="{00000000-0005-0000-0000-0000F6270000}"/>
    <cellStyle name="표준 23 3 3 2 2 3 2 2 5" xfId="10261" xr:uid="{00000000-0005-0000-0000-0000F7270000}"/>
    <cellStyle name="표준 23 3 3 2 2 3 2 3" xfId="10262" xr:uid="{00000000-0005-0000-0000-0000F8270000}"/>
    <cellStyle name="표준 23 3 3 2 2 3 2 3 2" xfId="10263" xr:uid="{00000000-0005-0000-0000-0000F9270000}"/>
    <cellStyle name="표준 23 3 3 2 2 3 2 3 2 2" xfId="10264" xr:uid="{00000000-0005-0000-0000-0000FA270000}"/>
    <cellStyle name="표준 23 3 3 2 2 3 2 3 2 2 2" xfId="10265" xr:uid="{00000000-0005-0000-0000-0000FB270000}"/>
    <cellStyle name="표준 23 3 3 2 2 3 2 3 2 3" xfId="10266" xr:uid="{00000000-0005-0000-0000-0000FC270000}"/>
    <cellStyle name="표준 23 3 3 2 2 3 2 3 3" xfId="10267" xr:uid="{00000000-0005-0000-0000-0000FD270000}"/>
    <cellStyle name="표준 23 3 3 2 2 3 2 3 3 2" xfId="10268" xr:uid="{00000000-0005-0000-0000-0000FE270000}"/>
    <cellStyle name="표준 23 3 3 2 2 3 2 3 4" xfId="10269" xr:uid="{00000000-0005-0000-0000-0000FF270000}"/>
    <cellStyle name="표준 23 3 3 2 2 3 2 4" xfId="10270" xr:uid="{00000000-0005-0000-0000-000000280000}"/>
    <cellStyle name="표준 23 3 3 2 2 3 2 4 2" xfId="10271" xr:uid="{00000000-0005-0000-0000-000001280000}"/>
    <cellStyle name="표준 23 3 3 2 2 3 2 4 2 2" xfId="10272" xr:uid="{00000000-0005-0000-0000-000002280000}"/>
    <cellStyle name="표준 23 3 3 2 2 3 2 4 3" xfId="10273" xr:uid="{00000000-0005-0000-0000-000003280000}"/>
    <cellStyle name="표준 23 3 3 2 2 3 2 5" xfId="10274" xr:uid="{00000000-0005-0000-0000-000004280000}"/>
    <cellStyle name="표준 23 3 3 2 2 3 2 5 2" xfId="10275" xr:uid="{00000000-0005-0000-0000-000005280000}"/>
    <cellStyle name="표준 23 3 3 2 2 3 2 6" xfId="10276" xr:uid="{00000000-0005-0000-0000-000006280000}"/>
    <cellStyle name="표준 23 3 3 2 2 3 3" xfId="10277" xr:uid="{00000000-0005-0000-0000-000007280000}"/>
    <cellStyle name="표준 23 3 3 2 2 3 3 2" xfId="10278" xr:uid="{00000000-0005-0000-0000-000008280000}"/>
    <cellStyle name="표준 23 3 3 2 2 3 3 2 2" xfId="10279" xr:uid="{00000000-0005-0000-0000-000009280000}"/>
    <cellStyle name="표준 23 3 3 2 2 3 3 2 2 2" xfId="10280" xr:uid="{00000000-0005-0000-0000-00000A280000}"/>
    <cellStyle name="표준 23 3 3 2 2 3 3 2 2 2 2" xfId="10281" xr:uid="{00000000-0005-0000-0000-00000B280000}"/>
    <cellStyle name="표준 23 3 3 2 2 3 3 2 2 3" xfId="10282" xr:uid="{00000000-0005-0000-0000-00000C280000}"/>
    <cellStyle name="표준 23 3 3 2 2 3 3 2 3" xfId="10283" xr:uid="{00000000-0005-0000-0000-00000D280000}"/>
    <cellStyle name="표준 23 3 3 2 2 3 3 2 3 2" xfId="10284" xr:uid="{00000000-0005-0000-0000-00000E280000}"/>
    <cellStyle name="표준 23 3 3 2 2 3 3 2 4" xfId="10285" xr:uid="{00000000-0005-0000-0000-00000F280000}"/>
    <cellStyle name="표준 23 3 3 2 2 3 3 3" xfId="10286" xr:uid="{00000000-0005-0000-0000-000010280000}"/>
    <cellStyle name="표준 23 3 3 2 2 3 3 3 2" xfId="10287" xr:uid="{00000000-0005-0000-0000-000011280000}"/>
    <cellStyle name="표준 23 3 3 2 2 3 3 3 2 2" xfId="10288" xr:uid="{00000000-0005-0000-0000-000012280000}"/>
    <cellStyle name="표준 23 3 3 2 2 3 3 3 3" xfId="10289" xr:uid="{00000000-0005-0000-0000-000013280000}"/>
    <cellStyle name="표준 23 3 3 2 2 3 3 4" xfId="10290" xr:uid="{00000000-0005-0000-0000-000014280000}"/>
    <cellStyle name="표준 23 3 3 2 2 3 3 4 2" xfId="10291" xr:uid="{00000000-0005-0000-0000-000015280000}"/>
    <cellStyle name="표준 23 3 3 2 2 3 3 5" xfId="10292" xr:uid="{00000000-0005-0000-0000-000016280000}"/>
    <cellStyle name="표준 23 3 3 2 2 3 4" xfId="10293" xr:uid="{00000000-0005-0000-0000-000017280000}"/>
    <cellStyle name="표준 23 3 3 2 2 3 4 2" xfId="10294" xr:uid="{00000000-0005-0000-0000-000018280000}"/>
    <cellStyle name="표준 23 3 3 2 2 3 4 2 2" xfId="10295" xr:uid="{00000000-0005-0000-0000-000019280000}"/>
    <cellStyle name="표준 23 3 3 2 2 3 4 2 2 2" xfId="10296" xr:uid="{00000000-0005-0000-0000-00001A280000}"/>
    <cellStyle name="표준 23 3 3 2 2 3 4 2 3" xfId="10297" xr:uid="{00000000-0005-0000-0000-00001B280000}"/>
    <cellStyle name="표준 23 3 3 2 2 3 4 3" xfId="10298" xr:uid="{00000000-0005-0000-0000-00001C280000}"/>
    <cellStyle name="표준 23 3 3 2 2 3 4 3 2" xfId="10299" xr:uid="{00000000-0005-0000-0000-00001D280000}"/>
    <cellStyle name="표준 23 3 3 2 2 3 4 4" xfId="10300" xr:uid="{00000000-0005-0000-0000-00001E280000}"/>
    <cellStyle name="표준 23 3 3 2 2 3 5" xfId="10301" xr:uid="{00000000-0005-0000-0000-00001F280000}"/>
    <cellStyle name="표준 23 3 3 2 2 3 5 2" xfId="10302" xr:uid="{00000000-0005-0000-0000-000020280000}"/>
    <cellStyle name="표준 23 3 3 2 2 3 5 2 2" xfId="10303" xr:uid="{00000000-0005-0000-0000-000021280000}"/>
    <cellStyle name="표준 23 3 3 2 2 3 5 3" xfId="10304" xr:uid="{00000000-0005-0000-0000-000022280000}"/>
    <cellStyle name="표준 23 3 3 2 2 3 6" xfId="10305" xr:uid="{00000000-0005-0000-0000-000023280000}"/>
    <cellStyle name="표준 23 3 3 2 2 3 6 2" xfId="10306" xr:uid="{00000000-0005-0000-0000-000024280000}"/>
    <cellStyle name="표준 23 3 3 2 2 3 7" xfId="10307" xr:uid="{00000000-0005-0000-0000-000025280000}"/>
    <cellStyle name="표준 23 3 3 2 2 3 8" xfId="10308" xr:uid="{00000000-0005-0000-0000-000026280000}"/>
    <cellStyle name="표준 23 3 3 2 2 4" xfId="10309" xr:uid="{00000000-0005-0000-0000-000027280000}"/>
    <cellStyle name="표준 23 3 3 2 2 4 2" xfId="10310" xr:uid="{00000000-0005-0000-0000-000028280000}"/>
    <cellStyle name="표준 23 3 3 2 2 4 2 2" xfId="10311" xr:uid="{00000000-0005-0000-0000-000029280000}"/>
    <cellStyle name="표준 23 3 3 2 2 4 2 2 2" xfId="10312" xr:uid="{00000000-0005-0000-0000-00002A280000}"/>
    <cellStyle name="표준 23 3 3 2 2 4 2 2 2 2" xfId="10313" xr:uid="{00000000-0005-0000-0000-00002B280000}"/>
    <cellStyle name="표준 23 3 3 2 2 4 2 2 2 2 2" xfId="10314" xr:uid="{00000000-0005-0000-0000-00002C280000}"/>
    <cellStyle name="표준 23 3 3 2 2 4 2 2 2 3" xfId="10315" xr:uid="{00000000-0005-0000-0000-00002D280000}"/>
    <cellStyle name="표준 23 3 3 2 2 4 2 2 3" xfId="10316" xr:uid="{00000000-0005-0000-0000-00002E280000}"/>
    <cellStyle name="표준 23 3 3 2 2 4 2 2 3 2" xfId="10317" xr:uid="{00000000-0005-0000-0000-00002F280000}"/>
    <cellStyle name="표준 23 3 3 2 2 4 2 2 4" xfId="10318" xr:uid="{00000000-0005-0000-0000-000030280000}"/>
    <cellStyle name="표준 23 3 3 2 2 4 2 3" xfId="10319" xr:uid="{00000000-0005-0000-0000-000031280000}"/>
    <cellStyle name="표준 23 3 3 2 2 4 2 3 2" xfId="10320" xr:uid="{00000000-0005-0000-0000-000032280000}"/>
    <cellStyle name="표준 23 3 3 2 2 4 2 3 2 2" xfId="10321" xr:uid="{00000000-0005-0000-0000-000033280000}"/>
    <cellStyle name="표준 23 3 3 2 2 4 2 3 3" xfId="10322" xr:uid="{00000000-0005-0000-0000-000034280000}"/>
    <cellStyle name="표준 23 3 3 2 2 4 2 4" xfId="10323" xr:uid="{00000000-0005-0000-0000-000035280000}"/>
    <cellStyle name="표준 23 3 3 2 2 4 2 4 2" xfId="10324" xr:uid="{00000000-0005-0000-0000-000036280000}"/>
    <cellStyle name="표준 23 3 3 2 2 4 2 5" xfId="10325" xr:uid="{00000000-0005-0000-0000-000037280000}"/>
    <cellStyle name="표준 23 3 3 2 2 4 3" xfId="10326" xr:uid="{00000000-0005-0000-0000-000038280000}"/>
    <cellStyle name="표준 23 3 3 2 2 4 3 2" xfId="10327" xr:uid="{00000000-0005-0000-0000-000039280000}"/>
    <cellStyle name="표준 23 3 3 2 2 4 3 2 2" xfId="10328" xr:uid="{00000000-0005-0000-0000-00003A280000}"/>
    <cellStyle name="표준 23 3 3 2 2 4 3 2 2 2" xfId="10329" xr:uid="{00000000-0005-0000-0000-00003B280000}"/>
    <cellStyle name="표준 23 3 3 2 2 4 3 2 3" xfId="10330" xr:uid="{00000000-0005-0000-0000-00003C280000}"/>
    <cellStyle name="표준 23 3 3 2 2 4 3 3" xfId="10331" xr:uid="{00000000-0005-0000-0000-00003D280000}"/>
    <cellStyle name="표준 23 3 3 2 2 4 3 3 2" xfId="10332" xr:uid="{00000000-0005-0000-0000-00003E280000}"/>
    <cellStyle name="표준 23 3 3 2 2 4 3 4" xfId="10333" xr:uid="{00000000-0005-0000-0000-00003F280000}"/>
    <cellStyle name="표준 23 3 3 2 2 4 4" xfId="10334" xr:uid="{00000000-0005-0000-0000-000040280000}"/>
    <cellStyle name="표준 23 3 3 2 2 4 4 2" xfId="10335" xr:uid="{00000000-0005-0000-0000-000041280000}"/>
    <cellStyle name="표준 23 3 3 2 2 4 4 2 2" xfId="10336" xr:uid="{00000000-0005-0000-0000-000042280000}"/>
    <cellStyle name="표준 23 3 3 2 2 4 4 3" xfId="10337" xr:uid="{00000000-0005-0000-0000-000043280000}"/>
    <cellStyle name="표준 23 3 3 2 2 4 5" xfId="10338" xr:uid="{00000000-0005-0000-0000-000044280000}"/>
    <cellStyle name="표준 23 3 3 2 2 4 5 2" xfId="10339" xr:uid="{00000000-0005-0000-0000-000045280000}"/>
    <cellStyle name="표준 23 3 3 2 2 4 6" xfId="10340" xr:uid="{00000000-0005-0000-0000-000046280000}"/>
    <cellStyle name="표준 23 3 3 2 2 5" xfId="10341" xr:uid="{00000000-0005-0000-0000-000047280000}"/>
    <cellStyle name="표준 23 3 3 2 2 5 2" xfId="10342" xr:uid="{00000000-0005-0000-0000-000048280000}"/>
    <cellStyle name="표준 23 3 3 2 2 5 2 2" xfId="10343" xr:uid="{00000000-0005-0000-0000-000049280000}"/>
    <cellStyle name="표준 23 3 3 2 2 5 2 2 2" xfId="10344" xr:uid="{00000000-0005-0000-0000-00004A280000}"/>
    <cellStyle name="표준 23 3 3 2 2 5 2 2 2 2" xfId="10345" xr:uid="{00000000-0005-0000-0000-00004B280000}"/>
    <cellStyle name="표준 23 3 3 2 2 5 2 2 3" xfId="10346" xr:uid="{00000000-0005-0000-0000-00004C280000}"/>
    <cellStyle name="표준 23 3 3 2 2 5 2 3" xfId="10347" xr:uid="{00000000-0005-0000-0000-00004D280000}"/>
    <cellStyle name="표준 23 3 3 2 2 5 2 3 2" xfId="10348" xr:uid="{00000000-0005-0000-0000-00004E280000}"/>
    <cellStyle name="표준 23 3 3 2 2 5 2 4" xfId="10349" xr:uid="{00000000-0005-0000-0000-00004F280000}"/>
    <cellStyle name="표준 23 3 3 2 2 5 3" xfId="10350" xr:uid="{00000000-0005-0000-0000-000050280000}"/>
    <cellStyle name="표준 23 3 3 2 2 5 3 2" xfId="10351" xr:uid="{00000000-0005-0000-0000-000051280000}"/>
    <cellStyle name="표준 23 3 3 2 2 5 3 2 2" xfId="10352" xr:uid="{00000000-0005-0000-0000-000052280000}"/>
    <cellStyle name="표준 23 3 3 2 2 5 3 3" xfId="10353" xr:uid="{00000000-0005-0000-0000-000053280000}"/>
    <cellStyle name="표준 23 3 3 2 2 5 4" xfId="10354" xr:uid="{00000000-0005-0000-0000-000054280000}"/>
    <cellStyle name="표준 23 3 3 2 2 5 4 2" xfId="10355" xr:uid="{00000000-0005-0000-0000-000055280000}"/>
    <cellStyle name="표준 23 3 3 2 2 5 5" xfId="10356" xr:uid="{00000000-0005-0000-0000-000056280000}"/>
    <cellStyle name="표준 23 3 3 2 2 6" xfId="10357" xr:uid="{00000000-0005-0000-0000-000057280000}"/>
    <cellStyle name="표준 23 3 3 2 2 6 2" xfId="10358" xr:uid="{00000000-0005-0000-0000-000058280000}"/>
    <cellStyle name="표준 23 3 3 2 2 6 2 2" xfId="10359" xr:uid="{00000000-0005-0000-0000-000059280000}"/>
    <cellStyle name="표준 23 3 3 2 2 6 2 2 2" xfId="10360" xr:uid="{00000000-0005-0000-0000-00005A280000}"/>
    <cellStyle name="표준 23 3 3 2 2 6 2 3" xfId="10361" xr:uid="{00000000-0005-0000-0000-00005B280000}"/>
    <cellStyle name="표준 23 3 3 2 2 6 3" xfId="10362" xr:uid="{00000000-0005-0000-0000-00005C280000}"/>
    <cellStyle name="표준 23 3 3 2 2 6 3 2" xfId="10363" xr:uid="{00000000-0005-0000-0000-00005D280000}"/>
    <cellStyle name="표준 23 3 3 2 2 6 4" xfId="10364" xr:uid="{00000000-0005-0000-0000-00005E280000}"/>
    <cellStyle name="표준 23 3 3 2 2 7" xfId="10365" xr:uid="{00000000-0005-0000-0000-00005F280000}"/>
    <cellStyle name="표준 23 3 3 2 2 7 2" xfId="10366" xr:uid="{00000000-0005-0000-0000-000060280000}"/>
    <cellStyle name="표준 23 3 3 2 2 7 2 2" xfId="10367" xr:uid="{00000000-0005-0000-0000-000061280000}"/>
    <cellStyle name="표준 23 3 3 2 2 7 3" xfId="10368" xr:uid="{00000000-0005-0000-0000-000062280000}"/>
    <cellStyle name="표준 23 3 3 2 2 8" xfId="10369" xr:uid="{00000000-0005-0000-0000-000063280000}"/>
    <cellStyle name="표준 23 3 3 2 2 8 2" xfId="10370" xr:uid="{00000000-0005-0000-0000-000064280000}"/>
    <cellStyle name="표준 23 3 3 2 2 9" xfId="10371" xr:uid="{00000000-0005-0000-0000-000065280000}"/>
    <cellStyle name="표준 23 3 3 2 3" xfId="10372" xr:uid="{00000000-0005-0000-0000-000066280000}"/>
    <cellStyle name="표준 23 3 3 2 3 2" xfId="10373" xr:uid="{00000000-0005-0000-0000-000067280000}"/>
    <cellStyle name="표준 23 3 3 2 3 2 2" xfId="10374" xr:uid="{00000000-0005-0000-0000-000068280000}"/>
    <cellStyle name="표준 23 3 3 2 3 2 2 2" xfId="10375" xr:uid="{00000000-0005-0000-0000-000069280000}"/>
    <cellStyle name="표준 23 3 3 2 3 2 2 2 2" xfId="10376" xr:uid="{00000000-0005-0000-0000-00006A280000}"/>
    <cellStyle name="표준 23 3 3 2 3 2 2 2 2 2" xfId="10377" xr:uid="{00000000-0005-0000-0000-00006B280000}"/>
    <cellStyle name="표준 23 3 3 2 3 2 2 2 2 2 2" xfId="10378" xr:uid="{00000000-0005-0000-0000-00006C280000}"/>
    <cellStyle name="표준 23 3 3 2 3 2 2 2 2 2 2 2" xfId="10379" xr:uid="{00000000-0005-0000-0000-00006D280000}"/>
    <cellStyle name="표준 23 3 3 2 3 2 2 2 2 2 3" xfId="10380" xr:uid="{00000000-0005-0000-0000-00006E280000}"/>
    <cellStyle name="표준 23 3 3 2 3 2 2 2 2 3" xfId="10381" xr:uid="{00000000-0005-0000-0000-00006F280000}"/>
    <cellStyle name="표준 23 3 3 2 3 2 2 2 2 3 2" xfId="10382" xr:uid="{00000000-0005-0000-0000-000070280000}"/>
    <cellStyle name="표준 23 3 3 2 3 2 2 2 2 4" xfId="10383" xr:uid="{00000000-0005-0000-0000-000071280000}"/>
    <cellStyle name="표준 23 3 3 2 3 2 2 2 3" xfId="10384" xr:uid="{00000000-0005-0000-0000-000072280000}"/>
    <cellStyle name="표준 23 3 3 2 3 2 2 2 3 2" xfId="10385" xr:uid="{00000000-0005-0000-0000-000073280000}"/>
    <cellStyle name="표준 23 3 3 2 3 2 2 2 3 2 2" xfId="10386" xr:uid="{00000000-0005-0000-0000-000074280000}"/>
    <cellStyle name="표준 23 3 3 2 3 2 2 2 3 3" xfId="10387" xr:uid="{00000000-0005-0000-0000-000075280000}"/>
    <cellStyle name="표준 23 3 3 2 3 2 2 2 4" xfId="10388" xr:uid="{00000000-0005-0000-0000-000076280000}"/>
    <cellStyle name="표준 23 3 3 2 3 2 2 2 4 2" xfId="10389" xr:uid="{00000000-0005-0000-0000-000077280000}"/>
    <cellStyle name="표준 23 3 3 2 3 2 2 2 5" xfId="10390" xr:uid="{00000000-0005-0000-0000-000078280000}"/>
    <cellStyle name="표준 23 3 3 2 3 2 2 3" xfId="10391" xr:uid="{00000000-0005-0000-0000-000079280000}"/>
    <cellStyle name="표준 23 3 3 2 3 2 2 3 2" xfId="10392" xr:uid="{00000000-0005-0000-0000-00007A280000}"/>
    <cellStyle name="표준 23 3 3 2 3 2 2 3 2 2" xfId="10393" xr:uid="{00000000-0005-0000-0000-00007B280000}"/>
    <cellStyle name="표준 23 3 3 2 3 2 2 3 2 2 2" xfId="10394" xr:uid="{00000000-0005-0000-0000-00007C280000}"/>
    <cellStyle name="표준 23 3 3 2 3 2 2 3 2 3" xfId="10395" xr:uid="{00000000-0005-0000-0000-00007D280000}"/>
    <cellStyle name="표준 23 3 3 2 3 2 2 3 3" xfId="10396" xr:uid="{00000000-0005-0000-0000-00007E280000}"/>
    <cellStyle name="표준 23 3 3 2 3 2 2 3 3 2" xfId="10397" xr:uid="{00000000-0005-0000-0000-00007F280000}"/>
    <cellStyle name="표준 23 3 3 2 3 2 2 3 4" xfId="10398" xr:uid="{00000000-0005-0000-0000-000080280000}"/>
    <cellStyle name="표준 23 3 3 2 3 2 2 4" xfId="10399" xr:uid="{00000000-0005-0000-0000-000081280000}"/>
    <cellStyle name="표준 23 3 3 2 3 2 2 4 2" xfId="10400" xr:uid="{00000000-0005-0000-0000-000082280000}"/>
    <cellStyle name="표준 23 3 3 2 3 2 2 4 2 2" xfId="10401" xr:uid="{00000000-0005-0000-0000-000083280000}"/>
    <cellStyle name="표준 23 3 3 2 3 2 2 4 3" xfId="10402" xr:uid="{00000000-0005-0000-0000-000084280000}"/>
    <cellStyle name="표준 23 3 3 2 3 2 2 5" xfId="10403" xr:uid="{00000000-0005-0000-0000-000085280000}"/>
    <cellStyle name="표준 23 3 3 2 3 2 2 5 2" xfId="10404" xr:uid="{00000000-0005-0000-0000-000086280000}"/>
    <cellStyle name="표준 23 3 3 2 3 2 2 6" xfId="10405" xr:uid="{00000000-0005-0000-0000-000087280000}"/>
    <cellStyle name="표준 23 3 3 2 3 2 3" xfId="10406" xr:uid="{00000000-0005-0000-0000-000088280000}"/>
    <cellStyle name="표준 23 3 3 2 3 2 3 2" xfId="10407" xr:uid="{00000000-0005-0000-0000-000089280000}"/>
    <cellStyle name="표준 23 3 3 2 3 2 3 2 2" xfId="10408" xr:uid="{00000000-0005-0000-0000-00008A280000}"/>
    <cellStyle name="표준 23 3 3 2 3 2 3 2 2 2" xfId="10409" xr:uid="{00000000-0005-0000-0000-00008B280000}"/>
    <cellStyle name="표준 23 3 3 2 3 2 3 2 2 2 2" xfId="10410" xr:uid="{00000000-0005-0000-0000-00008C280000}"/>
    <cellStyle name="표준 23 3 3 2 3 2 3 2 2 3" xfId="10411" xr:uid="{00000000-0005-0000-0000-00008D280000}"/>
    <cellStyle name="표준 23 3 3 2 3 2 3 2 3" xfId="10412" xr:uid="{00000000-0005-0000-0000-00008E280000}"/>
    <cellStyle name="표준 23 3 3 2 3 2 3 2 3 2" xfId="10413" xr:uid="{00000000-0005-0000-0000-00008F280000}"/>
    <cellStyle name="표준 23 3 3 2 3 2 3 2 4" xfId="10414" xr:uid="{00000000-0005-0000-0000-000090280000}"/>
    <cellStyle name="표준 23 3 3 2 3 2 3 3" xfId="10415" xr:uid="{00000000-0005-0000-0000-000091280000}"/>
    <cellStyle name="표준 23 3 3 2 3 2 3 3 2" xfId="10416" xr:uid="{00000000-0005-0000-0000-000092280000}"/>
    <cellStyle name="표준 23 3 3 2 3 2 3 3 2 2" xfId="10417" xr:uid="{00000000-0005-0000-0000-000093280000}"/>
    <cellStyle name="표준 23 3 3 2 3 2 3 3 3" xfId="10418" xr:uid="{00000000-0005-0000-0000-000094280000}"/>
    <cellStyle name="표준 23 3 3 2 3 2 3 4" xfId="10419" xr:uid="{00000000-0005-0000-0000-000095280000}"/>
    <cellStyle name="표준 23 3 3 2 3 2 3 4 2" xfId="10420" xr:uid="{00000000-0005-0000-0000-000096280000}"/>
    <cellStyle name="표준 23 3 3 2 3 2 3 5" xfId="10421" xr:uid="{00000000-0005-0000-0000-000097280000}"/>
    <cellStyle name="표준 23 3 3 2 3 2 4" xfId="10422" xr:uid="{00000000-0005-0000-0000-000098280000}"/>
    <cellStyle name="표준 23 3 3 2 3 2 4 2" xfId="10423" xr:uid="{00000000-0005-0000-0000-000099280000}"/>
    <cellStyle name="표준 23 3 3 2 3 2 4 2 2" xfId="10424" xr:uid="{00000000-0005-0000-0000-00009A280000}"/>
    <cellStyle name="표준 23 3 3 2 3 2 4 2 2 2" xfId="10425" xr:uid="{00000000-0005-0000-0000-00009B280000}"/>
    <cellStyle name="표준 23 3 3 2 3 2 4 2 3" xfId="10426" xr:uid="{00000000-0005-0000-0000-00009C280000}"/>
    <cellStyle name="표준 23 3 3 2 3 2 4 3" xfId="10427" xr:uid="{00000000-0005-0000-0000-00009D280000}"/>
    <cellStyle name="표준 23 3 3 2 3 2 4 3 2" xfId="10428" xr:uid="{00000000-0005-0000-0000-00009E280000}"/>
    <cellStyle name="표준 23 3 3 2 3 2 4 4" xfId="10429" xr:uid="{00000000-0005-0000-0000-00009F280000}"/>
    <cellStyle name="표준 23 3 3 2 3 2 5" xfId="10430" xr:uid="{00000000-0005-0000-0000-0000A0280000}"/>
    <cellStyle name="표준 23 3 3 2 3 2 5 2" xfId="10431" xr:uid="{00000000-0005-0000-0000-0000A1280000}"/>
    <cellStyle name="표준 23 3 3 2 3 2 5 2 2" xfId="10432" xr:uid="{00000000-0005-0000-0000-0000A2280000}"/>
    <cellStyle name="표준 23 3 3 2 3 2 5 3" xfId="10433" xr:uid="{00000000-0005-0000-0000-0000A3280000}"/>
    <cellStyle name="표준 23 3 3 2 3 2 6" xfId="10434" xr:uid="{00000000-0005-0000-0000-0000A4280000}"/>
    <cellStyle name="표준 23 3 3 2 3 2 6 2" xfId="10435" xr:uid="{00000000-0005-0000-0000-0000A5280000}"/>
    <cellStyle name="표준 23 3 3 2 3 2 7" xfId="10436" xr:uid="{00000000-0005-0000-0000-0000A6280000}"/>
    <cellStyle name="표준 23 3 3 2 3 2 8" xfId="10437" xr:uid="{00000000-0005-0000-0000-0000A7280000}"/>
    <cellStyle name="표준 23 3 3 2 3 3" xfId="10438" xr:uid="{00000000-0005-0000-0000-0000A8280000}"/>
    <cellStyle name="표준 23 3 3 2 3 3 2" xfId="10439" xr:uid="{00000000-0005-0000-0000-0000A9280000}"/>
    <cellStyle name="표준 23 3 3 2 3 3 2 2" xfId="10440" xr:uid="{00000000-0005-0000-0000-0000AA280000}"/>
    <cellStyle name="표준 23 3 3 2 3 3 2 2 2" xfId="10441" xr:uid="{00000000-0005-0000-0000-0000AB280000}"/>
    <cellStyle name="표준 23 3 3 2 3 3 2 2 2 2" xfId="10442" xr:uid="{00000000-0005-0000-0000-0000AC280000}"/>
    <cellStyle name="표준 23 3 3 2 3 3 2 2 2 2 2" xfId="10443" xr:uid="{00000000-0005-0000-0000-0000AD280000}"/>
    <cellStyle name="표준 23 3 3 2 3 3 2 2 2 3" xfId="10444" xr:uid="{00000000-0005-0000-0000-0000AE280000}"/>
    <cellStyle name="표준 23 3 3 2 3 3 2 2 3" xfId="10445" xr:uid="{00000000-0005-0000-0000-0000AF280000}"/>
    <cellStyle name="표준 23 3 3 2 3 3 2 2 3 2" xfId="10446" xr:uid="{00000000-0005-0000-0000-0000B0280000}"/>
    <cellStyle name="표준 23 3 3 2 3 3 2 2 4" xfId="10447" xr:uid="{00000000-0005-0000-0000-0000B1280000}"/>
    <cellStyle name="표준 23 3 3 2 3 3 2 3" xfId="10448" xr:uid="{00000000-0005-0000-0000-0000B2280000}"/>
    <cellStyle name="표준 23 3 3 2 3 3 2 3 2" xfId="10449" xr:uid="{00000000-0005-0000-0000-0000B3280000}"/>
    <cellStyle name="표준 23 3 3 2 3 3 2 3 2 2" xfId="10450" xr:uid="{00000000-0005-0000-0000-0000B4280000}"/>
    <cellStyle name="표준 23 3 3 2 3 3 2 3 3" xfId="10451" xr:uid="{00000000-0005-0000-0000-0000B5280000}"/>
    <cellStyle name="표준 23 3 3 2 3 3 2 4" xfId="10452" xr:uid="{00000000-0005-0000-0000-0000B6280000}"/>
    <cellStyle name="표준 23 3 3 2 3 3 2 4 2" xfId="10453" xr:uid="{00000000-0005-0000-0000-0000B7280000}"/>
    <cellStyle name="표준 23 3 3 2 3 3 2 5" xfId="10454" xr:uid="{00000000-0005-0000-0000-0000B8280000}"/>
    <cellStyle name="표준 23 3 3 2 3 3 3" xfId="10455" xr:uid="{00000000-0005-0000-0000-0000B9280000}"/>
    <cellStyle name="표준 23 3 3 2 3 3 3 2" xfId="10456" xr:uid="{00000000-0005-0000-0000-0000BA280000}"/>
    <cellStyle name="표준 23 3 3 2 3 3 3 2 2" xfId="10457" xr:uid="{00000000-0005-0000-0000-0000BB280000}"/>
    <cellStyle name="표준 23 3 3 2 3 3 3 2 2 2" xfId="10458" xr:uid="{00000000-0005-0000-0000-0000BC280000}"/>
    <cellStyle name="표준 23 3 3 2 3 3 3 2 3" xfId="10459" xr:uid="{00000000-0005-0000-0000-0000BD280000}"/>
    <cellStyle name="표준 23 3 3 2 3 3 3 3" xfId="10460" xr:uid="{00000000-0005-0000-0000-0000BE280000}"/>
    <cellStyle name="표준 23 3 3 2 3 3 3 3 2" xfId="10461" xr:uid="{00000000-0005-0000-0000-0000BF280000}"/>
    <cellStyle name="표준 23 3 3 2 3 3 3 4" xfId="10462" xr:uid="{00000000-0005-0000-0000-0000C0280000}"/>
    <cellStyle name="표준 23 3 3 2 3 3 4" xfId="10463" xr:uid="{00000000-0005-0000-0000-0000C1280000}"/>
    <cellStyle name="표준 23 3 3 2 3 3 4 2" xfId="10464" xr:uid="{00000000-0005-0000-0000-0000C2280000}"/>
    <cellStyle name="표준 23 3 3 2 3 3 4 2 2" xfId="10465" xr:uid="{00000000-0005-0000-0000-0000C3280000}"/>
    <cellStyle name="표준 23 3 3 2 3 3 4 3" xfId="10466" xr:uid="{00000000-0005-0000-0000-0000C4280000}"/>
    <cellStyle name="표준 23 3 3 2 3 3 5" xfId="10467" xr:uid="{00000000-0005-0000-0000-0000C5280000}"/>
    <cellStyle name="표준 23 3 3 2 3 3 5 2" xfId="10468" xr:uid="{00000000-0005-0000-0000-0000C6280000}"/>
    <cellStyle name="표준 23 3 3 2 3 3 6" xfId="10469" xr:uid="{00000000-0005-0000-0000-0000C7280000}"/>
    <cellStyle name="표준 23 3 3 2 3 4" xfId="10470" xr:uid="{00000000-0005-0000-0000-0000C8280000}"/>
    <cellStyle name="표준 23 3 3 2 3 4 2" xfId="10471" xr:uid="{00000000-0005-0000-0000-0000C9280000}"/>
    <cellStyle name="표준 23 3 3 2 3 4 2 2" xfId="10472" xr:uid="{00000000-0005-0000-0000-0000CA280000}"/>
    <cellStyle name="표준 23 3 3 2 3 4 2 2 2" xfId="10473" xr:uid="{00000000-0005-0000-0000-0000CB280000}"/>
    <cellStyle name="표준 23 3 3 2 3 4 2 2 2 2" xfId="10474" xr:uid="{00000000-0005-0000-0000-0000CC280000}"/>
    <cellStyle name="표준 23 3 3 2 3 4 2 2 3" xfId="10475" xr:uid="{00000000-0005-0000-0000-0000CD280000}"/>
    <cellStyle name="표준 23 3 3 2 3 4 2 3" xfId="10476" xr:uid="{00000000-0005-0000-0000-0000CE280000}"/>
    <cellStyle name="표준 23 3 3 2 3 4 2 3 2" xfId="10477" xr:uid="{00000000-0005-0000-0000-0000CF280000}"/>
    <cellStyle name="표준 23 3 3 2 3 4 2 4" xfId="10478" xr:uid="{00000000-0005-0000-0000-0000D0280000}"/>
    <cellStyle name="표준 23 3 3 2 3 4 3" xfId="10479" xr:uid="{00000000-0005-0000-0000-0000D1280000}"/>
    <cellStyle name="표준 23 3 3 2 3 4 3 2" xfId="10480" xr:uid="{00000000-0005-0000-0000-0000D2280000}"/>
    <cellStyle name="표준 23 3 3 2 3 4 3 2 2" xfId="10481" xr:uid="{00000000-0005-0000-0000-0000D3280000}"/>
    <cellStyle name="표준 23 3 3 2 3 4 3 3" xfId="10482" xr:uid="{00000000-0005-0000-0000-0000D4280000}"/>
    <cellStyle name="표준 23 3 3 2 3 4 4" xfId="10483" xr:uid="{00000000-0005-0000-0000-0000D5280000}"/>
    <cellStyle name="표준 23 3 3 2 3 4 4 2" xfId="10484" xr:uid="{00000000-0005-0000-0000-0000D6280000}"/>
    <cellStyle name="표준 23 3 3 2 3 4 5" xfId="10485" xr:uid="{00000000-0005-0000-0000-0000D7280000}"/>
    <cellStyle name="표준 23 3 3 2 3 5" xfId="10486" xr:uid="{00000000-0005-0000-0000-0000D8280000}"/>
    <cellStyle name="표준 23 3 3 2 3 5 2" xfId="10487" xr:uid="{00000000-0005-0000-0000-0000D9280000}"/>
    <cellStyle name="표준 23 3 3 2 3 5 2 2" xfId="10488" xr:uid="{00000000-0005-0000-0000-0000DA280000}"/>
    <cellStyle name="표준 23 3 3 2 3 5 2 2 2" xfId="10489" xr:uid="{00000000-0005-0000-0000-0000DB280000}"/>
    <cellStyle name="표준 23 3 3 2 3 5 2 3" xfId="10490" xr:uid="{00000000-0005-0000-0000-0000DC280000}"/>
    <cellStyle name="표준 23 3 3 2 3 5 3" xfId="10491" xr:uid="{00000000-0005-0000-0000-0000DD280000}"/>
    <cellStyle name="표준 23 3 3 2 3 5 3 2" xfId="10492" xr:uid="{00000000-0005-0000-0000-0000DE280000}"/>
    <cellStyle name="표준 23 3 3 2 3 5 4" xfId="10493" xr:uid="{00000000-0005-0000-0000-0000DF280000}"/>
    <cellStyle name="표준 23 3 3 2 3 6" xfId="10494" xr:uid="{00000000-0005-0000-0000-0000E0280000}"/>
    <cellStyle name="표준 23 3 3 2 3 6 2" xfId="10495" xr:uid="{00000000-0005-0000-0000-0000E1280000}"/>
    <cellStyle name="표준 23 3 3 2 3 6 2 2" xfId="10496" xr:uid="{00000000-0005-0000-0000-0000E2280000}"/>
    <cellStyle name="표준 23 3 3 2 3 6 3" xfId="10497" xr:uid="{00000000-0005-0000-0000-0000E3280000}"/>
    <cellStyle name="표준 23 3 3 2 3 7" xfId="10498" xr:uid="{00000000-0005-0000-0000-0000E4280000}"/>
    <cellStyle name="표준 23 3 3 2 3 7 2" xfId="10499" xr:uid="{00000000-0005-0000-0000-0000E5280000}"/>
    <cellStyle name="표준 23 3 3 2 3 8" xfId="10500" xr:uid="{00000000-0005-0000-0000-0000E6280000}"/>
    <cellStyle name="표준 23 3 3 2 3 9" xfId="10501" xr:uid="{00000000-0005-0000-0000-0000E7280000}"/>
    <cellStyle name="표준 23 3 3 2 4" xfId="10502" xr:uid="{00000000-0005-0000-0000-0000E8280000}"/>
    <cellStyle name="표준 23 3 3 2 4 2" xfId="10503" xr:uid="{00000000-0005-0000-0000-0000E9280000}"/>
    <cellStyle name="표준 23 3 3 2 4 2 2" xfId="10504" xr:uid="{00000000-0005-0000-0000-0000EA280000}"/>
    <cellStyle name="표준 23 3 3 2 4 2 2 2" xfId="10505" xr:uid="{00000000-0005-0000-0000-0000EB280000}"/>
    <cellStyle name="표준 23 3 3 2 4 2 2 2 2" xfId="10506" xr:uid="{00000000-0005-0000-0000-0000EC280000}"/>
    <cellStyle name="표준 23 3 3 2 4 2 2 2 2 2" xfId="10507" xr:uid="{00000000-0005-0000-0000-0000ED280000}"/>
    <cellStyle name="표준 23 3 3 2 4 2 2 2 2 2 2" xfId="10508" xr:uid="{00000000-0005-0000-0000-0000EE280000}"/>
    <cellStyle name="표준 23 3 3 2 4 2 2 2 2 3" xfId="10509" xr:uid="{00000000-0005-0000-0000-0000EF280000}"/>
    <cellStyle name="표준 23 3 3 2 4 2 2 2 3" xfId="10510" xr:uid="{00000000-0005-0000-0000-0000F0280000}"/>
    <cellStyle name="표준 23 3 3 2 4 2 2 2 3 2" xfId="10511" xr:uid="{00000000-0005-0000-0000-0000F1280000}"/>
    <cellStyle name="표준 23 3 3 2 4 2 2 2 4" xfId="10512" xr:uid="{00000000-0005-0000-0000-0000F2280000}"/>
    <cellStyle name="표준 23 3 3 2 4 2 2 3" xfId="10513" xr:uid="{00000000-0005-0000-0000-0000F3280000}"/>
    <cellStyle name="표준 23 3 3 2 4 2 2 3 2" xfId="10514" xr:uid="{00000000-0005-0000-0000-0000F4280000}"/>
    <cellStyle name="표준 23 3 3 2 4 2 2 3 2 2" xfId="10515" xr:uid="{00000000-0005-0000-0000-0000F5280000}"/>
    <cellStyle name="표준 23 3 3 2 4 2 2 3 3" xfId="10516" xr:uid="{00000000-0005-0000-0000-0000F6280000}"/>
    <cellStyle name="표준 23 3 3 2 4 2 2 4" xfId="10517" xr:uid="{00000000-0005-0000-0000-0000F7280000}"/>
    <cellStyle name="표준 23 3 3 2 4 2 2 4 2" xfId="10518" xr:uid="{00000000-0005-0000-0000-0000F8280000}"/>
    <cellStyle name="표준 23 3 3 2 4 2 2 5" xfId="10519" xr:uid="{00000000-0005-0000-0000-0000F9280000}"/>
    <cellStyle name="표준 23 3 3 2 4 2 3" xfId="10520" xr:uid="{00000000-0005-0000-0000-0000FA280000}"/>
    <cellStyle name="표준 23 3 3 2 4 2 3 2" xfId="10521" xr:uid="{00000000-0005-0000-0000-0000FB280000}"/>
    <cellStyle name="표준 23 3 3 2 4 2 3 2 2" xfId="10522" xr:uid="{00000000-0005-0000-0000-0000FC280000}"/>
    <cellStyle name="표준 23 3 3 2 4 2 3 2 2 2" xfId="10523" xr:uid="{00000000-0005-0000-0000-0000FD280000}"/>
    <cellStyle name="표준 23 3 3 2 4 2 3 2 3" xfId="10524" xr:uid="{00000000-0005-0000-0000-0000FE280000}"/>
    <cellStyle name="표준 23 3 3 2 4 2 3 3" xfId="10525" xr:uid="{00000000-0005-0000-0000-0000FF280000}"/>
    <cellStyle name="표준 23 3 3 2 4 2 3 3 2" xfId="10526" xr:uid="{00000000-0005-0000-0000-000000290000}"/>
    <cellStyle name="표준 23 3 3 2 4 2 3 4" xfId="10527" xr:uid="{00000000-0005-0000-0000-000001290000}"/>
    <cellStyle name="표준 23 3 3 2 4 2 4" xfId="10528" xr:uid="{00000000-0005-0000-0000-000002290000}"/>
    <cellStyle name="표준 23 3 3 2 4 2 4 2" xfId="10529" xr:uid="{00000000-0005-0000-0000-000003290000}"/>
    <cellStyle name="표준 23 3 3 2 4 2 4 2 2" xfId="10530" xr:uid="{00000000-0005-0000-0000-000004290000}"/>
    <cellStyle name="표준 23 3 3 2 4 2 4 3" xfId="10531" xr:uid="{00000000-0005-0000-0000-000005290000}"/>
    <cellStyle name="표준 23 3 3 2 4 2 5" xfId="10532" xr:uid="{00000000-0005-0000-0000-000006290000}"/>
    <cellStyle name="표준 23 3 3 2 4 2 5 2" xfId="10533" xr:uid="{00000000-0005-0000-0000-000007290000}"/>
    <cellStyle name="표준 23 3 3 2 4 2 6" xfId="10534" xr:uid="{00000000-0005-0000-0000-000008290000}"/>
    <cellStyle name="표준 23 3 3 2 4 3" xfId="10535" xr:uid="{00000000-0005-0000-0000-000009290000}"/>
    <cellStyle name="표준 23 3 3 2 4 3 2" xfId="10536" xr:uid="{00000000-0005-0000-0000-00000A290000}"/>
    <cellStyle name="표준 23 3 3 2 4 3 2 2" xfId="10537" xr:uid="{00000000-0005-0000-0000-00000B290000}"/>
    <cellStyle name="표준 23 3 3 2 4 3 2 2 2" xfId="10538" xr:uid="{00000000-0005-0000-0000-00000C290000}"/>
    <cellStyle name="표준 23 3 3 2 4 3 2 2 2 2" xfId="10539" xr:uid="{00000000-0005-0000-0000-00000D290000}"/>
    <cellStyle name="표준 23 3 3 2 4 3 2 2 3" xfId="10540" xr:uid="{00000000-0005-0000-0000-00000E290000}"/>
    <cellStyle name="표준 23 3 3 2 4 3 2 3" xfId="10541" xr:uid="{00000000-0005-0000-0000-00000F290000}"/>
    <cellStyle name="표준 23 3 3 2 4 3 2 3 2" xfId="10542" xr:uid="{00000000-0005-0000-0000-000010290000}"/>
    <cellStyle name="표준 23 3 3 2 4 3 2 4" xfId="10543" xr:uid="{00000000-0005-0000-0000-000011290000}"/>
    <cellStyle name="표준 23 3 3 2 4 3 3" xfId="10544" xr:uid="{00000000-0005-0000-0000-000012290000}"/>
    <cellStyle name="표준 23 3 3 2 4 3 3 2" xfId="10545" xr:uid="{00000000-0005-0000-0000-000013290000}"/>
    <cellStyle name="표준 23 3 3 2 4 3 3 2 2" xfId="10546" xr:uid="{00000000-0005-0000-0000-000014290000}"/>
    <cellStyle name="표준 23 3 3 2 4 3 3 3" xfId="10547" xr:uid="{00000000-0005-0000-0000-000015290000}"/>
    <cellStyle name="표준 23 3 3 2 4 3 4" xfId="10548" xr:uid="{00000000-0005-0000-0000-000016290000}"/>
    <cellStyle name="표준 23 3 3 2 4 3 4 2" xfId="10549" xr:uid="{00000000-0005-0000-0000-000017290000}"/>
    <cellStyle name="표준 23 3 3 2 4 3 5" xfId="10550" xr:uid="{00000000-0005-0000-0000-000018290000}"/>
    <cellStyle name="표준 23 3 3 2 4 4" xfId="10551" xr:uid="{00000000-0005-0000-0000-000019290000}"/>
    <cellStyle name="표준 23 3 3 2 4 4 2" xfId="10552" xr:uid="{00000000-0005-0000-0000-00001A290000}"/>
    <cellStyle name="표준 23 3 3 2 4 4 2 2" xfId="10553" xr:uid="{00000000-0005-0000-0000-00001B290000}"/>
    <cellStyle name="표준 23 3 3 2 4 4 2 2 2" xfId="10554" xr:uid="{00000000-0005-0000-0000-00001C290000}"/>
    <cellStyle name="표준 23 3 3 2 4 4 2 3" xfId="10555" xr:uid="{00000000-0005-0000-0000-00001D290000}"/>
    <cellStyle name="표준 23 3 3 2 4 4 3" xfId="10556" xr:uid="{00000000-0005-0000-0000-00001E290000}"/>
    <cellStyle name="표준 23 3 3 2 4 4 3 2" xfId="10557" xr:uid="{00000000-0005-0000-0000-00001F290000}"/>
    <cellStyle name="표준 23 3 3 2 4 4 4" xfId="10558" xr:uid="{00000000-0005-0000-0000-000020290000}"/>
    <cellStyle name="표준 23 3 3 2 4 5" xfId="10559" xr:uid="{00000000-0005-0000-0000-000021290000}"/>
    <cellStyle name="표준 23 3 3 2 4 5 2" xfId="10560" xr:uid="{00000000-0005-0000-0000-000022290000}"/>
    <cellStyle name="표준 23 3 3 2 4 5 2 2" xfId="10561" xr:uid="{00000000-0005-0000-0000-000023290000}"/>
    <cellStyle name="표준 23 3 3 2 4 5 3" xfId="10562" xr:uid="{00000000-0005-0000-0000-000024290000}"/>
    <cellStyle name="표준 23 3 3 2 4 6" xfId="10563" xr:uid="{00000000-0005-0000-0000-000025290000}"/>
    <cellStyle name="표준 23 3 3 2 4 6 2" xfId="10564" xr:uid="{00000000-0005-0000-0000-000026290000}"/>
    <cellStyle name="표준 23 3 3 2 4 7" xfId="10565" xr:uid="{00000000-0005-0000-0000-000027290000}"/>
    <cellStyle name="표준 23 3 3 2 4 8" xfId="10566" xr:uid="{00000000-0005-0000-0000-000028290000}"/>
    <cellStyle name="표준 23 3 3 2 5" xfId="10567" xr:uid="{00000000-0005-0000-0000-000029290000}"/>
    <cellStyle name="표준 23 3 3 2 5 2" xfId="10568" xr:uid="{00000000-0005-0000-0000-00002A290000}"/>
    <cellStyle name="표준 23 3 3 2 5 2 2" xfId="10569" xr:uid="{00000000-0005-0000-0000-00002B290000}"/>
    <cellStyle name="표준 23 3 3 2 5 2 2 2" xfId="10570" xr:uid="{00000000-0005-0000-0000-00002C290000}"/>
    <cellStyle name="표준 23 3 3 2 5 2 2 2 2" xfId="10571" xr:uid="{00000000-0005-0000-0000-00002D290000}"/>
    <cellStyle name="표준 23 3 3 2 5 2 2 2 2 2" xfId="10572" xr:uid="{00000000-0005-0000-0000-00002E290000}"/>
    <cellStyle name="표준 23 3 3 2 5 2 2 2 3" xfId="10573" xr:uid="{00000000-0005-0000-0000-00002F290000}"/>
    <cellStyle name="표준 23 3 3 2 5 2 2 3" xfId="10574" xr:uid="{00000000-0005-0000-0000-000030290000}"/>
    <cellStyle name="표준 23 3 3 2 5 2 2 3 2" xfId="10575" xr:uid="{00000000-0005-0000-0000-000031290000}"/>
    <cellStyle name="표준 23 3 3 2 5 2 2 4" xfId="10576" xr:uid="{00000000-0005-0000-0000-000032290000}"/>
    <cellStyle name="표준 23 3 3 2 5 2 3" xfId="10577" xr:uid="{00000000-0005-0000-0000-000033290000}"/>
    <cellStyle name="표준 23 3 3 2 5 2 3 2" xfId="10578" xr:uid="{00000000-0005-0000-0000-000034290000}"/>
    <cellStyle name="표준 23 3 3 2 5 2 3 2 2" xfId="10579" xr:uid="{00000000-0005-0000-0000-000035290000}"/>
    <cellStyle name="표준 23 3 3 2 5 2 3 3" xfId="10580" xr:uid="{00000000-0005-0000-0000-000036290000}"/>
    <cellStyle name="표준 23 3 3 2 5 2 4" xfId="10581" xr:uid="{00000000-0005-0000-0000-000037290000}"/>
    <cellStyle name="표준 23 3 3 2 5 2 4 2" xfId="10582" xr:uid="{00000000-0005-0000-0000-000038290000}"/>
    <cellStyle name="표준 23 3 3 2 5 2 5" xfId="10583" xr:uid="{00000000-0005-0000-0000-000039290000}"/>
    <cellStyle name="표준 23 3 3 2 5 3" xfId="10584" xr:uid="{00000000-0005-0000-0000-00003A290000}"/>
    <cellStyle name="표준 23 3 3 2 5 3 2" xfId="10585" xr:uid="{00000000-0005-0000-0000-00003B290000}"/>
    <cellStyle name="표준 23 3 3 2 5 3 2 2" xfId="10586" xr:uid="{00000000-0005-0000-0000-00003C290000}"/>
    <cellStyle name="표준 23 3 3 2 5 3 2 2 2" xfId="10587" xr:uid="{00000000-0005-0000-0000-00003D290000}"/>
    <cellStyle name="표준 23 3 3 2 5 3 2 3" xfId="10588" xr:uid="{00000000-0005-0000-0000-00003E290000}"/>
    <cellStyle name="표준 23 3 3 2 5 3 3" xfId="10589" xr:uid="{00000000-0005-0000-0000-00003F290000}"/>
    <cellStyle name="표준 23 3 3 2 5 3 3 2" xfId="10590" xr:uid="{00000000-0005-0000-0000-000040290000}"/>
    <cellStyle name="표준 23 3 3 2 5 3 4" xfId="10591" xr:uid="{00000000-0005-0000-0000-000041290000}"/>
    <cellStyle name="표준 23 3 3 2 5 4" xfId="10592" xr:uid="{00000000-0005-0000-0000-000042290000}"/>
    <cellStyle name="표준 23 3 3 2 5 4 2" xfId="10593" xr:uid="{00000000-0005-0000-0000-000043290000}"/>
    <cellStyle name="표준 23 3 3 2 5 4 2 2" xfId="10594" xr:uid="{00000000-0005-0000-0000-000044290000}"/>
    <cellStyle name="표준 23 3 3 2 5 4 3" xfId="10595" xr:uid="{00000000-0005-0000-0000-000045290000}"/>
    <cellStyle name="표준 23 3 3 2 5 5" xfId="10596" xr:uid="{00000000-0005-0000-0000-000046290000}"/>
    <cellStyle name="표준 23 3 3 2 5 5 2" xfId="10597" xr:uid="{00000000-0005-0000-0000-000047290000}"/>
    <cellStyle name="표준 23 3 3 2 5 6" xfId="10598" xr:uid="{00000000-0005-0000-0000-000048290000}"/>
    <cellStyle name="표준 23 3 3 2 6" xfId="10599" xr:uid="{00000000-0005-0000-0000-000049290000}"/>
    <cellStyle name="표준 23 3 3 2 6 2" xfId="10600" xr:uid="{00000000-0005-0000-0000-00004A290000}"/>
    <cellStyle name="표준 23 3 3 2 6 2 2" xfId="10601" xr:uid="{00000000-0005-0000-0000-00004B290000}"/>
    <cellStyle name="표준 23 3 3 2 6 2 2 2" xfId="10602" xr:uid="{00000000-0005-0000-0000-00004C290000}"/>
    <cellStyle name="표준 23 3 3 2 6 2 2 2 2" xfId="10603" xr:uid="{00000000-0005-0000-0000-00004D290000}"/>
    <cellStyle name="표준 23 3 3 2 6 2 2 3" xfId="10604" xr:uid="{00000000-0005-0000-0000-00004E290000}"/>
    <cellStyle name="표준 23 3 3 2 6 2 3" xfId="10605" xr:uid="{00000000-0005-0000-0000-00004F290000}"/>
    <cellStyle name="표준 23 3 3 2 6 2 3 2" xfId="10606" xr:uid="{00000000-0005-0000-0000-000050290000}"/>
    <cellStyle name="표준 23 3 3 2 6 2 4" xfId="10607" xr:uid="{00000000-0005-0000-0000-000051290000}"/>
    <cellStyle name="표준 23 3 3 2 6 3" xfId="10608" xr:uid="{00000000-0005-0000-0000-000052290000}"/>
    <cellStyle name="표준 23 3 3 2 6 3 2" xfId="10609" xr:uid="{00000000-0005-0000-0000-000053290000}"/>
    <cellStyle name="표준 23 3 3 2 6 3 2 2" xfId="10610" xr:uid="{00000000-0005-0000-0000-000054290000}"/>
    <cellStyle name="표준 23 3 3 2 6 3 3" xfId="10611" xr:uid="{00000000-0005-0000-0000-000055290000}"/>
    <cellStyle name="표준 23 3 3 2 6 4" xfId="10612" xr:uid="{00000000-0005-0000-0000-000056290000}"/>
    <cellStyle name="표준 23 3 3 2 6 4 2" xfId="10613" xr:uid="{00000000-0005-0000-0000-000057290000}"/>
    <cellStyle name="표준 23 3 3 2 6 5" xfId="10614" xr:uid="{00000000-0005-0000-0000-000058290000}"/>
    <cellStyle name="표준 23 3 3 2 7" xfId="10615" xr:uid="{00000000-0005-0000-0000-000059290000}"/>
    <cellStyle name="표준 23 3 3 2 7 2" xfId="10616" xr:uid="{00000000-0005-0000-0000-00005A290000}"/>
    <cellStyle name="표준 23 3 3 2 7 2 2" xfId="10617" xr:uid="{00000000-0005-0000-0000-00005B290000}"/>
    <cellStyle name="표준 23 3 3 2 7 2 2 2" xfId="10618" xr:uid="{00000000-0005-0000-0000-00005C290000}"/>
    <cellStyle name="표준 23 3 3 2 7 2 3" xfId="10619" xr:uid="{00000000-0005-0000-0000-00005D290000}"/>
    <cellStyle name="표준 23 3 3 2 7 3" xfId="10620" xr:uid="{00000000-0005-0000-0000-00005E290000}"/>
    <cellStyle name="표준 23 3 3 2 7 3 2" xfId="10621" xr:uid="{00000000-0005-0000-0000-00005F290000}"/>
    <cellStyle name="표준 23 3 3 2 7 4" xfId="10622" xr:uid="{00000000-0005-0000-0000-000060290000}"/>
    <cellStyle name="표준 23 3 3 2 8" xfId="10623" xr:uid="{00000000-0005-0000-0000-000061290000}"/>
    <cellStyle name="표준 23 3 3 2 8 2" xfId="10624" xr:uid="{00000000-0005-0000-0000-000062290000}"/>
    <cellStyle name="표준 23 3 3 2 8 2 2" xfId="10625" xr:uid="{00000000-0005-0000-0000-000063290000}"/>
    <cellStyle name="표준 23 3 3 2 8 3" xfId="10626" xr:uid="{00000000-0005-0000-0000-000064290000}"/>
    <cellStyle name="표준 23 3 3 2 9" xfId="10627" xr:uid="{00000000-0005-0000-0000-000065290000}"/>
    <cellStyle name="표준 23 3 3 2 9 2" xfId="10628" xr:uid="{00000000-0005-0000-0000-000066290000}"/>
    <cellStyle name="표준 23 3 3 3" xfId="10629" xr:uid="{00000000-0005-0000-0000-000067290000}"/>
    <cellStyle name="표준 23 3 3 3 10" xfId="10630" xr:uid="{00000000-0005-0000-0000-000068290000}"/>
    <cellStyle name="표준 23 3 3 3 2" xfId="10631" xr:uid="{00000000-0005-0000-0000-000069290000}"/>
    <cellStyle name="표준 23 3 3 3 2 2" xfId="10632" xr:uid="{00000000-0005-0000-0000-00006A290000}"/>
    <cellStyle name="표준 23 3 3 3 2 2 2" xfId="10633" xr:uid="{00000000-0005-0000-0000-00006B290000}"/>
    <cellStyle name="표준 23 3 3 3 2 2 2 2" xfId="10634" xr:uid="{00000000-0005-0000-0000-00006C290000}"/>
    <cellStyle name="표준 23 3 3 3 2 2 2 2 2" xfId="10635" xr:uid="{00000000-0005-0000-0000-00006D290000}"/>
    <cellStyle name="표준 23 3 3 3 2 2 2 2 2 2" xfId="10636" xr:uid="{00000000-0005-0000-0000-00006E290000}"/>
    <cellStyle name="표준 23 3 3 3 2 2 2 2 2 2 2" xfId="10637" xr:uid="{00000000-0005-0000-0000-00006F290000}"/>
    <cellStyle name="표준 23 3 3 3 2 2 2 2 2 2 2 2" xfId="10638" xr:uid="{00000000-0005-0000-0000-000070290000}"/>
    <cellStyle name="표준 23 3 3 3 2 2 2 2 2 2 3" xfId="10639" xr:uid="{00000000-0005-0000-0000-000071290000}"/>
    <cellStyle name="표준 23 3 3 3 2 2 2 2 2 3" xfId="10640" xr:uid="{00000000-0005-0000-0000-000072290000}"/>
    <cellStyle name="표준 23 3 3 3 2 2 2 2 2 3 2" xfId="10641" xr:uid="{00000000-0005-0000-0000-000073290000}"/>
    <cellStyle name="표준 23 3 3 3 2 2 2 2 2 4" xfId="10642" xr:uid="{00000000-0005-0000-0000-000074290000}"/>
    <cellStyle name="표준 23 3 3 3 2 2 2 2 3" xfId="10643" xr:uid="{00000000-0005-0000-0000-000075290000}"/>
    <cellStyle name="표준 23 3 3 3 2 2 2 2 3 2" xfId="10644" xr:uid="{00000000-0005-0000-0000-000076290000}"/>
    <cellStyle name="표준 23 3 3 3 2 2 2 2 3 2 2" xfId="10645" xr:uid="{00000000-0005-0000-0000-000077290000}"/>
    <cellStyle name="표준 23 3 3 3 2 2 2 2 3 3" xfId="10646" xr:uid="{00000000-0005-0000-0000-000078290000}"/>
    <cellStyle name="표준 23 3 3 3 2 2 2 2 4" xfId="10647" xr:uid="{00000000-0005-0000-0000-000079290000}"/>
    <cellStyle name="표준 23 3 3 3 2 2 2 2 4 2" xfId="10648" xr:uid="{00000000-0005-0000-0000-00007A290000}"/>
    <cellStyle name="표준 23 3 3 3 2 2 2 2 5" xfId="10649" xr:uid="{00000000-0005-0000-0000-00007B290000}"/>
    <cellStyle name="표준 23 3 3 3 2 2 2 3" xfId="10650" xr:uid="{00000000-0005-0000-0000-00007C290000}"/>
    <cellStyle name="표준 23 3 3 3 2 2 2 3 2" xfId="10651" xr:uid="{00000000-0005-0000-0000-00007D290000}"/>
    <cellStyle name="표준 23 3 3 3 2 2 2 3 2 2" xfId="10652" xr:uid="{00000000-0005-0000-0000-00007E290000}"/>
    <cellStyle name="표준 23 3 3 3 2 2 2 3 2 2 2" xfId="10653" xr:uid="{00000000-0005-0000-0000-00007F290000}"/>
    <cellStyle name="표준 23 3 3 3 2 2 2 3 2 3" xfId="10654" xr:uid="{00000000-0005-0000-0000-000080290000}"/>
    <cellStyle name="표준 23 3 3 3 2 2 2 3 3" xfId="10655" xr:uid="{00000000-0005-0000-0000-000081290000}"/>
    <cellStyle name="표준 23 3 3 3 2 2 2 3 3 2" xfId="10656" xr:uid="{00000000-0005-0000-0000-000082290000}"/>
    <cellStyle name="표준 23 3 3 3 2 2 2 3 4" xfId="10657" xr:uid="{00000000-0005-0000-0000-000083290000}"/>
    <cellStyle name="표준 23 3 3 3 2 2 2 4" xfId="10658" xr:uid="{00000000-0005-0000-0000-000084290000}"/>
    <cellStyle name="표준 23 3 3 3 2 2 2 4 2" xfId="10659" xr:uid="{00000000-0005-0000-0000-000085290000}"/>
    <cellStyle name="표준 23 3 3 3 2 2 2 4 2 2" xfId="10660" xr:uid="{00000000-0005-0000-0000-000086290000}"/>
    <cellStyle name="표준 23 3 3 3 2 2 2 4 3" xfId="10661" xr:uid="{00000000-0005-0000-0000-000087290000}"/>
    <cellStyle name="표준 23 3 3 3 2 2 2 5" xfId="10662" xr:uid="{00000000-0005-0000-0000-000088290000}"/>
    <cellStyle name="표준 23 3 3 3 2 2 2 5 2" xfId="10663" xr:uid="{00000000-0005-0000-0000-000089290000}"/>
    <cellStyle name="표준 23 3 3 3 2 2 2 6" xfId="10664" xr:uid="{00000000-0005-0000-0000-00008A290000}"/>
    <cellStyle name="표준 23 3 3 3 2 2 3" xfId="10665" xr:uid="{00000000-0005-0000-0000-00008B290000}"/>
    <cellStyle name="표준 23 3 3 3 2 2 3 2" xfId="10666" xr:uid="{00000000-0005-0000-0000-00008C290000}"/>
    <cellStyle name="표준 23 3 3 3 2 2 3 2 2" xfId="10667" xr:uid="{00000000-0005-0000-0000-00008D290000}"/>
    <cellStyle name="표준 23 3 3 3 2 2 3 2 2 2" xfId="10668" xr:uid="{00000000-0005-0000-0000-00008E290000}"/>
    <cellStyle name="표준 23 3 3 3 2 2 3 2 2 2 2" xfId="10669" xr:uid="{00000000-0005-0000-0000-00008F290000}"/>
    <cellStyle name="표준 23 3 3 3 2 2 3 2 2 3" xfId="10670" xr:uid="{00000000-0005-0000-0000-000090290000}"/>
    <cellStyle name="표준 23 3 3 3 2 2 3 2 3" xfId="10671" xr:uid="{00000000-0005-0000-0000-000091290000}"/>
    <cellStyle name="표준 23 3 3 3 2 2 3 2 3 2" xfId="10672" xr:uid="{00000000-0005-0000-0000-000092290000}"/>
    <cellStyle name="표준 23 3 3 3 2 2 3 2 4" xfId="10673" xr:uid="{00000000-0005-0000-0000-000093290000}"/>
    <cellStyle name="표준 23 3 3 3 2 2 3 3" xfId="10674" xr:uid="{00000000-0005-0000-0000-000094290000}"/>
    <cellStyle name="표준 23 3 3 3 2 2 3 3 2" xfId="10675" xr:uid="{00000000-0005-0000-0000-000095290000}"/>
    <cellStyle name="표준 23 3 3 3 2 2 3 3 2 2" xfId="10676" xr:uid="{00000000-0005-0000-0000-000096290000}"/>
    <cellStyle name="표준 23 3 3 3 2 2 3 3 3" xfId="10677" xr:uid="{00000000-0005-0000-0000-000097290000}"/>
    <cellStyle name="표준 23 3 3 3 2 2 3 4" xfId="10678" xr:uid="{00000000-0005-0000-0000-000098290000}"/>
    <cellStyle name="표준 23 3 3 3 2 2 3 4 2" xfId="10679" xr:uid="{00000000-0005-0000-0000-000099290000}"/>
    <cellStyle name="표준 23 3 3 3 2 2 3 5" xfId="10680" xr:uid="{00000000-0005-0000-0000-00009A290000}"/>
    <cellStyle name="표준 23 3 3 3 2 2 4" xfId="10681" xr:uid="{00000000-0005-0000-0000-00009B290000}"/>
    <cellStyle name="표준 23 3 3 3 2 2 4 2" xfId="10682" xr:uid="{00000000-0005-0000-0000-00009C290000}"/>
    <cellStyle name="표준 23 3 3 3 2 2 4 2 2" xfId="10683" xr:uid="{00000000-0005-0000-0000-00009D290000}"/>
    <cellStyle name="표준 23 3 3 3 2 2 4 2 2 2" xfId="10684" xr:uid="{00000000-0005-0000-0000-00009E290000}"/>
    <cellStyle name="표준 23 3 3 3 2 2 4 2 3" xfId="10685" xr:uid="{00000000-0005-0000-0000-00009F290000}"/>
    <cellStyle name="표준 23 3 3 3 2 2 4 3" xfId="10686" xr:uid="{00000000-0005-0000-0000-0000A0290000}"/>
    <cellStyle name="표준 23 3 3 3 2 2 4 3 2" xfId="10687" xr:uid="{00000000-0005-0000-0000-0000A1290000}"/>
    <cellStyle name="표준 23 3 3 3 2 2 4 4" xfId="10688" xr:uid="{00000000-0005-0000-0000-0000A2290000}"/>
    <cellStyle name="표준 23 3 3 3 2 2 5" xfId="10689" xr:uid="{00000000-0005-0000-0000-0000A3290000}"/>
    <cellStyle name="표준 23 3 3 3 2 2 5 2" xfId="10690" xr:uid="{00000000-0005-0000-0000-0000A4290000}"/>
    <cellStyle name="표준 23 3 3 3 2 2 5 2 2" xfId="10691" xr:uid="{00000000-0005-0000-0000-0000A5290000}"/>
    <cellStyle name="표준 23 3 3 3 2 2 5 3" xfId="10692" xr:uid="{00000000-0005-0000-0000-0000A6290000}"/>
    <cellStyle name="표준 23 3 3 3 2 2 6" xfId="10693" xr:uid="{00000000-0005-0000-0000-0000A7290000}"/>
    <cellStyle name="표준 23 3 3 3 2 2 6 2" xfId="10694" xr:uid="{00000000-0005-0000-0000-0000A8290000}"/>
    <cellStyle name="표준 23 3 3 3 2 2 7" xfId="10695" xr:uid="{00000000-0005-0000-0000-0000A9290000}"/>
    <cellStyle name="표준 23 3 3 3 2 2 8" xfId="10696" xr:uid="{00000000-0005-0000-0000-0000AA290000}"/>
    <cellStyle name="표준 23 3 3 3 2 3" xfId="10697" xr:uid="{00000000-0005-0000-0000-0000AB290000}"/>
    <cellStyle name="표준 23 3 3 3 2 3 2" xfId="10698" xr:uid="{00000000-0005-0000-0000-0000AC290000}"/>
    <cellStyle name="표준 23 3 3 3 2 3 2 2" xfId="10699" xr:uid="{00000000-0005-0000-0000-0000AD290000}"/>
    <cellStyle name="표준 23 3 3 3 2 3 2 2 2" xfId="10700" xr:uid="{00000000-0005-0000-0000-0000AE290000}"/>
    <cellStyle name="표준 23 3 3 3 2 3 2 2 2 2" xfId="10701" xr:uid="{00000000-0005-0000-0000-0000AF290000}"/>
    <cellStyle name="표준 23 3 3 3 2 3 2 2 2 2 2" xfId="10702" xr:uid="{00000000-0005-0000-0000-0000B0290000}"/>
    <cellStyle name="표준 23 3 3 3 2 3 2 2 2 3" xfId="10703" xr:uid="{00000000-0005-0000-0000-0000B1290000}"/>
    <cellStyle name="표준 23 3 3 3 2 3 2 2 3" xfId="10704" xr:uid="{00000000-0005-0000-0000-0000B2290000}"/>
    <cellStyle name="표준 23 3 3 3 2 3 2 2 3 2" xfId="10705" xr:uid="{00000000-0005-0000-0000-0000B3290000}"/>
    <cellStyle name="표준 23 3 3 3 2 3 2 2 4" xfId="10706" xr:uid="{00000000-0005-0000-0000-0000B4290000}"/>
    <cellStyle name="표준 23 3 3 3 2 3 2 3" xfId="10707" xr:uid="{00000000-0005-0000-0000-0000B5290000}"/>
    <cellStyle name="표준 23 3 3 3 2 3 2 3 2" xfId="10708" xr:uid="{00000000-0005-0000-0000-0000B6290000}"/>
    <cellStyle name="표준 23 3 3 3 2 3 2 3 2 2" xfId="10709" xr:uid="{00000000-0005-0000-0000-0000B7290000}"/>
    <cellStyle name="표준 23 3 3 3 2 3 2 3 3" xfId="10710" xr:uid="{00000000-0005-0000-0000-0000B8290000}"/>
    <cellStyle name="표준 23 3 3 3 2 3 2 4" xfId="10711" xr:uid="{00000000-0005-0000-0000-0000B9290000}"/>
    <cellStyle name="표준 23 3 3 3 2 3 2 4 2" xfId="10712" xr:uid="{00000000-0005-0000-0000-0000BA290000}"/>
    <cellStyle name="표준 23 3 3 3 2 3 2 5" xfId="10713" xr:uid="{00000000-0005-0000-0000-0000BB290000}"/>
    <cellStyle name="표준 23 3 3 3 2 3 3" xfId="10714" xr:uid="{00000000-0005-0000-0000-0000BC290000}"/>
    <cellStyle name="표준 23 3 3 3 2 3 3 2" xfId="10715" xr:uid="{00000000-0005-0000-0000-0000BD290000}"/>
    <cellStyle name="표준 23 3 3 3 2 3 3 2 2" xfId="10716" xr:uid="{00000000-0005-0000-0000-0000BE290000}"/>
    <cellStyle name="표준 23 3 3 3 2 3 3 2 2 2" xfId="10717" xr:uid="{00000000-0005-0000-0000-0000BF290000}"/>
    <cellStyle name="표준 23 3 3 3 2 3 3 2 3" xfId="10718" xr:uid="{00000000-0005-0000-0000-0000C0290000}"/>
    <cellStyle name="표준 23 3 3 3 2 3 3 3" xfId="10719" xr:uid="{00000000-0005-0000-0000-0000C1290000}"/>
    <cellStyle name="표준 23 3 3 3 2 3 3 3 2" xfId="10720" xr:uid="{00000000-0005-0000-0000-0000C2290000}"/>
    <cellStyle name="표준 23 3 3 3 2 3 3 4" xfId="10721" xr:uid="{00000000-0005-0000-0000-0000C3290000}"/>
    <cellStyle name="표준 23 3 3 3 2 3 4" xfId="10722" xr:uid="{00000000-0005-0000-0000-0000C4290000}"/>
    <cellStyle name="표준 23 3 3 3 2 3 4 2" xfId="10723" xr:uid="{00000000-0005-0000-0000-0000C5290000}"/>
    <cellStyle name="표준 23 3 3 3 2 3 4 2 2" xfId="10724" xr:uid="{00000000-0005-0000-0000-0000C6290000}"/>
    <cellStyle name="표준 23 3 3 3 2 3 4 3" xfId="10725" xr:uid="{00000000-0005-0000-0000-0000C7290000}"/>
    <cellStyle name="표준 23 3 3 3 2 3 5" xfId="10726" xr:uid="{00000000-0005-0000-0000-0000C8290000}"/>
    <cellStyle name="표준 23 3 3 3 2 3 5 2" xfId="10727" xr:uid="{00000000-0005-0000-0000-0000C9290000}"/>
    <cellStyle name="표준 23 3 3 3 2 3 6" xfId="10728" xr:uid="{00000000-0005-0000-0000-0000CA290000}"/>
    <cellStyle name="표준 23 3 3 3 2 4" xfId="10729" xr:uid="{00000000-0005-0000-0000-0000CB290000}"/>
    <cellStyle name="표준 23 3 3 3 2 4 2" xfId="10730" xr:uid="{00000000-0005-0000-0000-0000CC290000}"/>
    <cellStyle name="표준 23 3 3 3 2 4 2 2" xfId="10731" xr:uid="{00000000-0005-0000-0000-0000CD290000}"/>
    <cellStyle name="표준 23 3 3 3 2 4 2 2 2" xfId="10732" xr:uid="{00000000-0005-0000-0000-0000CE290000}"/>
    <cellStyle name="표준 23 3 3 3 2 4 2 2 2 2" xfId="10733" xr:uid="{00000000-0005-0000-0000-0000CF290000}"/>
    <cellStyle name="표준 23 3 3 3 2 4 2 2 3" xfId="10734" xr:uid="{00000000-0005-0000-0000-0000D0290000}"/>
    <cellStyle name="표준 23 3 3 3 2 4 2 3" xfId="10735" xr:uid="{00000000-0005-0000-0000-0000D1290000}"/>
    <cellStyle name="표준 23 3 3 3 2 4 2 3 2" xfId="10736" xr:uid="{00000000-0005-0000-0000-0000D2290000}"/>
    <cellStyle name="표준 23 3 3 3 2 4 2 4" xfId="10737" xr:uid="{00000000-0005-0000-0000-0000D3290000}"/>
    <cellStyle name="표준 23 3 3 3 2 4 3" xfId="10738" xr:uid="{00000000-0005-0000-0000-0000D4290000}"/>
    <cellStyle name="표준 23 3 3 3 2 4 3 2" xfId="10739" xr:uid="{00000000-0005-0000-0000-0000D5290000}"/>
    <cellStyle name="표준 23 3 3 3 2 4 3 2 2" xfId="10740" xr:uid="{00000000-0005-0000-0000-0000D6290000}"/>
    <cellStyle name="표준 23 3 3 3 2 4 3 3" xfId="10741" xr:uid="{00000000-0005-0000-0000-0000D7290000}"/>
    <cellStyle name="표준 23 3 3 3 2 4 4" xfId="10742" xr:uid="{00000000-0005-0000-0000-0000D8290000}"/>
    <cellStyle name="표준 23 3 3 3 2 4 4 2" xfId="10743" xr:uid="{00000000-0005-0000-0000-0000D9290000}"/>
    <cellStyle name="표준 23 3 3 3 2 4 5" xfId="10744" xr:uid="{00000000-0005-0000-0000-0000DA290000}"/>
    <cellStyle name="표준 23 3 3 3 2 5" xfId="10745" xr:uid="{00000000-0005-0000-0000-0000DB290000}"/>
    <cellStyle name="표준 23 3 3 3 2 5 2" xfId="10746" xr:uid="{00000000-0005-0000-0000-0000DC290000}"/>
    <cellStyle name="표준 23 3 3 3 2 5 2 2" xfId="10747" xr:uid="{00000000-0005-0000-0000-0000DD290000}"/>
    <cellStyle name="표준 23 3 3 3 2 5 2 2 2" xfId="10748" xr:uid="{00000000-0005-0000-0000-0000DE290000}"/>
    <cellStyle name="표준 23 3 3 3 2 5 2 3" xfId="10749" xr:uid="{00000000-0005-0000-0000-0000DF290000}"/>
    <cellStyle name="표준 23 3 3 3 2 5 3" xfId="10750" xr:uid="{00000000-0005-0000-0000-0000E0290000}"/>
    <cellStyle name="표준 23 3 3 3 2 5 3 2" xfId="10751" xr:uid="{00000000-0005-0000-0000-0000E1290000}"/>
    <cellStyle name="표준 23 3 3 3 2 5 4" xfId="10752" xr:uid="{00000000-0005-0000-0000-0000E2290000}"/>
    <cellStyle name="표준 23 3 3 3 2 6" xfId="10753" xr:uid="{00000000-0005-0000-0000-0000E3290000}"/>
    <cellStyle name="표준 23 3 3 3 2 6 2" xfId="10754" xr:uid="{00000000-0005-0000-0000-0000E4290000}"/>
    <cellStyle name="표준 23 3 3 3 2 6 2 2" xfId="10755" xr:uid="{00000000-0005-0000-0000-0000E5290000}"/>
    <cellStyle name="표준 23 3 3 3 2 6 3" xfId="10756" xr:uid="{00000000-0005-0000-0000-0000E6290000}"/>
    <cellStyle name="표준 23 3 3 3 2 7" xfId="10757" xr:uid="{00000000-0005-0000-0000-0000E7290000}"/>
    <cellStyle name="표준 23 3 3 3 2 7 2" xfId="10758" xr:uid="{00000000-0005-0000-0000-0000E8290000}"/>
    <cellStyle name="표준 23 3 3 3 2 8" xfId="10759" xr:uid="{00000000-0005-0000-0000-0000E9290000}"/>
    <cellStyle name="표준 23 3 3 3 2 9" xfId="10760" xr:uid="{00000000-0005-0000-0000-0000EA290000}"/>
    <cellStyle name="표준 23 3 3 3 3" xfId="10761" xr:uid="{00000000-0005-0000-0000-0000EB290000}"/>
    <cellStyle name="표준 23 3 3 3 3 2" xfId="10762" xr:uid="{00000000-0005-0000-0000-0000EC290000}"/>
    <cellStyle name="표준 23 3 3 3 3 2 2" xfId="10763" xr:uid="{00000000-0005-0000-0000-0000ED290000}"/>
    <cellStyle name="표준 23 3 3 3 3 2 2 2" xfId="10764" xr:uid="{00000000-0005-0000-0000-0000EE290000}"/>
    <cellStyle name="표준 23 3 3 3 3 2 2 2 2" xfId="10765" xr:uid="{00000000-0005-0000-0000-0000EF290000}"/>
    <cellStyle name="표준 23 3 3 3 3 2 2 2 2 2" xfId="10766" xr:uid="{00000000-0005-0000-0000-0000F0290000}"/>
    <cellStyle name="표준 23 3 3 3 3 2 2 2 2 2 2" xfId="10767" xr:uid="{00000000-0005-0000-0000-0000F1290000}"/>
    <cellStyle name="표준 23 3 3 3 3 2 2 2 2 3" xfId="10768" xr:uid="{00000000-0005-0000-0000-0000F2290000}"/>
    <cellStyle name="표준 23 3 3 3 3 2 2 2 3" xfId="10769" xr:uid="{00000000-0005-0000-0000-0000F3290000}"/>
    <cellStyle name="표준 23 3 3 3 3 2 2 2 3 2" xfId="10770" xr:uid="{00000000-0005-0000-0000-0000F4290000}"/>
    <cellStyle name="표준 23 3 3 3 3 2 2 2 4" xfId="10771" xr:uid="{00000000-0005-0000-0000-0000F5290000}"/>
    <cellStyle name="표준 23 3 3 3 3 2 2 3" xfId="10772" xr:uid="{00000000-0005-0000-0000-0000F6290000}"/>
    <cellStyle name="표준 23 3 3 3 3 2 2 3 2" xfId="10773" xr:uid="{00000000-0005-0000-0000-0000F7290000}"/>
    <cellStyle name="표준 23 3 3 3 3 2 2 3 2 2" xfId="10774" xr:uid="{00000000-0005-0000-0000-0000F8290000}"/>
    <cellStyle name="표준 23 3 3 3 3 2 2 3 3" xfId="10775" xr:uid="{00000000-0005-0000-0000-0000F9290000}"/>
    <cellStyle name="표준 23 3 3 3 3 2 2 4" xfId="10776" xr:uid="{00000000-0005-0000-0000-0000FA290000}"/>
    <cellStyle name="표준 23 3 3 3 3 2 2 4 2" xfId="10777" xr:uid="{00000000-0005-0000-0000-0000FB290000}"/>
    <cellStyle name="표준 23 3 3 3 3 2 2 5" xfId="10778" xr:uid="{00000000-0005-0000-0000-0000FC290000}"/>
    <cellStyle name="표준 23 3 3 3 3 2 3" xfId="10779" xr:uid="{00000000-0005-0000-0000-0000FD290000}"/>
    <cellStyle name="표준 23 3 3 3 3 2 3 2" xfId="10780" xr:uid="{00000000-0005-0000-0000-0000FE290000}"/>
    <cellStyle name="표준 23 3 3 3 3 2 3 2 2" xfId="10781" xr:uid="{00000000-0005-0000-0000-0000FF290000}"/>
    <cellStyle name="표준 23 3 3 3 3 2 3 2 2 2" xfId="10782" xr:uid="{00000000-0005-0000-0000-0000002A0000}"/>
    <cellStyle name="표준 23 3 3 3 3 2 3 2 3" xfId="10783" xr:uid="{00000000-0005-0000-0000-0000012A0000}"/>
    <cellStyle name="표준 23 3 3 3 3 2 3 3" xfId="10784" xr:uid="{00000000-0005-0000-0000-0000022A0000}"/>
    <cellStyle name="표준 23 3 3 3 3 2 3 3 2" xfId="10785" xr:uid="{00000000-0005-0000-0000-0000032A0000}"/>
    <cellStyle name="표준 23 3 3 3 3 2 3 4" xfId="10786" xr:uid="{00000000-0005-0000-0000-0000042A0000}"/>
    <cellStyle name="표준 23 3 3 3 3 2 4" xfId="10787" xr:uid="{00000000-0005-0000-0000-0000052A0000}"/>
    <cellStyle name="표준 23 3 3 3 3 2 4 2" xfId="10788" xr:uid="{00000000-0005-0000-0000-0000062A0000}"/>
    <cellStyle name="표준 23 3 3 3 3 2 4 2 2" xfId="10789" xr:uid="{00000000-0005-0000-0000-0000072A0000}"/>
    <cellStyle name="표준 23 3 3 3 3 2 4 3" xfId="10790" xr:uid="{00000000-0005-0000-0000-0000082A0000}"/>
    <cellStyle name="표준 23 3 3 3 3 2 5" xfId="10791" xr:uid="{00000000-0005-0000-0000-0000092A0000}"/>
    <cellStyle name="표준 23 3 3 3 3 2 5 2" xfId="10792" xr:uid="{00000000-0005-0000-0000-00000A2A0000}"/>
    <cellStyle name="표준 23 3 3 3 3 2 6" xfId="10793" xr:uid="{00000000-0005-0000-0000-00000B2A0000}"/>
    <cellStyle name="표준 23 3 3 3 3 3" xfId="10794" xr:uid="{00000000-0005-0000-0000-00000C2A0000}"/>
    <cellStyle name="표준 23 3 3 3 3 3 2" xfId="10795" xr:uid="{00000000-0005-0000-0000-00000D2A0000}"/>
    <cellStyle name="표준 23 3 3 3 3 3 2 2" xfId="10796" xr:uid="{00000000-0005-0000-0000-00000E2A0000}"/>
    <cellStyle name="표준 23 3 3 3 3 3 2 2 2" xfId="10797" xr:uid="{00000000-0005-0000-0000-00000F2A0000}"/>
    <cellStyle name="표준 23 3 3 3 3 3 2 2 2 2" xfId="10798" xr:uid="{00000000-0005-0000-0000-0000102A0000}"/>
    <cellStyle name="표준 23 3 3 3 3 3 2 2 3" xfId="10799" xr:uid="{00000000-0005-0000-0000-0000112A0000}"/>
    <cellStyle name="표준 23 3 3 3 3 3 2 3" xfId="10800" xr:uid="{00000000-0005-0000-0000-0000122A0000}"/>
    <cellStyle name="표준 23 3 3 3 3 3 2 3 2" xfId="10801" xr:uid="{00000000-0005-0000-0000-0000132A0000}"/>
    <cellStyle name="표준 23 3 3 3 3 3 2 4" xfId="10802" xr:uid="{00000000-0005-0000-0000-0000142A0000}"/>
    <cellStyle name="표준 23 3 3 3 3 3 3" xfId="10803" xr:uid="{00000000-0005-0000-0000-0000152A0000}"/>
    <cellStyle name="표준 23 3 3 3 3 3 3 2" xfId="10804" xr:uid="{00000000-0005-0000-0000-0000162A0000}"/>
    <cellStyle name="표준 23 3 3 3 3 3 3 2 2" xfId="10805" xr:uid="{00000000-0005-0000-0000-0000172A0000}"/>
    <cellStyle name="표준 23 3 3 3 3 3 3 3" xfId="10806" xr:uid="{00000000-0005-0000-0000-0000182A0000}"/>
    <cellStyle name="표준 23 3 3 3 3 3 4" xfId="10807" xr:uid="{00000000-0005-0000-0000-0000192A0000}"/>
    <cellStyle name="표준 23 3 3 3 3 3 4 2" xfId="10808" xr:uid="{00000000-0005-0000-0000-00001A2A0000}"/>
    <cellStyle name="표준 23 3 3 3 3 3 5" xfId="10809" xr:uid="{00000000-0005-0000-0000-00001B2A0000}"/>
    <cellStyle name="표준 23 3 3 3 3 4" xfId="10810" xr:uid="{00000000-0005-0000-0000-00001C2A0000}"/>
    <cellStyle name="표준 23 3 3 3 3 4 2" xfId="10811" xr:uid="{00000000-0005-0000-0000-00001D2A0000}"/>
    <cellStyle name="표준 23 3 3 3 3 4 2 2" xfId="10812" xr:uid="{00000000-0005-0000-0000-00001E2A0000}"/>
    <cellStyle name="표준 23 3 3 3 3 4 2 2 2" xfId="10813" xr:uid="{00000000-0005-0000-0000-00001F2A0000}"/>
    <cellStyle name="표준 23 3 3 3 3 4 2 3" xfId="10814" xr:uid="{00000000-0005-0000-0000-0000202A0000}"/>
    <cellStyle name="표준 23 3 3 3 3 4 3" xfId="10815" xr:uid="{00000000-0005-0000-0000-0000212A0000}"/>
    <cellStyle name="표준 23 3 3 3 3 4 3 2" xfId="10816" xr:uid="{00000000-0005-0000-0000-0000222A0000}"/>
    <cellStyle name="표준 23 3 3 3 3 4 4" xfId="10817" xr:uid="{00000000-0005-0000-0000-0000232A0000}"/>
    <cellStyle name="표준 23 3 3 3 3 5" xfId="10818" xr:uid="{00000000-0005-0000-0000-0000242A0000}"/>
    <cellStyle name="표준 23 3 3 3 3 5 2" xfId="10819" xr:uid="{00000000-0005-0000-0000-0000252A0000}"/>
    <cellStyle name="표준 23 3 3 3 3 5 2 2" xfId="10820" xr:uid="{00000000-0005-0000-0000-0000262A0000}"/>
    <cellStyle name="표준 23 3 3 3 3 5 3" xfId="10821" xr:uid="{00000000-0005-0000-0000-0000272A0000}"/>
    <cellStyle name="표준 23 3 3 3 3 6" xfId="10822" xr:uid="{00000000-0005-0000-0000-0000282A0000}"/>
    <cellStyle name="표준 23 3 3 3 3 6 2" xfId="10823" xr:uid="{00000000-0005-0000-0000-0000292A0000}"/>
    <cellStyle name="표준 23 3 3 3 3 7" xfId="10824" xr:uid="{00000000-0005-0000-0000-00002A2A0000}"/>
    <cellStyle name="표준 23 3 3 3 3 8" xfId="10825" xr:uid="{00000000-0005-0000-0000-00002B2A0000}"/>
    <cellStyle name="표준 23 3 3 3 4" xfId="10826" xr:uid="{00000000-0005-0000-0000-00002C2A0000}"/>
    <cellStyle name="표준 23 3 3 3 4 2" xfId="10827" xr:uid="{00000000-0005-0000-0000-00002D2A0000}"/>
    <cellStyle name="표준 23 3 3 3 4 2 2" xfId="10828" xr:uid="{00000000-0005-0000-0000-00002E2A0000}"/>
    <cellStyle name="표준 23 3 3 3 4 2 2 2" xfId="10829" xr:uid="{00000000-0005-0000-0000-00002F2A0000}"/>
    <cellStyle name="표준 23 3 3 3 4 2 2 2 2" xfId="10830" xr:uid="{00000000-0005-0000-0000-0000302A0000}"/>
    <cellStyle name="표준 23 3 3 3 4 2 2 2 2 2" xfId="10831" xr:uid="{00000000-0005-0000-0000-0000312A0000}"/>
    <cellStyle name="표준 23 3 3 3 4 2 2 2 3" xfId="10832" xr:uid="{00000000-0005-0000-0000-0000322A0000}"/>
    <cellStyle name="표준 23 3 3 3 4 2 2 3" xfId="10833" xr:uid="{00000000-0005-0000-0000-0000332A0000}"/>
    <cellStyle name="표준 23 3 3 3 4 2 2 3 2" xfId="10834" xr:uid="{00000000-0005-0000-0000-0000342A0000}"/>
    <cellStyle name="표준 23 3 3 3 4 2 2 4" xfId="10835" xr:uid="{00000000-0005-0000-0000-0000352A0000}"/>
    <cellStyle name="표준 23 3 3 3 4 2 3" xfId="10836" xr:uid="{00000000-0005-0000-0000-0000362A0000}"/>
    <cellStyle name="표준 23 3 3 3 4 2 3 2" xfId="10837" xr:uid="{00000000-0005-0000-0000-0000372A0000}"/>
    <cellStyle name="표준 23 3 3 3 4 2 3 2 2" xfId="10838" xr:uid="{00000000-0005-0000-0000-0000382A0000}"/>
    <cellStyle name="표준 23 3 3 3 4 2 3 3" xfId="10839" xr:uid="{00000000-0005-0000-0000-0000392A0000}"/>
    <cellStyle name="표준 23 3 3 3 4 2 4" xfId="10840" xr:uid="{00000000-0005-0000-0000-00003A2A0000}"/>
    <cellStyle name="표준 23 3 3 3 4 2 4 2" xfId="10841" xr:uid="{00000000-0005-0000-0000-00003B2A0000}"/>
    <cellStyle name="표준 23 3 3 3 4 2 5" xfId="10842" xr:uid="{00000000-0005-0000-0000-00003C2A0000}"/>
    <cellStyle name="표준 23 3 3 3 4 3" xfId="10843" xr:uid="{00000000-0005-0000-0000-00003D2A0000}"/>
    <cellStyle name="표준 23 3 3 3 4 3 2" xfId="10844" xr:uid="{00000000-0005-0000-0000-00003E2A0000}"/>
    <cellStyle name="표준 23 3 3 3 4 3 2 2" xfId="10845" xr:uid="{00000000-0005-0000-0000-00003F2A0000}"/>
    <cellStyle name="표준 23 3 3 3 4 3 2 2 2" xfId="10846" xr:uid="{00000000-0005-0000-0000-0000402A0000}"/>
    <cellStyle name="표준 23 3 3 3 4 3 2 3" xfId="10847" xr:uid="{00000000-0005-0000-0000-0000412A0000}"/>
    <cellStyle name="표준 23 3 3 3 4 3 3" xfId="10848" xr:uid="{00000000-0005-0000-0000-0000422A0000}"/>
    <cellStyle name="표준 23 3 3 3 4 3 3 2" xfId="10849" xr:uid="{00000000-0005-0000-0000-0000432A0000}"/>
    <cellStyle name="표준 23 3 3 3 4 3 4" xfId="10850" xr:uid="{00000000-0005-0000-0000-0000442A0000}"/>
    <cellStyle name="표준 23 3 3 3 4 4" xfId="10851" xr:uid="{00000000-0005-0000-0000-0000452A0000}"/>
    <cellStyle name="표준 23 3 3 3 4 4 2" xfId="10852" xr:uid="{00000000-0005-0000-0000-0000462A0000}"/>
    <cellStyle name="표준 23 3 3 3 4 4 2 2" xfId="10853" xr:uid="{00000000-0005-0000-0000-0000472A0000}"/>
    <cellStyle name="표준 23 3 3 3 4 4 3" xfId="10854" xr:uid="{00000000-0005-0000-0000-0000482A0000}"/>
    <cellStyle name="표준 23 3 3 3 4 5" xfId="10855" xr:uid="{00000000-0005-0000-0000-0000492A0000}"/>
    <cellStyle name="표준 23 3 3 3 4 5 2" xfId="10856" xr:uid="{00000000-0005-0000-0000-00004A2A0000}"/>
    <cellStyle name="표준 23 3 3 3 4 6" xfId="10857" xr:uid="{00000000-0005-0000-0000-00004B2A0000}"/>
    <cellStyle name="표준 23 3 3 3 5" xfId="10858" xr:uid="{00000000-0005-0000-0000-00004C2A0000}"/>
    <cellStyle name="표준 23 3 3 3 5 2" xfId="10859" xr:uid="{00000000-0005-0000-0000-00004D2A0000}"/>
    <cellStyle name="표준 23 3 3 3 5 2 2" xfId="10860" xr:uid="{00000000-0005-0000-0000-00004E2A0000}"/>
    <cellStyle name="표준 23 3 3 3 5 2 2 2" xfId="10861" xr:uid="{00000000-0005-0000-0000-00004F2A0000}"/>
    <cellStyle name="표준 23 3 3 3 5 2 2 2 2" xfId="10862" xr:uid="{00000000-0005-0000-0000-0000502A0000}"/>
    <cellStyle name="표준 23 3 3 3 5 2 2 3" xfId="10863" xr:uid="{00000000-0005-0000-0000-0000512A0000}"/>
    <cellStyle name="표준 23 3 3 3 5 2 3" xfId="10864" xr:uid="{00000000-0005-0000-0000-0000522A0000}"/>
    <cellStyle name="표준 23 3 3 3 5 2 3 2" xfId="10865" xr:uid="{00000000-0005-0000-0000-0000532A0000}"/>
    <cellStyle name="표준 23 3 3 3 5 2 4" xfId="10866" xr:uid="{00000000-0005-0000-0000-0000542A0000}"/>
    <cellStyle name="표준 23 3 3 3 5 3" xfId="10867" xr:uid="{00000000-0005-0000-0000-0000552A0000}"/>
    <cellStyle name="표준 23 3 3 3 5 3 2" xfId="10868" xr:uid="{00000000-0005-0000-0000-0000562A0000}"/>
    <cellStyle name="표준 23 3 3 3 5 3 2 2" xfId="10869" xr:uid="{00000000-0005-0000-0000-0000572A0000}"/>
    <cellStyle name="표준 23 3 3 3 5 3 3" xfId="10870" xr:uid="{00000000-0005-0000-0000-0000582A0000}"/>
    <cellStyle name="표준 23 3 3 3 5 4" xfId="10871" xr:uid="{00000000-0005-0000-0000-0000592A0000}"/>
    <cellStyle name="표준 23 3 3 3 5 4 2" xfId="10872" xr:uid="{00000000-0005-0000-0000-00005A2A0000}"/>
    <cellStyle name="표준 23 3 3 3 5 5" xfId="10873" xr:uid="{00000000-0005-0000-0000-00005B2A0000}"/>
    <cellStyle name="표준 23 3 3 3 6" xfId="10874" xr:uid="{00000000-0005-0000-0000-00005C2A0000}"/>
    <cellStyle name="표준 23 3 3 3 6 2" xfId="10875" xr:uid="{00000000-0005-0000-0000-00005D2A0000}"/>
    <cellStyle name="표준 23 3 3 3 6 2 2" xfId="10876" xr:uid="{00000000-0005-0000-0000-00005E2A0000}"/>
    <cellStyle name="표준 23 3 3 3 6 2 2 2" xfId="10877" xr:uid="{00000000-0005-0000-0000-00005F2A0000}"/>
    <cellStyle name="표준 23 3 3 3 6 2 3" xfId="10878" xr:uid="{00000000-0005-0000-0000-0000602A0000}"/>
    <cellStyle name="표준 23 3 3 3 6 3" xfId="10879" xr:uid="{00000000-0005-0000-0000-0000612A0000}"/>
    <cellStyle name="표준 23 3 3 3 6 3 2" xfId="10880" xr:uid="{00000000-0005-0000-0000-0000622A0000}"/>
    <cellStyle name="표준 23 3 3 3 6 4" xfId="10881" xr:uid="{00000000-0005-0000-0000-0000632A0000}"/>
    <cellStyle name="표준 23 3 3 3 7" xfId="10882" xr:uid="{00000000-0005-0000-0000-0000642A0000}"/>
    <cellStyle name="표준 23 3 3 3 7 2" xfId="10883" xr:uid="{00000000-0005-0000-0000-0000652A0000}"/>
    <cellStyle name="표준 23 3 3 3 7 2 2" xfId="10884" xr:uid="{00000000-0005-0000-0000-0000662A0000}"/>
    <cellStyle name="표준 23 3 3 3 7 3" xfId="10885" xr:uid="{00000000-0005-0000-0000-0000672A0000}"/>
    <cellStyle name="표준 23 3 3 3 8" xfId="10886" xr:uid="{00000000-0005-0000-0000-0000682A0000}"/>
    <cellStyle name="표준 23 3 3 3 8 2" xfId="10887" xr:uid="{00000000-0005-0000-0000-0000692A0000}"/>
    <cellStyle name="표준 23 3 3 3 9" xfId="10888" xr:uid="{00000000-0005-0000-0000-00006A2A0000}"/>
    <cellStyle name="표준 23 3 3 4" xfId="10889" xr:uid="{00000000-0005-0000-0000-00006B2A0000}"/>
    <cellStyle name="표준 23 3 3 4 2" xfId="10890" xr:uid="{00000000-0005-0000-0000-00006C2A0000}"/>
    <cellStyle name="표준 23 3 3 4 2 2" xfId="10891" xr:uid="{00000000-0005-0000-0000-00006D2A0000}"/>
    <cellStyle name="표준 23 3 3 4 2 2 2" xfId="10892" xr:uid="{00000000-0005-0000-0000-00006E2A0000}"/>
    <cellStyle name="표준 23 3 3 4 2 2 2 2" xfId="10893" xr:uid="{00000000-0005-0000-0000-00006F2A0000}"/>
    <cellStyle name="표준 23 3 3 4 2 2 2 2 2" xfId="10894" xr:uid="{00000000-0005-0000-0000-0000702A0000}"/>
    <cellStyle name="표준 23 3 3 4 2 2 2 2 2 2" xfId="10895" xr:uid="{00000000-0005-0000-0000-0000712A0000}"/>
    <cellStyle name="표준 23 3 3 4 2 2 2 2 2 2 2" xfId="10896" xr:uid="{00000000-0005-0000-0000-0000722A0000}"/>
    <cellStyle name="표준 23 3 3 4 2 2 2 2 2 3" xfId="10897" xr:uid="{00000000-0005-0000-0000-0000732A0000}"/>
    <cellStyle name="표준 23 3 3 4 2 2 2 2 3" xfId="10898" xr:uid="{00000000-0005-0000-0000-0000742A0000}"/>
    <cellStyle name="표준 23 3 3 4 2 2 2 2 3 2" xfId="10899" xr:uid="{00000000-0005-0000-0000-0000752A0000}"/>
    <cellStyle name="표준 23 3 3 4 2 2 2 2 4" xfId="10900" xr:uid="{00000000-0005-0000-0000-0000762A0000}"/>
    <cellStyle name="표준 23 3 3 4 2 2 2 3" xfId="10901" xr:uid="{00000000-0005-0000-0000-0000772A0000}"/>
    <cellStyle name="표준 23 3 3 4 2 2 2 3 2" xfId="10902" xr:uid="{00000000-0005-0000-0000-0000782A0000}"/>
    <cellStyle name="표준 23 3 3 4 2 2 2 3 2 2" xfId="10903" xr:uid="{00000000-0005-0000-0000-0000792A0000}"/>
    <cellStyle name="표준 23 3 3 4 2 2 2 3 3" xfId="10904" xr:uid="{00000000-0005-0000-0000-00007A2A0000}"/>
    <cellStyle name="표준 23 3 3 4 2 2 2 4" xfId="10905" xr:uid="{00000000-0005-0000-0000-00007B2A0000}"/>
    <cellStyle name="표준 23 3 3 4 2 2 2 4 2" xfId="10906" xr:uid="{00000000-0005-0000-0000-00007C2A0000}"/>
    <cellStyle name="표준 23 3 3 4 2 2 2 5" xfId="10907" xr:uid="{00000000-0005-0000-0000-00007D2A0000}"/>
    <cellStyle name="표준 23 3 3 4 2 2 3" xfId="10908" xr:uid="{00000000-0005-0000-0000-00007E2A0000}"/>
    <cellStyle name="표준 23 3 3 4 2 2 3 2" xfId="10909" xr:uid="{00000000-0005-0000-0000-00007F2A0000}"/>
    <cellStyle name="표준 23 3 3 4 2 2 3 2 2" xfId="10910" xr:uid="{00000000-0005-0000-0000-0000802A0000}"/>
    <cellStyle name="표준 23 3 3 4 2 2 3 2 2 2" xfId="10911" xr:uid="{00000000-0005-0000-0000-0000812A0000}"/>
    <cellStyle name="표준 23 3 3 4 2 2 3 2 3" xfId="10912" xr:uid="{00000000-0005-0000-0000-0000822A0000}"/>
    <cellStyle name="표준 23 3 3 4 2 2 3 3" xfId="10913" xr:uid="{00000000-0005-0000-0000-0000832A0000}"/>
    <cellStyle name="표준 23 3 3 4 2 2 3 3 2" xfId="10914" xr:uid="{00000000-0005-0000-0000-0000842A0000}"/>
    <cellStyle name="표준 23 3 3 4 2 2 3 4" xfId="10915" xr:uid="{00000000-0005-0000-0000-0000852A0000}"/>
    <cellStyle name="표준 23 3 3 4 2 2 4" xfId="10916" xr:uid="{00000000-0005-0000-0000-0000862A0000}"/>
    <cellStyle name="표준 23 3 3 4 2 2 4 2" xfId="10917" xr:uid="{00000000-0005-0000-0000-0000872A0000}"/>
    <cellStyle name="표준 23 3 3 4 2 2 4 2 2" xfId="10918" xr:uid="{00000000-0005-0000-0000-0000882A0000}"/>
    <cellStyle name="표준 23 3 3 4 2 2 4 3" xfId="10919" xr:uid="{00000000-0005-0000-0000-0000892A0000}"/>
    <cellStyle name="표준 23 3 3 4 2 2 5" xfId="10920" xr:uid="{00000000-0005-0000-0000-00008A2A0000}"/>
    <cellStyle name="표준 23 3 3 4 2 2 5 2" xfId="10921" xr:uid="{00000000-0005-0000-0000-00008B2A0000}"/>
    <cellStyle name="표준 23 3 3 4 2 2 6" xfId="10922" xr:uid="{00000000-0005-0000-0000-00008C2A0000}"/>
    <cellStyle name="표준 23 3 3 4 2 3" xfId="10923" xr:uid="{00000000-0005-0000-0000-00008D2A0000}"/>
    <cellStyle name="표준 23 3 3 4 2 3 2" xfId="10924" xr:uid="{00000000-0005-0000-0000-00008E2A0000}"/>
    <cellStyle name="표준 23 3 3 4 2 3 2 2" xfId="10925" xr:uid="{00000000-0005-0000-0000-00008F2A0000}"/>
    <cellStyle name="표준 23 3 3 4 2 3 2 2 2" xfId="10926" xr:uid="{00000000-0005-0000-0000-0000902A0000}"/>
    <cellStyle name="표준 23 3 3 4 2 3 2 2 2 2" xfId="10927" xr:uid="{00000000-0005-0000-0000-0000912A0000}"/>
    <cellStyle name="표준 23 3 3 4 2 3 2 2 3" xfId="10928" xr:uid="{00000000-0005-0000-0000-0000922A0000}"/>
    <cellStyle name="표준 23 3 3 4 2 3 2 3" xfId="10929" xr:uid="{00000000-0005-0000-0000-0000932A0000}"/>
    <cellStyle name="표준 23 3 3 4 2 3 2 3 2" xfId="10930" xr:uid="{00000000-0005-0000-0000-0000942A0000}"/>
    <cellStyle name="표준 23 3 3 4 2 3 2 4" xfId="10931" xr:uid="{00000000-0005-0000-0000-0000952A0000}"/>
    <cellStyle name="표준 23 3 3 4 2 3 3" xfId="10932" xr:uid="{00000000-0005-0000-0000-0000962A0000}"/>
    <cellStyle name="표준 23 3 3 4 2 3 3 2" xfId="10933" xr:uid="{00000000-0005-0000-0000-0000972A0000}"/>
    <cellStyle name="표준 23 3 3 4 2 3 3 2 2" xfId="10934" xr:uid="{00000000-0005-0000-0000-0000982A0000}"/>
    <cellStyle name="표준 23 3 3 4 2 3 3 3" xfId="10935" xr:uid="{00000000-0005-0000-0000-0000992A0000}"/>
    <cellStyle name="표준 23 3 3 4 2 3 4" xfId="10936" xr:uid="{00000000-0005-0000-0000-00009A2A0000}"/>
    <cellStyle name="표준 23 3 3 4 2 3 4 2" xfId="10937" xr:uid="{00000000-0005-0000-0000-00009B2A0000}"/>
    <cellStyle name="표준 23 3 3 4 2 3 5" xfId="10938" xr:uid="{00000000-0005-0000-0000-00009C2A0000}"/>
    <cellStyle name="표준 23 3 3 4 2 4" xfId="10939" xr:uid="{00000000-0005-0000-0000-00009D2A0000}"/>
    <cellStyle name="표준 23 3 3 4 2 4 2" xfId="10940" xr:uid="{00000000-0005-0000-0000-00009E2A0000}"/>
    <cellStyle name="표준 23 3 3 4 2 4 2 2" xfId="10941" xr:uid="{00000000-0005-0000-0000-00009F2A0000}"/>
    <cellStyle name="표준 23 3 3 4 2 4 2 2 2" xfId="10942" xr:uid="{00000000-0005-0000-0000-0000A02A0000}"/>
    <cellStyle name="표준 23 3 3 4 2 4 2 3" xfId="10943" xr:uid="{00000000-0005-0000-0000-0000A12A0000}"/>
    <cellStyle name="표준 23 3 3 4 2 4 3" xfId="10944" xr:uid="{00000000-0005-0000-0000-0000A22A0000}"/>
    <cellStyle name="표준 23 3 3 4 2 4 3 2" xfId="10945" xr:uid="{00000000-0005-0000-0000-0000A32A0000}"/>
    <cellStyle name="표준 23 3 3 4 2 4 4" xfId="10946" xr:uid="{00000000-0005-0000-0000-0000A42A0000}"/>
    <cellStyle name="표준 23 3 3 4 2 5" xfId="10947" xr:uid="{00000000-0005-0000-0000-0000A52A0000}"/>
    <cellStyle name="표준 23 3 3 4 2 5 2" xfId="10948" xr:uid="{00000000-0005-0000-0000-0000A62A0000}"/>
    <cellStyle name="표준 23 3 3 4 2 5 2 2" xfId="10949" xr:uid="{00000000-0005-0000-0000-0000A72A0000}"/>
    <cellStyle name="표준 23 3 3 4 2 5 3" xfId="10950" xr:uid="{00000000-0005-0000-0000-0000A82A0000}"/>
    <cellStyle name="표준 23 3 3 4 2 6" xfId="10951" xr:uid="{00000000-0005-0000-0000-0000A92A0000}"/>
    <cellStyle name="표준 23 3 3 4 2 6 2" xfId="10952" xr:uid="{00000000-0005-0000-0000-0000AA2A0000}"/>
    <cellStyle name="표준 23 3 3 4 2 7" xfId="10953" xr:uid="{00000000-0005-0000-0000-0000AB2A0000}"/>
    <cellStyle name="표준 23 3 3 4 2 8" xfId="10954" xr:uid="{00000000-0005-0000-0000-0000AC2A0000}"/>
    <cellStyle name="표준 23 3 3 4 3" xfId="10955" xr:uid="{00000000-0005-0000-0000-0000AD2A0000}"/>
    <cellStyle name="표준 23 3 3 4 3 2" xfId="10956" xr:uid="{00000000-0005-0000-0000-0000AE2A0000}"/>
    <cellStyle name="표준 23 3 3 4 3 2 2" xfId="10957" xr:uid="{00000000-0005-0000-0000-0000AF2A0000}"/>
    <cellStyle name="표준 23 3 3 4 3 2 2 2" xfId="10958" xr:uid="{00000000-0005-0000-0000-0000B02A0000}"/>
    <cellStyle name="표준 23 3 3 4 3 2 2 2 2" xfId="10959" xr:uid="{00000000-0005-0000-0000-0000B12A0000}"/>
    <cellStyle name="표준 23 3 3 4 3 2 2 2 2 2" xfId="10960" xr:uid="{00000000-0005-0000-0000-0000B22A0000}"/>
    <cellStyle name="표준 23 3 3 4 3 2 2 2 3" xfId="10961" xr:uid="{00000000-0005-0000-0000-0000B32A0000}"/>
    <cellStyle name="표준 23 3 3 4 3 2 2 3" xfId="10962" xr:uid="{00000000-0005-0000-0000-0000B42A0000}"/>
    <cellStyle name="표준 23 3 3 4 3 2 2 3 2" xfId="10963" xr:uid="{00000000-0005-0000-0000-0000B52A0000}"/>
    <cellStyle name="표준 23 3 3 4 3 2 2 4" xfId="10964" xr:uid="{00000000-0005-0000-0000-0000B62A0000}"/>
    <cellStyle name="표준 23 3 3 4 3 2 3" xfId="10965" xr:uid="{00000000-0005-0000-0000-0000B72A0000}"/>
    <cellStyle name="표준 23 3 3 4 3 2 3 2" xfId="10966" xr:uid="{00000000-0005-0000-0000-0000B82A0000}"/>
    <cellStyle name="표준 23 3 3 4 3 2 3 2 2" xfId="10967" xr:uid="{00000000-0005-0000-0000-0000B92A0000}"/>
    <cellStyle name="표준 23 3 3 4 3 2 3 3" xfId="10968" xr:uid="{00000000-0005-0000-0000-0000BA2A0000}"/>
    <cellStyle name="표준 23 3 3 4 3 2 4" xfId="10969" xr:uid="{00000000-0005-0000-0000-0000BB2A0000}"/>
    <cellStyle name="표준 23 3 3 4 3 2 4 2" xfId="10970" xr:uid="{00000000-0005-0000-0000-0000BC2A0000}"/>
    <cellStyle name="표준 23 3 3 4 3 2 5" xfId="10971" xr:uid="{00000000-0005-0000-0000-0000BD2A0000}"/>
    <cellStyle name="표준 23 3 3 4 3 3" xfId="10972" xr:uid="{00000000-0005-0000-0000-0000BE2A0000}"/>
    <cellStyle name="표준 23 3 3 4 3 3 2" xfId="10973" xr:uid="{00000000-0005-0000-0000-0000BF2A0000}"/>
    <cellStyle name="표준 23 3 3 4 3 3 2 2" xfId="10974" xr:uid="{00000000-0005-0000-0000-0000C02A0000}"/>
    <cellStyle name="표준 23 3 3 4 3 3 2 2 2" xfId="10975" xr:uid="{00000000-0005-0000-0000-0000C12A0000}"/>
    <cellStyle name="표준 23 3 3 4 3 3 2 3" xfId="10976" xr:uid="{00000000-0005-0000-0000-0000C22A0000}"/>
    <cellStyle name="표준 23 3 3 4 3 3 3" xfId="10977" xr:uid="{00000000-0005-0000-0000-0000C32A0000}"/>
    <cellStyle name="표준 23 3 3 4 3 3 3 2" xfId="10978" xr:uid="{00000000-0005-0000-0000-0000C42A0000}"/>
    <cellStyle name="표준 23 3 3 4 3 3 4" xfId="10979" xr:uid="{00000000-0005-0000-0000-0000C52A0000}"/>
    <cellStyle name="표준 23 3 3 4 3 4" xfId="10980" xr:uid="{00000000-0005-0000-0000-0000C62A0000}"/>
    <cellStyle name="표준 23 3 3 4 3 4 2" xfId="10981" xr:uid="{00000000-0005-0000-0000-0000C72A0000}"/>
    <cellStyle name="표준 23 3 3 4 3 4 2 2" xfId="10982" xr:uid="{00000000-0005-0000-0000-0000C82A0000}"/>
    <cellStyle name="표준 23 3 3 4 3 4 3" xfId="10983" xr:uid="{00000000-0005-0000-0000-0000C92A0000}"/>
    <cellStyle name="표준 23 3 3 4 3 5" xfId="10984" xr:uid="{00000000-0005-0000-0000-0000CA2A0000}"/>
    <cellStyle name="표준 23 3 3 4 3 5 2" xfId="10985" xr:uid="{00000000-0005-0000-0000-0000CB2A0000}"/>
    <cellStyle name="표준 23 3 3 4 3 6" xfId="10986" xr:uid="{00000000-0005-0000-0000-0000CC2A0000}"/>
    <cellStyle name="표준 23 3 3 4 4" xfId="10987" xr:uid="{00000000-0005-0000-0000-0000CD2A0000}"/>
    <cellStyle name="표준 23 3 3 4 4 2" xfId="10988" xr:uid="{00000000-0005-0000-0000-0000CE2A0000}"/>
    <cellStyle name="표준 23 3 3 4 4 2 2" xfId="10989" xr:uid="{00000000-0005-0000-0000-0000CF2A0000}"/>
    <cellStyle name="표준 23 3 3 4 4 2 2 2" xfId="10990" xr:uid="{00000000-0005-0000-0000-0000D02A0000}"/>
    <cellStyle name="표준 23 3 3 4 4 2 2 2 2" xfId="10991" xr:uid="{00000000-0005-0000-0000-0000D12A0000}"/>
    <cellStyle name="표준 23 3 3 4 4 2 2 3" xfId="10992" xr:uid="{00000000-0005-0000-0000-0000D22A0000}"/>
    <cellStyle name="표준 23 3 3 4 4 2 3" xfId="10993" xr:uid="{00000000-0005-0000-0000-0000D32A0000}"/>
    <cellStyle name="표준 23 3 3 4 4 2 3 2" xfId="10994" xr:uid="{00000000-0005-0000-0000-0000D42A0000}"/>
    <cellStyle name="표준 23 3 3 4 4 2 4" xfId="10995" xr:uid="{00000000-0005-0000-0000-0000D52A0000}"/>
    <cellStyle name="표준 23 3 3 4 4 3" xfId="10996" xr:uid="{00000000-0005-0000-0000-0000D62A0000}"/>
    <cellStyle name="표준 23 3 3 4 4 3 2" xfId="10997" xr:uid="{00000000-0005-0000-0000-0000D72A0000}"/>
    <cellStyle name="표준 23 3 3 4 4 3 2 2" xfId="10998" xr:uid="{00000000-0005-0000-0000-0000D82A0000}"/>
    <cellStyle name="표준 23 3 3 4 4 3 3" xfId="10999" xr:uid="{00000000-0005-0000-0000-0000D92A0000}"/>
    <cellStyle name="표준 23 3 3 4 4 4" xfId="11000" xr:uid="{00000000-0005-0000-0000-0000DA2A0000}"/>
    <cellStyle name="표준 23 3 3 4 4 4 2" xfId="11001" xr:uid="{00000000-0005-0000-0000-0000DB2A0000}"/>
    <cellStyle name="표준 23 3 3 4 4 5" xfId="11002" xr:uid="{00000000-0005-0000-0000-0000DC2A0000}"/>
    <cellStyle name="표준 23 3 3 4 5" xfId="11003" xr:uid="{00000000-0005-0000-0000-0000DD2A0000}"/>
    <cellStyle name="표준 23 3 3 4 5 2" xfId="11004" xr:uid="{00000000-0005-0000-0000-0000DE2A0000}"/>
    <cellStyle name="표준 23 3 3 4 5 2 2" xfId="11005" xr:uid="{00000000-0005-0000-0000-0000DF2A0000}"/>
    <cellStyle name="표준 23 3 3 4 5 2 2 2" xfId="11006" xr:uid="{00000000-0005-0000-0000-0000E02A0000}"/>
    <cellStyle name="표준 23 3 3 4 5 2 3" xfId="11007" xr:uid="{00000000-0005-0000-0000-0000E12A0000}"/>
    <cellStyle name="표준 23 3 3 4 5 3" xfId="11008" xr:uid="{00000000-0005-0000-0000-0000E22A0000}"/>
    <cellStyle name="표준 23 3 3 4 5 3 2" xfId="11009" xr:uid="{00000000-0005-0000-0000-0000E32A0000}"/>
    <cellStyle name="표준 23 3 3 4 5 4" xfId="11010" xr:uid="{00000000-0005-0000-0000-0000E42A0000}"/>
    <cellStyle name="표준 23 3 3 4 6" xfId="11011" xr:uid="{00000000-0005-0000-0000-0000E52A0000}"/>
    <cellStyle name="표준 23 3 3 4 6 2" xfId="11012" xr:uid="{00000000-0005-0000-0000-0000E62A0000}"/>
    <cellStyle name="표준 23 3 3 4 6 2 2" xfId="11013" xr:uid="{00000000-0005-0000-0000-0000E72A0000}"/>
    <cellStyle name="표준 23 3 3 4 6 3" xfId="11014" xr:uid="{00000000-0005-0000-0000-0000E82A0000}"/>
    <cellStyle name="표준 23 3 3 4 7" xfId="11015" xr:uid="{00000000-0005-0000-0000-0000E92A0000}"/>
    <cellStyle name="표준 23 3 3 4 7 2" xfId="11016" xr:uid="{00000000-0005-0000-0000-0000EA2A0000}"/>
    <cellStyle name="표준 23 3 3 4 8" xfId="11017" xr:uid="{00000000-0005-0000-0000-0000EB2A0000}"/>
    <cellStyle name="표준 23 3 3 4 9" xfId="11018" xr:uid="{00000000-0005-0000-0000-0000EC2A0000}"/>
    <cellStyle name="표준 23 3 3 5" xfId="11019" xr:uid="{00000000-0005-0000-0000-0000ED2A0000}"/>
    <cellStyle name="표준 23 3 3 5 2" xfId="11020" xr:uid="{00000000-0005-0000-0000-0000EE2A0000}"/>
    <cellStyle name="표준 23 3 3 5 2 2" xfId="11021" xr:uid="{00000000-0005-0000-0000-0000EF2A0000}"/>
    <cellStyle name="표준 23 3 3 5 2 2 2" xfId="11022" xr:uid="{00000000-0005-0000-0000-0000F02A0000}"/>
    <cellStyle name="표준 23 3 3 5 2 2 2 2" xfId="11023" xr:uid="{00000000-0005-0000-0000-0000F12A0000}"/>
    <cellStyle name="표준 23 3 3 5 2 2 2 2 2" xfId="11024" xr:uid="{00000000-0005-0000-0000-0000F22A0000}"/>
    <cellStyle name="표준 23 3 3 5 2 2 2 2 2 2" xfId="11025" xr:uid="{00000000-0005-0000-0000-0000F32A0000}"/>
    <cellStyle name="표준 23 3 3 5 2 2 2 2 3" xfId="11026" xr:uid="{00000000-0005-0000-0000-0000F42A0000}"/>
    <cellStyle name="표준 23 3 3 5 2 2 2 3" xfId="11027" xr:uid="{00000000-0005-0000-0000-0000F52A0000}"/>
    <cellStyle name="표준 23 3 3 5 2 2 2 3 2" xfId="11028" xr:uid="{00000000-0005-0000-0000-0000F62A0000}"/>
    <cellStyle name="표준 23 3 3 5 2 2 2 4" xfId="11029" xr:uid="{00000000-0005-0000-0000-0000F72A0000}"/>
    <cellStyle name="표준 23 3 3 5 2 2 3" xfId="11030" xr:uid="{00000000-0005-0000-0000-0000F82A0000}"/>
    <cellStyle name="표준 23 3 3 5 2 2 3 2" xfId="11031" xr:uid="{00000000-0005-0000-0000-0000F92A0000}"/>
    <cellStyle name="표준 23 3 3 5 2 2 3 2 2" xfId="11032" xr:uid="{00000000-0005-0000-0000-0000FA2A0000}"/>
    <cellStyle name="표준 23 3 3 5 2 2 3 3" xfId="11033" xr:uid="{00000000-0005-0000-0000-0000FB2A0000}"/>
    <cellStyle name="표준 23 3 3 5 2 2 4" xfId="11034" xr:uid="{00000000-0005-0000-0000-0000FC2A0000}"/>
    <cellStyle name="표준 23 3 3 5 2 2 4 2" xfId="11035" xr:uid="{00000000-0005-0000-0000-0000FD2A0000}"/>
    <cellStyle name="표준 23 3 3 5 2 2 5" xfId="11036" xr:uid="{00000000-0005-0000-0000-0000FE2A0000}"/>
    <cellStyle name="표준 23 3 3 5 2 3" xfId="11037" xr:uid="{00000000-0005-0000-0000-0000FF2A0000}"/>
    <cellStyle name="표준 23 3 3 5 2 3 2" xfId="11038" xr:uid="{00000000-0005-0000-0000-0000002B0000}"/>
    <cellStyle name="표준 23 3 3 5 2 3 2 2" xfId="11039" xr:uid="{00000000-0005-0000-0000-0000012B0000}"/>
    <cellStyle name="표준 23 3 3 5 2 3 2 2 2" xfId="11040" xr:uid="{00000000-0005-0000-0000-0000022B0000}"/>
    <cellStyle name="표준 23 3 3 5 2 3 2 3" xfId="11041" xr:uid="{00000000-0005-0000-0000-0000032B0000}"/>
    <cellStyle name="표준 23 3 3 5 2 3 3" xfId="11042" xr:uid="{00000000-0005-0000-0000-0000042B0000}"/>
    <cellStyle name="표준 23 3 3 5 2 3 3 2" xfId="11043" xr:uid="{00000000-0005-0000-0000-0000052B0000}"/>
    <cellStyle name="표준 23 3 3 5 2 3 4" xfId="11044" xr:uid="{00000000-0005-0000-0000-0000062B0000}"/>
    <cellStyle name="표준 23 3 3 5 2 4" xfId="11045" xr:uid="{00000000-0005-0000-0000-0000072B0000}"/>
    <cellStyle name="표준 23 3 3 5 2 4 2" xfId="11046" xr:uid="{00000000-0005-0000-0000-0000082B0000}"/>
    <cellStyle name="표준 23 3 3 5 2 4 2 2" xfId="11047" xr:uid="{00000000-0005-0000-0000-0000092B0000}"/>
    <cellStyle name="표준 23 3 3 5 2 4 3" xfId="11048" xr:uid="{00000000-0005-0000-0000-00000A2B0000}"/>
    <cellStyle name="표준 23 3 3 5 2 5" xfId="11049" xr:uid="{00000000-0005-0000-0000-00000B2B0000}"/>
    <cellStyle name="표준 23 3 3 5 2 5 2" xfId="11050" xr:uid="{00000000-0005-0000-0000-00000C2B0000}"/>
    <cellStyle name="표준 23 3 3 5 2 6" xfId="11051" xr:uid="{00000000-0005-0000-0000-00000D2B0000}"/>
    <cellStyle name="표준 23 3 3 5 3" xfId="11052" xr:uid="{00000000-0005-0000-0000-00000E2B0000}"/>
    <cellStyle name="표준 23 3 3 5 3 2" xfId="11053" xr:uid="{00000000-0005-0000-0000-00000F2B0000}"/>
    <cellStyle name="표준 23 3 3 5 3 2 2" xfId="11054" xr:uid="{00000000-0005-0000-0000-0000102B0000}"/>
    <cellStyle name="표준 23 3 3 5 3 2 2 2" xfId="11055" xr:uid="{00000000-0005-0000-0000-0000112B0000}"/>
    <cellStyle name="표준 23 3 3 5 3 2 2 2 2" xfId="11056" xr:uid="{00000000-0005-0000-0000-0000122B0000}"/>
    <cellStyle name="표준 23 3 3 5 3 2 2 3" xfId="11057" xr:uid="{00000000-0005-0000-0000-0000132B0000}"/>
    <cellStyle name="표준 23 3 3 5 3 2 3" xfId="11058" xr:uid="{00000000-0005-0000-0000-0000142B0000}"/>
    <cellStyle name="표준 23 3 3 5 3 2 3 2" xfId="11059" xr:uid="{00000000-0005-0000-0000-0000152B0000}"/>
    <cellStyle name="표준 23 3 3 5 3 2 4" xfId="11060" xr:uid="{00000000-0005-0000-0000-0000162B0000}"/>
    <cellStyle name="표준 23 3 3 5 3 3" xfId="11061" xr:uid="{00000000-0005-0000-0000-0000172B0000}"/>
    <cellStyle name="표준 23 3 3 5 3 3 2" xfId="11062" xr:uid="{00000000-0005-0000-0000-0000182B0000}"/>
    <cellStyle name="표준 23 3 3 5 3 3 2 2" xfId="11063" xr:uid="{00000000-0005-0000-0000-0000192B0000}"/>
    <cellStyle name="표준 23 3 3 5 3 3 3" xfId="11064" xr:uid="{00000000-0005-0000-0000-00001A2B0000}"/>
    <cellStyle name="표준 23 3 3 5 3 4" xfId="11065" xr:uid="{00000000-0005-0000-0000-00001B2B0000}"/>
    <cellStyle name="표준 23 3 3 5 3 4 2" xfId="11066" xr:uid="{00000000-0005-0000-0000-00001C2B0000}"/>
    <cellStyle name="표준 23 3 3 5 3 5" xfId="11067" xr:uid="{00000000-0005-0000-0000-00001D2B0000}"/>
    <cellStyle name="표준 23 3 3 5 4" xfId="11068" xr:uid="{00000000-0005-0000-0000-00001E2B0000}"/>
    <cellStyle name="표준 23 3 3 5 4 2" xfId="11069" xr:uid="{00000000-0005-0000-0000-00001F2B0000}"/>
    <cellStyle name="표준 23 3 3 5 4 2 2" xfId="11070" xr:uid="{00000000-0005-0000-0000-0000202B0000}"/>
    <cellStyle name="표준 23 3 3 5 4 2 2 2" xfId="11071" xr:uid="{00000000-0005-0000-0000-0000212B0000}"/>
    <cellStyle name="표준 23 3 3 5 4 2 3" xfId="11072" xr:uid="{00000000-0005-0000-0000-0000222B0000}"/>
    <cellStyle name="표준 23 3 3 5 4 3" xfId="11073" xr:uid="{00000000-0005-0000-0000-0000232B0000}"/>
    <cellStyle name="표준 23 3 3 5 4 3 2" xfId="11074" xr:uid="{00000000-0005-0000-0000-0000242B0000}"/>
    <cellStyle name="표준 23 3 3 5 4 4" xfId="11075" xr:uid="{00000000-0005-0000-0000-0000252B0000}"/>
    <cellStyle name="표준 23 3 3 5 5" xfId="11076" xr:uid="{00000000-0005-0000-0000-0000262B0000}"/>
    <cellStyle name="표준 23 3 3 5 5 2" xfId="11077" xr:uid="{00000000-0005-0000-0000-0000272B0000}"/>
    <cellStyle name="표준 23 3 3 5 5 2 2" xfId="11078" xr:uid="{00000000-0005-0000-0000-0000282B0000}"/>
    <cellStyle name="표준 23 3 3 5 5 3" xfId="11079" xr:uid="{00000000-0005-0000-0000-0000292B0000}"/>
    <cellStyle name="표준 23 3 3 5 6" xfId="11080" xr:uid="{00000000-0005-0000-0000-00002A2B0000}"/>
    <cellStyle name="표준 23 3 3 5 6 2" xfId="11081" xr:uid="{00000000-0005-0000-0000-00002B2B0000}"/>
    <cellStyle name="표준 23 3 3 5 7" xfId="11082" xr:uid="{00000000-0005-0000-0000-00002C2B0000}"/>
    <cellStyle name="표준 23 3 3 5 8" xfId="11083" xr:uid="{00000000-0005-0000-0000-00002D2B0000}"/>
    <cellStyle name="표준 23 3 3 6" xfId="11084" xr:uid="{00000000-0005-0000-0000-00002E2B0000}"/>
    <cellStyle name="표준 23 3 3 6 2" xfId="11085" xr:uid="{00000000-0005-0000-0000-00002F2B0000}"/>
    <cellStyle name="표준 23 3 3 6 2 2" xfId="11086" xr:uid="{00000000-0005-0000-0000-0000302B0000}"/>
    <cellStyle name="표준 23 3 3 6 2 2 2" xfId="11087" xr:uid="{00000000-0005-0000-0000-0000312B0000}"/>
    <cellStyle name="표준 23 3 3 6 2 2 2 2" xfId="11088" xr:uid="{00000000-0005-0000-0000-0000322B0000}"/>
    <cellStyle name="표준 23 3 3 6 2 2 2 2 2" xfId="11089" xr:uid="{00000000-0005-0000-0000-0000332B0000}"/>
    <cellStyle name="표준 23 3 3 6 2 2 2 3" xfId="11090" xr:uid="{00000000-0005-0000-0000-0000342B0000}"/>
    <cellStyle name="표준 23 3 3 6 2 2 3" xfId="11091" xr:uid="{00000000-0005-0000-0000-0000352B0000}"/>
    <cellStyle name="표준 23 3 3 6 2 2 3 2" xfId="11092" xr:uid="{00000000-0005-0000-0000-0000362B0000}"/>
    <cellStyle name="표준 23 3 3 6 2 2 4" xfId="11093" xr:uid="{00000000-0005-0000-0000-0000372B0000}"/>
    <cellStyle name="표준 23 3 3 6 2 3" xfId="11094" xr:uid="{00000000-0005-0000-0000-0000382B0000}"/>
    <cellStyle name="표준 23 3 3 6 2 3 2" xfId="11095" xr:uid="{00000000-0005-0000-0000-0000392B0000}"/>
    <cellStyle name="표준 23 3 3 6 2 3 2 2" xfId="11096" xr:uid="{00000000-0005-0000-0000-00003A2B0000}"/>
    <cellStyle name="표준 23 3 3 6 2 3 3" xfId="11097" xr:uid="{00000000-0005-0000-0000-00003B2B0000}"/>
    <cellStyle name="표준 23 3 3 6 2 4" xfId="11098" xr:uid="{00000000-0005-0000-0000-00003C2B0000}"/>
    <cellStyle name="표준 23 3 3 6 2 4 2" xfId="11099" xr:uid="{00000000-0005-0000-0000-00003D2B0000}"/>
    <cellStyle name="표준 23 3 3 6 2 5" xfId="11100" xr:uid="{00000000-0005-0000-0000-00003E2B0000}"/>
    <cellStyle name="표준 23 3 3 6 3" xfId="11101" xr:uid="{00000000-0005-0000-0000-00003F2B0000}"/>
    <cellStyle name="표준 23 3 3 6 3 2" xfId="11102" xr:uid="{00000000-0005-0000-0000-0000402B0000}"/>
    <cellStyle name="표준 23 3 3 6 3 2 2" xfId="11103" xr:uid="{00000000-0005-0000-0000-0000412B0000}"/>
    <cellStyle name="표준 23 3 3 6 3 2 2 2" xfId="11104" xr:uid="{00000000-0005-0000-0000-0000422B0000}"/>
    <cellStyle name="표준 23 3 3 6 3 2 3" xfId="11105" xr:uid="{00000000-0005-0000-0000-0000432B0000}"/>
    <cellStyle name="표준 23 3 3 6 3 3" xfId="11106" xr:uid="{00000000-0005-0000-0000-0000442B0000}"/>
    <cellStyle name="표준 23 3 3 6 3 3 2" xfId="11107" xr:uid="{00000000-0005-0000-0000-0000452B0000}"/>
    <cellStyle name="표준 23 3 3 6 3 4" xfId="11108" xr:uid="{00000000-0005-0000-0000-0000462B0000}"/>
    <cellStyle name="표준 23 3 3 6 4" xfId="11109" xr:uid="{00000000-0005-0000-0000-0000472B0000}"/>
    <cellStyle name="표준 23 3 3 6 4 2" xfId="11110" xr:uid="{00000000-0005-0000-0000-0000482B0000}"/>
    <cellStyle name="표준 23 3 3 6 4 2 2" xfId="11111" xr:uid="{00000000-0005-0000-0000-0000492B0000}"/>
    <cellStyle name="표준 23 3 3 6 4 3" xfId="11112" xr:uid="{00000000-0005-0000-0000-00004A2B0000}"/>
    <cellStyle name="표준 23 3 3 6 5" xfId="11113" xr:uid="{00000000-0005-0000-0000-00004B2B0000}"/>
    <cellStyle name="표준 23 3 3 6 5 2" xfId="11114" xr:uid="{00000000-0005-0000-0000-00004C2B0000}"/>
    <cellStyle name="표준 23 3 3 6 6" xfId="11115" xr:uid="{00000000-0005-0000-0000-00004D2B0000}"/>
    <cellStyle name="표준 23 3 3 7" xfId="11116" xr:uid="{00000000-0005-0000-0000-00004E2B0000}"/>
    <cellStyle name="표준 23 3 3 7 2" xfId="11117" xr:uid="{00000000-0005-0000-0000-00004F2B0000}"/>
    <cellStyle name="표준 23 3 3 7 2 2" xfId="11118" xr:uid="{00000000-0005-0000-0000-0000502B0000}"/>
    <cellStyle name="표준 23 3 3 7 2 2 2" xfId="11119" xr:uid="{00000000-0005-0000-0000-0000512B0000}"/>
    <cellStyle name="표준 23 3 3 7 2 2 2 2" xfId="11120" xr:uid="{00000000-0005-0000-0000-0000522B0000}"/>
    <cellStyle name="표준 23 3 3 7 2 2 3" xfId="11121" xr:uid="{00000000-0005-0000-0000-0000532B0000}"/>
    <cellStyle name="표준 23 3 3 7 2 3" xfId="11122" xr:uid="{00000000-0005-0000-0000-0000542B0000}"/>
    <cellStyle name="표준 23 3 3 7 2 3 2" xfId="11123" xr:uid="{00000000-0005-0000-0000-0000552B0000}"/>
    <cellStyle name="표준 23 3 3 7 2 4" xfId="11124" xr:uid="{00000000-0005-0000-0000-0000562B0000}"/>
    <cellStyle name="표준 23 3 3 7 3" xfId="11125" xr:uid="{00000000-0005-0000-0000-0000572B0000}"/>
    <cellStyle name="표준 23 3 3 7 3 2" xfId="11126" xr:uid="{00000000-0005-0000-0000-0000582B0000}"/>
    <cellStyle name="표준 23 3 3 7 3 2 2" xfId="11127" xr:uid="{00000000-0005-0000-0000-0000592B0000}"/>
    <cellStyle name="표준 23 3 3 7 3 3" xfId="11128" xr:uid="{00000000-0005-0000-0000-00005A2B0000}"/>
    <cellStyle name="표준 23 3 3 7 4" xfId="11129" xr:uid="{00000000-0005-0000-0000-00005B2B0000}"/>
    <cellStyle name="표준 23 3 3 7 4 2" xfId="11130" xr:uid="{00000000-0005-0000-0000-00005C2B0000}"/>
    <cellStyle name="표준 23 3 3 7 5" xfId="11131" xr:uid="{00000000-0005-0000-0000-00005D2B0000}"/>
    <cellStyle name="표준 23 3 3 8" xfId="11132" xr:uid="{00000000-0005-0000-0000-00005E2B0000}"/>
    <cellStyle name="표준 23 3 3 8 2" xfId="11133" xr:uid="{00000000-0005-0000-0000-00005F2B0000}"/>
    <cellStyle name="표준 23 3 3 8 2 2" xfId="11134" xr:uid="{00000000-0005-0000-0000-0000602B0000}"/>
    <cellStyle name="표준 23 3 3 8 2 2 2" xfId="11135" xr:uid="{00000000-0005-0000-0000-0000612B0000}"/>
    <cellStyle name="표준 23 3 3 8 2 3" xfId="11136" xr:uid="{00000000-0005-0000-0000-0000622B0000}"/>
    <cellStyle name="표준 23 3 3 8 3" xfId="11137" xr:uid="{00000000-0005-0000-0000-0000632B0000}"/>
    <cellStyle name="표준 23 3 3 8 3 2" xfId="11138" xr:uid="{00000000-0005-0000-0000-0000642B0000}"/>
    <cellStyle name="표준 23 3 3 8 4" xfId="11139" xr:uid="{00000000-0005-0000-0000-0000652B0000}"/>
    <cellStyle name="표준 23 3 3 9" xfId="11140" xr:uid="{00000000-0005-0000-0000-0000662B0000}"/>
    <cellStyle name="표준 23 3 3 9 2" xfId="11141" xr:uid="{00000000-0005-0000-0000-0000672B0000}"/>
    <cellStyle name="표준 23 3 3 9 2 2" xfId="11142" xr:uid="{00000000-0005-0000-0000-0000682B0000}"/>
    <cellStyle name="표준 23 3 3 9 3" xfId="11143" xr:uid="{00000000-0005-0000-0000-0000692B0000}"/>
    <cellStyle name="표준 23 3 4" xfId="11144" xr:uid="{00000000-0005-0000-0000-00006A2B0000}"/>
    <cellStyle name="표준 23 3 4 10" xfId="11145" xr:uid="{00000000-0005-0000-0000-00006B2B0000}"/>
    <cellStyle name="표준 23 3 4 11" xfId="11146" xr:uid="{00000000-0005-0000-0000-00006C2B0000}"/>
    <cellStyle name="표준 23 3 4 2" xfId="11147" xr:uid="{00000000-0005-0000-0000-00006D2B0000}"/>
    <cellStyle name="표준 23 3 4 2 10" xfId="11148" xr:uid="{00000000-0005-0000-0000-00006E2B0000}"/>
    <cellStyle name="표준 23 3 4 2 2" xfId="11149" xr:uid="{00000000-0005-0000-0000-00006F2B0000}"/>
    <cellStyle name="표준 23 3 4 2 2 2" xfId="11150" xr:uid="{00000000-0005-0000-0000-0000702B0000}"/>
    <cellStyle name="표준 23 3 4 2 2 2 2" xfId="11151" xr:uid="{00000000-0005-0000-0000-0000712B0000}"/>
    <cellStyle name="표준 23 3 4 2 2 2 2 2" xfId="11152" xr:uid="{00000000-0005-0000-0000-0000722B0000}"/>
    <cellStyle name="표준 23 3 4 2 2 2 2 2 2" xfId="11153" xr:uid="{00000000-0005-0000-0000-0000732B0000}"/>
    <cellStyle name="표준 23 3 4 2 2 2 2 2 2 2" xfId="11154" xr:uid="{00000000-0005-0000-0000-0000742B0000}"/>
    <cellStyle name="표준 23 3 4 2 2 2 2 2 2 2 2" xfId="11155" xr:uid="{00000000-0005-0000-0000-0000752B0000}"/>
    <cellStyle name="표준 23 3 4 2 2 2 2 2 2 2 2 2" xfId="11156" xr:uid="{00000000-0005-0000-0000-0000762B0000}"/>
    <cellStyle name="표준 23 3 4 2 2 2 2 2 2 2 3" xfId="11157" xr:uid="{00000000-0005-0000-0000-0000772B0000}"/>
    <cellStyle name="표준 23 3 4 2 2 2 2 2 2 3" xfId="11158" xr:uid="{00000000-0005-0000-0000-0000782B0000}"/>
    <cellStyle name="표준 23 3 4 2 2 2 2 2 2 3 2" xfId="11159" xr:uid="{00000000-0005-0000-0000-0000792B0000}"/>
    <cellStyle name="표준 23 3 4 2 2 2 2 2 2 4" xfId="11160" xr:uid="{00000000-0005-0000-0000-00007A2B0000}"/>
    <cellStyle name="표준 23 3 4 2 2 2 2 2 3" xfId="11161" xr:uid="{00000000-0005-0000-0000-00007B2B0000}"/>
    <cellStyle name="표준 23 3 4 2 2 2 2 2 3 2" xfId="11162" xr:uid="{00000000-0005-0000-0000-00007C2B0000}"/>
    <cellStyle name="표준 23 3 4 2 2 2 2 2 3 2 2" xfId="11163" xr:uid="{00000000-0005-0000-0000-00007D2B0000}"/>
    <cellStyle name="표준 23 3 4 2 2 2 2 2 3 3" xfId="11164" xr:uid="{00000000-0005-0000-0000-00007E2B0000}"/>
    <cellStyle name="표준 23 3 4 2 2 2 2 2 4" xfId="11165" xr:uid="{00000000-0005-0000-0000-00007F2B0000}"/>
    <cellStyle name="표준 23 3 4 2 2 2 2 2 4 2" xfId="11166" xr:uid="{00000000-0005-0000-0000-0000802B0000}"/>
    <cellStyle name="표준 23 3 4 2 2 2 2 2 5" xfId="11167" xr:uid="{00000000-0005-0000-0000-0000812B0000}"/>
    <cellStyle name="표준 23 3 4 2 2 2 2 3" xfId="11168" xr:uid="{00000000-0005-0000-0000-0000822B0000}"/>
    <cellStyle name="표준 23 3 4 2 2 2 2 3 2" xfId="11169" xr:uid="{00000000-0005-0000-0000-0000832B0000}"/>
    <cellStyle name="표준 23 3 4 2 2 2 2 3 2 2" xfId="11170" xr:uid="{00000000-0005-0000-0000-0000842B0000}"/>
    <cellStyle name="표준 23 3 4 2 2 2 2 3 2 2 2" xfId="11171" xr:uid="{00000000-0005-0000-0000-0000852B0000}"/>
    <cellStyle name="표준 23 3 4 2 2 2 2 3 2 3" xfId="11172" xr:uid="{00000000-0005-0000-0000-0000862B0000}"/>
    <cellStyle name="표준 23 3 4 2 2 2 2 3 3" xfId="11173" xr:uid="{00000000-0005-0000-0000-0000872B0000}"/>
    <cellStyle name="표준 23 3 4 2 2 2 2 3 3 2" xfId="11174" xr:uid="{00000000-0005-0000-0000-0000882B0000}"/>
    <cellStyle name="표준 23 3 4 2 2 2 2 3 4" xfId="11175" xr:uid="{00000000-0005-0000-0000-0000892B0000}"/>
    <cellStyle name="표준 23 3 4 2 2 2 2 4" xfId="11176" xr:uid="{00000000-0005-0000-0000-00008A2B0000}"/>
    <cellStyle name="표준 23 3 4 2 2 2 2 4 2" xfId="11177" xr:uid="{00000000-0005-0000-0000-00008B2B0000}"/>
    <cellStyle name="표준 23 3 4 2 2 2 2 4 2 2" xfId="11178" xr:uid="{00000000-0005-0000-0000-00008C2B0000}"/>
    <cellStyle name="표준 23 3 4 2 2 2 2 4 3" xfId="11179" xr:uid="{00000000-0005-0000-0000-00008D2B0000}"/>
    <cellStyle name="표준 23 3 4 2 2 2 2 5" xfId="11180" xr:uid="{00000000-0005-0000-0000-00008E2B0000}"/>
    <cellStyle name="표준 23 3 4 2 2 2 2 5 2" xfId="11181" xr:uid="{00000000-0005-0000-0000-00008F2B0000}"/>
    <cellStyle name="표준 23 3 4 2 2 2 2 6" xfId="11182" xr:uid="{00000000-0005-0000-0000-0000902B0000}"/>
    <cellStyle name="표준 23 3 4 2 2 2 3" xfId="11183" xr:uid="{00000000-0005-0000-0000-0000912B0000}"/>
    <cellStyle name="표준 23 3 4 2 2 2 3 2" xfId="11184" xr:uid="{00000000-0005-0000-0000-0000922B0000}"/>
    <cellStyle name="표준 23 3 4 2 2 2 3 2 2" xfId="11185" xr:uid="{00000000-0005-0000-0000-0000932B0000}"/>
    <cellStyle name="표준 23 3 4 2 2 2 3 2 2 2" xfId="11186" xr:uid="{00000000-0005-0000-0000-0000942B0000}"/>
    <cellStyle name="표준 23 3 4 2 2 2 3 2 2 2 2" xfId="11187" xr:uid="{00000000-0005-0000-0000-0000952B0000}"/>
    <cellStyle name="표준 23 3 4 2 2 2 3 2 2 3" xfId="11188" xr:uid="{00000000-0005-0000-0000-0000962B0000}"/>
    <cellStyle name="표준 23 3 4 2 2 2 3 2 3" xfId="11189" xr:uid="{00000000-0005-0000-0000-0000972B0000}"/>
    <cellStyle name="표준 23 3 4 2 2 2 3 2 3 2" xfId="11190" xr:uid="{00000000-0005-0000-0000-0000982B0000}"/>
    <cellStyle name="표준 23 3 4 2 2 2 3 2 4" xfId="11191" xr:uid="{00000000-0005-0000-0000-0000992B0000}"/>
    <cellStyle name="표준 23 3 4 2 2 2 3 3" xfId="11192" xr:uid="{00000000-0005-0000-0000-00009A2B0000}"/>
    <cellStyle name="표준 23 3 4 2 2 2 3 3 2" xfId="11193" xr:uid="{00000000-0005-0000-0000-00009B2B0000}"/>
    <cellStyle name="표준 23 3 4 2 2 2 3 3 2 2" xfId="11194" xr:uid="{00000000-0005-0000-0000-00009C2B0000}"/>
    <cellStyle name="표준 23 3 4 2 2 2 3 3 3" xfId="11195" xr:uid="{00000000-0005-0000-0000-00009D2B0000}"/>
    <cellStyle name="표준 23 3 4 2 2 2 3 4" xfId="11196" xr:uid="{00000000-0005-0000-0000-00009E2B0000}"/>
    <cellStyle name="표준 23 3 4 2 2 2 3 4 2" xfId="11197" xr:uid="{00000000-0005-0000-0000-00009F2B0000}"/>
    <cellStyle name="표준 23 3 4 2 2 2 3 5" xfId="11198" xr:uid="{00000000-0005-0000-0000-0000A02B0000}"/>
    <cellStyle name="표준 23 3 4 2 2 2 4" xfId="11199" xr:uid="{00000000-0005-0000-0000-0000A12B0000}"/>
    <cellStyle name="표준 23 3 4 2 2 2 4 2" xfId="11200" xr:uid="{00000000-0005-0000-0000-0000A22B0000}"/>
    <cellStyle name="표준 23 3 4 2 2 2 4 2 2" xfId="11201" xr:uid="{00000000-0005-0000-0000-0000A32B0000}"/>
    <cellStyle name="표준 23 3 4 2 2 2 4 2 2 2" xfId="11202" xr:uid="{00000000-0005-0000-0000-0000A42B0000}"/>
    <cellStyle name="표준 23 3 4 2 2 2 4 2 3" xfId="11203" xr:uid="{00000000-0005-0000-0000-0000A52B0000}"/>
    <cellStyle name="표준 23 3 4 2 2 2 4 3" xfId="11204" xr:uid="{00000000-0005-0000-0000-0000A62B0000}"/>
    <cellStyle name="표준 23 3 4 2 2 2 4 3 2" xfId="11205" xr:uid="{00000000-0005-0000-0000-0000A72B0000}"/>
    <cellStyle name="표준 23 3 4 2 2 2 4 4" xfId="11206" xr:uid="{00000000-0005-0000-0000-0000A82B0000}"/>
    <cellStyle name="표준 23 3 4 2 2 2 5" xfId="11207" xr:uid="{00000000-0005-0000-0000-0000A92B0000}"/>
    <cellStyle name="표준 23 3 4 2 2 2 5 2" xfId="11208" xr:uid="{00000000-0005-0000-0000-0000AA2B0000}"/>
    <cellStyle name="표준 23 3 4 2 2 2 5 2 2" xfId="11209" xr:uid="{00000000-0005-0000-0000-0000AB2B0000}"/>
    <cellStyle name="표준 23 3 4 2 2 2 5 3" xfId="11210" xr:uid="{00000000-0005-0000-0000-0000AC2B0000}"/>
    <cellStyle name="표준 23 3 4 2 2 2 6" xfId="11211" xr:uid="{00000000-0005-0000-0000-0000AD2B0000}"/>
    <cellStyle name="표준 23 3 4 2 2 2 6 2" xfId="11212" xr:uid="{00000000-0005-0000-0000-0000AE2B0000}"/>
    <cellStyle name="표준 23 3 4 2 2 2 7" xfId="11213" xr:uid="{00000000-0005-0000-0000-0000AF2B0000}"/>
    <cellStyle name="표준 23 3 4 2 2 2 8" xfId="11214" xr:uid="{00000000-0005-0000-0000-0000B02B0000}"/>
    <cellStyle name="표준 23 3 4 2 2 3" xfId="11215" xr:uid="{00000000-0005-0000-0000-0000B12B0000}"/>
    <cellStyle name="표준 23 3 4 2 2 3 2" xfId="11216" xr:uid="{00000000-0005-0000-0000-0000B22B0000}"/>
    <cellStyle name="표준 23 3 4 2 2 3 2 2" xfId="11217" xr:uid="{00000000-0005-0000-0000-0000B32B0000}"/>
    <cellStyle name="표준 23 3 4 2 2 3 2 2 2" xfId="11218" xr:uid="{00000000-0005-0000-0000-0000B42B0000}"/>
    <cellStyle name="표준 23 3 4 2 2 3 2 2 2 2" xfId="11219" xr:uid="{00000000-0005-0000-0000-0000B52B0000}"/>
    <cellStyle name="표준 23 3 4 2 2 3 2 2 2 2 2" xfId="11220" xr:uid="{00000000-0005-0000-0000-0000B62B0000}"/>
    <cellStyle name="표준 23 3 4 2 2 3 2 2 2 3" xfId="11221" xr:uid="{00000000-0005-0000-0000-0000B72B0000}"/>
    <cellStyle name="표준 23 3 4 2 2 3 2 2 3" xfId="11222" xr:uid="{00000000-0005-0000-0000-0000B82B0000}"/>
    <cellStyle name="표준 23 3 4 2 2 3 2 2 3 2" xfId="11223" xr:uid="{00000000-0005-0000-0000-0000B92B0000}"/>
    <cellStyle name="표준 23 3 4 2 2 3 2 2 4" xfId="11224" xr:uid="{00000000-0005-0000-0000-0000BA2B0000}"/>
    <cellStyle name="표준 23 3 4 2 2 3 2 3" xfId="11225" xr:uid="{00000000-0005-0000-0000-0000BB2B0000}"/>
    <cellStyle name="표준 23 3 4 2 2 3 2 3 2" xfId="11226" xr:uid="{00000000-0005-0000-0000-0000BC2B0000}"/>
    <cellStyle name="표준 23 3 4 2 2 3 2 3 2 2" xfId="11227" xr:uid="{00000000-0005-0000-0000-0000BD2B0000}"/>
    <cellStyle name="표준 23 3 4 2 2 3 2 3 3" xfId="11228" xr:uid="{00000000-0005-0000-0000-0000BE2B0000}"/>
    <cellStyle name="표준 23 3 4 2 2 3 2 4" xfId="11229" xr:uid="{00000000-0005-0000-0000-0000BF2B0000}"/>
    <cellStyle name="표준 23 3 4 2 2 3 2 4 2" xfId="11230" xr:uid="{00000000-0005-0000-0000-0000C02B0000}"/>
    <cellStyle name="표준 23 3 4 2 2 3 2 5" xfId="11231" xr:uid="{00000000-0005-0000-0000-0000C12B0000}"/>
    <cellStyle name="표준 23 3 4 2 2 3 3" xfId="11232" xr:uid="{00000000-0005-0000-0000-0000C22B0000}"/>
    <cellStyle name="표준 23 3 4 2 2 3 3 2" xfId="11233" xr:uid="{00000000-0005-0000-0000-0000C32B0000}"/>
    <cellStyle name="표준 23 3 4 2 2 3 3 2 2" xfId="11234" xr:uid="{00000000-0005-0000-0000-0000C42B0000}"/>
    <cellStyle name="표준 23 3 4 2 2 3 3 2 2 2" xfId="11235" xr:uid="{00000000-0005-0000-0000-0000C52B0000}"/>
    <cellStyle name="표준 23 3 4 2 2 3 3 2 3" xfId="11236" xr:uid="{00000000-0005-0000-0000-0000C62B0000}"/>
    <cellStyle name="표준 23 3 4 2 2 3 3 3" xfId="11237" xr:uid="{00000000-0005-0000-0000-0000C72B0000}"/>
    <cellStyle name="표준 23 3 4 2 2 3 3 3 2" xfId="11238" xr:uid="{00000000-0005-0000-0000-0000C82B0000}"/>
    <cellStyle name="표준 23 3 4 2 2 3 3 4" xfId="11239" xr:uid="{00000000-0005-0000-0000-0000C92B0000}"/>
    <cellStyle name="표준 23 3 4 2 2 3 4" xfId="11240" xr:uid="{00000000-0005-0000-0000-0000CA2B0000}"/>
    <cellStyle name="표준 23 3 4 2 2 3 4 2" xfId="11241" xr:uid="{00000000-0005-0000-0000-0000CB2B0000}"/>
    <cellStyle name="표준 23 3 4 2 2 3 4 2 2" xfId="11242" xr:uid="{00000000-0005-0000-0000-0000CC2B0000}"/>
    <cellStyle name="표준 23 3 4 2 2 3 4 3" xfId="11243" xr:uid="{00000000-0005-0000-0000-0000CD2B0000}"/>
    <cellStyle name="표준 23 3 4 2 2 3 5" xfId="11244" xr:uid="{00000000-0005-0000-0000-0000CE2B0000}"/>
    <cellStyle name="표준 23 3 4 2 2 3 5 2" xfId="11245" xr:uid="{00000000-0005-0000-0000-0000CF2B0000}"/>
    <cellStyle name="표준 23 3 4 2 2 3 6" xfId="11246" xr:uid="{00000000-0005-0000-0000-0000D02B0000}"/>
    <cellStyle name="표준 23 3 4 2 2 4" xfId="11247" xr:uid="{00000000-0005-0000-0000-0000D12B0000}"/>
    <cellStyle name="표준 23 3 4 2 2 4 2" xfId="11248" xr:uid="{00000000-0005-0000-0000-0000D22B0000}"/>
    <cellStyle name="표준 23 3 4 2 2 4 2 2" xfId="11249" xr:uid="{00000000-0005-0000-0000-0000D32B0000}"/>
    <cellStyle name="표준 23 3 4 2 2 4 2 2 2" xfId="11250" xr:uid="{00000000-0005-0000-0000-0000D42B0000}"/>
    <cellStyle name="표준 23 3 4 2 2 4 2 2 2 2" xfId="11251" xr:uid="{00000000-0005-0000-0000-0000D52B0000}"/>
    <cellStyle name="표준 23 3 4 2 2 4 2 2 3" xfId="11252" xr:uid="{00000000-0005-0000-0000-0000D62B0000}"/>
    <cellStyle name="표준 23 3 4 2 2 4 2 3" xfId="11253" xr:uid="{00000000-0005-0000-0000-0000D72B0000}"/>
    <cellStyle name="표준 23 3 4 2 2 4 2 3 2" xfId="11254" xr:uid="{00000000-0005-0000-0000-0000D82B0000}"/>
    <cellStyle name="표준 23 3 4 2 2 4 2 4" xfId="11255" xr:uid="{00000000-0005-0000-0000-0000D92B0000}"/>
    <cellStyle name="표준 23 3 4 2 2 4 3" xfId="11256" xr:uid="{00000000-0005-0000-0000-0000DA2B0000}"/>
    <cellStyle name="표준 23 3 4 2 2 4 3 2" xfId="11257" xr:uid="{00000000-0005-0000-0000-0000DB2B0000}"/>
    <cellStyle name="표준 23 3 4 2 2 4 3 2 2" xfId="11258" xr:uid="{00000000-0005-0000-0000-0000DC2B0000}"/>
    <cellStyle name="표준 23 3 4 2 2 4 3 3" xfId="11259" xr:uid="{00000000-0005-0000-0000-0000DD2B0000}"/>
    <cellStyle name="표준 23 3 4 2 2 4 4" xfId="11260" xr:uid="{00000000-0005-0000-0000-0000DE2B0000}"/>
    <cellStyle name="표준 23 3 4 2 2 4 4 2" xfId="11261" xr:uid="{00000000-0005-0000-0000-0000DF2B0000}"/>
    <cellStyle name="표준 23 3 4 2 2 4 5" xfId="11262" xr:uid="{00000000-0005-0000-0000-0000E02B0000}"/>
    <cellStyle name="표준 23 3 4 2 2 5" xfId="11263" xr:uid="{00000000-0005-0000-0000-0000E12B0000}"/>
    <cellStyle name="표준 23 3 4 2 2 5 2" xfId="11264" xr:uid="{00000000-0005-0000-0000-0000E22B0000}"/>
    <cellStyle name="표준 23 3 4 2 2 5 2 2" xfId="11265" xr:uid="{00000000-0005-0000-0000-0000E32B0000}"/>
    <cellStyle name="표준 23 3 4 2 2 5 2 2 2" xfId="11266" xr:uid="{00000000-0005-0000-0000-0000E42B0000}"/>
    <cellStyle name="표준 23 3 4 2 2 5 2 3" xfId="11267" xr:uid="{00000000-0005-0000-0000-0000E52B0000}"/>
    <cellStyle name="표준 23 3 4 2 2 5 3" xfId="11268" xr:uid="{00000000-0005-0000-0000-0000E62B0000}"/>
    <cellStyle name="표준 23 3 4 2 2 5 3 2" xfId="11269" xr:uid="{00000000-0005-0000-0000-0000E72B0000}"/>
    <cellStyle name="표준 23 3 4 2 2 5 4" xfId="11270" xr:uid="{00000000-0005-0000-0000-0000E82B0000}"/>
    <cellStyle name="표준 23 3 4 2 2 6" xfId="11271" xr:uid="{00000000-0005-0000-0000-0000E92B0000}"/>
    <cellStyle name="표준 23 3 4 2 2 6 2" xfId="11272" xr:uid="{00000000-0005-0000-0000-0000EA2B0000}"/>
    <cellStyle name="표준 23 3 4 2 2 6 2 2" xfId="11273" xr:uid="{00000000-0005-0000-0000-0000EB2B0000}"/>
    <cellStyle name="표준 23 3 4 2 2 6 3" xfId="11274" xr:uid="{00000000-0005-0000-0000-0000EC2B0000}"/>
    <cellStyle name="표준 23 3 4 2 2 7" xfId="11275" xr:uid="{00000000-0005-0000-0000-0000ED2B0000}"/>
    <cellStyle name="표준 23 3 4 2 2 7 2" xfId="11276" xr:uid="{00000000-0005-0000-0000-0000EE2B0000}"/>
    <cellStyle name="표준 23 3 4 2 2 8" xfId="11277" xr:uid="{00000000-0005-0000-0000-0000EF2B0000}"/>
    <cellStyle name="표준 23 3 4 2 2 9" xfId="11278" xr:uid="{00000000-0005-0000-0000-0000F02B0000}"/>
    <cellStyle name="표준 23 3 4 2 3" xfId="11279" xr:uid="{00000000-0005-0000-0000-0000F12B0000}"/>
    <cellStyle name="표준 23 3 4 2 3 2" xfId="11280" xr:uid="{00000000-0005-0000-0000-0000F22B0000}"/>
    <cellStyle name="표준 23 3 4 2 3 2 2" xfId="11281" xr:uid="{00000000-0005-0000-0000-0000F32B0000}"/>
    <cellStyle name="표준 23 3 4 2 3 2 2 2" xfId="11282" xr:uid="{00000000-0005-0000-0000-0000F42B0000}"/>
    <cellStyle name="표준 23 3 4 2 3 2 2 2 2" xfId="11283" xr:uid="{00000000-0005-0000-0000-0000F52B0000}"/>
    <cellStyle name="표준 23 3 4 2 3 2 2 2 2 2" xfId="11284" xr:uid="{00000000-0005-0000-0000-0000F62B0000}"/>
    <cellStyle name="표준 23 3 4 2 3 2 2 2 2 2 2" xfId="11285" xr:uid="{00000000-0005-0000-0000-0000F72B0000}"/>
    <cellStyle name="표준 23 3 4 2 3 2 2 2 2 3" xfId="11286" xr:uid="{00000000-0005-0000-0000-0000F82B0000}"/>
    <cellStyle name="표준 23 3 4 2 3 2 2 2 3" xfId="11287" xr:uid="{00000000-0005-0000-0000-0000F92B0000}"/>
    <cellStyle name="표준 23 3 4 2 3 2 2 2 3 2" xfId="11288" xr:uid="{00000000-0005-0000-0000-0000FA2B0000}"/>
    <cellStyle name="표준 23 3 4 2 3 2 2 2 4" xfId="11289" xr:uid="{00000000-0005-0000-0000-0000FB2B0000}"/>
    <cellStyle name="표준 23 3 4 2 3 2 2 3" xfId="11290" xr:uid="{00000000-0005-0000-0000-0000FC2B0000}"/>
    <cellStyle name="표준 23 3 4 2 3 2 2 3 2" xfId="11291" xr:uid="{00000000-0005-0000-0000-0000FD2B0000}"/>
    <cellStyle name="표준 23 3 4 2 3 2 2 3 2 2" xfId="11292" xr:uid="{00000000-0005-0000-0000-0000FE2B0000}"/>
    <cellStyle name="표준 23 3 4 2 3 2 2 3 3" xfId="11293" xr:uid="{00000000-0005-0000-0000-0000FF2B0000}"/>
    <cellStyle name="표준 23 3 4 2 3 2 2 4" xfId="11294" xr:uid="{00000000-0005-0000-0000-0000002C0000}"/>
    <cellStyle name="표준 23 3 4 2 3 2 2 4 2" xfId="11295" xr:uid="{00000000-0005-0000-0000-0000012C0000}"/>
    <cellStyle name="표준 23 3 4 2 3 2 2 5" xfId="11296" xr:uid="{00000000-0005-0000-0000-0000022C0000}"/>
    <cellStyle name="표준 23 3 4 2 3 2 3" xfId="11297" xr:uid="{00000000-0005-0000-0000-0000032C0000}"/>
    <cellStyle name="표준 23 3 4 2 3 2 3 2" xfId="11298" xr:uid="{00000000-0005-0000-0000-0000042C0000}"/>
    <cellStyle name="표준 23 3 4 2 3 2 3 2 2" xfId="11299" xr:uid="{00000000-0005-0000-0000-0000052C0000}"/>
    <cellStyle name="표준 23 3 4 2 3 2 3 2 2 2" xfId="11300" xr:uid="{00000000-0005-0000-0000-0000062C0000}"/>
    <cellStyle name="표준 23 3 4 2 3 2 3 2 3" xfId="11301" xr:uid="{00000000-0005-0000-0000-0000072C0000}"/>
    <cellStyle name="표준 23 3 4 2 3 2 3 3" xfId="11302" xr:uid="{00000000-0005-0000-0000-0000082C0000}"/>
    <cellStyle name="표준 23 3 4 2 3 2 3 3 2" xfId="11303" xr:uid="{00000000-0005-0000-0000-0000092C0000}"/>
    <cellStyle name="표준 23 3 4 2 3 2 3 4" xfId="11304" xr:uid="{00000000-0005-0000-0000-00000A2C0000}"/>
    <cellStyle name="표준 23 3 4 2 3 2 4" xfId="11305" xr:uid="{00000000-0005-0000-0000-00000B2C0000}"/>
    <cellStyle name="표준 23 3 4 2 3 2 4 2" xfId="11306" xr:uid="{00000000-0005-0000-0000-00000C2C0000}"/>
    <cellStyle name="표준 23 3 4 2 3 2 4 2 2" xfId="11307" xr:uid="{00000000-0005-0000-0000-00000D2C0000}"/>
    <cellStyle name="표준 23 3 4 2 3 2 4 3" xfId="11308" xr:uid="{00000000-0005-0000-0000-00000E2C0000}"/>
    <cellStyle name="표준 23 3 4 2 3 2 5" xfId="11309" xr:uid="{00000000-0005-0000-0000-00000F2C0000}"/>
    <cellStyle name="표준 23 3 4 2 3 2 5 2" xfId="11310" xr:uid="{00000000-0005-0000-0000-0000102C0000}"/>
    <cellStyle name="표준 23 3 4 2 3 2 6" xfId="11311" xr:uid="{00000000-0005-0000-0000-0000112C0000}"/>
    <cellStyle name="표준 23 3 4 2 3 3" xfId="11312" xr:uid="{00000000-0005-0000-0000-0000122C0000}"/>
    <cellStyle name="표준 23 3 4 2 3 3 2" xfId="11313" xr:uid="{00000000-0005-0000-0000-0000132C0000}"/>
    <cellStyle name="표준 23 3 4 2 3 3 2 2" xfId="11314" xr:uid="{00000000-0005-0000-0000-0000142C0000}"/>
    <cellStyle name="표준 23 3 4 2 3 3 2 2 2" xfId="11315" xr:uid="{00000000-0005-0000-0000-0000152C0000}"/>
    <cellStyle name="표준 23 3 4 2 3 3 2 2 2 2" xfId="11316" xr:uid="{00000000-0005-0000-0000-0000162C0000}"/>
    <cellStyle name="표준 23 3 4 2 3 3 2 2 3" xfId="11317" xr:uid="{00000000-0005-0000-0000-0000172C0000}"/>
    <cellStyle name="표준 23 3 4 2 3 3 2 3" xfId="11318" xr:uid="{00000000-0005-0000-0000-0000182C0000}"/>
    <cellStyle name="표준 23 3 4 2 3 3 2 3 2" xfId="11319" xr:uid="{00000000-0005-0000-0000-0000192C0000}"/>
    <cellStyle name="표준 23 3 4 2 3 3 2 4" xfId="11320" xr:uid="{00000000-0005-0000-0000-00001A2C0000}"/>
    <cellStyle name="표준 23 3 4 2 3 3 3" xfId="11321" xr:uid="{00000000-0005-0000-0000-00001B2C0000}"/>
    <cellStyle name="표준 23 3 4 2 3 3 3 2" xfId="11322" xr:uid="{00000000-0005-0000-0000-00001C2C0000}"/>
    <cellStyle name="표준 23 3 4 2 3 3 3 2 2" xfId="11323" xr:uid="{00000000-0005-0000-0000-00001D2C0000}"/>
    <cellStyle name="표준 23 3 4 2 3 3 3 3" xfId="11324" xr:uid="{00000000-0005-0000-0000-00001E2C0000}"/>
    <cellStyle name="표준 23 3 4 2 3 3 4" xfId="11325" xr:uid="{00000000-0005-0000-0000-00001F2C0000}"/>
    <cellStyle name="표준 23 3 4 2 3 3 4 2" xfId="11326" xr:uid="{00000000-0005-0000-0000-0000202C0000}"/>
    <cellStyle name="표준 23 3 4 2 3 3 5" xfId="11327" xr:uid="{00000000-0005-0000-0000-0000212C0000}"/>
    <cellStyle name="표준 23 3 4 2 3 4" xfId="11328" xr:uid="{00000000-0005-0000-0000-0000222C0000}"/>
    <cellStyle name="표준 23 3 4 2 3 4 2" xfId="11329" xr:uid="{00000000-0005-0000-0000-0000232C0000}"/>
    <cellStyle name="표준 23 3 4 2 3 4 2 2" xfId="11330" xr:uid="{00000000-0005-0000-0000-0000242C0000}"/>
    <cellStyle name="표준 23 3 4 2 3 4 2 2 2" xfId="11331" xr:uid="{00000000-0005-0000-0000-0000252C0000}"/>
    <cellStyle name="표준 23 3 4 2 3 4 2 3" xfId="11332" xr:uid="{00000000-0005-0000-0000-0000262C0000}"/>
    <cellStyle name="표준 23 3 4 2 3 4 3" xfId="11333" xr:uid="{00000000-0005-0000-0000-0000272C0000}"/>
    <cellStyle name="표준 23 3 4 2 3 4 3 2" xfId="11334" xr:uid="{00000000-0005-0000-0000-0000282C0000}"/>
    <cellStyle name="표준 23 3 4 2 3 4 4" xfId="11335" xr:uid="{00000000-0005-0000-0000-0000292C0000}"/>
    <cellStyle name="표준 23 3 4 2 3 5" xfId="11336" xr:uid="{00000000-0005-0000-0000-00002A2C0000}"/>
    <cellStyle name="표준 23 3 4 2 3 5 2" xfId="11337" xr:uid="{00000000-0005-0000-0000-00002B2C0000}"/>
    <cellStyle name="표준 23 3 4 2 3 5 2 2" xfId="11338" xr:uid="{00000000-0005-0000-0000-00002C2C0000}"/>
    <cellStyle name="표준 23 3 4 2 3 5 3" xfId="11339" xr:uid="{00000000-0005-0000-0000-00002D2C0000}"/>
    <cellStyle name="표준 23 3 4 2 3 6" xfId="11340" xr:uid="{00000000-0005-0000-0000-00002E2C0000}"/>
    <cellStyle name="표준 23 3 4 2 3 6 2" xfId="11341" xr:uid="{00000000-0005-0000-0000-00002F2C0000}"/>
    <cellStyle name="표준 23 3 4 2 3 7" xfId="11342" xr:uid="{00000000-0005-0000-0000-0000302C0000}"/>
    <cellStyle name="표준 23 3 4 2 3 8" xfId="11343" xr:uid="{00000000-0005-0000-0000-0000312C0000}"/>
    <cellStyle name="표준 23 3 4 2 4" xfId="11344" xr:uid="{00000000-0005-0000-0000-0000322C0000}"/>
    <cellStyle name="표준 23 3 4 2 4 2" xfId="11345" xr:uid="{00000000-0005-0000-0000-0000332C0000}"/>
    <cellStyle name="표준 23 3 4 2 4 2 2" xfId="11346" xr:uid="{00000000-0005-0000-0000-0000342C0000}"/>
    <cellStyle name="표준 23 3 4 2 4 2 2 2" xfId="11347" xr:uid="{00000000-0005-0000-0000-0000352C0000}"/>
    <cellStyle name="표준 23 3 4 2 4 2 2 2 2" xfId="11348" xr:uid="{00000000-0005-0000-0000-0000362C0000}"/>
    <cellStyle name="표준 23 3 4 2 4 2 2 2 2 2" xfId="11349" xr:uid="{00000000-0005-0000-0000-0000372C0000}"/>
    <cellStyle name="표준 23 3 4 2 4 2 2 2 3" xfId="11350" xr:uid="{00000000-0005-0000-0000-0000382C0000}"/>
    <cellStyle name="표준 23 3 4 2 4 2 2 3" xfId="11351" xr:uid="{00000000-0005-0000-0000-0000392C0000}"/>
    <cellStyle name="표준 23 3 4 2 4 2 2 3 2" xfId="11352" xr:uid="{00000000-0005-0000-0000-00003A2C0000}"/>
    <cellStyle name="표준 23 3 4 2 4 2 2 4" xfId="11353" xr:uid="{00000000-0005-0000-0000-00003B2C0000}"/>
    <cellStyle name="표준 23 3 4 2 4 2 3" xfId="11354" xr:uid="{00000000-0005-0000-0000-00003C2C0000}"/>
    <cellStyle name="표준 23 3 4 2 4 2 3 2" xfId="11355" xr:uid="{00000000-0005-0000-0000-00003D2C0000}"/>
    <cellStyle name="표준 23 3 4 2 4 2 3 2 2" xfId="11356" xr:uid="{00000000-0005-0000-0000-00003E2C0000}"/>
    <cellStyle name="표준 23 3 4 2 4 2 3 3" xfId="11357" xr:uid="{00000000-0005-0000-0000-00003F2C0000}"/>
    <cellStyle name="표준 23 3 4 2 4 2 4" xfId="11358" xr:uid="{00000000-0005-0000-0000-0000402C0000}"/>
    <cellStyle name="표준 23 3 4 2 4 2 4 2" xfId="11359" xr:uid="{00000000-0005-0000-0000-0000412C0000}"/>
    <cellStyle name="표준 23 3 4 2 4 2 5" xfId="11360" xr:uid="{00000000-0005-0000-0000-0000422C0000}"/>
    <cellStyle name="표준 23 3 4 2 4 3" xfId="11361" xr:uid="{00000000-0005-0000-0000-0000432C0000}"/>
    <cellStyle name="표준 23 3 4 2 4 3 2" xfId="11362" xr:uid="{00000000-0005-0000-0000-0000442C0000}"/>
    <cellStyle name="표준 23 3 4 2 4 3 2 2" xfId="11363" xr:uid="{00000000-0005-0000-0000-0000452C0000}"/>
    <cellStyle name="표준 23 3 4 2 4 3 2 2 2" xfId="11364" xr:uid="{00000000-0005-0000-0000-0000462C0000}"/>
    <cellStyle name="표준 23 3 4 2 4 3 2 3" xfId="11365" xr:uid="{00000000-0005-0000-0000-0000472C0000}"/>
    <cellStyle name="표준 23 3 4 2 4 3 3" xfId="11366" xr:uid="{00000000-0005-0000-0000-0000482C0000}"/>
    <cellStyle name="표준 23 3 4 2 4 3 3 2" xfId="11367" xr:uid="{00000000-0005-0000-0000-0000492C0000}"/>
    <cellStyle name="표준 23 3 4 2 4 3 4" xfId="11368" xr:uid="{00000000-0005-0000-0000-00004A2C0000}"/>
    <cellStyle name="표준 23 3 4 2 4 4" xfId="11369" xr:uid="{00000000-0005-0000-0000-00004B2C0000}"/>
    <cellStyle name="표준 23 3 4 2 4 4 2" xfId="11370" xr:uid="{00000000-0005-0000-0000-00004C2C0000}"/>
    <cellStyle name="표준 23 3 4 2 4 4 2 2" xfId="11371" xr:uid="{00000000-0005-0000-0000-00004D2C0000}"/>
    <cellStyle name="표준 23 3 4 2 4 4 3" xfId="11372" xr:uid="{00000000-0005-0000-0000-00004E2C0000}"/>
    <cellStyle name="표준 23 3 4 2 4 5" xfId="11373" xr:uid="{00000000-0005-0000-0000-00004F2C0000}"/>
    <cellStyle name="표준 23 3 4 2 4 5 2" xfId="11374" xr:uid="{00000000-0005-0000-0000-0000502C0000}"/>
    <cellStyle name="표준 23 3 4 2 4 6" xfId="11375" xr:uid="{00000000-0005-0000-0000-0000512C0000}"/>
    <cellStyle name="표준 23 3 4 2 5" xfId="11376" xr:uid="{00000000-0005-0000-0000-0000522C0000}"/>
    <cellStyle name="표준 23 3 4 2 5 2" xfId="11377" xr:uid="{00000000-0005-0000-0000-0000532C0000}"/>
    <cellStyle name="표준 23 3 4 2 5 2 2" xfId="11378" xr:uid="{00000000-0005-0000-0000-0000542C0000}"/>
    <cellStyle name="표준 23 3 4 2 5 2 2 2" xfId="11379" xr:uid="{00000000-0005-0000-0000-0000552C0000}"/>
    <cellStyle name="표준 23 3 4 2 5 2 2 2 2" xfId="11380" xr:uid="{00000000-0005-0000-0000-0000562C0000}"/>
    <cellStyle name="표준 23 3 4 2 5 2 2 3" xfId="11381" xr:uid="{00000000-0005-0000-0000-0000572C0000}"/>
    <cellStyle name="표준 23 3 4 2 5 2 3" xfId="11382" xr:uid="{00000000-0005-0000-0000-0000582C0000}"/>
    <cellStyle name="표준 23 3 4 2 5 2 3 2" xfId="11383" xr:uid="{00000000-0005-0000-0000-0000592C0000}"/>
    <cellStyle name="표준 23 3 4 2 5 2 4" xfId="11384" xr:uid="{00000000-0005-0000-0000-00005A2C0000}"/>
    <cellStyle name="표준 23 3 4 2 5 3" xfId="11385" xr:uid="{00000000-0005-0000-0000-00005B2C0000}"/>
    <cellStyle name="표준 23 3 4 2 5 3 2" xfId="11386" xr:uid="{00000000-0005-0000-0000-00005C2C0000}"/>
    <cellStyle name="표준 23 3 4 2 5 3 2 2" xfId="11387" xr:uid="{00000000-0005-0000-0000-00005D2C0000}"/>
    <cellStyle name="표준 23 3 4 2 5 3 3" xfId="11388" xr:uid="{00000000-0005-0000-0000-00005E2C0000}"/>
    <cellStyle name="표준 23 3 4 2 5 4" xfId="11389" xr:uid="{00000000-0005-0000-0000-00005F2C0000}"/>
    <cellStyle name="표준 23 3 4 2 5 4 2" xfId="11390" xr:uid="{00000000-0005-0000-0000-0000602C0000}"/>
    <cellStyle name="표준 23 3 4 2 5 5" xfId="11391" xr:uid="{00000000-0005-0000-0000-0000612C0000}"/>
    <cellStyle name="표준 23 3 4 2 6" xfId="11392" xr:uid="{00000000-0005-0000-0000-0000622C0000}"/>
    <cellStyle name="표준 23 3 4 2 6 2" xfId="11393" xr:uid="{00000000-0005-0000-0000-0000632C0000}"/>
    <cellStyle name="표준 23 3 4 2 6 2 2" xfId="11394" xr:uid="{00000000-0005-0000-0000-0000642C0000}"/>
    <cellStyle name="표준 23 3 4 2 6 2 2 2" xfId="11395" xr:uid="{00000000-0005-0000-0000-0000652C0000}"/>
    <cellStyle name="표준 23 3 4 2 6 2 3" xfId="11396" xr:uid="{00000000-0005-0000-0000-0000662C0000}"/>
    <cellStyle name="표준 23 3 4 2 6 3" xfId="11397" xr:uid="{00000000-0005-0000-0000-0000672C0000}"/>
    <cellStyle name="표준 23 3 4 2 6 3 2" xfId="11398" xr:uid="{00000000-0005-0000-0000-0000682C0000}"/>
    <cellStyle name="표준 23 3 4 2 6 4" xfId="11399" xr:uid="{00000000-0005-0000-0000-0000692C0000}"/>
    <cellStyle name="표준 23 3 4 2 7" xfId="11400" xr:uid="{00000000-0005-0000-0000-00006A2C0000}"/>
    <cellStyle name="표준 23 3 4 2 7 2" xfId="11401" xr:uid="{00000000-0005-0000-0000-00006B2C0000}"/>
    <cellStyle name="표준 23 3 4 2 7 2 2" xfId="11402" xr:uid="{00000000-0005-0000-0000-00006C2C0000}"/>
    <cellStyle name="표준 23 3 4 2 7 3" xfId="11403" xr:uid="{00000000-0005-0000-0000-00006D2C0000}"/>
    <cellStyle name="표준 23 3 4 2 8" xfId="11404" xr:uid="{00000000-0005-0000-0000-00006E2C0000}"/>
    <cellStyle name="표준 23 3 4 2 8 2" xfId="11405" xr:uid="{00000000-0005-0000-0000-00006F2C0000}"/>
    <cellStyle name="표준 23 3 4 2 9" xfId="11406" xr:uid="{00000000-0005-0000-0000-0000702C0000}"/>
    <cellStyle name="표준 23 3 4 3" xfId="11407" xr:uid="{00000000-0005-0000-0000-0000712C0000}"/>
    <cellStyle name="표준 23 3 4 3 2" xfId="11408" xr:uid="{00000000-0005-0000-0000-0000722C0000}"/>
    <cellStyle name="표준 23 3 4 3 2 2" xfId="11409" xr:uid="{00000000-0005-0000-0000-0000732C0000}"/>
    <cellStyle name="표준 23 3 4 3 2 2 2" xfId="11410" xr:uid="{00000000-0005-0000-0000-0000742C0000}"/>
    <cellStyle name="표준 23 3 4 3 2 2 2 2" xfId="11411" xr:uid="{00000000-0005-0000-0000-0000752C0000}"/>
    <cellStyle name="표준 23 3 4 3 2 2 2 2 2" xfId="11412" xr:uid="{00000000-0005-0000-0000-0000762C0000}"/>
    <cellStyle name="표준 23 3 4 3 2 2 2 2 2 2" xfId="11413" xr:uid="{00000000-0005-0000-0000-0000772C0000}"/>
    <cellStyle name="표준 23 3 4 3 2 2 2 2 2 2 2" xfId="11414" xr:uid="{00000000-0005-0000-0000-0000782C0000}"/>
    <cellStyle name="표준 23 3 4 3 2 2 2 2 2 3" xfId="11415" xr:uid="{00000000-0005-0000-0000-0000792C0000}"/>
    <cellStyle name="표준 23 3 4 3 2 2 2 2 3" xfId="11416" xr:uid="{00000000-0005-0000-0000-00007A2C0000}"/>
    <cellStyle name="표준 23 3 4 3 2 2 2 2 3 2" xfId="11417" xr:uid="{00000000-0005-0000-0000-00007B2C0000}"/>
    <cellStyle name="표준 23 3 4 3 2 2 2 2 4" xfId="11418" xr:uid="{00000000-0005-0000-0000-00007C2C0000}"/>
    <cellStyle name="표준 23 3 4 3 2 2 2 3" xfId="11419" xr:uid="{00000000-0005-0000-0000-00007D2C0000}"/>
    <cellStyle name="표준 23 3 4 3 2 2 2 3 2" xfId="11420" xr:uid="{00000000-0005-0000-0000-00007E2C0000}"/>
    <cellStyle name="표준 23 3 4 3 2 2 2 3 2 2" xfId="11421" xr:uid="{00000000-0005-0000-0000-00007F2C0000}"/>
    <cellStyle name="표준 23 3 4 3 2 2 2 3 3" xfId="11422" xr:uid="{00000000-0005-0000-0000-0000802C0000}"/>
    <cellStyle name="표준 23 3 4 3 2 2 2 4" xfId="11423" xr:uid="{00000000-0005-0000-0000-0000812C0000}"/>
    <cellStyle name="표준 23 3 4 3 2 2 2 4 2" xfId="11424" xr:uid="{00000000-0005-0000-0000-0000822C0000}"/>
    <cellStyle name="표준 23 3 4 3 2 2 2 5" xfId="11425" xr:uid="{00000000-0005-0000-0000-0000832C0000}"/>
    <cellStyle name="표준 23 3 4 3 2 2 3" xfId="11426" xr:uid="{00000000-0005-0000-0000-0000842C0000}"/>
    <cellStyle name="표준 23 3 4 3 2 2 3 2" xfId="11427" xr:uid="{00000000-0005-0000-0000-0000852C0000}"/>
    <cellStyle name="표준 23 3 4 3 2 2 3 2 2" xfId="11428" xr:uid="{00000000-0005-0000-0000-0000862C0000}"/>
    <cellStyle name="표준 23 3 4 3 2 2 3 2 2 2" xfId="11429" xr:uid="{00000000-0005-0000-0000-0000872C0000}"/>
    <cellStyle name="표준 23 3 4 3 2 2 3 2 3" xfId="11430" xr:uid="{00000000-0005-0000-0000-0000882C0000}"/>
    <cellStyle name="표준 23 3 4 3 2 2 3 3" xfId="11431" xr:uid="{00000000-0005-0000-0000-0000892C0000}"/>
    <cellStyle name="표준 23 3 4 3 2 2 3 3 2" xfId="11432" xr:uid="{00000000-0005-0000-0000-00008A2C0000}"/>
    <cellStyle name="표준 23 3 4 3 2 2 3 4" xfId="11433" xr:uid="{00000000-0005-0000-0000-00008B2C0000}"/>
    <cellStyle name="표준 23 3 4 3 2 2 4" xfId="11434" xr:uid="{00000000-0005-0000-0000-00008C2C0000}"/>
    <cellStyle name="표준 23 3 4 3 2 2 4 2" xfId="11435" xr:uid="{00000000-0005-0000-0000-00008D2C0000}"/>
    <cellStyle name="표준 23 3 4 3 2 2 4 2 2" xfId="11436" xr:uid="{00000000-0005-0000-0000-00008E2C0000}"/>
    <cellStyle name="표준 23 3 4 3 2 2 4 3" xfId="11437" xr:uid="{00000000-0005-0000-0000-00008F2C0000}"/>
    <cellStyle name="표준 23 3 4 3 2 2 5" xfId="11438" xr:uid="{00000000-0005-0000-0000-0000902C0000}"/>
    <cellStyle name="표준 23 3 4 3 2 2 5 2" xfId="11439" xr:uid="{00000000-0005-0000-0000-0000912C0000}"/>
    <cellStyle name="표준 23 3 4 3 2 2 6" xfId="11440" xr:uid="{00000000-0005-0000-0000-0000922C0000}"/>
    <cellStyle name="표준 23 3 4 3 2 3" xfId="11441" xr:uid="{00000000-0005-0000-0000-0000932C0000}"/>
    <cellStyle name="표준 23 3 4 3 2 3 2" xfId="11442" xr:uid="{00000000-0005-0000-0000-0000942C0000}"/>
    <cellStyle name="표준 23 3 4 3 2 3 2 2" xfId="11443" xr:uid="{00000000-0005-0000-0000-0000952C0000}"/>
    <cellStyle name="표준 23 3 4 3 2 3 2 2 2" xfId="11444" xr:uid="{00000000-0005-0000-0000-0000962C0000}"/>
    <cellStyle name="표준 23 3 4 3 2 3 2 2 2 2" xfId="11445" xr:uid="{00000000-0005-0000-0000-0000972C0000}"/>
    <cellStyle name="표준 23 3 4 3 2 3 2 2 3" xfId="11446" xr:uid="{00000000-0005-0000-0000-0000982C0000}"/>
    <cellStyle name="표준 23 3 4 3 2 3 2 3" xfId="11447" xr:uid="{00000000-0005-0000-0000-0000992C0000}"/>
    <cellStyle name="표준 23 3 4 3 2 3 2 3 2" xfId="11448" xr:uid="{00000000-0005-0000-0000-00009A2C0000}"/>
    <cellStyle name="표준 23 3 4 3 2 3 2 4" xfId="11449" xr:uid="{00000000-0005-0000-0000-00009B2C0000}"/>
    <cellStyle name="표준 23 3 4 3 2 3 3" xfId="11450" xr:uid="{00000000-0005-0000-0000-00009C2C0000}"/>
    <cellStyle name="표준 23 3 4 3 2 3 3 2" xfId="11451" xr:uid="{00000000-0005-0000-0000-00009D2C0000}"/>
    <cellStyle name="표준 23 3 4 3 2 3 3 2 2" xfId="11452" xr:uid="{00000000-0005-0000-0000-00009E2C0000}"/>
    <cellStyle name="표준 23 3 4 3 2 3 3 3" xfId="11453" xr:uid="{00000000-0005-0000-0000-00009F2C0000}"/>
    <cellStyle name="표준 23 3 4 3 2 3 4" xfId="11454" xr:uid="{00000000-0005-0000-0000-0000A02C0000}"/>
    <cellStyle name="표준 23 3 4 3 2 3 4 2" xfId="11455" xr:uid="{00000000-0005-0000-0000-0000A12C0000}"/>
    <cellStyle name="표준 23 3 4 3 2 3 5" xfId="11456" xr:uid="{00000000-0005-0000-0000-0000A22C0000}"/>
    <cellStyle name="표준 23 3 4 3 2 4" xfId="11457" xr:uid="{00000000-0005-0000-0000-0000A32C0000}"/>
    <cellStyle name="표준 23 3 4 3 2 4 2" xfId="11458" xr:uid="{00000000-0005-0000-0000-0000A42C0000}"/>
    <cellStyle name="표준 23 3 4 3 2 4 2 2" xfId="11459" xr:uid="{00000000-0005-0000-0000-0000A52C0000}"/>
    <cellStyle name="표준 23 3 4 3 2 4 2 2 2" xfId="11460" xr:uid="{00000000-0005-0000-0000-0000A62C0000}"/>
    <cellStyle name="표준 23 3 4 3 2 4 2 3" xfId="11461" xr:uid="{00000000-0005-0000-0000-0000A72C0000}"/>
    <cellStyle name="표준 23 3 4 3 2 4 3" xfId="11462" xr:uid="{00000000-0005-0000-0000-0000A82C0000}"/>
    <cellStyle name="표준 23 3 4 3 2 4 3 2" xfId="11463" xr:uid="{00000000-0005-0000-0000-0000A92C0000}"/>
    <cellStyle name="표준 23 3 4 3 2 4 4" xfId="11464" xr:uid="{00000000-0005-0000-0000-0000AA2C0000}"/>
    <cellStyle name="표준 23 3 4 3 2 5" xfId="11465" xr:uid="{00000000-0005-0000-0000-0000AB2C0000}"/>
    <cellStyle name="표준 23 3 4 3 2 5 2" xfId="11466" xr:uid="{00000000-0005-0000-0000-0000AC2C0000}"/>
    <cellStyle name="표준 23 3 4 3 2 5 2 2" xfId="11467" xr:uid="{00000000-0005-0000-0000-0000AD2C0000}"/>
    <cellStyle name="표준 23 3 4 3 2 5 3" xfId="11468" xr:uid="{00000000-0005-0000-0000-0000AE2C0000}"/>
    <cellStyle name="표준 23 3 4 3 2 6" xfId="11469" xr:uid="{00000000-0005-0000-0000-0000AF2C0000}"/>
    <cellStyle name="표준 23 3 4 3 2 6 2" xfId="11470" xr:uid="{00000000-0005-0000-0000-0000B02C0000}"/>
    <cellStyle name="표준 23 3 4 3 2 7" xfId="11471" xr:uid="{00000000-0005-0000-0000-0000B12C0000}"/>
    <cellStyle name="표준 23 3 4 3 2 8" xfId="11472" xr:uid="{00000000-0005-0000-0000-0000B22C0000}"/>
    <cellStyle name="표준 23 3 4 3 3" xfId="11473" xr:uid="{00000000-0005-0000-0000-0000B32C0000}"/>
    <cellStyle name="표준 23 3 4 3 3 2" xfId="11474" xr:uid="{00000000-0005-0000-0000-0000B42C0000}"/>
    <cellStyle name="표준 23 3 4 3 3 2 2" xfId="11475" xr:uid="{00000000-0005-0000-0000-0000B52C0000}"/>
    <cellStyle name="표준 23 3 4 3 3 2 2 2" xfId="11476" xr:uid="{00000000-0005-0000-0000-0000B62C0000}"/>
    <cellStyle name="표준 23 3 4 3 3 2 2 2 2" xfId="11477" xr:uid="{00000000-0005-0000-0000-0000B72C0000}"/>
    <cellStyle name="표준 23 3 4 3 3 2 2 2 2 2" xfId="11478" xr:uid="{00000000-0005-0000-0000-0000B82C0000}"/>
    <cellStyle name="표준 23 3 4 3 3 2 2 2 3" xfId="11479" xr:uid="{00000000-0005-0000-0000-0000B92C0000}"/>
    <cellStyle name="표준 23 3 4 3 3 2 2 3" xfId="11480" xr:uid="{00000000-0005-0000-0000-0000BA2C0000}"/>
    <cellStyle name="표준 23 3 4 3 3 2 2 3 2" xfId="11481" xr:uid="{00000000-0005-0000-0000-0000BB2C0000}"/>
    <cellStyle name="표준 23 3 4 3 3 2 2 4" xfId="11482" xr:uid="{00000000-0005-0000-0000-0000BC2C0000}"/>
    <cellStyle name="표준 23 3 4 3 3 2 3" xfId="11483" xr:uid="{00000000-0005-0000-0000-0000BD2C0000}"/>
    <cellStyle name="표준 23 3 4 3 3 2 3 2" xfId="11484" xr:uid="{00000000-0005-0000-0000-0000BE2C0000}"/>
    <cellStyle name="표준 23 3 4 3 3 2 3 2 2" xfId="11485" xr:uid="{00000000-0005-0000-0000-0000BF2C0000}"/>
    <cellStyle name="표준 23 3 4 3 3 2 3 3" xfId="11486" xr:uid="{00000000-0005-0000-0000-0000C02C0000}"/>
    <cellStyle name="표준 23 3 4 3 3 2 4" xfId="11487" xr:uid="{00000000-0005-0000-0000-0000C12C0000}"/>
    <cellStyle name="표준 23 3 4 3 3 2 4 2" xfId="11488" xr:uid="{00000000-0005-0000-0000-0000C22C0000}"/>
    <cellStyle name="표준 23 3 4 3 3 2 5" xfId="11489" xr:uid="{00000000-0005-0000-0000-0000C32C0000}"/>
    <cellStyle name="표준 23 3 4 3 3 3" xfId="11490" xr:uid="{00000000-0005-0000-0000-0000C42C0000}"/>
    <cellStyle name="표준 23 3 4 3 3 3 2" xfId="11491" xr:uid="{00000000-0005-0000-0000-0000C52C0000}"/>
    <cellStyle name="표준 23 3 4 3 3 3 2 2" xfId="11492" xr:uid="{00000000-0005-0000-0000-0000C62C0000}"/>
    <cellStyle name="표준 23 3 4 3 3 3 2 2 2" xfId="11493" xr:uid="{00000000-0005-0000-0000-0000C72C0000}"/>
    <cellStyle name="표준 23 3 4 3 3 3 2 3" xfId="11494" xr:uid="{00000000-0005-0000-0000-0000C82C0000}"/>
    <cellStyle name="표준 23 3 4 3 3 3 3" xfId="11495" xr:uid="{00000000-0005-0000-0000-0000C92C0000}"/>
    <cellStyle name="표준 23 3 4 3 3 3 3 2" xfId="11496" xr:uid="{00000000-0005-0000-0000-0000CA2C0000}"/>
    <cellStyle name="표준 23 3 4 3 3 3 4" xfId="11497" xr:uid="{00000000-0005-0000-0000-0000CB2C0000}"/>
    <cellStyle name="표준 23 3 4 3 3 4" xfId="11498" xr:uid="{00000000-0005-0000-0000-0000CC2C0000}"/>
    <cellStyle name="표준 23 3 4 3 3 4 2" xfId="11499" xr:uid="{00000000-0005-0000-0000-0000CD2C0000}"/>
    <cellStyle name="표준 23 3 4 3 3 4 2 2" xfId="11500" xr:uid="{00000000-0005-0000-0000-0000CE2C0000}"/>
    <cellStyle name="표준 23 3 4 3 3 4 3" xfId="11501" xr:uid="{00000000-0005-0000-0000-0000CF2C0000}"/>
    <cellStyle name="표준 23 3 4 3 3 5" xfId="11502" xr:uid="{00000000-0005-0000-0000-0000D02C0000}"/>
    <cellStyle name="표준 23 3 4 3 3 5 2" xfId="11503" xr:uid="{00000000-0005-0000-0000-0000D12C0000}"/>
    <cellStyle name="표준 23 3 4 3 3 6" xfId="11504" xr:uid="{00000000-0005-0000-0000-0000D22C0000}"/>
    <cellStyle name="표준 23 3 4 3 4" xfId="11505" xr:uid="{00000000-0005-0000-0000-0000D32C0000}"/>
    <cellStyle name="표준 23 3 4 3 4 2" xfId="11506" xr:uid="{00000000-0005-0000-0000-0000D42C0000}"/>
    <cellStyle name="표준 23 3 4 3 4 2 2" xfId="11507" xr:uid="{00000000-0005-0000-0000-0000D52C0000}"/>
    <cellStyle name="표준 23 3 4 3 4 2 2 2" xfId="11508" xr:uid="{00000000-0005-0000-0000-0000D62C0000}"/>
    <cellStyle name="표준 23 3 4 3 4 2 2 2 2" xfId="11509" xr:uid="{00000000-0005-0000-0000-0000D72C0000}"/>
    <cellStyle name="표준 23 3 4 3 4 2 2 3" xfId="11510" xr:uid="{00000000-0005-0000-0000-0000D82C0000}"/>
    <cellStyle name="표준 23 3 4 3 4 2 3" xfId="11511" xr:uid="{00000000-0005-0000-0000-0000D92C0000}"/>
    <cellStyle name="표준 23 3 4 3 4 2 3 2" xfId="11512" xr:uid="{00000000-0005-0000-0000-0000DA2C0000}"/>
    <cellStyle name="표준 23 3 4 3 4 2 4" xfId="11513" xr:uid="{00000000-0005-0000-0000-0000DB2C0000}"/>
    <cellStyle name="표준 23 3 4 3 4 3" xfId="11514" xr:uid="{00000000-0005-0000-0000-0000DC2C0000}"/>
    <cellStyle name="표준 23 3 4 3 4 3 2" xfId="11515" xr:uid="{00000000-0005-0000-0000-0000DD2C0000}"/>
    <cellStyle name="표준 23 3 4 3 4 3 2 2" xfId="11516" xr:uid="{00000000-0005-0000-0000-0000DE2C0000}"/>
    <cellStyle name="표준 23 3 4 3 4 3 3" xfId="11517" xr:uid="{00000000-0005-0000-0000-0000DF2C0000}"/>
    <cellStyle name="표준 23 3 4 3 4 4" xfId="11518" xr:uid="{00000000-0005-0000-0000-0000E02C0000}"/>
    <cellStyle name="표준 23 3 4 3 4 4 2" xfId="11519" xr:uid="{00000000-0005-0000-0000-0000E12C0000}"/>
    <cellStyle name="표준 23 3 4 3 4 5" xfId="11520" xr:uid="{00000000-0005-0000-0000-0000E22C0000}"/>
    <cellStyle name="표준 23 3 4 3 5" xfId="11521" xr:uid="{00000000-0005-0000-0000-0000E32C0000}"/>
    <cellStyle name="표준 23 3 4 3 5 2" xfId="11522" xr:uid="{00000000-0005-0000-0000-0000E42C0000}"/>
    <cellStyle name="표준 23 3 4 3 5 2 2" xfId="11523" xr:uid="{00000000-0005-0000-0000-0000E52C0000}"/>
    <cellStyle name="표준 23 3 4 3 5 2 2 2" xfId="11524" xr:uid="{00000000-0005-0000-0000-0000E62C0000}"/>
    <cellStyle name="표준 23 3 4 3 5 2 3" xfId="11525" xr:uid="{00000000-0005-0000-0000-0000E72C0000}"/>
    <cellStyle name="표준 23 3 4 3 5 3" xfId="11526" xr:uid="{00000000-0005-0000-0000-0000E82C0000}"/>
    <cellStyle name="표준 23 3 4 3 5 3 2" xfId="11527" xr:uid="{00000000-0005-0000-0000-0000E92C0000}"/>
    <cellStyle name="표준 23 3 4 3 5 4" xfId="11528" xr:uid="{00000000-0005-0000-0000-0000EA2C0000}"/>
    <cellStyle name="표준 23 3 4 3 6" xfId="11529" xr:uid="{00000000-0005-0000-0000-0000EB2C0000}"/>
    <cellStyle name="표준 23 3 4 3 6 2" xfId="11530" xr:uid="{00000000-0005-0000-0000-0000EC2C0000}"/>
    <cellStyle name="표준 23 3 4 3 6 2 2" xfId="11531" xr:uid="{00000000-0005-0000-0000-0000ED2C0000}"/>
    <cellStyle name="표준 23 3 4 3 6 3" xfId="11532" xr:uid="{00000000-0005-0000-0000-0000EE2C0000}"/>
    <cellStyle name="표준 23 3 4 3 7" xfId="11533" xr:uid="{00000000-0005-0000-0000-0000EF2C0000}"/>
    <cellStyle name="표준 23 3 4 3 7 2" xfId="11534" xr:uid="{00000000-0005-0000-0000-0000F02C0000}"/>
    <cellStyle name="표준 23 3 4 3 8" xfId="11535" xr:uid="{00000000-0005-0000-0000-0000F12C0000}"/>
    <cellStyle name="표준 23 3 4 3 9" xfId="11536" xr:uid="{00000000-0005-0000-0000-0000F22C0000}"/>
    <cellStyle name="표준 23 3 4 4" xfId="11537" xr:uid="{00000000-0005-0000-0000-0000F32C0000}"/>
    <cellStyle name="표준 23 3 4 4 2" xfId="11538" xr:uid="{00000000-0005-0000-0000-0000F42C0000}"/>
    <cellStyle name="표준 23 3 4 4 2 2" xfId="11539" xr:uid="{00000000-0005-0000-0000-0000F52C0000}"/>
    <cellStyle name="표준 23 3 4 4 2 2 2" xfId="11540" xr:uid="{00000000-0005-0000-0000-0000F62C0000}"/>
    <cellStyle name="표준 23 3 4 4 2 2 2 2" xfId="11541" xr:uid="{00000000-0005-0000-0000-0000F72C0000}"/>
    <cellStyle name="표준 23 3 4 4 2 2 2 2 2" xfId="11542" xr:uid="{00000000-0005-0000-0000-0000F82C0000}"/>
    <cellStyle name="표준 23 3 4 4 2 2 2 2 2 2" xfId="11543" xr:uid="{00000000-0005-0000-0000-0000F92C0000}"/>
    <cellStyle name="표준 23 3 4 4 2 2 2 2 3" xfId="11544" xr:uid="{00000000-0005-0000-0000-0000FA2C0000}"/>
    <cellStyle name="표준 23 3 4 4 2 2 2 3" xfId="11545" xr:uid="{00000000-0005-0000-0000-0000FB2C0000}"/>
    <cellStyle name="표준 23 3 4 4 2 2 2 3 2" xfId="11546" xr:uid="{00000000-0005-0000-0000-0000FC2C0000}"/>
    <cellStyle name="표준 23 3 4 4 2 2 2 4" xfId="11547" xr:uid="{00000000-0005-0000-0000-0000FD2C0000}"/>
    <cellStyle name="표준 23 3 4 4 2 2 3" xfId="11548" xr:uid="{00000000-0005-0000-0000-0000FE2C0000}"/>
    <cellStyle name="표준 23 3 4 4 2 2 3 2" xfId="11549" xr:uid="{00000000-0005-0000-0000-0000FF2C0000}"/>
    <cellStyle name="표준 23 3 4 4 2 2 3 2 2" xfId="11550" xr:uid="{00000000-0005-0000-0000-0000002D0000}"/>
    <cellStyle name="표준 23 3 4 4 2 2 3 3" xfId="11551" xr:uid="{00000000-0005-0000-0000-0000012D0000}"/>
    <cellStyle name="표준 23 3 4 4 2 2 4" xfId="11552" xr:uid="{00000000-0005-0000-0000-0000022D0000}"/>
    <cellStyle name="표준 23 3 4 4 2 2 4 2" xfId="11553" xr:uid="{00000000-0005-0000-0000-0000032D0000}"/>
    <cellStyle name="표준 23 3 4 4 2 2 5" xfId="11554" xr:uid="{00000000-0005-0000-0000-0000042D0000}"/>
    <cellStyle name="표준 23 3 4 4 2 3" xfId="11555" xr:uid="{00000000-0005-0000-0000-0000052D0000}"/>
    <cellStyle name="표준 23 3 4 4 2 3 2" xfId="11556" xr:uid="{00000000-0005-0000-0000-0000062D0000}"/>
    <cellStyle name="표준 23 3 4 4 2 3 2 2" xfId="11557" xr:uid="{00000000-0005-0000-0000-0000072D0000}"/>
    <cellStyle name="표준 23 3 4 4 2 3 2 2 2" xfId="11558" xr:uid="{00000000-0005-0000-0000-0000082D0000}"/>
    <cellStyle name="표준 23 3 4 4 2 3 2 3" xfId="11559" xr:uid="{00000000-0005-0000-0000-0000092D0000}"/>
    <cellStyle name="표준 23 3 4 4 2 3 3" xfId="11560" xr:uid="{00000000-0005-0000-0000-00000A2D0000}"/>
    <cellStyle name="표준 23 3 4 4 2 3 3 2" xfId="11561" xr:uid="{00000000-0005-0000-0000-00000B2D0000}"/>
    <cellStyle name="표준 23 3 4 4 2 3 4" xfId="11562" xr:uid="{00000000-0005-0000-0000-00000C2D0000}"/>
    <cellStyle name="표준 23 3 4 4 2 4" xfId="11563" xr:uid="{00000000-0005-0000-0000-00000D2D0000}"/>
    <cellStyle name="표준 23 3 4 4 2 4 2" xfId="11564" xr:uid="{00000000-0005-0000-0000-00000E2D0000}"/>
    <cellStyle name="표준 23 3 4 4 2 4 2 2" xfId="11565" xr:uid="{00000000-0005-0000-0000-00000F2D0000}"/>
    <cellStyle name="표준 23 3 4 4 2 4 3" xfId="11566" xr:uid="{00000000-0005-0000-0000-0000102D0000}"/>
    <cellStyle name="표준 23 3 4 4 2 5" xfId="11567" xr:uid="{00000000-0005-0000-0000-0000112D0000}"/>
    <cellStyle name="표준 23 3 4 4 2 5 2" xfId="11568" xr:uid="{00000000-0005-0000-0000-0000122D0000}"/>
    <cellStyle name="표준 23 3 4 4 2 6" xfId="11569" xr:uid="{00000000-0005-0000-0000-0000132D0000}"/>
    <cellStyle name="표준 23 3 4 4 3" xfId="11570" xr:uid="{00000000-0005-0000-0000-0000142D0000}"/>
    <cellStyle name="표준 23 3 4 4 3 2" xfId="11571" xr:uid="{00000000-0005-0000-0000-0000152D0000}"/>
    <cellStyle name="표준 23 3 4 4 3 2 2" xfId="11572" xr:uid="{00000000-0005-0000-0000-0000162D0000}"/>
    <cellStyle name="표준 23 3 4 4 3 2 2 2" xfId="11573" xr:uid="{00000000-0005-0000-0000-0000172D0000}"/>
    <cellStyle name="표준 23 3 4 4 3 2 2 2 2" xfId="11574" xr:uid="{00000000-0005-0000-0000-0000182D0000}"/>
    <cellStyle name="표준 23 3 4 4 3 2 2 3" xfId="11575" xr:uid="{00000000-0005-0000-0000-0000192D0000}"/>
    <cellStyle name="표준 23 3 4 4 3 2 3" xfId="11576" xr:uid="{00000000-0005-0000-0000-00001A2D0000}"/>
    <cellStyle name="표준 23 3 4 4 3 2 3 2" xfId="11577" xr:uid="{00000000-0005-0000-0000-00001B2D0000}"/>
    <cellStyle name="표준 23 3 4 4 3 2 4" xfId="11578" xr:uid="{00000000-0005-0000-0000-00001C2D0000}"/>
    <cellStyle name="표준 23 3 4 4 3 3" xfId="11579" xr:uid="{00000000-0005-0000-0000-00001D2D0000}"/>
    <cellStyle name="표준 23 3 4 4 3 3 2" xfId="11580" xr:uid="{00000000-0005-0000-0000-00001E2D0000}"/>
    <cellStyle name="표준 23 3 4 4 3 3 2 2" xfId="11581" xr:uid="{00000000-0005-0000-0000-00001F2D0000}"/>
    <cellStyle name="표준 23 3 4 4 3 3 3" xfId="11582" xr:uid="{00000000-0005-0000-0000-0000202D0000}"/>
    <cellStyle name="표준 23 3 4 4 3 4" xfId="11583" xr:uid="{00000000-0005-0000-0000-0000212D0000}"/>
    <cellStyle name="표준 23 3 4 4 3 4 2" xfId="11584" xr:uid="{00000000-0005-0000-0000-0000222D0000}"/>
    <cellStyle name="표준 23 3 4 4 3 5" xfId="11585" xr:uid="{00000000-0005-0000-0000-0000232D0000}"/>
    <cellStyle name="표준 23 3 4 4 4" xfId="11586" xr:uid="{00000000-0005-0000-0000-0000242D0000}"/>
    <cellStyle name="표준 23 3 4 4 4 2" xfId="11587" xr:uid="{00000000-0005-0000-0000-0000252D0000}"/>
    <cellStyle name="표준 23 3 4 4 4 2 2" xfId="11588" xr:uid="{00000000-0005-0000-0000-0000262D0000}"/>
    <cellStyle name="표준 23 3 4 4 4 2 2 2" xfId="11589" xr:uid="{00000000-0005-0000-0000-0000272D0000}"/>
    <cellStyle name="표준 23 3 4 4 4 2 3" xfId="11590" xr:uid="{00000000-0005-0000-0000-0000282D0000}"/>
    <cellStyle name="표준 23 3 4 4 4 3" xfId="11591" xr:uid="{00000000-0005-0000-0000-0000292D0000}"/>
    <cellStyle name="표준 23 3 4 4 4 3 2" xfId="11592" xr:uid="{00000000-0005-0000-0000-00002A2D0000}"/>
    <cellStyle name="표준 23 3 4 4 4 4" xfId="11593" xr:uid="{00000000-0005-0000-0000-00002B2D0000}"/>
    <cellStyle name="표준 23 3 4 4 5" xfId="11594" xr:uid="{00000000-0005-0000-0000-00002C2D0000}"/>
    <cellStyle name="표준 23 3 4 4 5 2" xfId="11595" xr:uid="{00000000-0005-0000-0000-00002D2D0000}"/>
    <cellStyle name="표준 23 3 4 4 5 2 2" xfId="11596" xr:uid="{00000000-0005-0000-0000-00002E2D0000}"/>
    <cellStyle name="표준 23 3 4 4 5 3" xfId="11597" xr:uid="{00000000-0005-0000-0000-00002F2D0000}"/>
    <cellStyle name="표준 23 3 4 4 6" xfId="11598" xr:uid="{00000000-0005-0000-0000-0000302D0000}"/>
    <cellStyle name="표준 23 3 4 4 6 2" xfId="11599" xr:uid="{00000000-0005-0000-0000-0000312D0000}"/>
    <cellStyle name="표준 23 3 4 4 7" xfId="11600" xr:uid="{00000000-0005-0000-0000-0000322D0000}"/>
    <cellStyle name="표준 23 3 4 4 8" xfId="11601" xr:uid="{00000000-0005-0000-0000-0000332D0000}"/>
    <cellStyle name="표준 23 3 4 5" xfId="11602" xr:uid="{00000000-0005-0000-0000-0000342D0000}"/>
    <cellStyle name="표준 23 3 4 5 2" xfId="11603" xr:uid="{00000000-0005-0000-0000-0000352D0000}"/>
    <cellStyle name="표준 23 3 4 5 2 2" xfId="11604" xr:uid="{00000000-0005-0000-0000-0000362D0000}"/>
    <cellStyle name="표준 23 3 4 5 2 2 2" xfId="11605" xr:uid="{00000000-0005-0000-0000-0000372D0000}"/>
    <cellStyle name="표준 23 3 4 5 2 2 2 2" xfId="11606" xr:uid="{00000000-0005-0000-0000-0000382D0000}"/>
    <cellStyle name="표준 23 3 4 5 2 2 2 2 2" xfId="11607" xr:uid="{00000000-0005-0000-0000-0000392D0000}"/>
    <cellStyle name="표준 23 3 4 5 2 2 2 3" xfId="11608" xr:uid="{00000000-0005-0000-0000-00003A2D0000}"/>
    <cellStyle name="표준 23 3 4 5 2 2 3" xfId="11609" xr:uid="{00000000-0005-0000-0000-00003B2D0000}"/>
    <cellStyle name="표준 23 3 4 5 2 2 3 2" xfId="11610" xr:uid="{00000000-0005-0000-0000-00003C2D0000}"/>
    <cellStyle name="표준 23 3 4 5 2 2 4" xfId="11611" xr:uid="{00000000-0005-0000-0000-00003D2D0000}"/>
    <cellStyle name="표준 23 3 4 5 2 3" xfId="11612" xr:uid="{00000000-0005-0000-0000-00003E2D0000}"/>
    <cellStyle name="표준 23 3 4 5 2 3 2" xfId="11613" xr:uid="{00000000-0005-0000-0000-00003F2D0000}"/>
    <cellStyle name="표준 23 3 4 5 2 3 2 2" xfId="11614" xr:uid="{00000000-0005-0000-0000-0000402D0000}"/>
    <cellStyle name="표준 23 3 4 5 2 3 3" xfId="11615" xr:uid="{00000000-0005-0000-0000-0000412D0000}"/>
    <cellStyle name="표준 23 3 4 5 2 4" xfId="11616" xr:uid="{00000000-0005-0000-0000-0000422D0000}"/>
    <cellStyle name="표준 23 3 4 5 2 4 2" xfId="11617" xr:uid="{00000000-0005-0000-0000-0000432D0000}"/>
    <cellStyle name="표준 23 3 4 5 2 5" xfId="11618" xr:uid="{00000000-0005-0000-0000-0000442D0000}"/>
    <cellStyle name="표준 23 3 4 5 3" xfId="11619" xr:uid="{00000000-0005-0000-0000-0000452D0000}"/>
    <cellStyle name="표준 23 3 4 5 3 2" xfId="11620" xr:uid="{00000000-0005-0000-0000-0000462D0000}"/>
    <cellStyle name="표준 23 3 4 5 3 2 2" xfId="11621" xr:uid="{00000000-0005-0000-0000-0000472D0000}"/>
    <cellStyle name="표준 23 3 4 5 3 2 2 2" xfId="11622" xr:uid="{00000000-0005-0000-0000-0000482D0000}"/>
    <cellStyle name="표준 23 3 4 5 3 2 3" xfId="11623" xr:uid="{00000000-0005-0000-0000-0000492D0000}"/>
    <cellStyle name="표준 23 3 4 5 3 3" xfId="11624" xr:uid="{00000000-0005-0000-0000-00004A2D0000}"/>
    <cellStyle name="표준 23 3 4 5 3 3 2" xfId="11625" xr:uid="{00000000-0005-0000-0000-00004B2D0000}"/>
    <cellStyle name="표준 23 3 4 5 3 4" xfId="11626" xr:uid="{00000000-0005-0000-0000-00004C2D0000}"/>
    <cellStyle name="표준 23 3 4 5 4" xfId="11627" xr:uid="{00000000-0005-0000-0000-00004D2D0000}"/>
    <cellStyle name="표준 23 3 4 5 4 2" xfId="11628" xr:uid="{00000000-0005-0000-0000-00004E2D0000}"/>
    <cellStyle name="표준 23 3 4 5 4 2 2" xfId="11629" xr:uid="{00000000-0005-0000-0000-00004F2D0000}"/>
    <cellStyle name="표준 23 3 4 5 4 3" xfId="11630" xr:uid="{00000000-0005-0000-0000-0000502D0000}"/>
    <cellStyle name="표준 23 3 4 5 5" xfId="11631" xr:uid="{00000000-0005-0000-0000-0000512D0000}"/>
    <cellStyle name="표준 23 3 4 5 5 2" xfId="11632" xr:uid="{00000000-0005-0000-0000-0000522D0000}"/>
    <cellStyle name="표준 23 3 4 5 6" xfId="11633" xr:uid="{00000000-0005-0000-0000-0000532D0000}"/>
    <cellStyle name="표준 23 3 4 6" xfId="11634" xr:uid="{00000000-0005-0000-0000-0000542D0000}"/>
    <cellStyle name="표준 23 3 4 6 2" xfId="11635" xr:uid="{00000000-0005-0000-0000-0000552D0000}"/>
    <cellStyle name="표준 23 3 4 6 2 2" xfId="11636" xr:uid="{00000000-0005-0000-0000-0000562D0000}"/>
    <cellStyle name="표준 23 3 4 6 2 2 2" xfId="11637" xr:uid="{00000000-0005-0000-0000-0000572D0000}"/>
    <cellStyle name="표준 23 3 4 6 2 2 2 2" xfId="11638" xr:uid="{00000000-0005-0000-0000-0000582D0000}"/>
    <cellStyle name="표준 23 3 4 6 2 2 3" xfId="11639" xr:uid="{00000000-0005-0000-0000-0000592D0000}"/>
    <cellStyle name="표준 23 3 4 6 2 3" xfId="11640" xr:uid="{00000000-0005-0000-0000-00005A2D0000}"/>
    <cellStyle name="표준 23 3 4 6 2 3 2" xfId="11641" xr:uid="{00000000-0005-0000-0000-00005B2D0000}"/>
    <cellStyle name="표준 23 3 4 6 2 4" xfId="11642" xr:uid="{00000000-0005-0000-0000-00005C2D0000}"/>
    <cellStyle name="표준 23 3 4 6 3" xfId="11643" xr:uid="{00000000-0005-0000-0000-00005D2D0000}"/>
    <cellStyle name="표준 23 3 4 6 3 2" xfId="11644" xr:uid="{00000000-0005-0000-0000-00005E2D0000}"/>
    <cellStyle name="표준 23 3 4 6 3 2 2" xfId="11645" xr:uid="{00000000-0005-0000-0000-00005F2D0000}"/>
    <cellStyle name="표준 23 3 4 6 3 3" xfId="11646" xr:uid="{00000000-0005-0000-0000-0000602D0000}"/>
    <cellStyle name="표준 23 3 4 6 4" xfId="11647" xr:uid="{00000000-0005-0000-0000-0000612D0000}"/>
    <cellStyle name="표준 23 3 4 6 4 2" xfId="11648" xr:uid="{00000000-0005-0000-0000-0000622D0000}"/>
    <cellStyle name="표준 23 3 4 6 5" xfId="11649" xr:uid="{00000000-0005-0000-0000-0000632D0000}"/>
    <cellStyle name="표준 23 3 4 7" xfId="11650" xr:uid="{00000000-0005-0000-0000-0000642D0000}"/>
    <cellStyle name="표준 23 3 4 7 2" xfId="11651" xr:uid="{00000000-0005-0000-0000-0000652D0000}"/>
    <cellStyle name="표준 23 3 4 7 2 2" xfId="11652" xr:uid="{00000000-0005-0000-0000-0000662D0000}"/>
    <cellStyle name="표준 23 3 4 7 2 2 2" xfId="11653" xr:uid="{00000000-0005-0000-0000-0000672D0000}"/>
    <cellStyle name="표준 23 3 4 7 2 3" xfId="11654" xr:uid="{00000000-0005-0000-0000-0000682D0000}"/>
    <cellStyle name="표준 23 3 4 7 3" xfId="11655" xr:uid="{00000000-0005-0000-0000-0000692D0000}"/>
    <cellStyle name="표준 23 3 4 7 3 2" xfId="11656" xr:uid="{00000000-0005-0000-0000-00006A2D0000}"/>
    <cellStyle name="표준 23 3 4 7 4" xfId="11657" xr:uid="{00000000-0005-0000-0000-00006B2D0000}"/>
    <cellStyle name="표준 23 3 4 8" xfId="11658" xr:uid="{00000000-0005-0000-0000-00006C2D0000}"/>
    <cellStyle name="표준 23 3 4 8 2" xfId="11659" xr:uid="{00000000-0005-0000-0000-00006D2D0000}"/>
    <cellStyle name="표준 23 3 4 8 2 2" xfId="11660" xr:uid="{00000000-0005-0000-0000-00006E2D0000}"/>
    <cellStyle name="표준 23 3 4 8 3" xfId="11661" xr:uid="{00000000-0005-0000-0000-00006F2D0000}"/>
    <cellStyle name="표준 23 3 4 9" xfId="11662" xr:uid="{00000000-0005-0000-0000-0000702D0000}"/>
    <cellStyle name="표준 23 3 4 9 2" xfId="11663" xr:uid="{00000000-0005-0000-0000-0000712D0000}"/>
    <cellStyle name="표준 23 3 5" xfId="11664" xr:uid="{00000000-0005-0000-0000-0000722D0000}"/>
    <cellStyle name="표준 23 3 5 10" xfId="11665" xr:uid="{00000000-0005-0000-0000-0000732D0000}"/>
    <cellStyle name="표준 23 3 5 11" xfId="11666" xr:uid="{00000000-0005-0000-0000-0000742D0000}"/>
    <cellStyle name="표준 23 3 5 2" xfId="11667" xr:uid="{00000000-0005-0000-0000-0000752D0000}"/>
    <cellStyle name="표준 23 3 5 2 10" xfId="11668" xr:uid="{00000000-0005-0000-0000-0000762D0000}"/>
    <cellStyle name="표준 23 3 5 2 2" xfId="11669" xr:uid="{00000000-0005-0000-0000-0000772D0000}"/>
    <cellStyle name="표준 23 3 5 2 2 2" xfId="11670" xr:uid="{00000000-0005-0000-0000-0000782D0000}"/>
    <cellStyle name="표준 23 3 5 2 2 2 2" xfId="11671" xr:uid="{00000000-0005-0000-0000-0000792D0000}"/>
    <cellStyle name="표준 23 3 5 2 2 2 2 2" xfId="11672" xr:uid="{00000000-0005-0000-0000-00007A2D0000}"/>
    <cellStyle name="표준 23 3 5 2 2 2 2 2 2" xfId="11673" xr:uid="{00000000-0005-0000-0000-00007B2D0000}"/>
    <cellStyle name="표준 23 3 5 2 2 2 2 2 2 2" xfId="11674" xr:uid="{00000000-0005-0000-0000-00007C2D0000}"/>
    <cellStyle name="표준 23 3 5 2 2 2 2 2 2 2 2" xfId="11675" xr:uid="{00000000-0005-0000-0000-00007D2D0000}"/>
    <cellStyle name="표준 23 3 5 2 2 2 2 2 2 2 2 2" xfId="11676" xr:uid="{00000000-0005-0000-0000-00007E2D0000}"/>
    <cellStyle name="표준 23 3 5 2 2 2 2 2 2 2 3" xfId="11677" xr:uid="{00000000-0005-0000-0000-00007F2D0000}"/>
    <cellStyle name="표준 23 3 5 2 2 2 2 2 2 3" xfId="11678" xr:uid="{00000000-0005-0000-0000-0000802D0000}"/>
    <cellStyle name="표준 23 3 5 2 2 2 2 2 2 3 2" xfId="11679" xr:uid="{00000000-0005-0000-0000-0000812D0000}"/>
    <cellStyle name="표준 23 3 5 2 2 2 2 2 2 4" xfId="11680" xr:uid="{00000000-0005-0000-0000-0000822D0000}"/>
    <cellStyle name="표준 23 3 5 2 2 2 2 2 3" xfId="11681" xr:uid="{00000000-0005-0000-0000-0000832D0000}"/>
    <cellStyle name="표준 23 3 5 2 2 2 2 2 3 2" xfId="11682" xr:uid="{00000000-0005-0000-0000-0000842D0000}"/>
    <cellStyle name="표준 23 3 5 2 2 2 2 2 3 2 2" xfId="11683" xr:uid="{00000000-0005-0000-0000-0000852D0000}"/>
    <cellStyle name="표준 23 3 5 2 2 2 2 2 3 3" xfId="11684" xr:uid="{00000000-0005-0000-0000-0000862D0000}"/>
    <cellStyle name="표준 23 3 5 2 2 2 2 2 4" xfId="11685" xr:uid="{00000000-0005-0000-0000-0000872D0000}"/>
    <cellStyle name="표준 23 3 5 2 2 2 2 2 4 2" xfId="11686" xr:uid="{00000000-0005-0000-0000-0000882D0000}"/>
    <cellStyle name="표준 23 3 5 2 2 2 2 2 5" xfId="11687" xr:uid="{00000000-0005-0000-0000-0000892D0000}"/>
    <cellStyle name="표준 23 3 5 2 2 2 2 3" xfId="11688" xr:uid="{00000000-0005-0000-0000-00008A2D0000}"/>
    <cellStyle name="표준 23 3 5 2 2 2 2 3 2" xfId="11689" xr:uid="{00000000-0005-0000-0000-00008B2D0000}"/>
    <cellStyle name="표준 23 3 5 2 2 2 2 3 2 2" xfId="11690" xr:uid="{00000000-0005-0000-0000-00008C2D0000}"/>
    <cellStyle name="표준 23 3 5 2 2 2 2 3 2 2 2" xfId="11691" xr:uid="{00000000-0005-0000-0000-00008D2D0000}"/>
    <cellStyle name="표준 23 3 5 2 2 2 2 3 2 3" xfId="11692" xr:uid="{00000000-0005-0000-0000-00008E2D0000}"/>
    <cellStyle name="표준 23 3 5 2 2 2 2 3 3" xfId="11693" xr:uid="{00000000-0005-0000-0000-00008F2D0000}"/>
    <cellStyle name="표준 23 3 5 2 2 2 2 3 3 2" xfId="11694" xr:uid="{00000000-0005-0000-0000-0000902D0000}"/>
    <cellStyle name="표준 23 3 5 2 2 2 2 3 4" xfId="11695" xr:uid="{00000000-0005-0000-0000-0000912D0000}"/>
    <cellStyle name="표준 23 3 5 2 2 2 2 4" xfId="11696" xr:uid="{00000000-0005-0000-0000-0000922D0000}"/>
    <cellStyle name="표준 23 3 5 2 2 2 2 4 2" xfId="11697" xr:uid="{00000000-0005-0000-0000-0000932D0000}"/>
    <cellStyle name="표준 23 3 5 2 2 2 2 4 2 2" xfId="11698" xr:uid="{00000000-0005-0000-0000-0000942D0000}"/>
    <cellStyle name="표준 23 3 5 2 2 2 2 4 3" xfId="11699" xr:uid="{00000000-0005-0000-0000-0000952D0000}"/>
    <cellStyle name="표준 23 3 5 2 2 2 2 5" xfId="11700" xr:uid="{00000000-0005-0000-0000-0000962D0000}"/>
    <cellStyle name="표준 23 3 5 2 2 2 2 5 2" xfId="11701" xr:uid="{00000000-0005-0000-0000-0000972D0000}"/>
    <cellStyle name="표준 23 3 5 2 2 2 2 6" xfId="11702" xr:uid="{00000000-0005-0000-0000-0000982D0000}"/>
    <cellStyle name="표준 23 3 5 2 2 2 3" xfId="11703" xr:uid="{00000000-0005-0000-0000-0000992D0000}"/>
    <cellStyle name="표준 23 3 5 2 2 2 3 2" xfId="11704" xr:uid="{00000000-0005-0000-0000-00009A2D0000}"/>
    <cellStyle name="표준 23 3 5 2 2 2 3 2 2" xfId="11705" xr:uid="{00000000-0005-0000-0000-00009B2D0000}"/>
    <cellStyle name="표준 23 3 5 2 2 2 3 2 2 2" xfId="11706" xr:uid="{00000000-0005-0000-0000-00009C2D0000}"/>
    <cellStyle name="표준 23 3 5 2 2 2 3 2 2 2 2" xfId="11707" xr:uid="{00000000-0005-0000-0000-00009D2D0000}"/>
    <cellStyle name="표준 23 3 5 2 2 2 3 2 2 3" xfId="11708" xr:uid="{00000000-0005-0000-0000-00009E2D0000}"/>
    <cellStyle name="표준 23 3 5 2 2 2 3 2 3" xfId="11709" xr:uid="{00000000-0005-0000-0000-00009F2D0000}"/>
    <cellStyle name="표준 23 3 5 2 2 2 3 2 3 2" xfId="11710" xr:uid="{00000000-0005-0000-0000-0000A02D0000}"/>
    <cellStyle name="표준 23 3 5 2 2 2 3 2 4" xfId="11711" xr:uid="{00000000-0005-0000-0000-0000A12D0000}"/>
    <cellStyle name="표준 23 3 5 2 2 2 3 3" xfId="11712" xr:uid="{00000000-0005-0000-0000-0000A22D0000}"/>
    <cellStyle name="표준 23 3 5 2 2 2 3 3 2" xfId="11713" xr:uid="{00000000-0005-0000-0000-0000A32D0000}"/>
    <cellStyle name="표준 23 3 5 2 2 2 3 3 2 2" xfId="11714" xr:uid="{00000000-0005-0000-0000-0000A42D0000}"/>
    <cellStyle name="표준 23 3 5 2 2 2 3 3 3" xfId="11715" xr:uid="{00000000-0005-0000-0000-0000A52D0000}"/>
    <cellStyle name="표준 23 3 5 2 2 2 3 4" xfId="11716" xr:uid="{00000000-0005-0000-0000-0000A62D0000}"/>
    <cellStyle name="표준 23 3 5 2 2 2 3 4 2" xfId="11717" xr:uid="{00000000-0005-0000-0000-0000A72D0000}"/>
    <cellStyle name="표준 23 3 5 2 2 2 3 5" xfId="11718" xr:uid="{00000000-0005-0000-0000-0000A82D0000}"/>
    <cellStyle name="표준 23 3 5 2 2 2 4" xfId="11719" xr:uid="{00000000-0005-0000-0000-0000A92D0000}"/>
    <cellStyle name="표준 23 3 5 2 2 2 4 2" xfId="11720" xr:uid="{00000000-0005-0000-0000-0000AA2D0000}"/>
    <cellStyle name="표준 23 3 5 2 2 2 4 2 2" xfId="11721" xr:uid="{00000000-0005-0000-0000-0000AB2D0000}"/>
    <cellStyle name="표준 23 3 5 2 2 2 4 2 2 2" xfId="11722" xr:uid="{00000000-0005-0000-0000-0000AC2D0000}"/>
    <cellStyle name="표준 23 3 5 2 2 2 4 2 3" xfId="11723" xr:uid="{00000000-0005-0000-0000-0000AD2D0000}"/>
    <cellStyle name="표준 23 3 5 2 2 2 4 3" xfId="11724" xr:uid="{00000000-0005-0000-0000-0000AE2D0000}"/>
    <cellStyle name="표준 23 3 5 2 2 2 4 3 2" xfId="11725" xr:uid="{00000000-0005-0000-0000-0000AF2D0000}"/>
    <cellStyle name="표준 23 3 5 2 2 2 4 4" xfId="11726" xr:uid="{00000000-0005-0000-0000-0000B02D0000}"/>
    <cellStyle name="표준 23 3 5 2 2 2 5" xfId="11727" xr:uid="{00000000-0005-0000-0000-0000B12D0000}"/>
    <cellStyle name="표준 23 3 5 2 2 2 5 2" xfId="11728" xr:uid="{00000000-0005-0000-0000-0000B22D0000}"/>
    <cellStyle name="표준 23 3 5 2 2 2 5 2 2" xfId="11729" xr:uid="{00000000-0005-0000-0000-0000B32D0000}"/>
    <cellStyle name="표준 23 3 5 2 2 2 5 3" xfId="11730" xr:uid="{00000000-0005-0000-0000-0000B42D0000}"/>
    <cellStyle name="표준 23 3 5 2 2 2 6" xfId="11731" xr:uid="{00000000-0005-0000-0000-0000B52D0000}"/>
    <cellStyle name="표준 23 3 5 2 2 2 6 2" xfId="11732" xr:uid="{00000000-0005-0000-0000-0000B62D0000}"/>
    <cellStyle name="표준 23 3 5 2 2 2 7" xfId="11733" xr:uid="{00000000-0005-0000-0000-0000B72D0000}"/>
    <cellStyle name="표준 23 3 5 2 2 2 8" xfId="11734" xr:uid="{00000000-0005-0000-0000-0000B82D0000}"/>
    <cellStyle name="표준 23 3 5 2 2 3" xfId="11735" xr:uid="{00000000-0005-0000-0000-0000B92D0000}"/>
    <cellStyle name="표준 23 3 5 2 2 3 2" xfId="11736" xr:uid="{00000000-0005-0000-0000-0000BA2D0000}"/>
    <cellStyle name="표준 23 3 5 2 2 3 2 2" xfId="11737" xr:uid="{00000000-0005-0000-0000-0000BB2D0000}"/>
    <cellStyle name="표준 23 3 5 2 2 3 2 2 2" xfId="11738" xr:uid="{00000000-0005-0000-0000-0000BC2D0000}"/>
    <cellStyle name="표준 23 3 5 2 2 3 2 2 2 2" xfId="11739" xr:uid="{00000000-0005-0000-0000-0000BD2D0000}"/>
    <cellStyle name="표준 23 3 5 2 2 3 2 2 2 2 2" xfId="11740" xr:uid="{00000000-0005-0000-0000-0000BE2D0000}"/>
    <cellStyle name="표준 23 3 5 2 2 3 2 2 2 3" xfId="11741" xr:uid="{00000000-0005-0000-0000-0000BF2D0000}"/>
    <cellStyle name="표준 23 3 5 2 2 3 2 2 3" xfId="11742" xr:uid="{00000000-0005-0000-0000-0000C02D0000}"/>
    <cellStyle name="표준 23 3 5 2 2 3 2 2 3 2" xfId="11743" xr:uid="{00000000-0005-0000-0000-0000C12D0000}"/>
    <cellStyle name="표준 23 3 5 2 2 3 2 2 4" xfId="11744" xr:uid="{00000000-0005-0000-0000-0000C22D0000}"/>
    <cellStyle name="표준 23 3 5 2 2 3 2 3" xfId="11745" xr:uid="{00000000-0005-0000-0000-0000C32D0000}"/>
    <cellStyle name="표준 23 3 5 2 2 3 2 3 2" xfId="11746" xr:uid="{00000000-0005-0000-0000-0000C42D0000}"/>
    <cellStyle name="표준 23 3 5 2 2 3 2 3 2 2" xfId="11747" xr:uid="{00000000-0005-0000-0000-0000C52D0000}"/>
    <cellStyle name="표준 23 3 5 2 2 3 2 3 3" xfId="11748" xr:uid="{00000000-0005-0000-0000-0000C62D0000}"/>
    <cellStyle name="표준 23 3 5 2 2 3 2 4" xfId="11749" xr:uid="{00000000-0005-0000-0000-0000C72D0000}"/>
    <cellStyle name="표준 23 3 5 2 2 3 2 4 2" xfId="11750" xr:uid="{00000000-0005-0000-0000-0000C82D0000}"/>
    <cellStyle name="표준 23 3 5 2 2 3 2 5" xfId="11751" xr:uid="{00000000-0005-0000-0000-0000C92D0000}"/>
    <cellStyle name="표준 23 3 5 2 2 3 3" xfId="11752" xr:uid="{00000000-0005-0000-0000-0000CA2D0000}"/>
    <cellStyle name="표준 23 3 5 2 2 3 3 2" xfId="11753" xr:uid="{00000000-0005-0000-0000-0000CB2D0000}"/>
    <cellStyle name="표준 23 3 5 2 2 3 3 2 2" xfId="11754" xr:uid="{00000000-0005-0000-0000-0000CC2D0000}"/>
    <cellStyle name="표준 23 3 5 2 2 3 3 2 2 2" xfId="11755" xr:uid="{00000000-0005-0000-0000-0000CD2D0000}"/>
    <cellStyle name="표준 23 3 5 2 2 3 3 2 3" xfId="11756" xr:uid="{00000000-0005-0000-0000-0000CE2D0000}"/>
    <cellStyle name="표준 23 3 5 2 2 3 3 3" xfId="11757" xr:uid="{00000000-0005-0000-0000-0000CF2D0000}"/>
    <cellStyle name="표준 23 3 5 2 2 3 3 3 2" xfId="11758" xr:uid="{00000000-0005-0000-0000-0000D02D0000}"/>
    <cellStyle name="표준 23 3 5 2 2 3 3 4" xfId="11759" xr:uid="{00000000-0005-0000-0000-0000D12D0000}"/>
    <cellStyle name="표준 23 3 5 2 2 3 4" xfId="11760" xr:uid="{00000000-0005-0000-0000-0000D22D0000}"/>
    <cellStyle name="표준 23 3 5 2 2 3 4 2" xfId="11761" xr:uid="{00000000-0005-0000-0000-0000D32D0000}"/>
    <cellStyle name="표준 23 3 5 2 2 3 4 2 2" xfId="11762" xr:uid="{00000000-0005-0000-0000-0000D42D0000}"/>
    <cellStyle name="표준 23 3 5 2 2 3 4 3" xfId="11763" xr:uid="{00000000-0005-0000-0000-0000D52D0000}"/>
    <cellStyle name="표준 23 3 5 2 2 3 5" xfId="11764" xr:uid="{00000000-0005-0000-0000-0000D62D0000}"/>
    <cellStyle name="표준 23 3 5 2 2 3 5 2" xfId="11765" xr:uid="{00000000-0005-0000-0000-0000D72D0000}"/>
    <cellStyle name="표준 23 3 5 2 2 3 6" xfId="11766" xr:uid="{00000000-0005-0000-0000-0000D82D0000}"/>
    <cellStyle name="표준 23 3 5 2 2 4" xfId="11767" xr:uid="{00000000-0005-0000-0000-0000D92D0000}"/>
    <cellStyle name="표준 23 3 5 2 2 4 2" xfId="11768" xr:uid="{00000000-0005-0000-0000-0000DA2D0000}"/>
    <cellStyle name="표준 23 3 5 2 2 4 2 2" xfId="11769" xr:uid="{00000000-0005-0000-0000-0000DB2D0000}"/>
    <cellStyle name="표준 23 3 5 2 2 4 2 2 2" xfId="11770" xr:uid="{00000000-0005-0000-0000-0000DC2D0000}"/>
    <cellStyle name="표준 23 3 5 2 2 4 2 2 2 2" xfId="11771" xr:uid="{00000000-0005-0000-0000-0000DD2D0000}"/>
    <cellStyle name="표준 23 3 5 2 2 4 2 2 3" xfId="11772" xr:uid="{00000000-0005-0000-0000-0000DE2D0000}"/>
    <cellStyle name="표준 23 3 5 2 2 4 2 3" xfId="11773" xr:uid="{00000000-0005-0000-0000-0000DF2D0000}"/>
    <cellStyle name="표준 23 3 5 2 2 4 2 3 2" xfId="11774" xr:uid="{00000000-0005-0000-0000-0000E02D0000}"/>
    <cellStyle name="표준 23 3 5 2 2 4 2 4" xfId="11775" xr:uid="{00000000-0005-0000-0000-0000E12D0000}"/>
    <cellStyle name="표준 23 3 5 2 2 4 3" xfId="11776" xr:uid="{00000000-0005-0000-0000-0000E22D0000}"/>
    <cellStyle name="표준 23 3 5 2 2 4 3 2" xfId="11777" xr:uid="{00000000-0005-0000-0000-0000E32D0000}"/>
    <cellStyle name="표준 23 3 5 2 2 4 3 2 2" xfId="11778" xr:uid="{00000000-0005-0000-0000-0000E42D0000}"/>
    <cellStyle name="표준 23 3 5 2 2 4 3 3" xfId="11779" xr:uid="{00000000-0005-0000-0000-0000E52D0000}"/>
    <cellStyle name="표준 23 3 5 2 2 4 4" xfId="11780" xr:uid="{00000000-0005-0000-0000-0000E62D0000}"/>
    <cellStyle name="표준 23 3 5 2 2 4 4 2" xfId="11781" xr:uid="{00000000-0005-0000-0000-0000E72D0000}"/>
    <cellStyle name="표준 23 3 5 2 2 4 5" xfId="11782" xr:uid="{00000000-0005-0000-0000-0000E82D0000}"/>
    <cellStyle name="표준 23 3 5 2 2 5" xfId="11783" xr:uid="{00000000-0005-0000-0000-0000E92D0000}"/>
    <cellStyle name="표준 23 3 5 2 2 5 2" xfId="11784" xr:uid="{00000000-0005-0000-0000-0000EA2D0000}"/>
    <cellStyle name="표준 23 3 5 2 2 5 2 2" xfId="11785" xr:uid="{00000000-0005-0000-0000-0000EB2D0000}"/>
    <cellStyle name="표준 23 3 5 2 2 5 2 2 2" xfId="11786" xr:uid="{00000000-0005-0000-0000-0000EC2D0000}"/>
    <cellStyle name="표준 23 3 5 2 2 5 2 3" xfId="11787" xr:uid="{00000000-0005-0000-0000-0000ED2D0000}"/>
    <cellStyle name="표준 23 3 5 2 2 5 3" xfId="11788" xr:uid="{00000000-0005-0000-0000-0000EE2D0000}"/>
    <cellStyle name="표준 23 3 5 2 2 5 3 2" xfId="11789" xr:uid="{00000000-0005-0000-0000-0000EF2D0000}"/>
    <cellStyle name="표준 23 3 5 2 2 5 4" xfId="11790" xr:uid="{00000000-0005-0000-0000-0000F02D0000}"/>
    <cellStyle name="표준 23 3 5 2 2 6" xfId="11791" xr:uid="{00000000-0005-0000-0000-0000F12D0000}"/>
    <cellStyle name="표준 23 3 5 2 2 6 2" xfId="11792" xr:uid="{00000000-0005-0000-0000-0000F22D0000}"/>
    <cellStyle name="표준 23 3 5 2 2 6 2 2" xfId="11793" xr:uid="{00000000-0005-0000-0000-0000F32D0000}"/>
    <cellStyle name="표준 23 3 5 2 2 6 3" xfId="11794" xr:uid="{00000000-0005-0000-0000-0000F42D0000}"/>
    <cellStyle name="표준 23 3 5 2 2 7" xfId="11795" xr:uid="{00000000-0005-0000-0000-0000F52D0000}"/>
    <cellStyle name="표준 23 3 5 2 2 7 2" xfId="11796" xr:uid="{00000000-0005-0000-0000-0000F62D0000}"/>
    <cellStyle name="표준 23 3 5 2 2 8" xfId="11797" xr:uid="{00000000-0005-0000-0000-0000F72D0000}"/>
    <cellStyle name="표준 23 3 5 2 2 9" xfId="11798" xr:uid="{00000000-0005-0000-0000-0000F82D0000}"/>
    <cellStyle name="표준 23 3 5 2 3" xfId="11799" xr:uid="{00000000-0005-0000-0000-0000F92D0000}"/>
    <cellStyle name="표준 23 3 5 2 3 2" xfId="11800" xr:uid="{00000000-0005-0000-0000-0000FA2D0000}"/>
    <cellStyle name="표준 23 3 5 2 3 2 2" xfId="11801" xr:uid="{00000000-0005-0000-0000-0000FB2D0000}"/>
    <cellStyle name="표준 23 3 5 2 3 2 2 2" xfId="11802" xr:uid="{00000000-0005-0000-0000-0000FC2D0000}"/>
    <cellStyle name="표준 23 3 5 2 3 2 2 2 2" xfId="11803" xr:uid="{00000000-0005-0000-0000-0000FD2D0000}"/>
    <cellStyle name="표준 23 3 5 2 3 2 2 2 2 2" xfId="11804" xr:uid="{00000000-0005-0000-0000-0000FE2D0000}"/>
    <cellStyle name="표준 23 3 5 2 3 2 2 2 2 2 2" xfId="11805" xr:uid="{00000000-0005-0000-0000-0000FF2D0000}"/>
    <cellStyle name="표준 23 3 5 2 3 2 2 2 2 3" xfId="11806" xr:uid="{00000000-0005-0000-0000-0000002E0000}"/>
    <cellStyle name="표준 23 3 5 2 3 2 2 2 3" xfId="11807" xr:uid="{00000000-0005-0000-0000-0000012E0000}"/>
    <cellStyle name="표준 23 3 5 2 3 2 2 2 3 2" xfId="11808" xr:uid="{00000000-0005-0000-0000-0000022E0000}"/>
    <cellStyle name="표준 23 3 5 2 3 2 2 2 4" xfId="11809" xr:uid="{00000000-0005-0000-0000-0000032E0000}"/>
    <cellStyle name="표준 23 3 5 2 3 2 2 3" xfId="11810" xr:uid="{00000000-0005-0000-0000-0000042E0000}"/>
    <cellStyle name="표준 23 3 5 2 3 2 2 3 2" xfId="11811" xr:uid="{00000000-0005-0000-0000-0000052E0000}"/>
    <cellStyle name="표준 23 3 5 2 3 2 2 3 2 2" xfId="11812" xr:uid="{00000000-0005-0000-0000-0000062E0000}"/>
    <cellStyle name="표준 23 3 5 2 3 2 2 3 3" xfId="11813" xr:uid="{00000000-0005-0000-0000-0000072E0000}"/>
    <cellStyle name="표준 23 3 5 2 3 2 2 4" xfId="11814" xr:uid="{00000000-0005-0000-0000-0000082E0000}"/>
    <cellStyle name="표준 23 3 5 2 3 2 2 4 2" xfId="11815" xr:uid="{00000000-0005-0000-0000-0000092E0000}"/>
    <cellStyle name="표준 23 3 5 2 3 2 2 5" xfId="11816" xr:uid="{00000000-0005-0000-0000-00000A2E0000}"/>
    <cellStyle name="표준 23 3 5 2 3 2 3" xfId="11817" xr:uid="{00000000-0005-0000-0000-00000B2E0000}"/>
    <cellStyle name="표준 23 3 5 2 3 2 3 2" xfId="11818" xr:uid="{00000000-0005-0000-0000-00000C2E0000}"/>
    <cellStyle name="표준 23 3 5 2 3 2 3 2 2" xfId="11819" xr:uid="{00000000-0005-0000-0000-00000D2E0000}"/>
    <cellStyle name="표준 23 3 5 2 3 2 3 2 2 2" xfId="11820" xr:uid="{00000000-0005-0000-0000-00000E2E0000}"/>
    <cellStyle name="표준 23 3 5 2 3 2 3 2 3" xfId="11821" xr:uid="{00000000-0005-0000-0000-00000F2E0000}"/>
    <cellStyle name="표준 23 3 5 2 3 2 3 3" xfId="11822" xr:uid="{00000000-0005-0000-0000-0000102E0000}"/>
    <cellStyle name="표준 23 3 5 2 3 2 3 3 2" xfId="11823" xr:uid="{00000000-0005-0000-0000-0000112E0000}"/>
    <cellStyle name="표준 23 3 5 2 3 2 3 4" xfId="11824" xr:uid="{00000000-0005-0000-0000-0000122E0000}"/>
    <cellStyle name="표준 23 3 5 2 3 2 4" xfId="11825" xr:uid="{00000000-0005-0000-0000-0000132E0000}"/>
    <cellStyle name="표준 23 3 5 2 3 2 4 2" xfId="11826" xr:uid="{00000000-0005-0000-0000-0000142E0000}"/>
    <cellStyle name="표준 23 3 5 2 3 2 4 2 2" xfId="11827" xr:uid="{00000000-0005-0000-0000-0000152E0000}"/>
    <cellStyle name="표준 23 3 5 2 3 2 4 3" xfId="11828" xr:uid="{00000000-0005-0000-0000-0000162E0000}"/>
    <cellStyle name="표준 23 3 5 2 3 2 5" xfId="11829" xr:uid="{00000000-0005-0000-0000-0000172E0000}"/>
    <cellStyle name="표준 23 3 5 2 3 2 5 2" xfId="11830" xr:uid="{00000000-0005-0000-0000-0000182E0000}"/>
    <cellStyle name="표준 23 3 5 2 3 2 6" xfId="11831" xr:uid="{00000000-0005-0000-0000-0000192E0000}"/>
    <cellStyle name="표준 23 3 5 2 3 3" xfId="11832" xr:uid="{00000000-0005-0000-0000-00001A2E0000}"/>
    <cellStyle name="표준 23 3 5 2 3 3 2" xfId="11833" xr:uid="{00000000-0005-0000-0000-00001B2E0000}"/>
    <cellStyle name="표준 23 3 5 2 3 3 2 2" xfId="11834" xr:uid="{00000000-0005-0000-0000-00001C2E0000}"/>
    <cellStyle name="표준 23 3 5 2 3 3 2 2 2" xfId="11835" xr:uid="{00000000-0005-0000-0000-00001D2E0000}"/>
    <cellStyle name="표준 23 3 5 2 3 3 2 2 2 2" xfId="11836" xr:uid="{00000000-0005-0000-0000-00001E2E0000}"/>
    <cellStyle name="표준 23 3 5 2 3 3 2 2 3" xfId="11837" xr:uid="{00000000-0005-0000-0000-00001F2E0000}"/>
    <cellStyle name="표준 23 3 5 2 3 3 2 3" xfId="11838" xr:uid="{00000000-0005-0000-0000-0000202E0000}"/>
    <cellStyle name="표준 23 3 5 2 3 3 2 3 2" xfId="11839" xr:uid="{00000000-0005-0000-0000-0000212E0000}"/>
    <cellStyle name="표준 23 3 5 2 3 3 2 4" xfId="11840" xr:uid="{00000000-0005-0000-0000-0000222E0000}"/>
    <cellStyle name="표준 23 3 5 2 3 3 3" xfId="11841" xr:uid="{00000000-0005-0000-0000-0000232E0000}"/>
    <cellStyle name="표준 23 3 5 2 3 3 3 2" xfId="11842" xr:uid="{00000000-0005-0000-0000-0000242E0000}"/>
    <cellStyle name="표준 23 3 5 2 3 3 3 2 2" xfId="11843" xr:uid="{00000000-0005-0000-0000-0000252E0000}"/>
    <cellStyle name="표준 23 3 5 2 3 3 3 3" xfId="11844" xr:uid="{00000000-0005-0000-0000-0000262E0000}"/>
    <cellStyle name="표준 23 3 5 2 3 3 4" xfId="11845" xr:uid="{00000000-0005-0000-0000-0000272E0000}"/>
    <cellStyle name="표준 23 3 5 2 3 3 4 2" xfId="11846" xr:uid="{00000000-0005-0000-0000-0000282E0000}"/>
    <cellStyle name="표준 23 3 5 2 3 3 5" xfId="11847" xr:uid="{00000000-0005-0000-0000-0000292E0000}"/>
    <cellStyle name="표준 23 3 5 2 3 4" xfId="11848" xr:uid="{00000000-0005-0000-0000-00002A2E0000}"/>
    <cellStyle name="표준 23 3 5 2 3 4 2" xfId="11849" xr:uid="{00000000-0005-0000-0000-00002B2E0000}"/>
    <cellStyle name="표준 23 3 5 2 3 4 2 2" xfId="11850" xr:uid="{00000000-0005-0000-0000-00002C2E0000}"/>
    <cellStyle name="표준 23 3 5 2 3 4 2 2 2" xfId="11851" xr:uid="{00000000-0005-0000-0000-00002D2E0000}"/>
    <cellStyle name="표준 23 3 5 2 3 4 2 3" xfId="11852" xr:uid="{00000000-0005-0000-0000-00002E2E0000}"/>
    <cellStyle name="표준 23 3 5 2 3 4 3" xfId="11853" xr:uid="{00000000-0005-0000-0000-00002F2E0000}"/>
    <cellStyle name="표준 23 3 5 2 3 4 3 2" xfId="11854" xr:uid="{00000000-0005-0000-0000-0000302E0000}"/>
    <cellStyle name="표준 23 3 5 2 3 4 4" xfId="11855" xr:uid="{00000000-0005-0000-0000-0000312E0000}"/>
    <cellStyle name="표준 23 3 5 2 3 5" xfId="11856" xr:uid="{00000000-0005-0000-0000-0000322E0000}"/>
    <cellStyle name="표준 23 3 5 2 3 5 2" xfId="11857" xr:uid="{00000000-0005-0000-0000-0000332E0000}"/>
    <cellStyle name="표준 23 3 5 2 3 5 2 2" xfId="11858" xr:uid="{00000000-0005-0000-0000-0000342E0000}"/>
    <cellStyle name="표준 23 3 5 2 3 5 3" xfId="11859" xr:uid="{00000000-0005-0000-0000-0000352E0000}"/>
    <cellStyle name="표준 23 3 5 2 3 6" xfId="11860" xr:uid="{00000000-0005-0000-0000-0000362E0000}"/>
    <cellStyle name="표준 23 3 5 2 3 6 2" xfId="11861" xr:uid="{00000000-0005-0000-0000-0000372E0000}"/>
    <cellStyle name="표준 23 3 5 2 3 7" xfId="11862" xr:uid="{00000000-0005-0000-0000-0000382E0000}"/>
    <cellStyle name="표준 23 3 5 2 3 8" xfId="11863" xr:uid="{00000000-0005-0000-0000-0000392E0000}"/>
    <cellStyle name="표준 23 3 5 2 4" xfId="11864" xr:uid="{00000000-0005-0000-0000-00003A2E0000}"/>
    <cellStyle name="표준 23 3 5 2 4 2" xfId="11865" xr:uid="{00000000-0005-0000-0000-00003B2E0000}"/>
    <cellStyle name="표준 23 3 5 2 4 2 2" xfId="11866" xr:uid="{00000000-0005-0000-0000-00003C2E0000}"/>
    <cellStyle name="표준 23 3 5 2 4 2 2 2" xfId="11867" xr:uid="{00000000-0005-0000-0000-00003D2E0000}"/>
    <cellStyle name="표준 23 3 5 2 4 2 2 2 2" xfId="11868" xr:uid="{00000000-0005-0000-0000-00003E2E0000}"/>
    <cellStyle name="표준 23 3 5 2 4 2 2 2 2 2" xfId="11869" xr:uid="{00000000-0005-0000-0000-00003F2E0000}"/>
    <cellStyle name="표준 23 3 5 2 4 2 2 2 3" xfId="11870" xr:uid="{00000000-0005-0000-0000-0000402E0000}"/>
    <cellStyle name="표준 23 3 5 2 4 2 2 3" xfId="11871" xr:uid="{00000000-0005-0000-0000-0000412E0000}"/>
    <cellStyle name="표준 23 3 5 2 4 2 2 3 2" xfId="11872" xr:uid="{00000000-0005-0000-0000-0000422E0000}"/>
    <cellStyle name="표준 23 3 5 2 4 2 2 4" xfId="11873" xr:uid="{00000000-0005-0000-0000-0000432E0000}"/>
    <cellStyle name="표준 23 3 5 2 4 2 3" xfId="11874" xr:uid="{00000000-0005-0000-0000-0000442E0000}"/>
    <cellStyle name="표준 23 3 5 2 4 2 3 2" xfId="11875" xr:uid="{00000000-0005-0000-0000-0000452E0000}"/>
    <cellStyle name="표준 23 3 5 2 4 2 3 2 2" xfId="11876" xr:uid="{00000000-0005-0000-0000-0000462E0000}"/>
    <cellStyle name="표준 23 3 5 2 4 2 3 3" xfId="11877" xr:uid="{00000000-0005-0000-0000-0000472E0000}"/>
    <cellStyle name="표준 23 3 5 2 4 2 4" xfId="11878" xr:uid="{00000000-0005-0000-0000-0000482E0000}"/>
    <cellStyle name="표준 23 3 5 2 4 2 4 2" xfId="11879" xr:uid="{00000000-0005-0000-0000-0000492E0000}"/>
    <cellStyle name="표준 23 3 5 2 4 2 5" xfId="11880" xr:uid="{00000000-0005-0000-0000-00004A2E0000}"/>
    <cellStyle name="표준 23 3 5 2 4 3" xfId="11881" xr:uid="{00000000-0005-0000-0000-00004B2E0000}"/>
    <cellStyle name="표준 23 3 5 2 4 3 2" xfId="11882" xr:uid="{00000000-0005-0000-0000-00004C2E0000}"/>
    <cellStyle name="표준 23 3 5 2 4 3 2 2" xfId="11883" xr:uid="{00000000-0005-0000-0000-00004D2E0000}"/>
    <cellStyle name="표준 23 3 5 2 4 3 2 2 2" xfId="11884" xr:uid="{00000000-0005-0000-0000-00004E2E0000}"/>
    <cellStyle name="표준 23 3 5 2 4 3 2 3" xfId="11885" xr:uid="{00000000-0005-0000-0000-00004F2E0000}"/>
    <cellStyle name="표준 23 3 5 2 4 3 3" xfId="11886" xr:uid="{00000000-0005-0000-0000-0000502E0000}"/>
    <cellStyle name="표준 23 3 5 2 4 3 3 2" xfId="11887" xr:uid="{00000000-0005-0000-0000-0000512E0000}"/>
    <cellStyle name="표준 23 3 5 2 4 3 4" xfId="11888" xr:uid="{00000000-0005-0000-0000-0000522E0000}"/>
    <cellStyle name="표준 23 3 5 2 4 4" xfId="11889" xr:uid="{00000000-0005-0000-0000-0000532E0000}"/>
    <cellStyle name="표준 23 3 5 2 4 4 2" xfId="11890" xr:uid="{00000000-0005-0000-0000-0000542E0000}"/>
    <cellStyle name="표준 23 3 5 2 4 4 2 2" xfId="11891" xr:uid="{00000000-0005-0000-0000-0000552E0000}"/>
    <cellStyle name="표준 23 3 5 2 4 4 3" xfId="11892" xr:uid="{00000000-0005-0000-0000-0000562E0000}"/>
    <cellStyle name="표준 23 3 5 2 4 5" xfId="11893" xr:uid="{00000000-0005-0000-0000-0000572E0000}"/>
    <cellStyle name="표준 23 3 5 2 4 5 2" xfId="11894" xr:uid="{00000000-0005-0000-0000-0000582E0000}"/>
    <cellStyle name="표준 23 3 5 2 4 6" xfId="11895" xr:uid="{00000000-0005-0000-0000-0000592E0000}"/>
    <cellStyle name="표준 23 3 5 2 5" xfId="11896" xr:uid="{00000000-0005-0000-0000-00005A2E0000}"/>
    <cellStyle name="표준 23 3 5 2 5 2" xfId="11897" xr:uid="{00000000-0005-0000-0000-00005B2E0000}"/>
    <cellStyle name="표준 23 3 5 2 5 2 2" xfId="11898" xr:uid="{00000000-0005-0000-0000-00005C2E0000}"/>
    <cellStyle name="표준 23 3 5 2 5 2 2 2" xfId="11899" xr:uid="{00000000-0005-0000-0000-00005D2E0000}"/>
    <cellStyle name="표준 23 3 5 2 5 2 2 2 2" xfId="11900" xr:uid="{00000000-0005-0000-0000-00005E2E0000}"/>
    <cellStyle name="표준 23 3 5 2 5 2 2 3" xfId="11901" xr:uid="{00000000-0005-0000-0000-00005F2E0000}"/>
    <cellStyle name="표준 23 3 5 2 5 2 3" xfId="11902" xr:uid="{00000000-0005-0000-0000-0000602E0000}"/>
    <cellStyle name="표준 23 3 5 2 5 2 3 2" xfId="11903" xr:uid="{00000000-0005-0000-0000-0000612E0000}"/>
    <cellStyle name="표준 23 3 5 2 5 2 4" xfId="11904" xr:uid="{00000000-0005-0000-0000-0000622E0000}"/>
    <cellStyle name="표준 23 3 5 2 5 3" xfId="11905" xr:uid="{00000000-0005-0000-0000-0000632E0000}"/>
    <cellStyle name="표준 23 3 5 2 5 3 2" xfId="11906" xr:uid="{00000000-0005-0000-0000-0000642E0000}"/>
    <cellStyle name="표준 23 3 5 2 5 3 2 2" xfId="11907" xr:uid="{00000000-0005-0000-0000-0000652E0000}"/>
    <cellStyle name="표준 23 3 5 2 5 3 3" xfId="11908" xr:uid="{00000000-0005-0000-0000-0000662E0000}"/>
    <cellStyle name="표준 23 3 5 2 5 4" xfId="11909" xr:uid="{00000000-0005-0000-0000-0000672E0000}"/>
    <cellStyle name="표준 23 3 5 2 5 4 2" xfId="11910" xr:uid="{00000000-0005-0000-0000-0000682E0000}"/>
    <cellStyle name="표준 23 3 5 2 5 5" xfId="11911" xr:uid="{00000000-0005-0000-0000-0000692E0000}"/>
    <cellStyle name="표준 23 3 5 2 6" xfId="11912" xr:uid="{00000000-0005-0000-0000-00006A2E0000}"/>
    <cellStyle name="표준 23 3 5 2 6 2" xfId="11913" xr:uid="{00000000-0005-0000-0000-00006B2E0000}"/>
    <cellStyle name="표준 23 3 5 2 6 2 2" xfId="11914" xr:uid="{00000000-0005-0000-0000-00006C2E0000}"/>
    <cellStyle name="표준 23 3 5 2 6 2 2 2" xfId="11915" xr:uid="{00000000-0005-0000-0000-00006D2E0000}"/>
    <cellStyle name="표준 23 3 5 2 6 2 3" xfId="11916" xr:uid="{00000000-0005-0000-0000-00006E2E0000}"/>
    <cellStyle name="표준 23 3 5 2 6 3" xfId="11917" xr:uid="{00000000-0005-0000-0000-00006F2E0000}"/>
    <cellStyle name="표준 23 3 5 2 6 3 2" xfId="11918" xr:uid="{00000000-0005-0000-0000-0000702E0000}"/>
    <cellStyle name="표준 23 3 5 2 6 4" xfId="11919" xr:uid="{00000000-0005-0000-0000-0000712E0000}"/>
    <cellStyle name="표준 23 3 5 2 7" xfId="11920" xr:uid="{00000000-0005-0000-0000-0000722E0000}"/>
    <cellStyle name="표준 23 3 5 2 7 2" xfId="11921" xr:uid="{00000000-0005-0000-0000-0000732E0000}"/>
    <cellStyle name="표준 23 3 5 2 7 2 2" xfId="11922" xr:uid="{00000000-0005-0000-0000-0000742E0000}"/>
    <cellStyle name="표준 23 3 5 2 7 3" xfId="11923" xr:uid="{00000000-0005-0000-0000-0000752E0000}"/>
    <cellStyle name="표준 23 3 5 2 8" xfId="11924" xr:uid="{00000000-0005-0000-0000-0000762E0000}"/>
    <cellStyle name="표준 23 3 5 2 8 2" xfId="11925" xr:uid="{00000000-0005-0000-0000-0000772E0000}"/>
    <cellStyle name="표준 23 3 5 2 9" xfId="11926" xr:uid="{00000000-0005-0000-0000-0000782E0000}"/>
    <cellStyle name="표준 23 3 5 3" xfId="11927" xr:uid="{00000000-0005-0000-0000-0000792E0000}"/>
    <cellStyle name="표준 23 3 5 3 2" xfId="11928" xr:uid="{00000000-0005-0000-0000-00007A2E0000}"/>
    <cellStyle name="표준 23 3 5 3 2 2" xfId="11929" xr:uid="{00000000-0005-0000-0000-00007B2E0000}"/>
    <cellStyle name="표준 23 3 5 3 2 2 2" xfId="11930" xr:uid="{00000000-0005-0000-0000-00007C2E0000}"/>
    <cellStyle name="표준 23 3 5 3 2 2 2 2" xfId="11931" xr:uid="{00000000-0005-0000-0000-00007D2E0000}"/>
    <cellStyle name="표준 23 3 5 3 2 2 2 2 2" xfId="11932" xr:uid="{00000000-0005-0000-0000-00007E2E0000}"/>
    <cellStyle name="표준 23 3 5 3 2 2 2 2 2 2" xfId="11933" xr:uid="{00000000-0005-0000-0000-00007F2E0000}"/>
    <cellStyle name="표준 23 3 5 3 2 2 2 2 2 2 2" xfId="11934" xr:uid="{00000000-0005-0000-0000-0000802E0000}"/>
    <cellStyle name="표준 23 3 5 3 2 2 2 2 2 3" xfId="11935" xr:uid="{00000000-0005-0000-0000-0000812E0000}"/>
    <cellStyle name="표준 23 3 5 3 2 2 2 2 3" xfId="11936" xr:uid="{00000000-0005-0000-0000-0000822E0000}"/>
    <cellStyle name="표준 23 3 5 3 2 2 2 2 3 2" xfId="11937" xr:uid="{00000000-0005-0000-0000-0000832E0000}"/>
    <cellStyle name="표준 23 3 5 3 2 2 2 2 4" xfId="11938" xr:uid="{00000000-0005-0000-0000-0000842E0000}"/>
    <cellStyle name="표준 23 3 5 3 2 2 2 3" xfId="11939" xr:uid="{00000000-0005-0000-0000-0000852E0000}"/>
    <cellStyle name="표준 23 3 5 3 2 2 2 3 2" xfId="11940" xr:uid="{00000000-0005-0000-0000-0000862E0000}"/>
    <cellStyle name="표준 23 3 5 3 2 2 2 3 2 2" xfId="11941" xr:uid="{00000000-0005-0000-0000-0000872E0000}"/>
    <cellStyle name="표준 23 3 5 3 2 2 2 3 3" xfId="11942" xr:uid="{00000000-0005-0000-0000-0000882E0000}"/>
    <cellStyle name="표준 23 3 5 3 2 2 2 4" xfId="11943" xr:uid="{00000000-0005-0000-0000-0000892E0000}"/>
    <cellStyle name="표준 23 3 5 3 2 2 2 4 2" xfId="11944" xr:uid="{00000000-0005-0000-0000-00008A2E0000}"/>
    <cellStyle name="표준 23 3 5 3 2 2 2 5" xfId="11945" xr:uid="{00000000-0005-0000-0000-00008B2E0000}"/>
    <cellStyle name="표준 23 3 5 3 2 2 3" xfId="11946" xr:uid="{00000000-0005-0000-0000-00008C2E0000}"/>
    <cellStyle name="표준 23 3 5 3 2 2 3 2" xfId="11947" xr:uid="{00000000-0005-0000-0000-00008D2E0000}"/>
    <cellStyle name="표준 23 3 5 3 2 2 3 2 2" xfId="11948" xr:uid="{00000000-0005-0000-0000-00008E2E0000}"/>
    <cellStyle name="표준 23 3 5 3 2 2 3 2 2 2" xfId="11949" xr:uid="{00000000-0005-0000-0000-00008F2E0000}"/>
    <cellStyle name="표준 23 3 5 3 2 2 3 2 3" xfId="11950" xr:uid="{00000000-0005-0000-0000-0000902E0000}"/>
    <cellStyle name="표준 23 3 5 3 2 2 3 3" xfId="11951" xr:uid="{00000000-0005-0000-0000-0000912E0000}"/>
    <cellStyle name="표준 23 3 5 3 2 2 3 3 2" xfId="11952" xr:uid="{00000000-0005-0000-0000-0000922E0000}"/>
    <cellStyle name="표준 23 3 5 3 2 2 3 4" xfId="11953" xr:uid="{00000000-0005-0000-0000-0000932E0000}"/>
    <cellStyle name="표준 23 3 5 3 2 2 4" xfId="11954" xr:uid="{00000000-0005-0000-0000-0000942E0000}"/>
    <cellStyle name="표준 23 3 5 3 2 2 4 2" xfId="11955" xr:uid="{00000000-0005-0000-0000-0000952E0000}"/>
    <cellStyle name="표준 23 3 5 3 2 2 4 2 2" xfId="11956" xr:uid="{00000000-0005-0000-0000-0000962E0000}"/>
    <cellStyle name="표준 23 3 5 3 2 2 4 3" xfId="11957" xr:uid="{00000000-0005-0000-0000-0000972E0000}"/>
    <cellStyle name="표준 23 3 5 3 2 2 5" xfId="11958" xr:uid="{00000000-0005-0000-0000-0000982E0000}"/>
    <cellStyle name="표준 23 3 5 3 2 2 5 2" xfId="11959" xr:uid="{00000000-0005-0000-0000-0000992E0000}"/>
    <cellStyle name="표준 23 3 5 3 2 2 6" xfId="11960" xr:uid="{00000000-0005-0000-0000-00009A2E0000}"/>
    <cellStyle name="표준 23 3 5 3 2 3" xfId="11961" xr:uid="{00000000-0005-0000-0000-00009B2E0000}"/>
    <cellStyle name="표준 23 3 5 3 2 3 2" xfId="11962" xr:uid="{00000000-0005-0000-0000-00009C2E0000}"/>
    <cellStyle name="표준 23 3 5 3 2 3 2 2" xfId="11963" xr:uid="{00000000-0005-0000-0000-00009D2E0000}"/>
    <cellStyle name="표준 23 3 5 3 2 3 2 2 2" xfId="11964" xr:uid="{00000000-0005-0000-0000-00009E2E0000}"/>
    <cellStyle name="표준 23 3 5 3 2 3 2 2 2 2" xfId="11965" xr:uid="{00000000-0005-0000-0000-00009F2E0000}"/>
    <cellStyle name="표준 23 3 5 3 2 3 2 2 3" xfId="11966" xr:uid="{00000000-0005-0000-0000-0000A02E0000}"/>
    <cellStyle name="표준 23 3 5 3 2 3 2 3" xfId="11967" xr:uid="{00000000-0005-0000-0000-0000A12E0000}"/>
    <cellStyle name="표준 23 3 5 3 2 3 2 3 2" xfId="11968" xr:uid="{00000000-0005-0000-0000-0000A22E0000}"/>
    <cellStyle name="표준 23 3 5 3 2 3 2 4" xfId="11969" xr:uid="{00000000-0005-0000-0000-0000A32E0000}"/>
    <cellStyle name="표준 23 3 5 3 2 3 3" xfId="11970" xr:uid="{00000000-0005-0000-0000-0000A42E0000}"/>
    <cellStyle name="표준 23 3 5 3 2 3 3 2" xfId="11971" xr:uid="{00000000-0005-0000-0000-0000A52E0000}"/>
    <cellStyle name="표준 23 3 5 3 2 3 3 2 2" xfId="11972" xr:uid="{00000000-0005-0000-0000-0000A62E0000}"/>
    <cellStyle name="표준 23 3 5 3 2 3 3 3" xfId="11973" xr:uid="{00000000-0005-0000-0000-0000A72E0000}"/>
    <cellStyle name="표준 23 3 5 3 2 3 4" xfId="11974" xr:uid="{00000000-0005-0000-0000-0000A82E0000}"/>
    <cellStyle name="표준 23 3 5 3 2 3 4 2" xfId="11975" xr:uid="{00000000-0005-0000-0000-0000A92E0000}"/>
    <cellStyle name="표준 23 3 5 3 2 3 5" xfId="11976" xr:uid="{00000000-0005-0000-0000-0000AA2E0000}"/>
    <cellStyle name="표준 23 3 5 3 2 4" xfId="11977" xr:uid="{00000000-0005-0000-0000-0000AB2E0000}"/>
    <cellStyle name="표준 23 3 5 3 2 4 2" xfId="11978" xr:uid="{00000000-0005-0000-0000-0000AC2E0000}"/>
    <cellStyle name="표준 23 3 5 3 2 4 2 2" xfId="11979" xr:uid="{00000000-0005-0000-0000-0000AD2E0000}"/>
    <cellStyle name="표준 23 3 5 3 2 4 2 2 2" xfId="11980" xr:uid="{00000000-0005-0000-0000-0000AE2E0000}"/>
    <cellStyle name="표준 23 3 5 3 2 4 2 3" xfId="11981" xr:uid="{00000000-0005-0000-0000-0000AF2E0000}"/>
    <cellStyle name="표준 23 3 5 3 2 4 3" xfId="11982" xr:uid="{00000000-0005-0000-0000-0000B02E0000}"/>
    <cellStyle name="표준 23 3 5 3 2 4 3 2" xfId="11983" xr:uid="{00000000-0005-0000-0000-0000B12E0000}"/>
    <cellStyle name="표준 23 3 5 3 2 4 4" xfId="11984" xr:uid="{00000000-0005-0000-0000-0000B22E0000}"/>
    <cellStyle name="표준 23 3 5 3 2 5" xfId="11985" xr:uid="{00000000-0005-0000-0000-0000B32E0000}"/>
    <cellStyle name="표준 23 3 5 3 2 5 2" xfId="11986" xr:uid="{00000000-0005-0000-0000-0000B42E0000}"/>
    <cellStyle name="표준 23 3 5 3 2 5 2 2" xfId="11987" xr:uid="{00000000-0005-0000-0000-0000B52E0000}"/>
    <cellStyle name="표준 23 3 5 3 2 5 3" xfId="11988" xr:uid="{00000000-0005-0000-0000-0000B62E0000}"/>
    <cellStyle name="표준 23 3 5 3 2 6" xfId="11989" xr:uid="{00000000-0005-0000-0000-0000B72E0000}"/>
    <cellStyle name="표준 23 3 5 3 2 6 2" xfId="11990" xr:uid="{00000000-0005-0000-0000-0000B82E0000}"/>
    <cellStyle name="표준 23 3 5 3 2 7" xfId="11991" xr:uid="{00000000-0005-0000-0000-0000B92E0000}"/>
    <cellStyle name="표준 23 3 5 3 2 8" xfId="11992" xr:uid="{00000000-0005-0000-0000-0000BA2E0000}"/>
    <cellStyle name="표준 23 3 5 3 3" xfId="11993" xr:uid="{00000000-0005-0000-0000-0000BB2E0000}"/>
    <cellStyle name="표준 23 3 5 3 3 2" xfId="11994" xr:uid="{00000000-0005-0000-0000-0000BC2E0000}"/>
    <cellStyle name="표준 23 3 5 3 3 2 2" xfId="11995" xr:uid="{00000000-0005-0000-0000-0000BD2E0000}"/>
    <cellStyle name="표준 23 3 5 3 3 2 2 2" xfId="11996" xr:uid="{00000000-0005-0000-0000-0000BE2E0000}"/>
    <cellStyle name="표준 23 3 5 3 3 2 2 2 2" xfId="11997" xr:uid="{00000000-0005-0000-0000-0000BF2E0000}"/>
    <cellStyle name="표준 23 3 5 3 3 2 2 2 2 2" xfId="11998" xr:uid="{00000000-0005-0000-0000-0000C02E0000}"/>
    <cellStyle name="표준 23 3 5 3 3 2 2 2 3" xfId="11999" xr:uid="{00000000-0005-0000-0000-0000C12E0000}"/>
    <cellStyle name="표준 23 3 5 3 3 2 2 3" xfId="12000" xr:uid="{00000000-0005-0000-0000-0000C22E0000}"/>
    <cellStyle name="표준 23 3 5 3 3 2 2 3 2" xfId="12001" xr:uid="{00000000-0005-0000-0000-0000C32E0000}"/>
    <cellStyle name="표준 23 3 5 3 3 2 2 4" xfId="12002" xr:uid="{00000000-0005-0000-0000-0000C42E0000}"/>
    <cellStyle name="표준 23 3 5 3 3 2 3" xfId="12003" xr:uid="{00000000-0005-0000-0000-0000C52E0000}"/>
    <cellStyle name="표준 23 3 5 3 3 2 3 2" xfId="12004" xr:uid="{00000000-0005-0000-0000-0000C62E0000}"/>
    <cellStyle name="표준 23 3 5 3 3 2 3 2 2" xfId="12005" xr:uid="{00000000-0005-0000-0000-0000C72E0000}"/>
    <cellStyle name="표준 23 3 5 3 3 2 3 3" xfId="12006" xr:uid="{00000000-0005-0000-0000-0000C82E0000}"/>
    <cellStyle name="표준 23 3 5 3 3 2 4" xfId="12007" xr:uid="{00000000-0005-0000-0000-0000C92E0000}"/>
    <cellStyle name="표준 23 3 5 3 3 2 4 2" xfId="12008" xr:uid="{00000000-0005-0000-0000-0000CA2E0000}"/>
    <cellStyle name="표준 23 3 5 3 3 2 5" xfId="12009" xr:uid="{00000000-0005-0000-0000-0000CB2E0000}"/>
    <cellStyle name="표준 23 3 5 3 3 3" xfId="12010" xr:uid="{00000000-0005-0000-0000-0000CC2E0000}"/>
    <cellStyle name="표준 23 3 5 3 3 3 2" xfId="12011" xr:uid="{00000000-0005-0000-0000-0000CD2E0000}"/>
    <cellStyle name="표준 23 3 5 3 3 3 2 2" xfId="12012" xr:uid="{00000000-0005-0000-0000-0000CE2E0000}"/>
    <cellStyle name="표준 23 3 5 3 3 3 2 2 2" xfId="12013" xr:uid="{00000000-0005-0000-0000-0000CF2E0000}"/>
    <cellStyle name="표준 23 3 5 3 3 3 2 3" xfId="12014" xr:uid="{00000000-0005-0000-0000-0000D02E0000}"/>
    <cellStyle name="표준 23 3 5 3 3 3 3" xfId="12015" xr:uid="{00000000-0005-0000-0000-0000D12E0000}"/>
    <cellStyle name="표준 23 3 5 3 3 3 3 2" xfId="12016" xr:uid="{00000000-0005-0000-0000-0000D22E0000}"/>
    <cellStyle name="표준 23 3 5 3 3 3 4" xfId="12017" xr:uid="{00000000-0005-0000-0000-0000D32E0000}"/>
    <cellStyle name="표준 23 3 5 3 3 4" xfId="12018" xr:uid="{00000000-0005-0000-0000-0000D42E0000}"/>
    <cellStyle name="표준 23 3 5 3 3 4 2" xfId="12019" xr:uid="{00000000-0005-0000-0000-0000D52E0000}"/>
    <cellStyle name="표준 23 3 5 3 3 4 2 2" xfId="12020" xr:uid="{00000000-0005-0000-0000-0000D62E0000}"/>
    <cellStyle name="표준 23 3 5 3 3 4 3" xfId="12021" xr:uid="{00000000-0005-0000-0000-0000D72E0000}"/>
    <cellStyle name="표준 23 3 5 3 3 5" xfId="12022" xr:uid="{00000000-0005-0000-0000-0000D82E0000}"/>
    <cellStyle name="표준 23 3 5 3 3 5 2" xfId="12023" xr:uid="{00000000-0005-0000-0000-0000D92E0000}"/>
    <cellStyle name="표준 23 3 5 3 3 6" xfId="12024" xr:uid="{00000000-0005-0000-0000-0000DA2E0000}"/>
    <cellStyle name="표준 23 3 5 3 4" xfId="12025" xr:uid="{00000000-0005-0000-0000-0000DB2E0000}"/>
    <cellStyle name="표준 23 3 5 3 4 2" xfId="12026" xr:uid="{00000000-0005-0000-0000-0000DC2E0000}"/>
    <cellStyle name="표준 23 3 5 3 4 2 2" xfId="12027" xr:uid="{00000000-0005-0000-0000-0000DD2E0000}"/>
    <cellStyle name="표준 23 3 5 3 4 2 2 2" xfId="12028" xr:uid="{00000000-0005-0000-0000-0000DE2E0000}"/>
    <cellStyle name="표준 23 3 5 3 4 2 2 2 2" xfId="12029" xr:uid="{00000000-0005-0000-0000-0000DF2E0000}"/>
    <cellStyle name="표준 23 3 5 3 4 2 2 3" xfId="12030" xr:uid="{00000000-0005-0000-0000-0000E02E0000}"/>
    <cellStyle name="표준 23 3 5 3 4 2 3" xfId="12031" xr:uid="{00000000-0005-0000-0000-0000E12E0000}"/>
    <cellStyle name="표준 23 3 5 3 4 2 3 2" xfId="12032" xr:uid="{00000000-0005-0000-0000-0000E22E0000}"/>
    <cellStyle name="표준 23 3 5 3 4 2 4" xfId="12033" xr:uid="{00000000-0005-0000-0000-0000E32E0000}"/>
    <cellStyle name="표준 23 3 5 3 4 3" xfId="12034" xr:uid="{00000000-0005-0000-0000-0000E42E0000}"/>
    <cellStyle name="표준 23 3 5 3 4 3 2" xfId="12035" xr:uid="{00000000-0005-0000-0000-0000E52E0000}"/>
    <cellStyle name="표준 23 3 5 3 4 3 2 2" xfId="12036" xr:uid="{00000000-0005-0000-0000-0000E62E0000}"/>
    <cellStyle name="표준 23 3 5 3 4 3 3" xfId="12037" xr:uid="{00000000-0005-0000-0000-0000E72E0000}"/>
    <cellStyle name="표준 23 3 5 3 4 4" xfId="12038" xr:uid="{00000000-0005-0000-0000-0000E82E0000}"/>
    <cellStyle name="표준 23 3 5 3 4 4 2" xfId="12039" xr:uid="{00000000-0005-0000-0000-0000E92E0000}"/>
    <cellStyle name="표준 23 3 5 3 4 5" xfId="12040" xr:uid="{00000000-0005-0000-0000-0000EA2E0000}"/>
    <cellStyle name="표준 23 3 5 3 5" xfId="12041" xr:uid="{00000000-0005-0000-0000-0000EB2E0000}"/>
    <cellStyle name="표준 23 3 5 3 5 2" xfId="12042" xr:uid="{00000000-0005-0000-0000-0000EC2E0000}"/>
    <cellStyle name="표준 23 3 5 3 5 2 2" xfId="12043" xr:uid="{00000000-0005-0000-0000-0000ED2E0000}"/>
    <cellStyle name="표준 23 3 5 3 5 2 2 2" xfId="12044" xr:uid="{00000000-0005-0000-0000-0000EE2E0000}"/>
    <cellStyle name="표준 23 3 5 3 5 2 3" xfId="12045" xr:uid="{00000000-0005-0000-0000-0000EF2E0000}"/>
    <cellStyle name="표준 23 3 5 3 5 3" xfId="12046" xr:uid="{00000000-0005-0000-0000-0000F02E0000}"/>
    <cellStyle name="표준 23 3 5 3 5 3 2" xfId="12047" xr:uid="{00000000-0005-0000-0000-0000F12E0000}"/>
    <cellStyle name="표준 23 3 5 3 5 4" xfId="12048" xr:uid="{00000000-0005-0000-0000-0000F22E0000}"/>
    <cellStyle name="표준 23 3 5 3 6" xfId="12049" xr:uid="{00000000-0005-0000-0000-0000F32E0000}"/>
    <cellStyle name="표준 23 3 5 3 6 2" xfId="12050" xr:uid="{00000000-0005-0000-0000-0000F42E0000}"/>
    <cellStyle name="표준 23 3 5 3 6 2 2" xfId="12051" xr:uid="{00000000-0005-0000-0000-0000F52E0000}"/>
    <cellStyle name="표준 23 3 5 3 6 3" xfId="12052" xr:uid="{00000000-0005-0000-0000-0000F62E0000}"/>
    <cellStyle name="표준 23 3 5 3 7" xfId="12053" xr:uid="{00000000-0005-0000-0000-0000F72E0000}"/>
    <cellStyle name="표준 23 3 5 3 7 2" xfId="12054" xr:uid="{00000000-0005-0000-0000-0000F82E0000}"/>
    <cellStyle name="표준 23 3 5 3 8" xfId="12055" xr:uid="{00000000-0005-0000-0000-0000F92E0000}"/>
    <cellStyle name="표준 23 3 5 3 9" xfId="12056" xr:uid="{00000000-0005-0000-0000-0000FA2E0000}"/>
    <cellStyle name="표준 23 3 5 4" xfId="12057" xr:uid="{00000000-0005-0000-0000-0000FB2E0000}"/>
    <cellStyle name="표준 23 3 5 4 2" xfId="12058" xr:uid="{00000000-0005-0000-0000-0000FC2E0000}"/>
    <cellStyle name="표준 23 3 5 4 2 2" xfId="12059" xr:uid="{00000000-0005-0000-0000-0000FD2E0000}"/>
    <cellStyle name="표준 23 3 5 4 2 2 2" xfId="12060" xr:uid="{00000000-0005-0000-0000-0000FE2E0000}"/>
    <cellStyle name="표준 23 3 5 4 2 2 2 2" xfId="12061" xr:uid="{00000000-0005-0000-0000-0000FF2E0000}"/>
    <cellStyle name="표준 23 3 5 4 2 2 2 2 2" xfId="12062" xr:uid="{00000000-0005-0000-0000-0000002F0000}"/>
    <cellStyle name="표준 23 3 5 4 2 2 2 2 2 2" xfId="12063" xr:uid="{00000000-0005-0000-0000-0000012F0000}"/>
    <cellStyle name="표준 23 3 5 4 2 2 2 2 3" xfId="12064" xr:uid="{00000000-0005-0000-0000-0000022F0000}"/>
    <cellStyle name="표준 23 3 5 4 2 2 2 3" xfId="12065" xr:uid="{00000000-0005-0000-0000-0000032F0000}"/>
    <cellStyle name="표준 23 3 5 4 2 2 2 3 2" xfId="12066" xr:uid="{00000000-0005-0000-0000-0000042F0000}"/>
    <cellStyle name="표준 23 3 5 4 2 2 2 4" xfId="12067" xr:uid="{00000000-0005-0000-0000-0000052F0000}"/>
    <cellStyle name="표준 23 3 5 4 2 2 3" xfId="12068" xr:uid="{00000000-0005-0000-0000-0000062F0000}"/>
    <cellStyle name="표준 23 3 5 4 2 2 3 2" xfId="12069" xr:uid="{00000000-0005-0000-0000-0000072F0000}"/>
    <cellStyle name="표준 23 3 5 4 2 2 3 2 2" xfId="12070" xr:uid="{00000000-0005-0000-0000-0000082F0000}"/>
    <cellStyle name="표준 23 3 5 4 2 2 3 3" xfId="12071" xr:uid="{00000000-0005-0000-0000-0000092F0000}"/>
    <cellStyle name="표준 23 3 5 4 2 2 4" xfId="12072" xr:uid="{00000000-0005-0000-0000-00000A2F0000}"/>
    <cellStyle name="표준 23 3 5 4 2 2 4 2" xfId="12073" xr:uid="{00000000-0005-0000-0000-00000B2F0000}"/>
    <cellStyle name="표준 23 3 5 4 2 2 5" xfId="12074" xr:uid="{00000000-0005-0000-0000-00000C2F0000}"/>
    <cellStyle name="표준 23 3 5 4 2 3" xfId="12075" xr:uid="{00000000-0005-0000-0000-00000D2F0000}"/>
    <cellStyle name="표준 23 3 5 4 2 3 2" xfId="12076" xr:uid="{00000000-0005-0000-0000-00000E2F0000}"/>
    <cellStyle name="표준 23 3 5 4 2 3 2 2" xfId="12077" xr:uid="{00000000-0005-0000-0000-00000F2F0000}"/>
    <cellStyle name="표준 23 3 5 4 2 3 2 2 2" xfId="12078" xr:uid="{00000000-0005-0000-0000-0000102F0000}"/>
    <cellStyle name="표준 23 3 5 4 2 3 2 3" xfId="12079" xr:uid="{00000000-0005-0000-0000-0000112F0000}"/>
    <cellStyle name="표준 23 3 5 4 2 3 3" xfId="12080" xr:uid="{00000000-0005-0000-0000-0000122F0000}"/>
    <cellStyle name="표준 23 3 5 4 2 3 3 2" xfId="12081" xr:uid="{00000000-0005-0000-0000-0000132F0000}"/>
    <cellStyle name="표준 23 3 5 4 2 3 4" xfId="12082" xr:uid="{00000000-0005-0000-0000-0000142F0000}"/>
    <cellStyle name="표준 23 3 5 4 2 4" xfId="12083" xr:uid="{00000000-0005-0000-0000-0000152F0000}"/>
    <cellStyle name="표준 23 3 5 4 2 4 2" xfId="12084" xr:uid="{00000000-0005-0000-0000-0000162F0000}"/>
    <cellStyle name="표준 23 3 5 4 2 4 2 2" xfId="12085" xr:uid="{00000000-0005-0000-0000-0000172F0000}"/>
    <cellStyle name="표준 23 3 5 4 2 4 3" xfId="12086" xr:uid="{00000000-0005-0000-0000-0000182F0000}"/>
    <cellStyle name="표준 23 3 5 4 2 5" xfId="12087" xr:uid="{00000000-0005-0000-0000-0000192F0000}"/>
    <cellStyle name="표준 23 3 5 4 2 5 2" xfId="12088" xr:uid="{00000000-0005-0000-0000-00001A2F0000}"/>
    <cellStyle name="표준 23 3 5 4 2 6" xfId="12089" xr:uid="{00000000-0005-0000-0000-00001B2F0000}"/>
    <cellStyle name="표준 23 3 5 4 3" xfId="12090" xr:uid="{00000000-0005-0000-0000-00001C2F0000}"/>
    <cellStyle name="표준 23 3 5 4 3 2" xfId="12091" xr:uid="{00000000-0005-0000-0000-00001D2F0000}"/>
    <cellStyle name="표준 23 3 5 4 3 2 2" xfId="12092" xr:uid="{00000000-0005-0000-0000-00001E2F0000}"/>
    <cellStyle name="표준 23 3 5 4 3 2 2 2" xfId="12093" xr:uid="{00000000-0005-0000-0000-00001F2F0000}"/>
    <cellStyle name="표준 23 3 5 4 3 2 2 2 2" xfId="12094" xr:uid="{00000000-0005-0000-0000-0000202F0000}"/>
    <cellStyle name="표준 23 3 5 4 3 2 2 3" xfId="12095" xr:uid="{00000000-0005-0000-0000-0000212F0000}"/>
    <cellStyle name="표준 23 3 5 4 3 2 3" xfId="12096" xr:uid="{00000000-0005-0000-0000-0000222F0000}"/>
    <cellStyle name="표준 23 3 5 4 3 2 3 2" xfId="12097" xr:uid="{00000000-0005-0000-0000-0000232F0000}"/>
    <cellStyle name="표준 23 3 5 4 3 2 4" xfId="12098" xr:uid="{00000000-0005-0000-0000-0000242F0000}"/>
    <cellStyle name="표준 23 3 5 4 3 3" xfId="12099" xr:uid="{00000000-0005-0000-0000-0000252F0000}"/>
    <cellStyle name="표준 23 3 5 4 3 3 2" xfId="12100" xr:uid="{00000000-0005-0000-0000-0000262F0000}"/>
    <cellStyle name="표준 23 3 5 4 3 3 2 2" xfId="12101" xr:uid="{00000000-0005-0000-0000-0000272F0000}"/>
    <cellStyle name="표준 23 3 5 4 3 3 3" xfId="12102" xr:uid="{00000000-0005-0000-0000-0000282F0000}"/>
    <cellStyle name="표준 23 3 5 4 3 4" xfId="12103" xr:uid="{00000000-0005-0000-0000-0000292F0000}"/>
    <cellStyle name="표준 23 3 5 4 3 4 2" xfId="12104" xr:uid="{00000000-0005-0000-0000-00002A2F0000}"/>
    <cellStyle name="표준 23 3 5 4 3 5" xfId="12105" xr:uid="{00000000-0005-0000-0000-00002B2F0000}"/>
    <cellStyle name="표준 23 3 5 4 4" xfId="12106" xr:uid="{00000000-0005-0000-0000-00002C2F0000}"/>
    <cellStyle name="표준 23 3 5 4 4 2" xfId="12107" xr:uid="{00000000-0005-0000-0000-00002D2F0000}"/>
    <cellStyle name="표준 23 3 5 4 4 2 2" xfId="12108" xr:uid="{00000000-0005-0000-0000-00002E2F0000}"/>
    <cellStyle name="표준 23 3 5 4 4 2 2 2" xfId="12109" xr:uid="{00000000-0005-0000-0000-00002F2F0000}"/>
    <cellStyle name="표준 23 3 5 4 4 2 3" xfId="12110" xr:uid="{00000000-0005-0000-0000-0000302F0000}"/>
    <cellStyle name="표준 23 3 5 4 4 3" xfId="12111" xr:uid="{00000000-0005-0000-0000-0000312F0000}"/>
    <cellStyle name="표준 23 3 5 4 4 3 2" xfId="12112" xr:uid="{00000000-0005-0000-0000-0000322F0000}"/>
    <cellStyle name="표준 23 3 5 4 4 4" xfId="12113" xr:uid="{00000000-0005-0000-0000-0000332F0000}"/>
    <cellStyle name="표준 23 3 5 4 5" xfId="12114" xr:uid="{00000000-0005-0000-0000-0000342F0000}"/>
    <cellStyle name="표준 23 3 5 4 5 2" xfId="12115" xr:uid="{00000000-0005-0000-0000-0000352F0000}"/>
    <cellStyle name="표준 23 3 5 4 5 2 2" xfId="12116" xr:uid="{00000000-0005-0000-0000-0000362F0000}"/>
    <cellStyle name="표준 23 3 5 4 5 3" xfId="12117" xr:uid="{00000000-0005-0000-0000-0000372F0000}"/>
    <cellStyle name="표준 23 3 5 4 6" xfId="12118" xr:uid="{00000000-0005-0000-0000-0000382F0000}"/>
    <cellStyle name="표준 23 3 5 4 6 2" xfId="12119" xr:uid="{00000000-0005-0000-0000-0000392F0000}"/>
    <cellStyle name="표준 23 3 5 4 7" xfId="12120" xr:uid="{00000000-0005-0000-0000-00003A2F0000}"/>
    <cellStyle name="표준 23 3 5 4 8" xfId="12121" xr:uid="{00000000-0005-0000-0000-00003B2F0000}"/>
    <cellStyle name="표준 23 3 5 5" xfId="12122" xr:uid="{00000000-0005-0000-0000-00003C2F0000}"/>
    <cellStyle name="표준 23 3 5 5 2" xfId="12123" xr:uid="{00000000-0005-0000-0000-00003D2F0000}"/>
    <cellStyle name="표준 23 3 5 5 2 2" xfId="12124" xr:uid="{00000000-0005-0000-0000-00003E2F0000}"/>
    <cellStyle name="표준 23 3 5 5 2 2 2" xfId="12125" xr:uid="{00000000-0005-0000-0000-00003F2F0000}"/>
    <cellStyle name="표준 23 3 5 5 2 2 2 2" xfId="12126" xr:uid="{00000000-0005-0000-0000-0000402F0000}"/>
    <cellStyle name="표준 23 3 5 5 2 2 2 2 2" xfId="12127" xr:uid="{00000000-0005-0000-0000-0000412F0000}"/>
    <cellStyle name="표준 23 3 5 5 2 2 2 3" xfId="12128" xr:uid="{00000000-0005-0000-0000-0000422F0000}"/>
    <cellStyle name="표준 23 3 5 5 2 2 3" xfId="12129" xr:uid="{00000000-0005-0000-0000-0000432F0000}"/>
    <cellStyle name="표준 23 3 5 5 2 2 3 2" xfId="12130" xr:uid="{00000000-0005-0000-0000-0000442F0000}"/>
    <cellStyle name="표준 23 3 5 5 2 2 4" xfId="12131" xr:uid="{00000000-0005-0000-0000-0000452F0000}"/>
    <cellStyle name="표준 23 3 5 5 2 3" xfId="12132" xr:uid="{00000000-0005-0000-0000-0000462F0000}"/>
    <cellStyle name="표준 23 3 5 5 2 3 2" xfId="12133" xr:uid="{00000000-0005-0000-0000-0000472F0000}"/>
    <cellStyle name="표준 23 3 5 5 2 3 2 2" xfId="12134" xr:uid="{00000000-0005-0000-0000-0000482F0000}"/>
    <cellStyle name="표준 23 3 5 5 2 3 3" xfId="12135" xr:uid="{00000000-0005-0000-0000-0000492F0000}"/>
    <cellStyle name="표준 23 3 5 5 2 4" xfId="12136" xr:uid="{00000000-0005-0000-0000-00004A2F0000}"/>
    <cellStyle name="표준 23 3 5 5 2 4 2" xfId="12137" xr:uid="{00000000-0005-0000-0000-00004B2F0000}"/>
    <cellStyle name="표준 23 3 5 5 2 5" xfId="12138" xr:uid="{00000000-0005-0000-0000-00004C2F0000}"/>
    <cellStyle name="표준 23 3 5 5 3" xfId="12139" xr:uid="{00000000-0005-0000-0000-00004D2F0000}"/>
    <cellStyle name="표준 23 3 5 5 3 2" xfId="12140" xr:uid="{00000000-0005-0000-0000-00004E2F0000}"/>
    <cellStyle name="표준 23 3 5 5 3 2 2" xfId="12141" xr:uid="{00000000-0005-0000-0000-00004F2F0000}"/>
    <cellStyle name="표준 23 3 5 5 3 2 2 2" xfId="12142" xr:uid="{00000000-0005-0000-0000-0000502F0000}"/>
    <cellStyle name="표준 23 3 5 5 3 2 3" xfId="12143" xr:uid="{00000000-0005-0000-0000-0000512F0000}"/>
    <cellStyle name="표준 23 3 5 5 3 3" xfId="12144" xr:uid="{00000000-0005-0000-0000-0000522F0000}"/>
    <cellStyle name="표준 23 3 5 5 3 3 2" xfId="12145" xr:uid="{00000000-0005-0000-0000-0000532F0000}"/>
    <cellStyle name="표준 23 3 5 5 3 4" xfId="12146" xr:uid="{00000000-0005-0000-0000-0000542F0000}"/>
    <cellStyle name="표준 23 3 5 5 4" xfId="12147" xr:uid="{00000000-0005-0000-0000-0000552F0000}"/>
    <cellStyle name="표준 23 3 5 5 4 2" xfId="12148" xr:uid="{00000000-0005-0000-0000-0000562F0000}"/>
    <cellStyle name="표준 23 3 5 5 4 2 2" xfId="12149" xr:uid="{00000000-0005-0000-0000-0000572F0000}"/>
    <cellStyle name="표준 23 3 5 5 4 3" xfId="12150" xr:uid="{00000000-0005-0000-0000-0000582F0000}"/>
    <cellStyle name="표준 23 3 5 5 5" xfId="12151" xr:uid="{00000000-0005-0000-0000-0000592F0000}"/>
    <cellStyle name="표준 23 3 5 5 5 2" xfId="12152" xr:uid="{00000000-0005-0000-0000-00005A2F0000}"/>
    <cellStyle name="표준 23 3 5 5 6" xfId="12153" xr:uid="{00000000-0005-0000-0000-00005B2F0000}"/>
    <cellStyle name="표준 23 3 5 6" xfId="12154" xr:uid="{00000000-0005-0000-0000-00005C2F0000}"/>
    <cellStyle name="표준 23 3 5 6 2" xfId="12155" xr:uid="{00000000-0005-0000-0000-00005D2F0000}"/>
    <cellStyle name="표준 23 3 5 6 2 2" xfId="12156" xr:uid="{00000000-0005-0000-0000-00005E2F0000}"/>
    <cellStyle name="표준 23 3 5 6 2 2 2" xfId="12157" xr:uid="{00000000-0005-0000-0000-00005F2F0000}"/>
    <cellStyle name="표준 23 3 5 6 2 2 2 2" xfId="12158" xr:uid="{00000000-0005-0000-0000-0000602F0000}"/>
    <cellStyle name="표준 23 3 5 6 2 2 3" xfId="12159" xr:uid="{00000000-0005-0000-0000-0000612F0000}"/>
    <cellStyle name="표준 23 3 5 6 2 3" xfId="12160" xr:uid="{00000000-0005-0000-0000-0000622F0000}"/>
    <cellStyle name="표준 23 3 5 6 2 3 2" xfId="12161" xr:uid="{00000000-0005-0000-0000-0000632F0000}"/>
    <cellStyle name="표준 23 3 5 6 2 4" xfId="12162" xr:uid="{00000000-0005-0000-0000-0000642F0000}"/>
    <cellStyle name="표준 23 3 5 6 3" xfId="12163" xr:uid="{00000000-0005-0000-0000-0000652F0000}"/>
    <cellStyle name="표준 23 3 5 6 3 2" xfId="12164" xr:uid="{00000000-0005-0000-0000-0000662F0000}"/>
    <cellStyle name="표준 23 3 5 6 3 2 2" xfId="12165" xr:uid="{00000000-0005-0000-0000-0000672F0000}"/>
    <cellStyle name="표준 23 3 5 6 3 3" xfId="12166" xr:uid="{00000000-0005-0000-0000-0000682F0000}"/>
    <cellStyle name="표준 23 3 5 6 4" xfId="12167" xr:uid="{00000000-0005-0000-0000-0000692F0000}"/>
    <cellStyle name="표준 23 3 5 6 4 2" xfId="12168" xr:uid="{00000000-0005-0000-0000-00006A2F0000}"/>
    <cellStyle name="표준 23 3 5 6 5" xfId="12169" xr:uid="{00000000-0005-0000-0000-00006B2F0000}"/>
    <cellStyle name="표준 23 3 5 7" xfId="12170" xr:uid="{00000000-0005-0000-0000-00006C2F0000}"/>
    <cellStyle name="표준 23 3 5 7 2" xfId="12171" xr:uid="{00000000-0005-0000-0000-00006D2F0000}"/>
    <cellStyle name="표준 23 3 5 7 2 2" xfId="12172" xr:uid="{00000000-0005-0000-0000-00006E2F0000}"/>
    <cellStyle name="표준 23 3 5 7 2 2 2" xfId="12173" xr:uid="{00000000-0005-0000-0000-00006F2F0000}"/>
    <cellStyle name="표준 23 3 5 7 2 3" xfId="12174" xr:uid="{00000000-0005-0000-0000-0000702F0000}"/>
    <cellStyle name="표준 23 3 5 7 3" xfId="12175" xr:uid="{00000000-0005-0000-0000-0000712F0000}"/>
    <cellStyle name="표준 23 3 5 7 3 2" xfId="12176" xr:uid="{00000000-0005-0000-0000-0000722F0000}"/>
    <cellStyle name="표준 23 3 5 7 4" xfId="12177" xr:uid="{00000000-0005-0000-0000-0000732F0000}"/>
    <cellStyle name="표준 23 3 5 8" xfId="12178" xr:uid="{00000000-0005-0000-0000-0000742F0000}"/>
    <cellStyle name="표준 23 3 5 8 2" xfId="12179" xr:uid="{00000000-0005-0000-0000-0000752F0000}"/>
    <cellStyle name="표준 23 3 5 8 2 2" xfId="12180" xr:uid="{00000000-0005-0000-0000-0000762F0000}"/>
    <cellStyle name="표준 23 3 5 8 3" xfId="12181" xr:uid="{00000000-0005-0000-0000-0000772F0000}"/>
    <cellStyle name="표준 23 3 5 9" xfId="12182" xr:uid="{00000000-0005-0000-0000-0000782F0000}"/>
    <cellStyle name="표준 23 3 5 9 2" xfId="12183" xr:uid="{00000000-0005-0000-0000-0000792F0000}"/>
    <cellStyle name="표준 23 3 6" xfId="12184" xr:uid="{00000000-0005-0000-0000-00007A2F0000}"/>
    <cellStyle name="표준 23 3 6 10" xfId="12185" xr:uid="{00000000-0005-0000-0000-00007B2F0000}"/>
    <cellStyle name="표준 23 3 6 11" xfId="12186" xr:uid="{00000000-0005-0000-0000-00007C2F0000}"/>
    <cellStyle name="표준 23 3 6 2" xfId="12187" xr:uid="{00000000-0005-0000-0000-00007D2F0000}"/>
    <cellStyle name="표준 23 3 6 2 10" xfId="12188" xr:uid="{00000000-0005-0000-0000-00007E2F0000}"/>
    <cellStyle name="표준 23 3 6 2 2" xfId="12189" xr:uid="{00000000-0005-0000-0000-00007F2F0000}"/>
    <cellStyle name="표준 23 3 6 2 2 2" xfId="12190" xr:uid="{00000000-0005-0000-0000-0000802F0000}"/>
    <cellStyle name="표준 23 3 6 2 2 2 2" xfId="12191" xr:uid="{00000000-0005-0000-0000-0000812F0000}"/>
    <cellStyle name="표준 23 3 6 2 2 2 2 2" xfId="12192" xr:uid="{00000000-0005-0000-0000-0000822F0000}"/>
    <cellStyle name="표준 23 3 6 2 2 2 2 2 2" xfId="12193" xr:uid="{00000000-0005-0000-0000-0000832F0000}"/>
    <cellStyle name="표준 23 3 6 2 2 2 2 2 2 2" xfId="12194" xr:uid="{00000000-0005-0000-0000-0000842F0000}"/>
    <cellStyle name="표준 23 3 6 2 2 2 2 2 2 2 2" xfId="12195" xr:uid="{00000000-0005-0000-0000-0000852F0000}"/>
    <cellStyle name="표준 23 3 6 2 2 2 2 2 2 2 2 2" xfId="12196" xr:uid="{00000000-0005-0000-0000-0000862F0000}"/>
    <cellStyle name="표준 23 3 6 2 2 2 2 2 2 2 3" xfId="12197" xr:uid="{00000000-0005-0000-0000-0000872F0000}"/>
    <cellStyle name="표준 23 3 6 2 2 2 2 2 2 3" xfId="12198" xr:uid="{00000000-0005-0000-0000-0000882F0000}"/>
    <cellStyle name="표준 23 3 6 2 2 2 2 2 2 3 2" xfId="12199" xr:uid="{00000000-0005-0000-0000-0000892F0000}"/>
    <cellStyle name="표준 23 3 6 2 2 2 2 2 2 4" xfId="12200" xr:uid="{00000000-0005-0000-0000-00008A2F0000}"/>
    <cellStyle name="표준 23 3 6 2 2 2 2 2 3" xfId="12201" xr:uid="{00000000-0005-0000-0000-00008B2F0000}"/>
    <cellStyle name="표준 23 3 6 2 2 2 2 2 3 2" xfId="12202" xr:uid="{00000000-0005-0000-0000-00008C2F0000}"/>
    <cellStyle name="표준 23 3 6 2 2 2 2 2 3 2 2" xfId="12203" xr:uid="{00000000-0005-0000-0000-00008D2F0000}"/>
    <cellStyle name="표준 23 3 6 2 2 2 2 2 3 3" xfId="12204" xr:uid="{00000000-0005-0000-0000-00008E2F0000}"/>
    <cellStyle name="표준 23 3 6 2 2 2 2 2 4" xfId="12205" xr:uid="{00000000-0005-0000-0000-00008F2F0000}"/>
    <cellStyle name="표준 23 3 6 2 2 2 2 2 4 2" xfId="12206" xr:uid="{00000000-0005-0000-0000-0000902F0000}"/>
    <cellStyle name="표준 23 3 6 2 2 2 2 2 5" xfId="12207" xr:uid="{00000000-0005-0000-0000-0000912F0000}"/>
    <cellStyle name="표준 23 3 6 2 2 2 2 3" xfId="12208" xr:uid="{00000000-0005-0000-0000-0000922F0000}"/>
    <cellStyle name="표준 23 3 6 2 2 2 2 3 2" xfId="12209" xr:uid="{00000000-0005-0000-0000-0000932F0000}"/>
    <cellStyle name="표준 23 3 6 2 2 2 2 3 2 2" xfId="12210" xr:uid="{00000000-0005-0000-0000-0000942F0000}"/>
    <cellStyle name="표준 23 3 6 2 2 2 2 3 2 2 2" xfId="12211" xr:uid="{00000000-0005-0000-0000-0000952F0000}"/>
    <cellStyle name="표준 23 3 6 2 2 2 2 3 2 3" xfId="12212" xr:uid="{00000000-0005-0000-0000-0000962F0000}"/>
    <cellStyle name="표준 23 3 6 2 2 2 2 3 3" xfId="12213" xr:uid="{00000000-0005-0000-0000-0000972F0000}"/>
    <cellStyle name="표준 23 3 6 2 2 2 2 3 3 2" xfId="12214" xr:uid="{00000000-0005-0000-0000-0000982F0000}"/>
    <cellStyle name="표준 23 3 6 2 2 2 2 3 4" xfId="12215" xr:uid="{00000000-0005-0000-0000-0000992F0000}"/>
    <cellStyle name="표준 23 3 6 2 2 2 2 4" xfId="12216" xr:uid="{00000000-0005-0000-0000-00009A2F0000}"/>
    <cellStyle name="표준 23 3 6 2 2 2 2 4 2" xfId="12217" xr:uid="{00000000-0005-0000-0000-00009B2F0000}"/>
    <cellStyle name="표준 23 3 6 2 2 2 2 4 2 2" xfId="12218" xr:uid="{00000000-0005-0000-0000-00009C2F0000}"/>
    <cellStyle name="표준 23 3 6 2 2 2 2 4 3" xfId="12219" xr:uid="{00000000-0005-0000-0000-00009D2F0000}"/>
    <cellStyle name="표준 23 3 6 2 2 2 2 5" xfId="12220" xr:uid="{00000000-0005-0000-0000-00009E2F0000}"/>
    <cellStyle name="표준 23 3 6 2 2 2 2 5 2" xfId="12221" xr:uid="{00000000-0005-0000-0000-00009F2F0000}"/>
    <cellStyle name="표준 23 3 6 2 2 2 2 6" xfId="12222" xr:uid="{00000000-0005-0000-0000-0000A02F0000}"/>
    <cellStyle name="표준 23 3 6 2 2 2 3" xfId="12223" xr:uid="{00000000-0005-0000-0000-0000A12F0000}"/>
    <cellStyle name="표준 23 3 6 2 2 2 3 2" xfId="12224" xr:uid="{00000000-0005-0000-0000-0000A22F0000}"/>
    <cellStyle name="표준 23 3 6 2 2 2 3 2 2" xfId="12225" xr:uid="{00000000-0005-0000-0000-0000A32F0000}"/>
    <cellStyle name="표준 23 3 6 2 2 2 3 2 2 2" xfId="12226" xr:uid="{00000000-0005-0000-0000-0000A42F0000}"/>
    <cellStyle name="표준 23 3 6 2 2 2 3 2 2 2 2" xfId="12227" xr:uid="{00000000-0005-0000-0000-0000A52F0000}"/>
    <cellStyle name="표준 23 3 6 2 2 2 3 2 2 3" xfId="12228" xr:uid="{00000000-0005-0000-0000-0000A62F0000}"/>
    <cellStyle name="표준 23 3 6 2 2 2 3 2 3" xfId="12229" xr:uid="{00000000-0005-0000-0000-0000A72F0000}"/>
    <cellStyle name="표준 23 3 6 2 2 2 3 2 3 2" xfId="12230" xr:uid="{00000000-0005-0000-0000-0000A82F0000}"/>
    <cellStyle name="표준 23 3 6 2 2 2 3 2 4" xfId="12231" xr:uid="{00000000-0005-0000-0000-0000A92F0000}"/>
    <cellStyle name="표준 23 3 6 2 2 2 3 3" xfId="12232" xr:uid="{00000000-0005-0000-0000-0000AA2F0000}"/>
    <cellStyle name="표준 23 3 6 2 2 2 3 3 2" xfId="12233" xr:uid="{00000000-0005-0000-0000-0000AB2F0000}"/>
    <cellStyle name="표준 23 3 6 2 2 2 3 3 2 2" xfId="12234" xr:uid="{00000000-0005-0000-0000-0000AC2F0000}"/>
    <cellStyle name="표준 23 3 6 2 2 2 3 3 3" xfId="12235" xr:uid="{00000000-0005-0000-0000-0000AD2F0000}"/>
    <cellStyle name="표준 23 3 6 2 2 2 3 4" xfId="12236" xr:uid="{00000000-0005-0000-0000-0000AE2F0000}"/>
    <cellStyle name="표준 23 3 6 2 2 2 3 4 2" xfId="12237" xr:uid="{00000000-0005-0000-0000-0000AF2F0000}"/>
    <cellStyle name="표준 23 3 6 2 2 2 3 5" xfId="12238" xr:uid="{00000000-0005-0000-0000-0000B02F0000}"/>
    <cellStyle name="표준 23 3 6 2 2 2 4" xfId="12239" xr:uid="{00000000-0005-0000-0000-0000B12F0000}"/>
    <cellStyle name="표준 23 3 6 2 2 2 4 2" xfId="12240" xr:uid="{00000000-0005-0000-0000-0000B22F0000}"/>
    <cellStyle name="표준 23 3 6 2 2 2 4 2 2" xfId="12241" xr:uid="{00000000-0005-0000-0000-0000B32F0000}"/>
    <cellStyle name="표준 23 3 6 2 2 2 4 2 2 2" xfId="12242" xr:uid="{00000000-0005-0000-0000-0000B42F0000}"/>
    <cellStyle name="표준 23 3 6 2 2 2 4 2 3" xfId="12243" xr:uid="{00000000-0005-0000-0000-0000B52F0000}"/>
    <cellStyle name="표준 23 3 6 2 2 2 4 3" xfId="12244" xr:uid="{00000000-0005-0000-0000-0000B62F0000}"/>
    <cellStyle name="표준 23 3 6 2 2 2 4 3 2" xfId="12245" xr:uid="{00000000-0005-0000-0000-0000B72F0000}"/>
    <cellStyle name="표준 23 3 6 2 2 2 4 4" xfId="12246" xr:uid="{00000000-0005-0000-0000-0000B82F0000}"/>
    <cellStyle name="표준 23 3 6 2 2 2 5" xfId="12247" xr:uid="{00000000-0005-0000-0000-0000B92F0000}"/>
    <cellStyle name="표준 23 3 6 2 2 2 5 2" xfId="12248" xr:uid="{00000000-0005-0000-0000-0000BA2F0000}"/>
    <cellStyle name="표준 23 3 6 2 2 2 5 2 2" xfId="12249" xr:uid="{00000000-0005-0000-0000-0000BB2F0000}"/>
    <cellStyle name="표준 23 3 6 2 2 2 5 3" xfId="12250" xr:uid="{00000000-0005-0000-0000-0000BC2F0000}"/>
    <cellStyle name="표준 23 3 6 2 2 2 6" xfId="12251" xr:uid="{00000000-0005-0000-0000-0000BD2F0000}"/>
    <cellStyle name="표준 23 3 6 2 2 2 6 2" xfId="12252" xr:uid="{00000000-0005-0000-0000-0000BE2F0000}"/>
    <cellStyle name="표준 23 3 6 2 2 2 7" xfId="12253" xr:uid="{00000000-0005-0000-0000-0000BF2F0000}"/>
    <cellStyle name="표준 23 3 6 2 2 2 8" xfId="12254" xr:uid="{00000000-0005-0000-0000-0000C02F0000}"/>
    <cellStyle name="표준 23 3 6 2 2 3" xfId="12255" xr:uid="{00000000-0005-0000-0000-0000C12F0000}"/>
    <cellStyle name="표준 23 3 6 2 2 3 2" xfId="12256" xr:uid="{00000000-0005-0000-0000-0000C22F0000}"/>
    <cellStyle name="표준 23 3 6 2 2 3 2 2" xfId="12257" xr:uid="{00000000-0005-0000-0000-0000C32F0000}"/>
    <cellStyle name="표준 23 3 6 2 2 3 2 2 2" xfId="12258" xr:uid="{00000000-0005-0000-0000-0000C42F0000}"/>
    <cellStyle name="표준 23 3 6 2 2 3 2 2 2 2" xfId="12259" xr:uid="{00000000-0005-0000-0000-0000C52F0000}"/>
    <cellStyle name="표준 23 3 6 2 2 3 2 2 2 2 2" xfId="12260" xr:uid="{00000000-0005-0000-0000-0000C62F0000}"/>
    <cellStyle name="표준 23 3 6 2 2 3 2 2 2 3" xfId="12261" xr:uid="{00000000-0005-0000-0000-0000C72F0000}"/>
    <cellStyle name="표준 23 3 6 2 2 3 2 2 3" xfId="12262" xr:uid="{00000000-0005-0000-0000-0000C82F0000}"/>
    <cellStyle name="표준 23 3 6 2 2 3 2 2 3 2" xfId="12263" xr:uid="{00000000-0005-0000-0000-0000C92F0000}"/>
    <cellStyle name="표준 23 3 6 2 2 3 2 2 4" xfId="12264" xr:uid="{00000000-0005-0000-0000-0000CA2F0000}"/>
    <cellStyle name="표준 23 3 6 2 2 3 2 3" xfId="12265" xr:uid="{00000000-0005-0000-0000-0000CB2F0000}"/>
    <cellStyle name="표준 23 3 6 2 2 3 2 3 2" xfId="12266" xr:uid="{00000000-0005-0000-0000-0000CC2F0000}"/>
    <cellStyle name="표준 23 3 6 2 2 3 2 3 2 2" xfId="12267" xr:uid="{00000000-0005-0000-0000-0000CD2F0000}"/>
    <cellStyle name="표준 23 3 6 2 2 3 2 3 3" xfId="12268" xr:uid="{00000000-0005-0000-0000-0000CE2F0000}"/>
    <cellStyle name="표준 23 3 6 2 2 3 2 4" xfId="12269" xr:uid="{00000000-0005-0000-0000-0000CF2F0000}"/>
    <cellStyle name="표준 23 3 6 2 2 3 2 4 2" xfId="12270" xr:uid="{00000000-0005-0000-0000-0000D02F0000}"/>
    <cellStyle name="표준 23 3 6 2 2 3 2 5" xfId="12271" xr:uid="{00000000-0005-0000-0000-0000D12F0000}"/>
    <cellStyle name="표준 23 3 6 2 2 3 3" xfId="12272" xr:uid="{00000000-0005-0000-0000-0000D22F0000}"/>
    <cellStyle name="표준 23 3 6 2 2 3 3 2" xfId="12273" xr:uid="{00000000-0005-0000-0000-0000D32F0000}"/>
    <cellStyle name="표준 23 3 6 2 2 3 3 2 2" xfId="12274" xr:uid="{00000000-0005-0000-0000-0000D42F0000}"/>
    <cellStyle name="표준 23 3 6 2 2 3 3 2 2 2" xfId="12275" xr:uid="{00000000-0005-0000-0000-0000D52F0000}"/>
    <cellStyle name="표준 23 3 6 2 2 3 3 2 3" xfId="12276" xr:uid="{00000000-0005-0000-0000-0000D62F0000}"/>
    <cellStyle name="표준 23 3 6 2 2 3 3 3" xfId="12277" xr:uid="{00000000-0005-0000-0000-0000D72F0000}"/>
    <cellStyle name="표준 23 3 6 2 2 3 3 3 2" xfId="12278" xr:uid="{00000000-0005-0000-0000-0000D82F0000}"/>
    <cellStyle name="표준 23 3 6 2 2 3 3 4" xfId="12279" xr:uid="{00000000-0005-0000-0000-0000D92F0000}"/>
    <cellStyle name="표준 23 3 6 2 2 3 4" xfId="12280" xr:uid="{00000000-0005-0000-0000-0000DA2F0000}"/>
    <cellStyle name="표준 23 3 6 2 2 3 4 2" xfId="12281" xr:uid="{00000000-0005-0000-0000-0000DB2F0000}"/>
    <cellStyle name="표준 23 3 6 2 2 3 4 2 2" xfId="12282" xr:uid="{00000000-0005-0000-0000-0000DC2F0000}"/>
    <cellStyle name="표준 23 3 6 2 2 3 4 3" xfId="12283" xr:uid="{00000000-0005-0000-0000-0000DD2F0000}"/>
    <cellStyle name="표준 23 3 6 2 2 3 5" xfId="12284" xr:uid="{00000000-0005-0000-0000-0000DE2F0000}"/>
    <cellStyle name="표준 23 3 6 2 2 3 5 2" xfId="12285" xr:uid="{00000000-0005-0000-0000-0000DF2F0000}"/>
    <cellStyle name="표준 23 3 6 2 2 3 6" xfId="12286" xr:uid="{00000000-0005-0000-0000-0000E02F0000}"/>
    <cellStyle name="표준 23 3 6 2 2 4" xfId="12287" xr:uid="{00000000-0005-0000-0000-0000E12F0000}"/>
    <cellStyle name="표준 23 3 6 2 2 4 2" xfId="12288" xr:uid="{00000000-0005-0000-0000-0000E22F0000}"/>
    <cellStyle name="표준 23 3 6 2 2 4 2 2" xfId="12289" xr:uid="{00000000-0005-0000-0000-0000E32F0000}"/>
    <cellStyle name="표준 23 3 6 2 2 4 2 2 2" xfId="12290" xr:uid="{00000000-0005-0000-0000-0000E42F0000}"/>
    <cellStyle name="표준 23 3 6 2 2 4 2 2 2 2" xfId="12291" xr:uid="{00000000-0005-0000-0000-0000E52F0000}"/>
    <cellStyle name="표준 23 3 6 2 2 4 2 2 3" xfId="12292" xr:uid="{00000000-0005-0000-0000-0000E62F0000}"/>
    <cellStyle name="표준 23 3 6 2 2 4 2 3" xfId="12293" xr:uid="{00000000-0005-0000-0000-0000E72F0000}"/>
    <cellStyle name="표준 23 3 6 2 2 4 2 3 2" xfId="12294" xr:uid="{00000000-0005-0000-0000-0000E82F0000}"/>
    <cellStyle name="표준 23 3 6 2 2 4 2 4" xfId="12295" xr:uid="{00000000-0005-0000-0000-0000E92F0000}"/>
    <cellStyle name="표준 23 3 6 2 2 4 3" xfId="12296" xr:uid="{00000000-0005-0000-0000-0000EA2F0000}"/>
    <cellStyle name="표준 23 3 6 2 2 4 3 2" xfId="12297" xr:uid="{00000000-0005-0000-0000-0000EB2F0000}"/>
    <cellStyle name="표준 23 3 6 2 2 4 3 2 2" xfId="12298" xr:uid="{00000000-0005-0000-0000-0000EC2F0000}"/>
    <cellStyle name="표준 23 3 6 2 2 4 3 3" xfId="12299" xr:uid="{00000000-0005-0000-0000-0000ED2F0000}"/>
    <cellStyle name="표준 23 3 6 2 2 4 4" xfId="12300" xr:uid="{00000000-0005-0000-0000-0000EE2F0000}"/>
    <cellStyle name="표준 23 3 6 2 2 4 4 2" xfId="12301" xr:uid="{00000000-0005-0000-0000-0000EF2F0000}"/>
    <cellStyle name="표준 23 3 6 2 2 4 5" xfId="12302" xr:uid="{00000000-0005-0000-0000-0000F02F0000}"/>
    <cellStyle name="표준 23 3 6 2 2 5" xfId="12303" xr:uid="{00000000-0005-0000-0000-0000F12F0000}"/>
    <cellStyle name="표준 23 3 6 2 2 5 2" xfId="12304" xr:uid="{00000000-0005-0000-0000-0000F22F0000}"/>
    <cellStyle name="표준 23 3 6 2 2 5 2 2" xfId="12305" xr:uid="{00000000-0005-0000-0000-0000F32F0000}"/>
    <cellStyle name="표준 23 3 6 2 2 5 2 2 2" xfId="12306" xr:uid="{00000000-0005-0000-0000-0000F42F0000}"/>
    <cellStyle name="표준 23 3 6 2 2 5 2 3" xfId="12307" xr:uid="{00000000-0005-0000-0000-0000F52F0000}"/>
    <cellStyle name="표준 23 3 6 2 2 5 3" xfId="12308" xr:uid="{00000000-0005-0000-0000-0000F62F0000}"/>
    <cellStyle name="표준 23 3 6 2 2 5 3 2" xfId="12309" xr:uid="{00000000-0005-0000-0000-0000F72F0000}"/>
    <cellStyle name="표준 23 3 6 2 2 5 4" xfId="12310" xr:uid="{00000000-0005-0000-0000-0000F82F0000}"/>
    <cellStyle name="표준 23 3 6 2 2 6" xfId="12311" xr:uid="{00000000-0005-0000-0000-0000F92F0000}"/>
    <cellStyle name="표준 23 3 6 2 2 6 2" xfId="12312" xr:uid="{00000000-0005-0000-0000-0000FA2F0000}"/>
    <cellStyle name="표준 23 3 6 2 2 6 2 2" xfId="12313" xr:uid="{00000000-0005-0000-0000-0000FB2F0000}"/>
    <cellStyle name="표준 23 3 6 2 2 6 3" xfId="12314" xr:uid="{00000000-0005-0000-0000-0000FC2F0000}"/>
    <cellStyle name="표준 23 3 6 2 2 7" xfId="12315" xr:uid="{00000000-0005-0000-0000-0000FD2F0000}"/>
    <cellStyle name="표준 23 3 6 2 2 7 2" xfId="12316" xr:uid="{00000000-0005-0000-0000-0000FE2F0000}"/>
    <cellStyle name="표준 23 3 6 2 2 8" xfId="12317" xr:uid="{00000000-0005-0000-0000-0000FF2F0000}"/>
    <cellStyle name="표준 23 3 6 2 2 9" xfId="12318" xr:uid="{00000000-0005-0000-0000-000000300000}"/>
    <cellStyle name="표준 23 3 6 2 3" xfId="12319" xr:uid="{00000000-0005-0000-0000-000001300000}"/>
    <cellStyle name="표준 23 3 6 2 3 2" xfId="12320" xr:uid="{00000000-0005-0000-0000-000002300000}"/>
    <cellStyle name="표준 23 3 6 2 3 2 2" xfId="12321" xr:uid="{00000000-0005-0000-0000-000003300000}"/>
    <cellStyle name="표준 23 3 6 2 3 2 2 2" xfId="12322" xr:uid="{00000000-0005-0000-0000-000004300000}"/>
    <cellStyle name="표준 23 3 6 2 3 2 2 2 2" xfId="12323" xr:uid="{00000000-0005-0000-0000-000005300000}"/>
    <cellStyle name="표준 23 3 6 2 3 2 2 2 2 2" xfId="12324" xr:uid="{00000000-0005-0000-0000-000006300000}"/>
    <cellStyle name="표준 23 3 6 2 3 2 2 2 2 2 2" xfId="12325" xr:uid="{00000000-0005-0000-0000-000007300000}"/>
    <cellStyle name="표준 23 3 6 2 3 2 2 2 2 3" xfId="12326" xr:uid="{00000000-0005-0000-0000-000008300000}"/>
    <cellStyle name="표준 23 3 6 2 3 2 2 2 3" xfId="12327" xr:uid="{00000000-0005-0000-0000-000009300000}"/>
    <cellStyle name="표준 23 3 6 2 3 2 2 2 3 2" xfId="12328" xr:uid="{00000000-0005-0000-0000-00000A300000}"/>
    <cellStyle name="표준 23 3 6 2 3 2 2 2 4" xfId="12329" xr:uid="{00000000-0005-0000-0000-00000B300000}"/>
    <cellStyle name="표준 23 3 6 2 3 2 2 3" xfId="12330" xr:uid="{00000000-0005-0000-0000-00000C300000}"/>
    <cellStyle name="표준 23 3 6 2 3 2 2 3 2" xfId="12331" xr:uid="{00000000-0005-0000-0000-00000D300000}"/>
    <cellStyle name="표준 23 3 6 2 3 2 2 3 2 2" xfId="12332" xr:uid="{00000000-0005-0000-0000-00000E300000}"/>
    <cellStyle name="표준 23 3 6 2 3 2 2 3 3" xfId="12333" xr:uid="{00000000-0005-0000-0000-00000F300000}"/>
    <cellStyle name="표준 23 3 6 2 3 2 2 4" xfId="12334" xr:uid="{00000000-0005-0000-0000-000010300000}"/>
    <cellStyle name="표준 23 3 6 2 3 2 2 4 2" xfId="12335" xr:uid="{00000000-0005-0000-0000-000011300000}"/>
    <cellStyle name="표준 23 3 6 2 3 2 2 5" xfId="12336" xr:uid="{00000000-0005-0000-0000-000012300000}"/>
    <cellStyle name="표준 23 3 6 2 3 2 3" xfId="12337" xr:uid="{00000000-0005-0000-0000-000013300000}"/>
    <cellStyle name="표준 23 3 6 2 3 2 3 2" xfId="12338" xr:uid="{00000000-0005-0000-0000-000014300000}"/>
    <cellStyle name="표준 23 3 6 2 3 2 3 2 2" xfId="12339" xr:uid="{00000000-0005-0000-0000-000015300000}"/>
    <cellStyle name="표준 23 3 6 2 3 2 3 2 2 2" xfId="12340" xr:uid="{00000000-0005-0000-0000-000016300000}"/>
    <cellStyle name="표준 23 3 6 2 3 2 3 2 3" xfId="12341" xr:uid="{00000000-0005-0000-0000-000017300000}"/>
    <cellStyle name="표준 23 3 6 2 3 2 3 3" xfId="12342" xr:uid="{00000000-0005-0000-0000-000018300000}"/>
    <cellStyle name="표준 23 3 6 2 3 2 3 3 2" xfId="12343" xr:uid="{00000000-0005-0000-0000-000019300000}"/>
    <cellStyle name="표준 23 3 6 2 3 2 3 4" xfId="12344" xr:uid="{00000000-0005-0000-0000-00001A300000}"/>
    <cellStyle name="표준 23 3 6 2 3 2 4" xfId="12345" xr:uid="{00000000-0005-0000-0000-00001B300000}"/>
    <cellStyle name="표준 23 3 6 2 3 2 4 2" xfId="12346" xr:uid="{00000000-0005-0000-0000-00001C300000}"/>
    <cellStyle name="표준 23 3 6 2 3 2 4 2 2" xfId="12347" xr:uid="{00000000-0005-0000-0000-00001D300000}"/>
    <cellStyle name="표준 23 3 6 2 3 2 4 3" xfId="12348" xr:uid="{00000000-0005-0000-0000-00001E300000}"/>
    <cellStyle name="표준 23 3 6 2 3 2 5" xfId="12349" xr:uid="{00000000-0005-0000-0000-00001F300000}"/>
    <cellStyle name="표준 23 3 6 2 3 2 5 2" xfId="12350" xr:uid="{00000000-0005-0000-0000-000020300000}"/>
    <cellStyle name="표준 23 3 6 2 3 2 6" xfId="12351" xr:uid="{00000000-0005-0000-0000-000021300000}"/>
    <cellStyle name="표준 23 3 6 2 3 3" xfId="12352" xr:uid="{00000000-0005-0000-0000-000022300000}"/>
    <cellStyle name="표준 23 3 6 2 3 3 2" xfId="12353" xr:uid="{00000000-0005-0000-0000-000023300000}"/>
    <cellStyle name="표준 23 3 6 2 3 3 2 2" xfId="12354" xr:uid="{00000000-0005-0000-0000-000024300000}"/>
    <cellStyle name="표준 23 3 6 2 3 3 2 2 2" xfId="12355" xr:uid="{00000000-0005-0000-0000-000025300000}"/>
    <cellStyle name="표준 23 3 6 2 3 3 2 2 2 2" xfId="12356" xr:uid="{00000000-0005-0000-0000-000026300000}"/>
    <cellStyle name="표준 23 3 6 2 3 3 2 2 3" xfId="12357" xr:uid="{00000000-0005-0000-0000-000027300000}"/>
    <cellStyle name="표준 23 3 6 2 3 3 2 3" xfId="12358" xr:uid="{00000000-0005-0000-0000-000028300000}"/>
    <cellStyle name="표준 23 3 6 2 3 3 2 3 2" xfId="12359" xr:uid="{00000000-0005-0000-0000-000029300000}"/>
    <cellStyle name="표준 23 3 6 2 3 3 2 4" xfId="12360" xr:uid="{00000000-0005-0000-0000-00002A300000}"/>
    <cellStyle name="표준 23 3 6 2 3 3 3" xfId="12361" xr:uid="{00000000-0005-0000-0000-00002B300000}"/>
    <cellStyle name="표준 23 3 6 2 3 3 3 2" xfId="12362" xr:uid="{00000000-0005-0000-0000-00002C300000}"/>
    <cellStyle name="표준 23 3 6 2 3 3 3 2 2" xfId="12363" xr:uid="{00000000-0005-0000-0000-00002D300000}"/>
    <cellStyle name="표준 23 3 6 2 3 3 3 3" xfId="12364" xr:uid="{00000000-0005-0000-0000-00002E300000}"/>
    <cellStyle name="표준 23 3 6 2 3 3 4" xfId="12365" xr:uid="{00000000-0005-0000-0000-00002F300000}"/>
    <cellStyle name="표준 23 3 6 2 3 3 4 2" xfId="12366" xr:uid="{00000000-0005-0000-0000-000030300000}"/>
    <cellStyle name="표준 23 3 6 2 3 3 5" xfId="12367" xr:uid="{00000000-0005-0000-0000-000031300000}"/>
    <cellStyle name="표준 23 3 6 2 3 4" xfId="12368" xr:uid="{00000000-0005-0000-0000-000032300000}"/>
    <cellStyle name="표준 23 3 6 2 3 4 2" xfId="12369" xr:uid="{00000000-0005-0000-0000-000033300000}"/>
    <cellStyle name="표준 23 3 6 2 3 4 2 2" xfId="12370" xr:uid="{00000000-0005-0000-0000-000034300000}"/>
    <cellStyle name="표준 23 3 6 2 3 4 2 2 2" xfId="12371" xr:uid="{00000000-0005-0000-0000-000035300000}"/>
    <cellStyle name="표준 23 3 6 2 3 4 2 3" xfId="12372" xr:uid="{00000000-0005-0000-0000-000036300000}"/>
    <cellStyle name="표준 23 3 6 2 3 4 3" xfId="12373" xr:uid="{00000000-0005-0000-0000-000037300000}"/>
    <cellStyle name="표준 23 3 6 2 3 4 3 2" xfId="12374" xr:uid="{00000000-0005-0000-0000-000038300000}"/>
    <cellStyle name="표준 23 3 6 2 3 4 4" xfId="12375" xr:uid="{00000000-0005-0000-0000-000039300000}"/>
    <cellStyle name="표준 23 3 6 2 3 5" xfId="12376" xr:uid="{00000000-0005-0000-0000-00003A300000}"/>
    <cellStyle name="표준 23 3 6 2 3 5 2" xfId="12377" xr:uid="{00000000-0005-0000-0000-00003B300000}"/>
    <cellStyle name="표준 23 3 6 2 3 5 2 2" xfId="12378" xr:uid="{00000000-0005-0000-0000-00003C300000}"/>
    <cellStyle name="표준 23 3 6 2 3 5 3" xfId="12379" xr:uid="{00000000-0005-0000-0000-00003D300000}"/>
    <cellStyle name="표준 23 3 6 2 3 6" xfId="12380" xr:uid="{00000000-0005-0000-0000-00003E300000}"/>
    <cellStyle name="표준 23 3 6 2 3 6 2" xfId="12381" xr:uid="{00000000-0005-0000-0000-00003F300000}"/>
    <cellStyle name="표준 23 3 6 2 3 7" xfId="12382" xr:uid="{00000000-0005-0000-0000-000040300000}"/>
    <cellStyle name="표준 23 3 6 2 3 8" xfId="12383" xr:uid="{00000000-0005-0000-0000-000041300000}"/>
    <cellStyle name="표준 23 3 6 2 4" xfId="12384" xr:uid="{00000000-0005-0000-0000-000042300000}"/>
    <cellStyle name="표준 23 3 6 2 4 2" xfId="12385" xr:uid="{00000000-0005-0000-0000-000043300000}"/>
    <cellStyle name="표준 23 3 6 2 4 2 2" xfId="12386" xr:uid="{00000000-0005-0000-0000-000044300000}"/>
    <cellStyle name="표준 23 3 6 2 4 2 2 2" xfId="12387" xr:uid="{00000000-0005-0000-0000-000045300000}"/>
    <cellStyle name="표준 23 3 6 2 4 2 2 2 2" xfId="12388" xr:uid="{00000000-0005-0000-0000-000046300000}"/>
    <cellStyle name="표준 23 3 6 2 4 2 2 2 2 2" xfId="12389" xr:uid="{00000000-0005-0000-0000-000047300000}"/>
    <cellStyle name="표준 23 3 6 2 4 2 2 2 3" xfId="12390" xr:uid="{00000000-0005-0000-0000-000048300000}"/>
    <cellStyle name="표준 23 3 6 2 4 2 2 3" xfId="12391" xr:uid="{00000000-0005-0000-0000-000049300000}"/>
    <cellStyle name="표준 23 3 6 2 4 2 2 3 2" xfId="12392" xr:uid="{00000000-0005-0000-0000-00004A300000}"/>
    <cellStyle name="표준 23 3 6 2 4 2 2 4" xfId="12393" xr:uid="{00000000-0005-0000-0000-00004B300000}"/>
    <cellStyle name="표준 23 3 6 2 4 2 3" xfId="12394" xr:uid="{00000000-0005-0000-0000-00004C300000}"/>
    <cellStyle name="표준 23 3 6 2 4 2 3 2" xfId="12395" xr:uid="{00000000-0005-0000-0000-00004D300000}"/>
    <cellStyle name="표준 23 3 6 2 4 2 3 2 2" xfId="12396" xr:uid="{00000000-0005-0000-0000-00004E300000}"/>
    <cellStyle name="표준 23 3 6 2 4 2 3 3" xfId="12397" xr:uid="{00000000-0005-0000-0000-00004F300000}"/>
    <cellStyle name="표준 23 3 6 2 4 2 4" xfId="12398" xr:uid="{00000000-0005-0000-0000-000050300000}"/>
    <cellStyle name="표준 23 3 6 2 4 2 4 2" xfId="12399" xr:uid="{00000000-0005-0000-0000-000051300000}"/>
    <cellStyle name="표준 23 3 6 2 4 2 5" xfId="12400" xr:uid="{00000000-0005-0000-0000-000052300000}"/>
    <cellStyle name="표준 23 3 6 2 4 3" xfId="12401" xr:uid="{00000000-0005-0000-0000-000053300000}"/>
    <cellStyle name="표준 23 3 6 2 4 3 2" xfId="12402" xr:uid="{00000000-0005-0000-0000-000054300000}"/>
    <cellStyle name="표준 23 3 6 2 4 3 2 2" xfId="12403" xr:uid="{00000000-0005-0000-0000-000055300000}"/>
    <cellStyle name="표준 23 3 6 2 4 3 2 2 2" xfId="12404" xr:uid="{00000000-0005-0000-0000-000056300000}"/>
    <cellStyle name="표준 23 3 6 2 4 3 2 3" xfId="12405" xr:uid="{00000000-0005-0000-0000-000057300000}"/>
    <cellStyle name="표준 23 3 6 2 4 3 3" xfId="12406" xr:uid="{00000000-0005-0000-0000-000058300000}"/>
    <cellStyle name="표준 23 3 6 2 4 3 3 2" xfId="12407" xr:uid="{00000000-0005-0000-0000-000059300000}"/>
    <cellStyle name="표준 23 3 6 2 4 3 4" xfId="12408" xr:uid="{00000000-0005-0000-0000-00005A300000}"/>
    <cellStyle name="표준 23 3 6 2 4 4" xfId="12409" xr:uid="{00000000-0005-0000-0000-00005B300000}"/>
    <cellStyle name="표준 23 3 6 2 4 4 2" xfId="12410" xr:uid="{00000000-0005-0000-0000-00005C300000}"/>
    <cellStyle name="표준 23 3 6 2 4 4 2 2" xfId="12411" xr:uid="{00000000-0005-0000-0000-00005D300000}"/>
    <cellStyle name="표준 23 3 6 2 4 4 3" xfId="12412" xr:uid="{00000000-0005-0000-0000-00005E300000}"/>
    <cellStyle name="표준 23 3 6 2 4 5" xfId="12413" xr:uid="{00000000-0005-0000-0000-00005F300000}"/>
    <cellStyle name="표준 23 3 6 2 4 5 2" xfId="12414" xr:uid="{00000000-0005-0000-0000-000060300000}"/>
    <cellStyle name="표준 23 3 6 2 4 6" xfId="12415" xr:uid="{00000000-0005-0000-0000-000061300000}"/>
    <cellStyle name="표준 23 3 6 2 5" xfId="12416" xr:uid="{00000000-0005-0000-0000-000062300000}"/>
    <cellStyle name="표준 23 3 6 2 5 2" xfId="12417" xr:uid="{00000000-0005-0000-0000-000063300000}"/>
    <cellStyle name="표준 23 3 6 2 5 2 2" xfId="12418" xr:uid="{00000000-0005-0000-0000-000064300000}"/>
    <cellStyle name="표준 23 3 6 2 5 2 2 2" xfId="12419" xr:uid="{00000000-0005-0000-0000-000065300000}"/>
    <cellStyle name="표준 23 3 6 2 5 2 2 2 2" xfId="12420" xr:uid="{00000000-0005-0000-0000-000066300000}"/>
    <cellStyle name="표준 23 3 6 2 5 2 2 3" xfId="12421" xr:uid="{00000000-0005-0000-0000-000067300000}"/>
    <cellStyle name="표준 23 3 6 2 5 2 3" xfId="12422" xr:uid="{00000000-0005-0000-0000-000068300000}"/>
    <cellStyle name="표준 23 3 6 2 5 2 3 2" xfId="12423" xr:uid="{00000000-0005-0000-0000-000069300000}"/>
    <cellStyle name="표준 23 3 6 2 5 2 4" xfId="12424" xr:uid="{00000000-0005-0000-0000-00006A300000}"/>
    <cellStyle name="표준 23 3 6 2 5 3" xfId="12425" xr:uid="{00000000-0005-0000-0000-00006B300000}"/>
    <cellStyle name="표준 23 3 6 2 5 3 2" xfId="12426" xr:uid="{00000000-0005-0000-0000-00006C300000}"/>
    <cellStyle name="표준 23 3 6 2 5 3 2 2" xfId="12427" xr:uid="{00000000-0005-0000-0000-00006D300000}"/>
    <cellStyle name="표준 23 3 6 2 5 3 3" xfId="12428" xr:uid="{00000000-0005-0000-0000-00006E300000}"/>
    <cellStyle name="표준 23 3 6 2 5 4" xfId="12429" xr:uid="{00000000-0005-0000-0000-00006F300000}"/>
    <cellStyle name="표준 23 3 6 2 5 4 2" xfId="12430" xr:uid="{00000000-0005-0000-0000-000070300000}"/>
    <cellStyle name="표준 23 3 6 2 5 5" xfId="12431" xr:uid="{00000000-0005-0000-0000-000071300000}"/>
    <cellStyle name="표준 23 3 6 2 6" xfId="12432" xr:uid="{00000000-0005-0000-0000-000072300000}"/>
    <cellStyle name="표준 23 3 6 2 6 2" xfId="12433" xr:uid="{00000000-0005-0000-0000-000073300000}"/>
    <cellStyle name="표준 23 3 6 2 6 2 2" xfId="12434" xr:uid="{00000000-0005-0000-0000-000074300000}"/>
    <cellStyle name="표준 23 3 6 2 6 2 2 2" xfId="12435" xr:uid="{00000000-0005-0000-0000-000075300000}"/>
    <cellStyle name="표준 23 3 6 2 6 2 3" xfId="12436" xr:uid="{00000000-0005-0000-0000-000076300000}"/>
    <cellStyle name="표준 23 3 6 2 6 3" xfId="12437" xr:uid="{00000000-0005-0000-0000-000077300000}"/>
    <cellStyle name="표준 23 3 6 2 6 3 2" xfId="12438" xr:uid="{00000000-0005-0000-0000-000078300000}"/>
    <cellStyle name="표준 23 3 6 2 6 4" xfId="12439" xr:uid="{00000000-0005-0000-0000-000079300000}"/>
    <cellStyle name="표준 23 3 6 2 7" xfId="12440" xr:uid="{00000000-0005-0000-0000-00007A300000}"/>
    <cellStyle name="표준 23 3 6 2 7 2" xfId="12441" xr:uid="{00000000-0005-0000-0000-00007B300000}"/>
    <cellStyle name="표준 23 3 6 2 7 2 2" xfId="12442" xr:uid="{00000000-0005-0000-0000-00007C300000}"/>
    <cellStyle name="표준 23 3 6 2 7 3" xfId="12443" xr:uid="{00000000-0005-0000-0000-00007D300000}"/>
    <cellStyle name="표준 23 3 6 2 8" xfId="12444" xr:uid="{00000000-0005-0000-0000-00007E300000}"/>
    <cellStyle name="표준 23 3 6 2 8 2" xfId="12445" xr:uid="{00000000-0005-0000-0000-00007F300000}"/>
    <cellStyle name="표준 23 3 6 2 9" xfId="12446" xr:uid="{00000000-0005-0000-0000-000080300000}"/>
    <cellStyle name="표준 23 3 6 3" xfId="12447" xr:uid="{00000000-0005-0000-0000-000081300000}"/>
    <cellStyle name="표준 23 3 6 3 2" xfId="12448" xr:uid="{00000000-0005-0000-0000-000082300000}"/>
    <cellStyle name="표준 23 3 6 3 2 2" xfId="12449" xr:uid="{00000000-0005-0000-0000-000083300000}"/>
    <cellStyle name="표준 23 3 6 3 2 2 2" xfId="12450" xr:uid="{00000000-0005-0000-0000-000084300000}"/>
    <cellStyle name="표준 23 3 6 3 2 2 2 2" xfId="12451" xr:uid="{00000000-0005-0000-0000-000085300000}"/>
    <cellStyle name="표준 23 3 6 3 2 2 2 2 2" xfId="12452" xr:uid="{00000000-0005-0000-0000-000086300000}"/>
    <cellStyle name="표준 23 3 6 3 2 2 2 2 2 2" xfId="12453" xr:uid="{00000000-0005-0000-0000-000087300000}"/>
    <cellStyle name="표준 23 3 6 3 2 2 2 2 2 2 2" xfId="12454" xr:uid="{00000000-0005-0000-0000-000088300000}"/>
    <cellStyle name="표준 23 3 6 3 2 2 2 2 2 3" xfId="12455" xr:uid="{00000000-0005-0000-0000-000089300000}"/>
    <cellStyle name="표준 23 3 6 3 2 2 2 2 3" xfId="12456" xr:uid="{00000000-0005-0000-0000-00008A300000}"/>
    <cellStyle name="표준 23 3 6 3 2 2 2 2 3 2" xfId="12457" xr:uid="{00000000-0005-0000-0000-00008B300000}"/>
    <cellStyle name="표준 23 3 6 3 2 2 2 2 4" xfId="12458" xr:uid="{00000000-0005-0000-0000-00008C300000}"/>
    <cellStyle name="표준 23 3 6 3 2 2 2 3" xfId="12459" xr:uid="{00000000-0005-0000-0000-00008D300000}"/>
    <cellStyle name="표준 23 3 6 3 2 2 2 3 2" xfId="12460" xr:uid="{00000000-0005-0000-0000-00008E300000}"/>
    <cellStyle name="표준 23 3 6 3 2 2 2 3 2 2" xfId="12461" xr:uid="{00000000-0005-0000-0000-00008F300000}"/>
    <cellStyle name="표준 23 3 6 3 2 2 2 3 3" xfId="12462" xr:uid="{00000000-0005-0000-0000-000090300000}"/>
    <cellStyle name="표준 23 3 6 3 2 2 2 4" xfId="12463" xr:uid="{00000000-0005-0000-0000-000091300000}"/>
    <cellStyle name="표준 23 3 6 3 2 2 2 4 2" xfId="12464" xr:uid="{00000000-0005-0000-0000-000092300000}"/>
    <cellStyle name="표준 23 3 6 3 2 2 2 5" xfId="12465" xr:uid="{00000000-0005-0000-0000-000093300000}"/>
    <cellStyle name="표준 23 3 6 3 2 2 3" xfId="12466" xr:uid="{00000000-0005-0000-0000-000094300000}"/>
    <cellStyle name="표준 23 3 6 3 2 2 3 2" xfId="12467" xr:uid="{00000000-0005-0000-0000-000095300000}"/>
    <cellStyle name="표준 23 3 6 3 2 2 3 2 2" xfId="12468" xr:uid="{00000000-0005-0000-0000-000096300000}"/>
    <cellStyle name="표준 23 3 6 3 2 2 3 2 2 2" xfId="12469" xr:uid="{00000000-0005-0000-0000-000097300000}"/>
    <cellStyle name="표준 23 3 6 3 2 2 3 2 3" xfId="12470" xr:uid="{00000000-0005-0000-0000-000098300000}"/>
    <cellStyle name="표준 23 3 6 3 2 2 3 3" xfId="12471" xr:uid="{00000000-0005-0000-0000-000099300000}"/>
    <cellStyle name="표준 23 3 6 3 2 2 3 3 2" xfId="12472" xr:uid="{00000000-0005-0000-0000-00009A300000}"/>
    <cellStyle name="표준 23 3 6 3 2 2 3 4" xfId="12473" xr:uid="{00000000-0005-0000-0000-00009B300000}"/>
    <cellStyle name="표준 23 3 6 3 2 2 4" xfId="12474" xr:uid="{00000000-0005-0000-0000-00009C300000}"/>
    <cellStyle name="표준 23 3 6 3 2 2 4 2" xfId="12475" xr:uid="{00000000-0005-0000-0000-00009D300000}"/>
    <cellStyle name="표준 23 3 6 3 2 2 4 2 2" xfId="12476" xr:uid="{00000000-0005-0000-0000-00009E300000}"/>
    <cellStyle name="표준 23 3 6 3 2 2 4 3" xfId="12477" xr:uid="{00000000-0005-0000-0000-00009F300000}"/>
    <cellStyle name="표준 23 3 6 3 2 2 5" xfId="12478" xr:uid="{00000000-0005-0000-0000-0000A0300000}"/>
    <cellStyle name="표준 23 3 6 3 2 2 5 2" xfId="12479" xr:uid="{00000000-0005-0000-0000-0000A1300000}"/>
    <cellStyle name="표준 23 3 6 3 2 2 6" xfId="12480" xr:uid="{00000000-0005-0000-0000-0000A2300000}"/>
    <cellStyle name="표준 23 3 6 3 2 3" xfId="12481" xr:uid="{00000000-0005-0000-0000-0000A3300000}"/>
    <cellStyle name="표준 23 3 6 3 2 3 2" xfId="12482" xr:uid="{00000000-0005-0000-0000-0000A4300000}"/>
    <cellStyle name="표준 23 3 6 3 2 3 2 2" xfId="12483" xr:uid="{00000000-0005-0000-0000-0000A5300000}"/>
    <cellStyle name="표준 23 3 6 3 2 3 2 2 2" xfId="12484" xr:uid="{00000000-0005-0000-0000-0000A6300000}"/>
    <cellStyle name="표준 23 3 6 3 2 3 2 2 2 2" xfId="12485" xr:uid="{00000000-0005-0000-0000-0000A7300000}"/>
    <cellStyle name="표준 23 3 6 3 2 3 2 2 3" xfId="12486" xr:uid="{00000000-0005-0000-0000-0000A8300000}"/>
    <cellStyle name="표준 23 3 6 3 2 3 2 3" xfId="12487" xr:uid="{00000000-0005-0000-0000-0000A9300000}"/>
    <cellStyle name="표준 23 3 6 3 2 3 2 3 2" xfId="12488" xr:uid="{00000000-0005-0000-0000-0000AA300000}"/>
    <cellStyle name="표준 23 3 6 3 2 3 2 4" xfId="12489" xr:uid="{00000000-0005-0000-0000-0000AB300000}"/>
    <cellStyle name="표준 23 3 6 3 2 3 3" xfId="12490" xr:uid="{00000000-0005-0000-0000-0000AC300000}"/>
    <cellStyle name="표준 23 3 6 3 2 3 3 2" xfId="12491" xr:uid="{00000000-0005-0000-0000-0000AD300000}"/>
    <cellStyle name="표준 23 3 6 3 2 3 3 2 2" xfId="12492" xr:uid="{00000000-0005-0000-0000-0000AE300000}"/>
    <cellStyle name="표준 23 3 6 3 2 3 3 3" xfId="12493" xr:uid="{00000000-0005-0000-0000-0000AF300000}"/>
    <cellStyle name="표준 23 3 6 3 2 3 4" xfId="12494" xr:uid="{00000000-0005-0000-0000-0000B0300000}"/>
    <cellStyle name="표준 23 3 6 3 2 3 4 2" xfId="12495" xr:uid="{00000000-0005-0000-0000-0000B1300000}"/>
    <cellStyle name="표준 23 3 6 3 2 3 5" xfId="12496" xr:uid="{00000000-0005-0000-0000-0000B2300000}"/>
    <cellStyle name="표준 23 3 6 3 2 4" xfId="12497" xr:uid="{00000000-0005-0000-0000-0000B3300000}"/>
    <cellStyle name="표준 23 3 6 3 2 4 2" xfId="12498" xr:uid="{00000000-0005-0000-0000-0000B4300000}"/>
    <cellStyle name="표준 23 3 6 3 2 4 2 2" xfId="12499" xr:uid="{00000000-0005-0000-0000-0000B5300000}"/>
    <cellStyle name="표준 23 3 6 3 2 4 2 2 2" xfId="12500" xr:uid="{00000000-0005-0000-0000-0000B6300000}"/>
    <cellStyle name="표준 23 3 6 3 2 4 2 3" xfId="12501" xr:uid="{00000000-0005-0000-0000-0000B7300000}"/>
    <cellStyle name="표준 23 3 6 3 2 4 3" xfId="12502" xr:uid="{00000000-0005-0000-0000-0000B8300000}"/>
    <cellStyle name="표준 23 3 6 3 2 4 3 2" xfId="12503" xr:uid="{00000000-0005-0000-0000-0000B9300000}"/>
    <cellStyle name="표준 23 3 6 3 2 4 4" xfId="12504" xr:uid="{00000000-0005-0000-0000-0000BA300000}"/>
    <cellStyle name="표준 23 3 6 3 2 5" xfId="12505" xr:uid="{00000000-0005-0000-0000-0000BB300000}"/>
    <cellStyle name="표준 23 3 6 3 2 5 2" xfId="12506" xr:uid="{00000000-0005-0000-0000-0000BC300000}"/>
    <cellStyle name="표준 23 3 6 3 2 5 2 2" xfId="12507" xr:uid="{00000000-0005-0000-0000-0000BD300000}"/>
    <cellStyle name="표준 23 3 6 3 2 5 3" xfId="12508" xr:uid="{00000000-0005-0000-0000-0000BE300000}"/>
    <cellStyle name="표준 23 3 6 3 2 6" xfId="12509" xr:uid="{00000000-0005-0000-0000-0000BF300000}"/>
    <cellStyle name="표준 23 3 6 3 2 6 2" xfId="12510" xr:uid="{00000000-0005-0000-0000-0000C0300000}"/>
    <cellStyle name="표준 23 3 6 3 2 7" xfId="12511" xr:uid="{00000000-0005-0000-0000-0000C1300000}"/>
    <cellStyle name="표준 23 3 6 3 2 8" xfId="12512" xr:uid="{00000000-0005-0000-0000-0000C2300000}"/>
    <cellStyle name="표준 23 3 6 3 3" xfId="12513" xr:uid="{00000000-0005-0000-0000-0000C3300000}"/>
    <cellStyle name="표준 23 3 6 3 3 2" xfId="12514" xr:uid="{00000000-0005-0000-0000-0000C4300000}"/>
    <cellStyle name="표준 23 3 6 3 3 2 2" xfId="12515" xr:uid="{00000000-0005-0000-0000-0000C5300000}"/>
    <cellStyle name="표준 23 3 6 3 3 2 2 2" xfId="12516" xr:uid="{00000000-0005-0000-0000-0000C6300000}"/>
    <cellStyle name="표준 23 3 6 3 3 2 2 2 2" xfId="12517" xr:uid="{00000000-0005-0000-0000-0000C7300000}"/>
    <cellStyle name="표준 23 3 6 3 3 2 2 2 2 2" xfId="12518" xr:uid="{00000000-0005-0000-0000-0000C8300000}"/>
    <cellStyle name="표준 23 3 6 3 3 2 2 2 3" xfId="12519" xr:uid="{00000000-0005-0000-0000-0000C9300000}"/>
    <cellStyle name="표준 23 3 6 3 3 2 2 3" xfId="12520" xr:uid="{00000000-0005-0000-0000-0000CA300000}"/>
    <cellStyle name="표준 23 3 6 3 3 2 2 3 2" xfId="12521" xr:uid="{00000000-0005-0000-0000-0000CB300000}"/>
    <cellStyle name="표준 23 3 6 3 3 2 2 4" xfId="12522" xr:uid="{00000000-0005-0000-0000-0000CC300000}"/>
    <cellStyle name="표준 23 3 6 3 3 2 3" xfId="12523" xr:uid="{00000000-0005-0000-0000-0000CD300000}"/>
    <cellStyle name="표준 23 3 6 3 3 2 3 2" xfId="12524" xr:uid="{00000000-0005-0000-0000-0000CE300000}"/>
    <cellStyle name="표준 23 3 6 3 3 2 3 2 2" xfId="12525" xr:uid="{00000000-0005-0000-0000-0000CF300000}"/>
    <cellStyle name="표준 23 3 6 3 3 2 3 3" xfId="12526" xr:uid="{00000000-0005-0000-0000-0000D0300000}"/>
    <cellStyle name="표준 23 3 6 3 3 2 4" xfId="12527" xr:uid="{00000000-0005-0000-0000-0000D1300000}"/>
    <cellStyle name="표준 23 3 6 3 3 2 4 2" xfId="12528" xr:uid="{00000000-0005-0000-0000-0000D2300000}"/>
    <cellStyle name="표준 23 3 6 3 3 2 5" xfId="12529" xr:uid="{00000000-0005-0000-0000-0000D3300000}"/>
    <cellStyle name="표준 23 3 6 3 3 3" xfId="12530" xr:uid="{00000000-0005-0000-0000-0000D4300000}"/>
    <cellStyle name="표준 23 3 6 3 3 3 2" xfId="12531" xr:uid="{00000000-0005-0000-0000-0000D5300000}"/>
    <cellStyle name="표준 23 3 6 3 3 3 2 2" xfId="12532" xr:uid="{00000000-0005-0000-0000-0000D6300000}"/>
    <cellStyle name="표준 23 3 6 3 3 3 2 2 2" xfId="12533" xr:uid="{00000000-0005-0000-0000-0000D7300000}"/>
    <cellStyle name="표준 23 3 6 3 3 3 2 3" xfId="12534" xr:uid="{00000000-0005-0000-0000-0000D8300000}"/>
    <cellStyle name="표준 23 3 6 3 3 3 3" xfId="12535" xr:uid="{00000000-0005-0000-0000-0000D9300000}"/>
    <cellStyle name="표준 23 3 6 3 3 3 3 2" xfId="12536" xr:uid="{00000000-0005-0000-0000-0000DA300000}"/>
    <cellStyle name="표준 23 3 6 3 3 3 4" xfId="12537" xr:uid="{00000000-0005-0000-0000-0000DB300000}"/>
    <cellStyle name="표준 23 3 6 3 3 4" xfId="12538" xr:uid="{00000000-0005-0000-0000-0000DC300000}"/>
    <cellStyle name="표준 23 3 6 3 3 4 2" xfId="12539" xr:uid="{00000000-0005-0000-0000-0000DD300000}"/>
    <cellStyle name="표준 23 3 6 3 3 4 2 2" xfId="12540" xr:uid="{00000000-0005-0000-0000-0000DE300000}"/>
    <cellStyle name="표준 23 3 6 3 3 4 3" xfId="12541" xr:uid="{00000000-0005-0000-0000-0000DF300000}"/>
    <cellStyle name="표준 23 3 6 3 3 5" xfId="12542" xr:uid="{00000000-0005-0000-0000-0000E0300000}"/>
    <cellStyle name="표준 23 3 6 3 3 5 2" xfId="12543" xr:uid="{00000000-0005-0000-0000-0000E1300000}"/>
    <cellStyle name="표준 23 3 6 3 3 6" xfId="12544" xr:uid="{00000000-0005-0000-0000-0000E2300000}"/>
    <cellStyle name="표준 23 3 6 3 4" xfId="12545" xr:uid="{00000000-0005-0000-0000-0000E3300000}"/>
    <cellStyle name="표준 23 3 6 3 4 2" xfId="12546" xr:uid="{00000000-0005-0000-0000-0000E4300000}"/>
    <cellStyle name="표준 23 3 6 3 4 2 2" xfId="12547" xr:uid="{00000000-0005-0000-0000-0000E5300000}"/>
    <cellStyle name="표준 23 3 6 3 4 2 2 2" xfId="12548" xr:uid="{00000000-0005-0000-0000-0000E6300000}"/>
    <cellStyle name="표준 23 3 6 3 4 2 2 2 2" xfId="12549" xr:uid="{00000000-0005-0000-0000-0000E7300000}"/>
    <cellStyle name="표준 23 3 6 3 4 2 2 3" xfId="12550" xr:uid="{00000000-0005-0000-0000-0000E8300000}"/>
    <cellStyle name="표준 23 3 6 3 4 2 3" xfId="12551" xr:uid="{00000000-0005-0000-0000-0000E9300000}"/>
    <cellStyle name="표준 23 3 6 3 4 2 3 2" xfId="12552" xr:uid="{00000000-0005-0000-0000-0000EA300000}"/>
    <cellStyle name="표준 23 3 6 3 4 2 4" xfId="12553" xr:uid="{00000000-0005-0000-0000-0000EB300000}"/>
    <cellStyle name="표준 23 3 6 3 4 3" xfId="12554" xr:uid="{00000000-0005-0000-0000-0000EC300000}"/>
    <cellStyle name="표준 23 3 6 3 4 3 2" xfId="12555" xr:uid="{00000000-0005-0000-0000-0000ED300000}"/>
    <cellStyle name="표준 23 3 6 3 4 3 2 2" xfId="12556" xr:uid="{00000000-0005-0000-0000-0000EE300000}"/>
    <cellStyle name="표준 23 3 6 3 4 3 3" xfId="12557" xr:uid="{00000000-0005-0000-0000-0000EF300000}"/>
    <cellStyle name="표준 23 3 6 3 4 4" xfId="12558" xr:uid="{00000000-0005-0000-0000-0000F0300000}"/>
    <cellStyle name="표준 23 3 6 3 4 4 2" xfId="12559" xr:uid="{00000000-0005-0000-0000-0000F1300000}"/>
    <cellStyle name="표준 23 3 6 3 4 5" xfId="12560" xr:uid="{00000000-0005-0000-0000-0000F2300000}"/>
    <cellStyle name="표준 23 3 6 3 5" xfId="12561" xr:uid="{00000000-0005-0000-0000-0000F3300000}"/>
    <cellStyle name="표준 23 3 6 3 5 2" xfId="12562" xr:uid="{00000000-0005-0000-0000-0000F4300000}"/>
    <cellStyle name="표준 23 3 6 3 5 2 2" xfId="12563" xr:uid="{00000000-0005-0000-0000-0000F5300000}"/>
    <cellStyle name="표준 23 3 6 3 5 2 2 2" xfId="12564" xr:uid="{00000000-0005-0000-0000-0000F6300000}"/>
    <cellStyle name="표준 23 3 6 3 5 2 3" xfId="12565" xr:uid="{00000000-0005-0000-0000-0000F7300000}"/>
    <cellStyle name="표준 23 3 6 3 5 3" xfId="12566" xr:uid="{00000000-0005-0000-0000-0000F8300000}"/>
    <cellStyle name="표준 23 3 6 3 5 3 2" xfId="12567" xr:uid="{00000000-0005-0000-0000-0000F9300000}"/>
    <cellStyle name="표준 23 3 6 3 5 4" xfId="12568" xr:uid="{00000000-0005-0000-0000-0000FA300000}"/>
    <cellStyle name="표준 23 3 6 3 6" xfId="12569" xr:uid="{00000000-0005-0000-0000-0000FB300000}"/>
    <cellStyle name="표준 23 3 6 3 6 2" xfId="12570" xr:uid="{00000000-0005-0000-0000-0000FC300000}"/>
    <cellStyle name="표준 23 3 6 3 6 2 2" xfId="12571" xr:uid="{00000000-0005-0000-0000-0000FD300000}"/>
    <cellStyle name="표준 23 3 6 3 6 3" xfId="12572" xr:uid="{00000000-0005-0000-0000-0000FE300000}"/>
    <cellStyle name="표준 23 3 6 3 7" xfId="12573" xr:uid="{00000000-0005-0000-0000-0000FF300000}"/>
    <cellStyle name="표준 23 3 6 3 7 2" xfId="12574" xr:uid="{00000000-0005-0000-0000-000000310000}"/>
    <cellStyle name="표준 23 3 6 3 8" xfId="12575" xr:uid="{00000000-0005-0000-0000-000001310000}"/>
    <cellStyle name="표준 23 3 6 3 9" xfId="12576" xr:uid="{00000000-0005-0000-0000-000002310000}"/>
    <cellStyle name="표준 23 3 6 4" xfId="12577" xr:uid="{00000000-0005-0000-0000-000003310000}"/>
    <cellStyle name="표준 23 3 6 4 2" xfId="12578" xr:uid="{00000000-0005-0000-0000-000004310000}"/>
    <cellStyle name="표준 23 3 6 4 2 2" xfId="12579" xr:uid="{00000000-0005-0000-0000-000005310000}"/>
    <cellStyle name="표준 23 3 6 4 2 2 2" xfId="12580" xr:uid="{00000000-0005-0000-0000-000006310000}"/>
    <cellStyle name="표준 23 3 6 4 2 2 2 2" xfId="12581" xr:uid="{00000000-0005-0000-0000-000007310000}"/>
    <cellStyle name="표준 23 3 6 4 2 2 2 2 2" xfId="12582" xr:uid="{00000000-0005-0000-0000-000008310000}"/>
    <cellStyle name="표준 23 3 6 4 2 2 2 2 2 2" xfId="12583" xr:uid="{00000000-0005-0000-0000-000009310000}"/>
    <cellStyle name="표준 23 3 6 4 2 2 2 2 3" xfId="12584" xr:uid="{00000000-0005-0000-0000-00000A310000}"/>
    <cellStyle name="표준 23 3 6 4 2 2 2 3" xfId="12585" xr:uid="{00000000-0005-0000-0000-00000B310000}"/>
    <cellStyle name="표준 23 3 6 4 2 2 2 3 2" xfId="12586" xr:uid="{00000000-0005-0000-0000-00000C310000}"/>
    <cellStyle name="표준 23 3 6 4 2 2 2 4" xfId="12587" xr:uid="{00000000-0005-0000-0000-00000D310000}"/>
    <cellStyle name="표준 23 3 6 4 2 2 3" xfId="12588" xr:uid="{00000000-0005-0000-0000-00000E310000}"/>
    <cellStyle name="표준 23 3 6 4 2 2 3 2" xfId="12589" xr:uid="{00000000-0005-0000-0000-00000F310000}"/>
    <cellStyle name="표준 23 3 6 4 2 2 3 2 2" xfId="12590" xr:uid="{00000000-0005-0000-0000-000010310000}"/>
    <cellStyle name="표준 23 3 6 4 2 2 3 3" xfId="12591" xr:uid="{00000000-0005-0000-0000-000011310000}"/>
    <cellStyle name="표준 23 3 6 4 2 2 4" xfId="12592" xr:uid="{00000000-0005-0000-0000-000012310000}"/>
    <cellStyle name="표준 23 3 6 4 2 2 4 2" xfId="12593" xr:uid="{00000000-0005-0000-0000-000013310000}"/>
    <cellStyle name="표준 23 3 6 4 2 2 5" xfId="12594" xr:uid="{00000000-0005-0000-0000-000014310000}"/>
    <cellStyle name="표준 23 3 6 4 2 3" xfId="12595" xr:uid="{00000000-0005-0000-0000-000015310000}"/>
    <cellStyle name="표준 23 3 6 4 2 3 2" xfId="12596" xr:uid="{00000000-0005-0000-0000-000016310000}"/>
    <cellStyle name="표준 23 3 6 4 2 3 2 2" xfId="12597" xr:uid="{00000000-0005-0000-0000-000017310000}"/>
    <cellStyle name="표준 23 3 6 4 2 3 2 2 2" xfId="12598" xr:uid="{00000000-0005-0000-0000-000018310000}"/>
    <cellStyle name="표준 23 3 6 4 2 3 2 3" xfId="12599" xr:uid="{00000000-0005-0000-0000-000019310000}"/>
    <cellStyle name="표준 23 3 6 4 2 3 3" xfId="12600" xr:uid="{00000000-0005-0000-0000-00001A310000}"/>
    <cellStyle name="표준 23 3 6 4 2 3 3 2" xfId="12601" xr:uid="{00000000-0005-0000-0000-00001B310000}"/>
    <cellStyle name="표준 23 3 6 4 2 3 4" xfId="12602" xr:uid="{00000000-0005-0000-0000-00001C310000}"/>
    <cellStyle name="표준 23 3 6 4 2 4" xfId="12603" xr:uid="{00000000-0005-0000-0000-00001D310000}"/>
    <cellStyle name="표준 23 3 6 4 2 4 2" xfId="12604" xr:uid="{00000000-0005-0000-0000-00001E310000}"/>
    <cellStyle name="표준 23 3 6 4 2 4 2 2" xfId="12605" xr:uid="{00000000-0005-0000-0000-00001F310000}"/>
    <cellStyle name="표준 23 3 6 4 2 4 3" xfId="12606" xr:uid="{00000000-0005-0000-0000-000020310000}"/>
    <cellStyle name="표준 23 3 6 4 2 5" xfId="12607" xr:uid="{00000000-0005-0000-0000-000021310000}"/>
    <cellStyle name="표준 23 3 6 4 2 5 2" xfId="12608" xr:uid="{00000000-0005-0000-0000-000022310000}"/>
    <cellStyle name="표준 23 3 6 4 2 6" xfId="12609" xr:uid="{00000000-0005-0000-0000-000023310000}"/>
    <cellStyle name="표준 23 3 6 4 3" xfId="12610" xr:uid="{00000000-0005-0000-0000-000024310000}"/>
    <cellStyle name="표준 23 3 6 4 3 2" xfId="12611" xr:uid="{00000000-0005-0000-0000-000025310000}"/>
    <cellStyle name="표준 23 3 6 4 3 2 2" xfId="12612" xr:uid="{00000000-0005-0000-0000-000026310000}"/>
    <cellStyle name="표준 23 3 6 4 3 2 2 2" xfId="12613" xr:uid="{00000000-0005-0000-0000-000027310000}"/>
    <cellStyle name="표준 23 3 6 4 3 2 2 2 2" xfId="12614" xr:uid="{00000000-0005-0000-0000-000028310000}"/>
    <cellStyle name="표준 23 3 6 4 3 2 2 3" xfId="12615" xr:uid="{00000000-0005-0000-0000-000029310000}"/>
    <cellStyle name="표준 23 3 6 4 3 2 3" xfId="12616" xr:uid="{00000000-0005-0000-0000-00002A310000}"/>
    <cellStyle name="표준 23 3 6 4 3 2 3 2" xfId="12617" xr:uid="{00000000-0005-0000-0000-00002B310000}"/>
    <cellStyle name="표준 23 3 6 4 3 2 4" xfId="12618" xr:uid="{00000000-0005-0000-0000-00002C310000}"/>
    <cellStyle name="표준 23 3 6 4 3 3" xfId="12619" xr:uid="{00000000-0005-0000-0000-00002D310000}"/>
    <cellStyle name="표준 23 3 6 4 3 3 2" xfId="12620" xr:uid="{00000000-0005-0000-0000-00002E310000}"/>
    <cellStyle name="표준 23 3 6 4 3 3 2 2" xfId="12621" xr:uid="{00000000-0005-0000-0000-00002F310000}"/>
    <cellStyle name="표준 23 3 6 4 3 3 3" xfId="12622" xr:uid="{00000000-0005-0000-0000-000030310000}"/>
    <cellStyle name="표준 23 3 6 4 3 4" xfId="12623" xr:uid="{00000000-0005-0000-0000-000031310000}"/>
    <cellStyle name="표준 23 3 6 4 3 4 2" xfId="12624" xr:uid="{00000000-0005-0000-0000-000032310000}"/>
    <cellStyle name="표준 23 3 6 4 3 5" xfId="12625" xr:uid="{00000000-0005-0000-0000-000033310000}"/>
    <cellStyle name="표준 23 3 6 4 4" xfId="12626" xr:uid="{00000000-0005-0000-0000-000034310000}"/>
    <cellStyle name="표준 23 3 6 4 4 2" xfId="12627" xr:uid="{00000000-0005-0000-0000-000035310000}"/>
    <cellStyle name="표준 23 3 6 4 4 2 2" xfId="12628" xr:uid="{00000000-0005-0000-0000-000036310000}"/>
    <cellStyle name="표준 23 3 6 4 4 2 2 2" xfId="12629" xr:uid="{00000000-0005-0000-0000-000037310000}"/>
    <cellStyle name="표준 23 3 6 4 4 2 3" xfId="12630" xr:uid="{00000000-0005-0000-0000-000038310000}"/>
    <cellStyle name="표준 23 3 6 4 4 3" xfId="12631" xr:uid="{00000000-0005-0000-0000-000039310000}"/>
    <cellStyle name="표준 23 3 6 4 4 3 2" xfId="12632" xr:uid="{00000000-0005-0000-0000-00003A310000}"/>
    <cellStyle name="표준 23 3 6 4 4 4" xfId="12633" xr:uid="{00000000-0005-0000-0000-00003B310000}"/>
    <cellStyle name="표준 23 3 6 4 5" xfId="12634" xr:uid="{00000000-0005-0000-0000-00003C310000}"/>
    <cellStyle name="표준 23 3 6 4 5 2" xfId="12635" xr:uid="{00000000-0005-0000-0000-00003D310000}"/>
    <cellStyle name="표준 23 3 6 4 5 2 2" xfId="12636" xr:uid="{00000000-0005-0000-0000-00003E310000}"/>
    <cellStyle name="표준 23 3 6 4 5 3" xfId="12637" xr:uid="{00000000-0005-0000-0000-00003F310000}"/>
    <cellStyle name="표준 23 3 6 4 6" xfId="12638" xr:uid="{00000000-0005-0000-0000-000040310000}"/>
    <cellStyle name="표준 23 3 6 4 6 2" xfId="12639" xr:uid="{00000000-0005-0000-0000-000041310000}"/>
    <cellStyle name="표준 23 3 6 4 7" xfId="12640" xr:uid="{00000000-0005-0000-0000-000042310000}"/>
    <cellStyle name="표준 23 3 6 4 8" xfId="12641" xr:uid="{00000000-0005-0000-0000-000043310000}"/>
    <cellStyle name="표준 23 3 6 5" xfId="12642" xr:uid="{00000000-0005-0000-0000-000044310000}"/>
    <cellStyle name="표준 23 3 6 5 2" xfId="12643" xr:uid="{00000000-0005-0000-0000-000045310000}"/>
    <cellStyle name="표준 23 3 6 5 2 2" xfId="12644" xr:uid="{00000000-0005-0000-0000-000046310000}"/>
    <cellStyle name="표준 23 3 6 5 2 2 2" xfId="12645" xr:uid="{00000000-0005-0000-0000-000047310000}"/>
    <cellStyle name="표준 23 3 6 5 2 2 2 2" xfId="12646" xr:uid="{00000000-0005-0000-0000-000048310000}"/>
    <cellStyle name="표준 23 3 6 5 2 2 2 2 2" xfId="12647" xr:uid="{00000000-0005-0000-0000-000049310000}"/>
    <cellStyle name="표준 23 3 6 5 2 2 2 3" xfId="12648" xr:uid="{00000000-0005-0000-0000-00004A310000}"/>
    <cellStyle name="표준 23 3 6 5 2 2 3" xfId="12649" xr:uid="{00000000-0005-0000-0000-00004B310000}"/>
    <cellStyle name="표준 23 3 6 5 2 2 3 2" xfId="12650" xr:uid="{00000000-0005-0000-0000-00004C310000}"/>
    <cellStyle name="표준 23 3 6 5 2 2 4" xfId="12651" xr:uid="{00000000-0005-0000-0000-00004D310000}"/>
    <cellStyle name="표준 23 3 6 5 2 3" xfId="12652" xr:uid="{00000000-0005-0000-0000-00004E310000}"/>
    <cellStyle name="표준 23 3 6 5 2 3 2" xfId="12653" xr:uid="{00000000-0005-0000-0000-00004F310000}"/>
    <cellStyle name="표준 23 3 6 5 2 3 2 2" xfId="12654" xr:uid="{00000000-0005-0000-0000-000050310000}"/>
    <cellStyle name="표준 23 3 6 5 2 3 3" xfId="12655" xr:uid="{00000000-0005-0000-0000-000051310000}"/>
    <cellStyle name="표준 23 3 6 5 2 4" xfId="12656" xr:uid="{00000000-0005-0000-0000-000052310000}"/>
    <cellStyle name="표준 23 3 6 5 2 4 2" xfId="12657" xr:uid="{00000000-0005-0000-0000-000053310000}"/>
    <cellStyle name="표준 23 3 6 5 2 5" xfId="12658" xr:uid="{00000000-0005-0000-0000-000054310000}"/>
    <cellStyle name="표준 23 3 6 5 3" xfId="12659" xr:uid="{00000000-0005-0000-0000-000055310000}"/>
    <cellStyle name="표준 23 3 6 5 3 2" xfId="12660" xr:uid="{00000000-0005-0000-0000-000056310000}"/>
    <cellStyle name="표준 23 3 6 5 3 2 2" xfId="12661" xr:uid="{00000000-0005-0000-0000-000057310000}"/>
    <cellStyle name="표준 23 3 6 5 3 2 2 2" xfId="12662" xr:uid="{00000000-0005-0000-0000-000058310000}"/>
    <cellStyle name="표준 23 3 6 5 3 2 3" xfId="12663" xr:uid="{00000000-0005-0000-0000-000059310000}"/>
    <cellStyle name="표준 23 3 6 5 3 3" xfId="12664" xr:uid="{00000000-0005-0000-0000-00005A310000}"/>
    <cellStyle name="표준 23 3 6 5 3 3 2" xfId="12665" xr:uid="{00000000-0005-0000-0000-00005B310000}"/>
    <cellStyle name="표준 23 3 6 5 3 4" xfId="12666" xr:uid="{00000000-0005-0000-0000-00005C310000}"/>
    <cellStyle name="표준 23 3 6 5 4" xfId="12667" xr:uid="{00000000-0005-0000-0000-00005D310000}"/>
    <cellStyle name="표준 23 3 6 5 4 2" xfId="12668" xr:uid="{00000000-0005-0000-0000-00005E310000}"/>
    <cellStyle name="표준 23 3 6 5 4 2 2" xfId="12669" xr:uid="{00000000-0005-0000-0000-00005F310000}"/>
    <cellStyle name="표준 23 3 6 5 4 3" xfId="12670" xr:uid="{00000000-0005-0000-0000-000060310000}"/>
    <cellStyle name="표준 23 3 6 5 5" xfId="12671" xr:uid="{00000000-0005-0000-0000-000061310000}"/>
    <cellStyle name="표준 23 3 6 5 5 2" xfId="12672" xr:uid="{00000000-0005-0000-0000-000062310000}"/>
    <cellStyle name="표준 23 3 6 5 6" xfId="12673" xr:uid="{00000000-0005-0000-0000-000063310000}"/>
    <cellStyle name="표준 23 3 6 6" xfId="12674" xr:uid="{00000000-0005-0000-0000-000064310000}"/>
    <cellStyle name="표준 23 3 6 6 2" xfId="12675" xr:uid="{00000000-0005-0000-0000-000065310000}"/>
    <cellStyle name="표준 23 3 6 6 2 2" xfId="12676" xr:uid="{00000000-0005-0000-0000-000066310000}"/>
    <cellStyle name="표준 23 3 6 6 2 2 2" xfId="12677" xr:uid="{00000000-0005-0000-0000-000067310000}"/>
    <cellStyle name="표준 23 3 6 6 2 2 2 2" xfId="12678" xr:uid="{00000000-0005-0000-0000-000068310000}"/>
    <cellStyle name="표준 23 3 6 6 2 2 3" xfId="12679" xr:uid="{00000000-0005-0000-0000-000069310000}"/>
    <cellStyle name="표준 23 3 6 6 2 3" xfId="12680" xr:uid="{00000000-0005-0000-0000-00006A310000}"/>
    <cellStyle name="표준 23 3 6 6 2 3 2" xfId="12681" xr:uid="{00000000-0005-0000-0000-00006B310000}"/>
    <cellStyle name="표준 23 3 6 6 2 4" xfId="12682" xr:uid="{00000000-0005-0000-0000-00006C310000}"/>
    <cellStyle name="표준 23 3 6 6 3" xfId="12683" xr:uid="{00000000-0005-0000-0000-00006D310000}"/>
    <cellStyle name="표준 23 3 6 6 3 2" xfId="12684" xr:uid="{00000000-0005-0000-0000-00006E310000}"/>
    <cellStyle name="표준 23 3 6 6 3 2 2" xfId="12685" xr:uid="{00000000-0005-0000-0000-00006F310000}"/>
    <cellStyle name="표준 23 3 6 6 3 3" xfId="12686" xr:uid="{00000000-0005-0000-0000-000070310000}"/>
    <cellStyle name="표준 23 3 6 6 4" xfId="12687" xr:uid="{00000000-0005-0000-0000-000071310000}"/>
    <cellStyle name="표준 23 3 6 6 4 2" xfId="12688" xr:uid="{00000000-0005-0000-0000-000072310000}"/>
    <cellStyle name="표준 23 3 6 6 5" xfId="12689" xr:uid="{00000000-0005-0000-0000-000073310000}"/>
    <cellStyle name="표준 23 3 6 7" xfId="12690" xr:uid="{00000000-0005-0000-0000-000074310000}"/>
    <cellStyle name="표준 23 3 6 7 2" xfId="12691" xr:uid="{00000000-0005-0000-0000-000075310000}"/>
    <cellStyle name="표준 23 3 6 7 2 2" xfId="12692" xr:uid="{00000000-0005-0000-0000-000076310000}"/>
    <cellStyle name="표준 23 3 6 7 2 2 2" xfId="12693" xr:uid="{00000000-0005-0000-0000-000077310000}"/>
    <cellStyle name="표준 23 3 6 7 2 3" xfId="12694" xr:uid="{00000000-0005-0000-0000-000078310000}"/>
    <cellStyle name="표준 23 3 6 7 3" xfId="12695" xr:uid="{00000000-0005-0000-0000-000079310000}"/>
    <cellStyle name="표준 23 3 6 7 3 2" xfId="12696" xr:uid="{00000000-0005-0000-0000-00007A310000}"/>
    <cellStyle name="표준 23 3 6 7 4" xfId="12697" xr:uid="{00000000-0005-0000-0000-00007B310000}"/>
    <cellStyle name="표준 23 3 6 8" xfId="12698" xr:uid="{00000000-0005-0000-0000-00007C310000}"/>
    <cellStyle name="표준 23 3 6 8 2" xfId="12699" xr:uid="{00000000-0005-0000-0000-00007D310000}"/>
    <cellStyle name="표준 23 3 6 8 2 2" xfId="12700" xr:uid="{00000000-0005-0000-0000-00007E310000}"/>
    <cellStyle name="표준 23 3 6 8 3" xfId="12701" xr:uid="{00000000-0005-0000-0000-00007F310000}"/>
    <cellStyle name="표준 23 3 6 9" xfId="12702" xr:uid="{00000000-0005-0000-0000-000080310000}"/>
    <cellStyle name="표준 23 3 6 9 2" xfId="12703" xr:uid="{00000000-0005-0000-0000-000081310000}"/>
    <cellStyle name="표준 23 3 7" xfId="12704" xr:uid="{00000000-0005-0000-0000-000082310000}"/>
    <cellStyle name="표준 23 3 7 10" xfId="12705" xr:uid="{00000000-0005-0000-0000-000083310000}"/>
    <cellStyle name="표준 23 3 7 2" xfId="12706" xr:uid="{00000000-0005-0000-0000-000084310000}"/>
    <cellStyle name="표준 23 3 7 2 2" xfId="12707" xr:uid="{00000000-0005-0000-0000-000085310000}"/>
    <cellStyle name="표준 23 3 7 2 2 2" xfId="12708" xr:uid="{00000000-0005-0000-0000-000086310000}"/>
    <cellStyle name="표준 23 3 7 2 2 2 2" xfId="12709" xr:uid="{00000000-0005-0000-0000-000087310000}"/>
    <cellStyle name="표준 23 3 7 2 2 2 2 2" xfId="12710" xr:uid="{00000000-0005-0000-0000-000088310000}"/>
    <cellStyle name="표준 23 3 7 2 2 2 2 2 2" xfId="12711" xr:uid="{00000000-0005-0000-0000-000089310000}"/>
    <cellStyle name="표준 23 3 7 2 2 2 2 2 2 2" xfId="12712" xr:uid="{00000000-0005-0000-0000-00008A310000}"/>
    <cellStyle name="표준 23 3 7 2 2 2 2 2 2 2 2" xfId="12713" xr:uid="{00000000-0005-0000-0000-00008B310000}"/>
    <cellStyle name="표준 23 3 7 2 2 2 2 2 2 3" xfId="12714" xr:uid="{00000000-0005-0000-0000-00008C310000}"/>
    <cellStyle name="표준 23 3 7 2 2 2 2 2 3" xfId="12715" xr:uid="{00000000-0005-0000-0000-00008D310000}"/>
    <cellStyle name="표준 23 3 7 2 2 2 2 2 3 2" xfId="12716" xr:uid="{00000000-0005-0000-0000-00008E310000}"/>
    <cellStyle name="표준 23 3 7 2 2 2 2 2 4" xfId="12717" xr:uid="{00000000-0005-0000-0000-00008F310000}"/>
    <cellStyle name="표준 23 3 7 2 2 2 2 3" xfId="12718" xr:uid="{00000000-0005-0000-0000-000090310000}"/>
    <cellStyle name="표준 23 3 7 2 2 2 2 3 2" xfId="12719" xr:uid="{00000000-0005-0000-0000-000091310000}"/>
    <cellStyle name="표준 23 3 7 2 2 2 2 3 2 2" xfId="12720" xr:uid="{00000000-0005-0000-0000-000092310000}"/>
    <cellStyle name="표준 23 3 7 2 2 2 2 3 3" xfId="12721" xr:uid="{00000000-0005-0000-0000-000093310000}"/>
    <cellStyle name="표준 23 3 7 2 2 2 2 4" xfId="12722" xr:uid="{00000000-0005-0000-0000-000094310000}"/>
    <cellStyle name="표준 23 3 7 2 2 2 2 4 2" xfId="12723" xr:uid="{00000000-0005-0000-0000-000095310000}"/>
    <cellStyle name="표준 23 3 7 2 2 2 2 5" xfId="12724" xr:uid="{00000000-0005-0000-0000-000096310000}"/>
    <cellStyle name="표준 23 3 7 2 2 2 3" xfId="12725" xr:uid="{00000000-0005-0000-0000-000097310000}"/>
    <cellStyle name="표준 23 3 7 2 2 2 3 2" xfId="12726" xr:uid="{00000000-0005-0000-0000-000098310000}"/>
    <cellStyle name="표준 23 3 7 2 2 2 3 2 2" xfId="12727" xr:uid="{00000000-0005-0000-0000-000099310000}"/>
    <cellStyle name="표준 23 3 7 2 2 2 3 2 2 2" xfId="12728" xr:uid="{00000000-0005-0000-0000-00009A310000}"/>
    <cellStyle name="표준 23 3 7 2 2 2 3 2 3" xfId="12729" xr:uid="{00000000-0005-0000-0000-00009B310000}"/>
    <cellStyle name="표준 23 3 7 2 2 2 3 3" xfId="12730" xr:uid="{00000000-0005-0000-0000-00009C310000}"/>
    <cellStyle name="표준 23 3 7 2 2 2 3 3 2" xfId="12731" xr:uid="{00000000-0005-0000-0000-00009D310000}"/>
    <cellStyle name="표준 23 3 7 2 2 2 3 4" xfId="12732" xr:uid="{00000000-0005-0000-0000-00009E310000}"/>
    <cellStyle name="표준 23 3 7 2 2 2 4" xfId="12733" xr:uid="{00000000-0005-0000-0000-00009F310000}"/>
    <cellStyle name="표준 23 3 7 2 2 2 4 2" xfId="12734" xr:uid="{00000000-0005-0000-0000-0000A0310000}"/>
    <cellStyle name="표준 23 3 7 2 2 2 4 2 2" xfId="12735" xr:uid="{00000000-0005-0000-0000-0000A1310000}"/>
    <cellStyle name="표준 23 3 7 2 2 2 4 3" xfId="12736" xr:uid="{00000000-0005-0000-0000-0000A2310000}"/>
    <cellStyle name="표준 23 3 7 2 2 2 5" xfId="12737" xr:uid="{00000000-0005-0000-0000-0000A3310000}"/>
    <cellStyle name="표준 23 3 7 2 2 2 5 2" xfId="12738" xr:uid="{00000000-0005-0000-0000-0000A4310000}"/>
    <cellStyle name="표준 23 3 7 2 2 2 6" xfId="12739" xr:uid="{00000000-0005-0000-0000-0000A5310000}"/>
    <cellStyle name="표준 23 3 7 2 2 3" xfId="12740" xr:uid="{00000000-0005-0000-0000-0000A6310000}"/>
    <cellStyle name="표준 23 3 7 2 2 3 2" xfId="12741" xr:uid="{00000000-0005-0000-0000-0000A7310000}"/>
    <cellStyle name="표준 23 3 7 2 2 3 2 2" xfId="12742" xr:uid="{00000000-0005-0000-0000-0000A8310000}"/>
    <cellStyle name="표준 23 3 7 2 2 3 2 2 2" xfId="12743" xr:uid="{00000000-0005-0000-0000-0000A9310000}"/>
    <cellStyle name="표준 23 3 7 2 2 3 2 2 2 2" xfId="12744" xr:uid="{00000000-0005-0000-0000-0000AA310000}"/>
    <cellStyle name="표준 23 3 7 2 2 3 2 2 3" xfId="12745" xr:uid="{00000000-0005-0000-0000-0000AB310000}"/>
    <cellStyle name="표준 23 3 7 2 2 3 2 3" xfId="12746" xr:uid="{00000000-0005-0000-0000-0000AC310000}"/>
    <cellStyle name="표준 23 3 7 2 2 3 2 3 2" xfId="12747" xr:uid="{00000000-0005-0000-0000-0000AD310000}"/>
    <cellStyle name="표준 23 3 7 2 2 3 2 4" xfId="12748" xr:uid="{00000000-0005-0000-0000-0000AE310000}"/>
    <cellStyle name="표준 23 3 7 2 2 3 3" xfId="12749" xr:uid="{00000000-0005-0000-0000-0000AF310000}"/>
    <cellStyle name="표준 23 3 7 2 2 3 3 2" xfId="12750" xr:uid="{00000000-0005-0000-0000-0000B0310000}"/>
    <cellStyle name="표준 23 3 7 2 2 3 3 2 2" xfId="12751" xr:uid="{00000000-0005-0000-0000-0000B1310000}"/>
    <cellStyle name="표준 23 3 7 2 2 3 3 3" xfId="12752" xr:uid="{00000000-0005-0000-0000-0000B2310000}"/>
    <cellStyle name="표준 23 3 7 2 2 3 4" xfId="12753" xr:uid="{00000000-0005-0000-0000-0000B3310000}"/>
    <cellStyle name="표준 23 3 7 2 2 3 4 2" xfId="12754" xr:uid="{00000000-0005-0000-0000-0000B4310000}"/>
    <cellStyle name="표준 23 3 7 2 2 3 5" xfId="12755" xr:uid="{00000000-0005-0000-0000-0000B5310000}"/>
    <cellStyle name="표준 23 3 7 2 2 4" xfId="12756" xr:uid="{00000000-0005-0000-0000-0000B6310000}"/>
    <cellStyle name="표준 23 3 7 2 2 4 2" xfId="12757" xr:uid="{00000000-0005-0000-0000-0000B7310000}"/>
    <cellStyle name="표준 23 3 7 2 2 4 2 2" xfId="12758" xr:uid="{00000000-0005-0000-0000-0000B8310000}"/>
    <cellStyle name="표준 23 3 7 2 2 4 2 2 2" xfId="12759" xr:uid="{00000000-0005-0000-0000-0000B9310000}"/>
    <cellStyle name="표준 23 3 7 2 2 4 2 3" xfId="12760" xr:uid="{00000000-0005-0000-0000-0000BA310000}"/>
    <cellStyle name="표준 23 3 7 2 2 4 3" xfId="12761" xr:uid="{00000000-0005-0000-0000-0000BB310000}"/>
    <cellStyle name="표준 23 3 7 2 2 4 3 2" xfId="12762" xr:uid="{00000000-0005-0000-0000-0000BC310000}"/>
    <cellStyle name="표준 23 3 7 2 2 4 4" xfId="12763" xr:uid="{00000000-0005-0000-0000-0000BD310000}"/>
    <cellStyle name="표준 23 3 7 2 2 5" xfId="12764" xr:uid="{00000000-0005-0000-0000-0000BE310000}"/>
    <cellStyle name="표준 23 3 7 2 2 5 2" xfId="12765" xr:uid="{00000000-0005-0000-0000-0000BF310000}"/>
    <cellStyle name="표준 23 3 7 2 2 5 2 2" xfId="12766" xr:uid="{00000000-0005-0000-0000-0000C0310000}"/>
    <cellStyle name="표준 23 3 7 2 2 5 3" xfId="12767" xr:uid="{00000000-0005-0000-0000-0000C1310000}"/>
    <cellStyle name="표준 23 3 7 2 2 6" xfId="12768" xr:uid="{00000000-0005-0000-0000-0000C2310000}"/>
    <cellStyle name="표준 23 3 7 2 2 6 2" xfId="12769" xr:uid="{00000000-0005-0000-0000-0000C3310000}"/>
    <cellStyle name="표준 23 3 7 2 2 7" xfId="12770" xr:uid="{00000000-0005-0000-0000-0000C4310000}"/>
    <cellStyle name="표준 23 3 7 2 2 8" xfId="12771" xr:uid="{00000000-0005-0000-0000-0000C5310000}"/>
    <cellStyle name="표준 23 3 7 2 3" xfId="12772" xr:uid="{00000000-0005-0000-0000-0000C6310000}"/>
    <cellStyle name="표준 23 3 7 2 3 2" xfId="12773" xr:uid="{00000000-0005-0000-0000-0000C7310000}"/>
    <cellStyle name="표준 23 3 7 2 3 2 2" xfId="12774" xr:uid="{00000000-0005-0000-0000-0000C8310000}"/>
    <cellStyle name="표준 23 3 7 2 3 2 2 2" xfId="12775" xr:uid="{00000000-0005-0000-0000-0000C9310000}"/>
    <cellStyle name="표준 23 3 7 2 3 2 2 2 2" xfId="12776" xr:uid="{00000000-0005-0000-0000-0000CA310000}"/>
    <cellStyle name="표준 23 3 7 2 3 2 2 2 2 2" xfId="12777" xr:uid="{00000000-0005-0000-0000-0000CB310000}"/>
    <cellStyle name="표준 23 3 7 2 3 2 2 2 3" xfId="12778" xr:uid="{00000000-0005-0000-0000-0000CC310000}"/>
    <cellStyle name="표준 23 3 7 2 3 2 2 3" xfId="12779" xr:uid="{00000000-0005-0000-0000-0000CD310000}"/>
    <cellStyle name="표준 23 3 7 2 3 2 2 3 2" xfId="12780" xr:uid="{00000000-0005-0000-0000-0000CE310000}"/>
    <cellStyle name="표준 23 3 7 2 3 2 2 4" xfId="12781" xr:uid="{00000000-0005-0000-0000-0000CF310000}"/>
    <cellStyle name="표준 23 3 7 2 3 2 3" xfId="12782" xr:uid="{00000000-0005-0000-0000-0000D0310000}"/>
    <cellStyle name="표준 23 3 7 2 3 2 3 2" xfId="12783" xr:uid="{00000000-0005-0000-0000-0000D1310000}"/>
    <cellStyle name="표준 23 3 7 2 3 2 3 2 2" xfId="12784" xr:uid="{00000000-0005-0000-0000-0000D2310000}"/>
    <cellStyle name="표준 23 3 7 2 3 2 3 3" xfId="12785" xr:uid="{00000000-0005-0000-0000-0000D3310000}"/>
    <cellStyle name="표준 23 3 7 2 3 2 4" xfId="12786" xr:uid="{00000000-0005-0000-0000-0000D4310000}"/>
    <cellStyle name="표준 23 3 7 2 3 2 4 2" xfId="12787" xr:uid="{00000000-0005-0000-0000-0000D5310000}"/>
    <cellStyle name="표준 23 3 7 2 3 2 5" xfId="12788" xr:uid="{00000000-0005-0000-0000-0000D6310000}"/>
    <cellStyle name="표준 23 3 7 2 3 3" xfId="12789" xr:uid="{00000000-0005-0000-0000-0000D7310000}"/>
    <cellStyle name="표준 23 3 7 2 3 3 2" xfId="12790" xr:uid="{00000000-0005-0000-0000-0000D8310000}"/>
    <cellStyle name="표준 23 3 7 2 3 3 2 2" xfId="12791" xr:uid="{00000000-0005-0000-0000-0000D9310000}"/>
    <cellStyle name="표준 23 3 7 2 3 3 2 2 2" xfId="12792" xr:uid="{00000000-0005-0000-0000-0000DA310000}"/>
    <cellStyle name="표준 23 3 7 2 3 3 2 3" xfId="12793" xr:uid="{00000000-0005-0000-0000-0000DB310000}"/>
    <cellStyle name="표준 23 3 7 2 3 3 3" xfId="12794" xr:uid="{00000000-0005-0000-0000-0000DC310000}"/>
    <cellStyle name="표준 23 3 7 2 3 3 3 2" xfId="12795" xr:uid="{00000000-0005-0000-0000-0000DD310000}"/>
    <cellStyle name="표준 23 3 7 2 3 3 4" xfId="12796" xr:uid="{00000000-0005-0000-0000-0000DE310000}"/>
    <cellStyle name="표준 23 3 7 2 3 4" xfId="12797" xr:uid="{00000000-0005-0000-0000-0000DF310000}"/>
    <cellStyle name="표준 23 3 7 2 3 4 2" xfId="12798" xr:uid="{00000000-0005-0000-0000-0000E0310000}"/>
    <cellStyle name="표준 23 3 7 2 3 4 2 2" xfId="12799" xr:uid="{00000000-0005-0000-0000-0000E1310000}"/>
    <cellStyle name="표준 23 3 7 2 3 4 3" xfId="12800" xr:uid="{00000000-0005-0000-0000-0000E2310000}"/>
    <cellStyle name="표준 23 3 7 2 3 5" xfId="12801" xr:uid="{00000000-0005-0000-0000-0000E3310000}"/>
    <cellStyle name="표준 23 3 7 2 3 5 2" xfId="12802" xr:uid="{00000000-0005-0000-0000-0000E4310000}"/>
    <cellStyle name="표준 23 3 7 2 3 6" xfId="12803" xr:uid="{00000000-0005-0000-0000-0000E5310000}"/>
    <cellStyle name="표준 23 3 7 2 4" xfId="12804" xr:uid="{00000000-0005-0000-0000-0000E6310000}"/>
    <cellStyle name="표준 23 3 7 2 4 2" xfId="12805" xr:uid="{00000000-0005-0000-0000-0000E7310000}"/>
    <cellStyle name="표준 23 3 7 2 4 2 2" xfId="12806" xr:uid="{00000000-0005-0000-0000-0000E8310000}"/>
    <cellStyle name="표준 23 3 7 2 4 2 2 2" xfId="12807" xr:uid="{00000000-0005-0000-0000-0000E9310000}"/>
    <cellStyle name="표준 23 3 7 2 4 2 2 2 2" xfId="12808" xr:uid="{00000000-0005-0000-0000-0000EA310000}"/>
    <cellStyle name="표준 23 3 7 2 4 2 2 3" xfId="12809" xr:uid="{00000000-0005-0000-0000-0000EB310000}"/>
    <cellStyle name="표준 23 3 7 2 4 2 3" xfId="12810" xr:uid="{00000000-0005-0000-0000-0000EC310000}"/>
    <cellStyle name="표준 23 3 7 2 4 2 3 2" xfId="12811" xr:uid="{00000000-0005-0000-0000-0000ED310000}"/>
    <cellStyle name="표준 23 3 7 2 4 2 4" xfId="12812" xr:uid="{00000000-0005-0000-0000-0000EE310000}"/>
    <cellStyle name="표준 23 3 7 2 4 3" xfId="12813" xr:uid="{00000000-0005-0000-0000-0000EF310000}"/>
    <cellStyle name="표준 23 3 7 2 4 3 2" xfId="12814" xr:uid="{00000000-0005-0000-0000-0000F0310000}"/>
    <cellStyle name="표준 23 3 7 2 4 3 2 2" xfId="12815" xr:uid="{00000000-0005-0000-0000-0000F1310000}"/>
    <cellStyle name="표준 23 3 7 2 4 3 3" xfId="12816" xr:uid="{00000000-0005-0000-0000-0000F2310000}"/>
    <cellStyle name="표준 23 3 7 2 4 4" xfId="12817" xr:uid="{00000000-0005-0000-0000-0000F3310000}"/>
    <cellStyle name="표준 23 3 7 2 4 4 2" xfId="12818" xr:uid="{00000000-0005-0000-0000-0000F4310000}"/>
    <cellStyle name="표준 23 3 7 2 4 5" xfId="12819" xr:uid="{00000000-0005-0000-0000-0000F5310000}"/>
    <cellStyle name="표준 23 3 7 2 5" xfId="12820" xr:uid="{00000000-0005-0000-0000-0000F6310000}"/>
    <cellStyle name="표준 23 3 7 2 5 2" xfId="12821" xr:uid="{00000000-0005-0000-0000-0000F7310000}"/>
    <cellStyle name="표준 23 3 7 2 5 2 2" xfId="12822" xr:uid="{00000000-0005-0000-0000-0000F8310000}"/>
    <cellStyle name="표준 23 3 7 2 5 2 2 2" xfId="12823" xr:uid="{00000000-0005-0000-0000-0000F9310000}"/>
    <cellStyle name="표준 23 3 7 2 5 2 3" xfId="12824" xr:uid="{00000000-0005-0000-0000-0000FA310000}"/>
    <cellStyle name="표준 23 3 7 2 5 3" xfId="12825" xr:uid="{00000000-0005-0000-0000-0000FB310000}"/>
    <cellStyle name="표준 23 3 7 2 5 3 2" xfId="12826" xr:uid="{00000000-0005-0000-0000-0000FC310000}"/>
    <cellStyle name="표준 23 3 7 2 5 4" xfId="12827" xr:uid="{00000000-0005-0000-0000-0000FD310000}"/>
    <cellStyle name="표준 23 3 7 2 6" xfId="12828" xr:uid="{00000000-0005-0000-0000-0000FE310000}"/>
    <cellStyle name="표준 23 3 7 2 6 2" xfId="12829" xr:uid="{00000000-0005-0000-0000-0000FF310000}"/>
    <cellStyle name="표준 23 3 7 2 6 2 2" xfId="12830" xr:uid="{00000000-0005-0000-0000-000000320000}"/>
    <cellStyle name="표준 23 3 7 2 6 3" xfId="12831" xr:uid="{00000000-0005-0000-0000-000001320000}"/>
    <cellStyle name="표준 23 3 7 2 7" xfId="12832" xr:uid="{00000000-0005-0000-0000-000002320000}"/>
    <cellStyle name="표준 23 3 7 2 7 2" xfId="12833" xr:uid="{00000000-0005-0000-0000-000003320000}"/>
    <cellStyle name="표준 23 3 7 2 8" xfId="12834" xr:uid="{00000000-0005-0000-0000-000004320000}"/>
    <cellStyle name="표준 23 3 7 2 9" xfId="12835" xr:uid="{00000000-0005-0000-0000-000005320000}"/>
    <cellStyle name="표준 23 3 7 3" xfId="12836" xr:uid="{00000000-0005-0000-0000-000006320000}"/>
    <cellStyle name="표준 23 3 7 3 2" xfId="12837" xr:uid="{00000000-0005-0000-0000-000007320000}"/>
    <cellStyle name="표준 23 3 7 3 2 2" xfId="12838" xr:uid="{00000000-0005-0000-0000-000008320000}"/>
    <cellStyle name="표준 23 3 7 3 2 2 2" xfId="12839" xr:uid="{00000000-0005-0000-0000-000009320000}"/>
    <cellStyle name="표준 23 3 7 3 2 2 2 2" xfId="12840" xr:uid="{00000000-0005-0000-0000-00000A320000}"/>
    <cellStyle name="표준 23 3 7 3 2 2 2 2 2" xfId="12841" xr:uid="{00000000-0005-0000-0000-00000B320000}"/>
    <cellStyle name="표준 23 3 7 3 2 2 2 2 2 2" xfId="12842" xr:uid="{00000000-0005-0000-0000-00000C320000}"/>
    <cellStyle name="표준 23 3 7 3 2 2 2 2 3" xfId="12843" xr:uid="{00000000-0005-0000-0000-00000D320000}"/>
    <cellStyle name="표준 23 3 7 3 2 2 2 3" xfId="12844" xr:uid="{00000000-0005-0000-0000-00000E320000}"/>
    <cellStyle name="표준 23 3 7 3 2 2 2 3 2" xfId="12845" xr:uid="{00000000-0005-0000-0000-00000F320000}"/>
    <cellStyle name="표준 23 3 7 3 2 2 2 4" xfId="12846" xr:uid="{00000000-0005-0000-0000-000010320000}"/>
    <cellStyle name="표준 23 3 7 3 2 2 3" xfId="12847" xr:uid="{00000000-0005-0000-0000-000011320000}"/>
    <cellStyle name="표준 23 3 7 3 2 2 3 2" xfId="12848" xr:uid="{00000000-0005-0000-0000-000012320000}"/>
    <cellStyle name="표준 23 3 7 3 2 2 3 2 2" xfId="12849" xr:uid="{00000000-0005-0000-0000-000013320000}"/>
    <cellStyle name="표준 23 3 7 3 2 2 3 3" xfId="12850" xr:uid="{00000000-0005-0000-0000-000014320000}"/>
    <cellStyle name="표준 23 3 7 3 2 2 4" xfId="12851" xr:uid="{00000000-0005-0000-0000-000015320000}"/>
    <cellStyle name="표준 23 3 7 3 2 2 4 2" xfId="12852" xr:uid="{00000000-0005-0000-0000-000016320000}"/>
    <cellStyle name="표준 23 3 7 3 2 2 5" xfId="12853" xr:uid="{00000000-0005-0000-0000-000017320000}"/>
    <cellStyle name="표준 23 3 7 3 2 3" xfId="12854" xr:uid="{00000000-0005-0000-0000-000018320000}"/>
    <cellStyle name="표준 23 3 7 3 2 3 2" xfId="12855" xr:uid="{00000000-0005-0000-0000-000019320000}"/>
    <cellStyle name="표준 23 3 7 3 2 3 2 2" xfId="12856" xr:uid="{00000000-0005-0000-0000-00001A320000}"/>
    <cellStyle name="표준 23 3 7 3 2 3 2 2 2" xfId="12857" xr:uid="{00000000-0005-0000-0000-00001B320000}"/>
    <cellStyle name="표준 23 3 7 3 2 3 2 3" xfId="12858" xr:uid="{00000000-0005-0000-0000-00001C320000}"/>
    <cellStyle name="표준 23 3 7 3 2 3 3" xfId="12859" xr:uid="{00000000-0005-0000-0000-00001D320000}"/>
    <cellStyle name="표준 23 3 7 3 2 3 3 2" xfId="12860" xr:uid="{00000000-0005-0000-0000-00001E320000}"/>
    <cellStyle name="표준 23 3 7 3 2 3 4" xfId="12861" xr:uid="{00000000-0005-0000-0000-00001F320000}"/>
    <cellStyle name="표준 23 3 7 3 2 4" xfId="12862" xr:uid="{00000000-0005-0000-0000-000020320000}"/>
    <cellStyle name="표준 23 3 7 3 2 4 2" xfId="12863" xr:uid="{00000000-0005-0000-0000-000021320000}"/>
    <cellStyle name="표준 23 3 7 3 2 4 2 2" xfId="12864" xr:uid="{00000000-0005-0000-0000-000022320000}"/>
    <cellStyle name="표준 23 3 7 3 2 4 3" xfId="12865" xr:uid="{00000000-0005-0000-0000-000023320000}"/>
    <cellStyle name="표준 23 3 7 3 2 5" xfId="12866" xr:uid="{00000000-0005-0000-0000-000024320000}"/>
    <cellStyle name="표준 23 3 7 3 2 5 2" xfId="12867" xr:uid="{00000000-0005-0000-0000-000025320000}"/>
    <cellStyle name="표준 23 3 7 3 2 6" xfId="12868" xr:uid="{00000000-0005-0000-0000-000026320000}"/>
    <cellStyle name="표준 23 3 7 3 3" xfId="12869" xr:uid="{00000000-0005-0000-0000-000027320000}"/>
    <cellStyle name="표준 23 3 7 3 3 2" xfId="12870" xr:uid="{00000000-0005-0000-0000-000028320000}"/>
    <cellStyle name="표준 23 3 7 3 3 2 2" xfId="12871" xr:uid="{00000000-0005-0000-0000-000029320000}"/>
    <cellStyle name="표준 23 3 7 3 3 2 2 2" xfId="12872" xr:uid="{00000000-0005-0000-0000-00002A320000}"/>
    <cellStyle name="표준 23 3 7 3 3 2 2 2 2" xfId="12873" xr:uid="{00000000-0005-0000-0000-00002B320000}"/>
    <cellStyle name="표준 23 3 7 3 3 2 2 3" xfId="12874" xr:uid="{00000000-0005-0000-0000-00002C320000}"/>
    <cellStyle name="표준 23 3 7 3 3 2 3" xfId="12875" xr:uid="{00000000-0005-0000-0000-00002D320000}"/>
    <cellStyle name="표준 23 3 7 3 3 2 3 2" xfId="12876" xr:uid="{00000000-0005-0000-0000-00002E320000}"/>
    <cellStyle name="표준 23 3 7 3 3 2 4" xfId="12877" xr:uid="{00000000-0005-0000-0000-00002F320000}"/>
    <cellStyle name="표준 23 3 7 3 3 3" xfId="12878" xr:uid="{00000000-0005-0000-0000-000030320000}"/>
    <cellStyle name="표준 23 3 7 3 3 3 2" xfId="12879" xr:uid="{00000000-0005-0000-0000-000031320000}"/>
    <cellStyle name="표준 23 3 7 3 3 3 2 2" xfId="12880" xr:uid="{00000000-0005-0000-0000-000032320000}"/>
    <cellStyle name="표준 23 3 7 3 3 3 3" xfId="12881" xr:uid="{00000000-0005-0000-0000-000033320000}"/>
    <cellStyle name="표준 23 3 7 3 3 4" xfId="12882" xr:uid="{00000000-0005-0000-0000-000034320000}"/>
    <cellStyle name="표준 23 3 7 3 3 4 2" xfId="12883" xr:uid="{00000000-0005-0000-0000-000035320000}"/>
    <cellStyle name="표준 23 3 7 3 3 5" xfId="12884" xr:uid="{00000000-0005-0000-0000-000036320000}"/>
    <cellStyle name="표준 23 3 7 3 4" xfId="12885" xr:uid="{00000000-0005-0000-0000-000037320000}"/>
    <cellStyle name="표준 23 3 7 3 4 2" xfId="12886" xr:uid="{00000000-0005-0000-0000-000038320000}"/>
    <cellStyle name="표준 23 3 7 3 4 2 2" xfId="12887" xr:uid="{00000000-0005-0000-0000-000039320000}"/>
    <cellStyle name="표준 23 3 7 3 4 2 2 2" xfId="12888" xr:uid="{00000000-0005-0000-0000-00003A320000}"/>
    <cellStyle name="표준 23 3 7 3 4 2 3" xfId="12889" xr:uid="{00000000-0005-0000-0000-00003B320000}"/>
    <cellStyle name="표준 23 3 7 3 4 3" xfId="12890" xr:uid="{00000000-0005-0000-0000-00003C320000}"/>
    <cellStyle name="표준 23 3 7 3 4 3 2" xfId="12891" xr:uid="{00000000-0005-0000-0000-00003D320000}"/>
    <cellStyle name="표준 23 3 7 3 4 4" xfId="12892" xr:uid="{00000000-0005-0000-0000-00003E320000}"/>
    <cellStyle name="표준 23 3 7 3 5" xfId="12893" xr:uid="{00000000-0005-0000-0000-00003F320000}"/>
    <cellStyle name="표준 23 3 7 3 5 2" xfId="12894" xr:uid="{00000000-0005-0000-0000-000040320000}"/>
    <cellStyle name="표준 23 3 7 3 5 2 2" xfId="12895" xr:uid="{00000000-0005-0000-0000-000041320000}"/>
    <cellStyle name="표준 23 3 7 3 5 3" xfId="12896" xr:uid="{00000000-0005-0000-0000-000042320000}"/>
    <cellStyle name="표준 23 3 7 3 6" xfId="12897" xr:uid="{00000000-0005-0000-0000-000043320000}"/>
    <cellStyle name="표준 23 3 7 3 6 2" xfId="12898" xr:uid="{00000000-0005-0000-0000-000044320000}"/>
    <cellStyle name="표준 23 3 7 3 7" xfId="12899" xr:uid="{00000000-0005-0000-0000-000045320000}"/>
    <cellStyle name="표준 23 3 7 3 8" xfId="12900" xr:uid="{00000000-0005-0000-0000-000046320000}"/>
    <cellStyle name="표준 23 3 7 4" xfId="12901" xr:uid="{00000000-0005-0000-0000-000047320000}"/>
    <cellStyle name="표준 23 3 7 4 2" xfId="12902" xr:uid="{00000000-0005-0000-0000-000048320000}"/>
    <cellStyle name="표준 23 3 7 4 2 2" xfId="12903" xr:uid="{00000000-0005-0000-0000-000049320000}"/>
    <cellStyle name="표준 23 3 7 4 2 2 2" xfId="12904" xr:uid="{00000000-0005-0000-0000-00004A320000}"/>
    <cellStyle name="표준 23 3 7 4 2 2 2 2" xfId="12905" xr:uid="{00000000-0005-0000-0000-00004B320000}"/>
    <cellStyle name="표준 23 3 7 4 2 2 2 2 2" xfId="12906" xr:uid="{00000000-0005-0000-0000-00004C320000}"/>
    <cellStyle name="표준 23 3 7 4 2 2 2 3" xfId="12907" xr:uid="{00000000-0005-0000-0000-00004D320000}"/>
    <cellStyle name="표준 23 3 7 4 2 2 3" xfId="12908" xr:uid="{00000000-0005-0000-0000-00004E320000}"/>
    <cellStyle name="표준 23 3 7 4 2 2 3 2" xfId="12909" xr:uid="{00000000-0005-0000-0000-00004F320000}"/>
    <cellStyle name="표준 23 3 7 4 2 2 4" xfId="12910" xr:uid="{00000000-0005-0000-0000-000050320000}"/>
    <cellStyle name="표준 23 3 7 4 2 3" xfId="12911" xr:uid="{00000000-0005-0000-0000-000051320000}"/>
    <cellStyle name="표준 23 3 7 4 2 3 2" xfId="12912" xr:uid="{00000000-0005-0000-0000-000052320000}"/>
    <cellStyle name="표준 23 3 7 4 2 3 2 2" xfId="12913" xr:uid="{00000000-0005-0000-0000-000053320000}"/>
    <cellStyle name="표준 23 3 7 4 2 3 3" xfId="12914" xr:uid="{00000000-0005-0000-0000-000054320000}"/>
    <cellStyle name="표준 23 3 7 4 2 4" xfId="12915" xr:uid="{00000000-0005-0000-0000-000055320000}"/>
    <cellStyle name="표준 23 3 7 4 2 4 2" xfId="12916" xr:uid="{00000000-0005-0000-0000-000056320000}"/>
    <cellStyle name="표준 23 3 7 4 2 5" xfId="12917" xr:uid="{00000000-0005-0000-0000-000057320000}"/>
    <cellStyle name="표준 23 3 7 4 3" xfId="12918" xr:uid="{00000000-0005-0000-0000-000058320000}"/>
    <cellStyle name="표준 23 3 7 4 3 2" xfId="12919" xr:uid="{00000000-0005-0000-0000-000059320000}"/>
    <cellStyle name="표준 23 3 7 4 3 2 2" xfId="12920" xr:uid="{00000000-0005-0000-0000-00005A320000}"/>
    <cellStyle name="표준 23 3 7 4 3 2 2 2" xfId="12921" xr:uid="{00000000-0005-0000-0000-00005B320000}"/>
    <cellStyle name="표준 23 3 7 4 3 2 3" xfId="12922" xr:uid="{00000000-0005-0000-0000-00005C320000}"/>
    <cellStyle name="표준 23 3 7 4 3 3" xfId="12923" xr:uid="{00000000-0005-0000-0000-00005D320000}"/>
    <cellStyle name="표준 23 3 7 4 3 3 2" xfId="12924" xr:uid="{00000000-0005-0000-0000-00005E320000}"/>
    <cellStyle name="표준 23 3 7 4 3 4" xfId="12925" xr:uid="{00000000-0005-0000-0000-00005F320000}"/>
    <cellStyle name="표준 23 3 7 4 4" xfId="12926" xr:uid="{00000000-0005-0000-0000-000060320000}"/>
    <cellStyle name="표준 23 3 7 4 4 2" xfId="12927" xr:uid="{00000000-0005-0000-0000-000061320000}"/>
    <cellStyle name="표준 23 3 7 4 4 2 2" xfId="12928" xr:uid="{00000000-0005-0000-0000-000062320000}"/>
    <cellStyle name="표준 23 3 7 4 4 3" xfId="12929" xr:uid="{00000000-0005-0000-0000-000063320000}"/>
    <cellStyle name="표준 23 3 7 4 5" xfId="12930" xr:uid="{00000000-0005-0000-0000-000064320000}"/>
    <cellStyle name="표준 23 3 7 4 5 2" xfId="12931" xr:uid="{00000000-0005-0000-0000-000065320000}"/>
    <cellStyle name="표준 23 3 7 4 6" xfId="12932" xr:uid="{00000000-0005-0000-0000-000066320000}"/>
    <cellStyle name="표준 23 3 7 5" xfId="12933" xr:uid="{00000000-0005-0000-0000-000067320000}"/>
    <cellStyle name="표준 23 3 7 5 2" xfId="12934" xr:uid="{00000000-0005-0000-0000-000068320000}"/>
    <cellStyle name="표준 23 3 7 5 2 2" xfId="12935" xr:uid="{00000000-0005-0000-0000-000069320000}"/>
    <cellStyle name="표준 23 3 7 5 2 2 2" xfId="12936" xr:uid="{00000000-0005-0000-0000-00006A320000}"/>
    <cellStyle name="표준 23 3 7 5 2 2 2 2" xfId="12937" xr:uid="{00000000-0005-0000-0000-00006B320000}"/>
    <cellStyle name="표준 23 3 7 5 2 2 3" xfId="12938" xr:uid="{00000000-0005-0000-0000-00006C320000}"/>
    <cellStyle name="표준 23 3 7 5 2 3" xfId="12939" xr:uid="{00000000-0005-0000-0000-00006D320000}"/>
    <cellStyle name="표준 23 3 7 5 2 3 2" xfId="12940" xr:uid="{00000000-0005-0000-0000-00006E320000}"/>
    <cellStyle name="표준 23 3 7 5 2 4" xfId="12941" xr:uid="{00000000-0005-0000-0000-00006F320000}"/>
    <cellStyle name="표준 23 3 7 5 3" xfId="12942" xr:uid="{00000000-0005-0000-0000-000070320000}"/>
    <cellStyle name="표준 23 3 7 5 3 2" xfId="12943" xr:uid="{00000000-0005-0000-0000-000071320000}"/>
    <cellStyle name="표준 23 3 7 5 3 2 2" xfId="12944" xr:uid="{00000000-0005-0000-0000-000072320000}"/>
    <cellStyle name="표준 23 3 7 5 3 3" xfId="12945" xr:uid="{00000000-0005-0000-0000-000073320000}"/>
    <cellStyle name="표준 23 3 7 5 4" xfId="12946" xr:uid="{00000000-0005-0000-0000-000074320000}"/>
    <cellStyle name="표준 23 3 7 5 4 2" xfId="12947" xr:uid="{00000000-0005-0000-0000-000075320000}"/>
    <cellStyle name="표준 23 3 7 5 5" xfId="12948" xr:uid="{00000000-0005-0000-0000-000076320000}"/>
    <cellStyle name="표준 23 3 7 6" xfId="12949" xr:uid="{00000000-0005-0000-0000-000077320000}"/>
    <cellStyle name="표준 23 3 7 6 2" xfId="12950" xr:uid="{00000000-0005-0000-0000-000078320000}"/>
    <cellStyle name="표준 23 3 7 6 2 2" xfId="12951" xr:uid="{00000000-0005-0000-0000-000079320000}"/>
    <cellStyle name="표준 23 3 7 6 2 2 2" xfId="12952" xr:uid="{00000000-0005-0000-0000-00007A320000}"/>
    <cellStyle name="표준 23 3 7 6 2 3" xfId="12953" xr:uid="{00000000-0005-0000-0000-00007B320000}"/>
    <cellStyle name="표준 23 3 7 6 3" xfId="12954" xr:uid="{00000000-0005-0000-0000-00007C320000}"/>
    <cellStyle name="표준 23 3 7 6 3 2" xfId="12955" xr:uid="{00000000-0005-0000-0000-00007D320000}"/>
    <cellStyle name="표준 23 3 7 6 4" xfId="12956" xr:uid="{00000000-0005-0000-0000-00007E320000}"/>
    <cellStyle name="표준 23 3 7 7" xfId="12957" xr:uid="{00000000-0005-0000-0000-00007F320000}"/>
    <cellStyle name="표준 23 3 7 7 2" xfId="12958" xr:uid="{00000000-0005-0000-0000-000080320000}"/>
    <cellStyle name="표준 23 3 7 7 2 2" xfId="12959" xr:uid="{00000000-0005-0000-0000-000081320000}"/>
    <cellStyle name="표준 23 3 7 7 3" xfId="12960" xr:uid="{00000000-0005-0000-0000-000082320000}"/>
    <cellStyle name="표준 23 3 7 8" xfId="12961" xr:uid="{00000000-0005-0000-0000-000083320000}"/>
    <cellStyle name="표준 23 3 7 8 2" xfId="12962" xr:uid="{00000000-0005-0000-0000-000084320000}"/>
    <cellStyle name="표준 23 3 7 9" xfId="12963" xr:uid="{00000000-0005-0000-0000-000085320000}"/>
    <cellStyle name="표준 23 3 8" xfId="12964" xr:uid="{00000000-0005-0000-0000-000086320000}"/>
    <cellStyle name="표준 23 3 8 2" xfId="12965" xr:uid="{00000000-0005-0000-0000-000087320000}"/>
    <cellStyle name="표준 23 3 8 2 2" xfId="12966" xr:uid="{00000000-0005-0000-0000-000088320000}"/>
    <cellStyle name="표준 23 3 8 2 2 2" xfId="12967" xr:uid="{00000000-0005-0000-0000-000089320000}"/>
    <cellStyle name="표준 23 3 8 2 2 2 2" xfId="12968" xr:uid="{00000000-0005-0000-0000-00008A320000}"/>
    <cellStyle name="표준 23 3 8 2 2 2 2 2" xfId="12969" xr:uid="{00000000-0005-0000-0000-00008B320000}"/>
    <cellStyle name="표준 23 3 8 2 2 2 2 2 2" xfId="12970" xr:uid="{00000000-0005-0000-0000-00008C320000}"/>
    <cellStyle name="표준 23 3 8 2 2 2 2 2 2 2" xfId="12971" xr:uid="{00000000-0005-0000-0000-00008D320000}"/>
    <cellStyle name="표준 23 3 8 2 2 2 2 2 3" xfId="12972" xr:uid="{00000000-0005-0000-0000-00008E320000}"/>
    <cellStyle name="표준 23 3 8 2 2 2 2 3" xfId="12973" xr:uid="{00000000-0005-0000-0000-00008F320000}"/>
    <cellStyle name="표준 23 3 8 2 2 2 2 3 2" xfId="12974" xr:uid="{00000000-0005-0000-0000-000090320000}"/>
    <cellStyle name="표준 23 3 8 2 2 2 2 4" xfId="12975" xr:uid="{00000000-0005-0000-0000-000091320000}"/>
    <cellStyle name="표준 23 3 8 2 2 2 3" xfId="12976" xr:uid="{00000000-0005-0000-0000-000092320000}"/>
    <cellStyle name="표준 23 3 8 2 2 2 3 2" xfId="12977" xr:uid="{00000000-0005-0000-0000-000093320000}"/>
    <cellStyle name="표준 23 3 8 2 2 2 3 2 2" xfId="12978" xr:uid="{00000000-0005-0000-0000-000094320000}"/>
    <cellStyle name="표준 23 3 8 2 2 2 3 3" xfId="12979" xr:uid="{00000000-0005-0000-0000-000095320000}"/>
    <cellStyle name="표준 23 3 8 2 2 2 4" xfId="12980" xr:uid="{00000000-0005-0000-0000-000096320000}"/>
    <cellStyle name="표준 23 3 8 2 2 2 4 2" xfId="12981" xr:uid="{00000000-0005-0000-0000-000097320000}"/>
    <cellStyle name="표준 23 3 8 2 2 2 5" xfId="12982" xr:uid="{00000000-0005-0000-0000-000098320000}"/>
    <cellStyle name="표준 23 3 8 2 2 3" xfId="12983" xr:uid="{00000000-0005-0000-0000-000099320000}"/>
    <cellStyle name="표준 23 3 8 2 2 3 2" xfId="12984" xr:uid="{00000000-0005-0000-0000-00009A320000}"/>
    <cellStyle name="표준 23 3 8 2 2 3 2 2" xfId="12985" xr:uid="{00000000-0005-0000-0000-00009B320000}"/>
    <cellStyle name="표준 23 3 8 2 2 3 2 2 2" xfId="12986" xr:uid="{00000000-0005-0000-0000-00009C320000}"/>
    <cellStyle name="표준 23 3 8 2 2 3 2 3" xfId="12987" xr:uid="{00000000-0005-0000-0000-00009D320000}"/>
    <cellStyle name="표준 23 3 8 2 2 3 3" xfId="12988" xr:uid="{00000000-0005-0000-0000-00009E320000}"/>
    <cellStyle name="표준 23 3 8 2 2 3 3 2" xfId="12989" xr:uid="{00000000-0005-0000-0000-00009F320000}"/>
    <cellStyle name="표준 23 3 8 2 2 3 4" xfId="12990" xr:uid="{00000000-0005-0000-0000-0000A0320000}"/>
    <cellStyle name="표준 23 3 8 2 2 4" xfId="12991" xr:uid="{00000000-0005-0000-0000-0000A1320000}"/>
    <cellStyle name="표준 23 3 8 2 2 4 2" xfId="12992" xr:uid="{00000000-0005-0000-0000-0000A2320000}"/>
    <cellStyle name="표준 23 3 8 2 2 4 2 2" xfId="12993" xr:uid="{00000000-0005-0000-0000-0000A3320000}"/>
    <cellStyle name="표준 23 3 8 2 2 4 3" xfId="12994" xr:uid="{00000000-0005-0000-0000-0000A4320000}"/>
    <cellStyle name="표준 23 3 8 2 2 5" xfId="12995" xr:uid="{00000000-0005-0000-0000-0000A5320000}"/>
    <cellStyle name="표준 23 3 8 2 2 5 2" xfId="12996" xr:uid="{00000000-0005-0000-0000-0000A6320000}"/>
    <cellStyle name="표준 23 3 8 2 2 6" xfId="12997" xr:uid="{00000000-0005-0000-0000-0000A7320000}"/>
    <cellStyle name="표준 23 3 8 2 3" xfId="12998" xr:uid="{00000000-0005-0000-0000-0000A8320000}"/>
    <cellStyle name="표준 23 3 8 2 3 2" xfId="12999" xr:uid="{00000000-0005-0000-0000-0000A9320000}"/>
    <cellStyle name="표준 23 3 8 2 3 2 2" xfId="13000" xr:uid="{00000000-0005-0000-0000-0000AA320000}"/>
    <cellStyle name="표준 23 3 8 2 3 2 2 2" xfId="13001" xr:uid="{00000000-0005-0000-0000-0000AB320000}"/>
    <cellStyle name="표준 23 3 8 2 3 2 2 2 2" xfId="13002" xr:uid="{00000000-0005-0000-0000-0000AC320000}"/>
    <cellStyle name="표준 23 3 8 2 3 2 2 3" xfId="13003" xr:uid="{00000000-0005-0000-0000-0000AD320000}"/>
    <cellStyle name="표준 23 3 8 2 3 2 3" xfId="13004" xr:uid="{00000000-0005-0000-0000-0000AE320000}"/>
    <cellStyle name="표준 23 3 8 2 3 2 3 2" xfId="13005" xr:uid="{00000000-0005-0000-0000-0000AF320000}"/>
    <cellStyle name="표준 23 3 8 2 3 2 4" xfId="13006" xr:uid="{00000000-0005-0000-0000-0000B0320000}"/>
    <cellStyle name="표준 23 3 8 2 3 3" xfId="13007" xr:uid="{00000000-0005-0000-0000-0000B1320000}"/>
    <cellStyle name="표준 23 3 8 2 3 3 2" xfId="13008" xr:uid="{00000000-0005-0000-0000-0000B2320000}"/>
    <cellStyle name="표준 23 3 8 2 3 3 2 2" xfId="13009" xr:uid="{00000000-0005-0000-0000-0000B3320000}"/>
    <cellStyle name="표준 23 3 8 2 3 3 3" xfId="13010" xr:uid="{00000000-0005-0000-0000-0000B4320000}"/>
    <cellStyle name="표준 23 3 8 2 3 4" xfId="13011" xr:uid="{00000000-0005-0000-0000-0000B5320000}"/>
    <cellStyle name="표준 23 3 8 2 3 4 2" xfId="13012" xr:uid="{00000000-0005-0000-0000-0000B6320000}"/>
    <cellStyle name="표준 23 3 8 2 3 5" xfId="13013" xr:uid="{00000000-0005-0000-0000-0000B7320000}"/>
    <cellStyle name="표준 23 3 8 2 4" xfId="13014" xr:uid="{00000000-0005-0000-0000-0000B8320000}"/>
    <cellStyle name="표준 23 3 8 2 4 2" xfId="13015" xr:uid="{00000000-0005-0000-0000-0000B9320000}"/>
    <cellStyle name="표준 23 3 8 2 4 2 2" xfId="13016" xr:uid="{00000000-0005-0000-0000-0000BA320000}"/>
    <cellStyle name="표준 23 3 8 2 4 2 2 2" xfId="13017" xr:uid="{00000000-0005-0000-0000-0000BB320000}"/>
    <cellStyle name="표준 23 3 8 2 4 2 3" xfId="13018" xr:uid="{00000000-0005-0000-0000-0000BC320000}"/>
    <cellStyle name="표준 23 3 8 2 4 3" xfId="13019" xr:uid="{00000000-0005-0000-0000-0000BD320000}"/>
    <cellStyle name="표준 23 3 8 2 4 3 2" xfId="13020" xr:uid="{00000000-0005-0000-0000-0000BE320000}"/>
    <cellStyle name="표준 23 3 8 2 4 4" xfId="13021" xr:uid="{00000000-0005-0000-0000-0000BF320000}"/>
    <cellStyle name="표준 23 3 8 2 5" xfId="13022" xr:uid="{00000000-0005-0000-0000-0000C0320000}"/>
    <cellStyle name="표준 23 3 8 2 5 2" xfId="13023" xr:uid="{00000000-0005-0000-0000-0000C1320000}"/>
    <cellStyle name="표준 23 3 8 2 5 2 2" xfId="13024" xr:uid="{00000000-0005-0000-0000-0000C2320000}"/>
    <cellStyle name="표준 23 3 8 2 5 3" xfId="13025" xr:uid="{00000000-0005-0000-0000-0000C3320000}"/>
    <cellStyle name="표준 23 3 8 2 6" xfId="13026" xr:uid="{00000000-0005-0000-0000-0000C4320000}"/>
    <cellStyle name="표준 23 3 8 2 6 2" xfId="13027" xr:uid="{00000000-0005-0000-0000-0000C5320000}"/>
    <cellStyle name="표준 23 3 8 2 7" xfId="13028" xr:uid="{00000000-0005-0000-0000-0000C6320000}"/>
    <cellStyle name="표준 23 3 8 2 8" xfId="13029" xr:uid="{00000000-0005-0000-0000-0000C7320000}"/>
    <cellStyle name="표준 23 3 8 3" xfId="13030" xr:uid="{00000000-0005-0000-0000-0000C8320000}"/>
    <cellStyle name="표준 23 3 8 3 2" xfId="13031" xr:uid="{00000000-0005-0000-0000-0000C9320000}"/>
    <cellStyle name="표준 23 3 8 3 2 2" xfId="13032" xr:uid="{00000000-0005-0000-0000-0000CA320000}"/>
    <cellStyle name="표준 23 3 8 3 2 2 2" xfId="13033" xr:uid="{00000000-0005-0000-0000-0000CB320000}"/>
    <cellStyle name="표준 23 3 8 3 2 2 2 2" xfId="13034" xr:uid="{00000000-0005-0000-0000-0000CC320000}"/>
    <cellStyle name="표준 23 3 8 3 2 2 2 2 2" xfId="13035" xr:uid="{00000000-0005-0000-0000-0000CD320000}"/>
    <cellStyle name="표준 23 3 8 3 2 2 2 3" xfId="13036" xr:uid="{00000000-0005-0000-0000-0000CE320000}"/>
    <cellStyle name="표준 23 3 8 3 2 2 3" xfId="13037" xr:uid="{00000000-0005-0000-0000-0000CF320000}"/>
    <cellStyle name="표준 23 3 8 3 2 2 3 2" xfId="13038" xr:uid="{00000000-0005-0000-0000-0000D0320000}"/>
    <cellStyle name="표준 23 3 8 3 2 2 4" xfId="13039" xr:uid="{00000000-0005-0000-0000-0000D1320000}"/>
    <cellStyle name="표준 23 3 8 3 2 3" xfId="13040" xr:uid="{00000000-0005-0000-0000-0000D2320000}"/>
    <cellStyle name="표준 23 3 8 3 2 3 2" xfId="13041" xr:uid="{00000000-0005-0000-0000-0000D3320000}"/>
    <cellStyle name="표준 23 3 8 3 2 3 2 2" xfId="13042" xr:uid="{00000000-0005-0000-0000-0000D4320000}"/>
    <cellStyle name="표준 23 3 8 3 2 3 3" xfId="13043" xr:uid="{00000000-0005-0000-0000-0000D5320000}"/>
    <cellStyle name="표준 23 3 8 3 2 4" xfId="13044" xr:uid="{00000000-0005-0000-0000-0000D6320000}"/>
    <cellStyle name="표준 23 3 8 3 2 4 2" xfId="13045" xr:uid="{00000000-0005-0000-0000-0000D7320000}"/>
    <cellStyle name="표준 23 3 8 3 2 5" xfId="13046" xr:uid="{00000000-0005-0000-0000-0000D8320000}"/>
    <cellStyle name="표준 23 3 8 3 3" xfId="13047" xr:uid="{00000000-0005-0000-0000-0000D9320000}"/>
    <cellStyle name="표준 23 3 8 3 3 2" xfId="13048" xr:uid="{00000000-0005-0000-0000-0000DA320000}"/>
    <cellStyle name="표준 23 3 8 3 3 2 2" xfId="13049" xr:uid="{00000000-0005-0000-0000-0000DB320000}"/>
    <cellStyle name="표준 23 3 8 3 3 2 2 2" xfId="13050" xr:uid="{00000000-0005-0000-0000-0000DC320000}"/>
    <cellStyle name="표준 23 3 8 3 3 2 3" xfId="13051" xr:uid="{00000000-0005-0000-0000-0000DD320000}"/>
    <cellStyle name="표준 23 3 8 3 3 3" xfId="13052" xr:uid="{00000000-0005-0000-0000-0000DE320000}"/>
    <cellStyle name="표준 23 3 8 3 3 3 2" xfId="13053" xr:uid="{00000000-0005-0000-0000-0000DF320000}"/>
    <cellStyle name="표준 23 3 8 3 3 4" xfId="13054" xr:uid="{00000000-0005-0000-0000-0000E0320000}"/>
    <cellStyle name="표준 23 3 8 3 4" xfId="13055" xr:uid="{00000000-0005-0000-0000-0000E1320000}"/>
    <cellStyle name="표준 23 3 8 3 4 2" xfId="13056" xr:uid="{00000000-0005-0000-0000-0000E2320000}"/>
    <cellStyle name="표준 23 3 8 3 4 2 2" xfId="13057" xr:uid="{00000000-0005-0000-0000-0000E3320000}"/>
    <cellStyle name="표준 23 3 8 3 4 3" xfId="13058" xr:uid="{00000000-0005-0000-0000-0000E4320000}"/>
    <cellStyle name="표준 23 3 8 3 5" xfId="13059" xr:uid="{00000000-0005-0000-0000-0000E5320000}"/>
    <cellStyle name="표준 23 3 8 3 5 2" xfId="13060" xr:uid="{00000000-0005-0000-0000-0000E6320000}"/>
    <cellStyle name="표준 23 3 8 3 6" xfId="13061" xr:uid="{00000000-0005-0000-0000-0000E7320000}"/>
    <cellStyle name="표준 23 3 8 4" xfId="13062" xr:uid="{00000000-0005-0000-0000-0000E8320000}"/>
    <cellStyle name="표준 23 3 8 4 2" xfId="13063" xr:uid="{00000000-0005-0000-0000-0000E9320000}"/>
    <cellStyle name="표준 23 3 8 4 2 2" xfId="13064" xr:uid="{00000000-0005-0000-0000-0000EA320000}"/>
    <cellStyle name="표준 23 3 8 4 2 2 2" xfId="13065" xr:uid="{00000000-0005-0000-0000-0000EB320000}"/>
    <cellStyle name="표준 23 3 8 4 2 2 2 2" xfId="13066" xr:uid="{00000000-0005-0000-0000-0000EC320000}"/>
    <cellStyle name="표준 23 3 8 4 2 2 3" xfId="13067" xr:uid="{00000000-0005-0000-0000-0000ED320000}"/>
    <cellStyle name="표준 23 3 8 4 2 3" xfId="13068" xr:uid="{00000000-0005-0000-0000-0000EE320000}"/>
    <cellStyle name="표준 23 3 8 4 2 3 2" xfId="13069" xr:uid="{00000000-0005-0000-0000-0000EF320000}"/>
    <cellStyle name="표준 23 3 8 4 2 4" xfId="13070" xr:uid="{00000000-0005-0000-0000-0000F0320000}"/>
    <cellStyle name="표준 23 3 8 4 3" xfId="13071" xr:uid="{00000000-0005-0000-0000-0000F1320000}"/>
    <cellStyle name="표준 23 3 8 4 3 2" xfId="13072" xr:uid="{00000000-0005-0000-0000-0000F2320000}"/>
    <cellStyle name="표준 23 3 8 4 3 2 2" xfId="13073" xr:uid="{00000000-0005-0000-0000-0000F3320000}"/>
    <cellStyle name="표준 23 3 8 4 3 3" xfId="13074" xr:uid="{00000000-0005-0000-0000-0000F4320000}"/>
    <cellStyle name="표준 23 3 8 4 4" xfId="13075" xr:uid="{00000000-0005-0000-0000-0000F5320000}"/>
    <cellStyle name="표준 23 3 8 4 4 2" xfId="13076" xr:uid="{00000000-0005-0000-0000-0000F6320000}"/>
    <cellStyle name="표준 23 3 8 4 5" xfId="13077" xr:uid="{00000000-0005-0000-0000-0000F7320000}"/>
    <cellStyle name="표준 23 3 8 5" xfId="13078" xr:uid="{00000000-0005-0000-0000-0000F8320000}"/>
    <cellStyle name="표준 23 3 8 5 2" xfId="13079" xr:uid="{00000000-0005-0000-0000-0000F9320000}"/>
    <cellStyle name="표준 23 3 8 5 2 2" xfId="13080" xr:uid="{00000000-0005-0000-0000-0000FA320000}"/>
    <cellStyle name="표준 23 3 8 5 2 2 2" xfId="13081" xr:uid="{00000000-0005-0000-0000-0000FB320000}"/>
    <cellStyle name="표준 23 3 8 5 2 3" xfId="13082" xr:uid="{00000000-0005-0000-0000-0000FC320000}"/>
    <cellStyle name="표준 23 3 8 5 3" xfId="13083" xr:uid="{00000000-0005-0000-0000-0000FD320000}"/>
    <cellStyle name="표준 23 3 8 5 3 2" xfId="13084" xr:uid="{00000000-0005-0000-0000-0000FE320000}"/>
    <cellStyle name="표준 23 3 8 5 4" xfId="13085" xr:uid="{00000000-0005-0000-0000-0000FF320000}"/>
    <cellStyle name="표준 23 3 8 6" xfId="13086" xr:uid="{00000000-0005-0000-0000-000000330000}"/>
    <cellStyle name="표준 23 3 8 6 2" xfId="13087" xr:uid="{00000000-0005-0000-0000-000001330000}"/>
    <cellStyle name="표준 23 3 8 6 2 2" xfId="13088" xr:uid="{00000000-0005-0000-0000-000002330000}"/>
    <cellStyle name="표준 23 3 8 6 3" xfId="13089" xr:uid="{00000000-0005-0000-0000-000003330000}"/>
    <cellStyle name="표준 23 3 8 7" xfId="13090" xr:uid="{00000000-0005-0000-0000-000004330000}"/>
    <cellStyle name="표준 23 3 8 7 2" xfId="13091" xr:uid="{00000000-0005-0000-0000-000005330000}"/>
    <cellStyle name="표준 23 3 8 8" xfId="13092" xr:uid="{00000000-0005-0000-0000-000006330000}"/>
    <cellStyle name="표준 23 3 8 9" xfId="13093" xr:uid="{00000000-0005-0000-0000-000007330000}"/>
    <cellStyle name="표준 23 3 9" xfId="13094" xr:uid="{00000000-0005-0000-0000-000008330000}"/>
    <cellStyle name="표준 23 3 9 2" xfId="13095" xr:uid="{00000000-0005-0000-0000-000009330000}"/>
    <cellStyle name="표준 23 3 9 2 2" xfId="13096" xr:uid="{00000000-0005-0000-0000-00000A330000}"/>
    <cellStyle name="표준 23 3 9 2 2 2" xfId="13097" xr:uid="{00000000-0005-0000-0000-00000B330000}"/>
    <cellStyle name="표준 23 3 9 2 2 2 2" xfId="13098" xr:uid="{00000000-0005-0000-0000-00000C330000}"/>
    <cellStyle name="표준 23 3 9 2 2 2 2 2" xfId="13099" xr:uid="{00000000-0005-0000-0000-00000D330000}"/>
    <cellStyle name="표준 23 3 9 2 2 2 2 2 2" xfId="13100" xr:uid="{00000000-0005-0000-0000-00000E330000}"/>
    <cellStyle name="표준 23 3 9 2 2 2 2 3" xfId="13101" xr:uid="{00000000-0005-0000-0000-00000F330000}"/>
    <cellStyle name="표준 23 3 9 2 2 2 3" xfId="13102" xr:uid="{00000000-0005-0000-0000-000010330000}"/>
    <cellStyle name="표준 23 3 9 2 2 2 3 2" xfId="13103" xr:uid="{00000000-0005-0000-0000-000011330000}"/>
    <cellStyle name="표준 23 3 9 2 2 2 4" xfId="13104" xr:uid="{00000000-0005-0000-0000-000012330000}"/>
    <cellStyle name="표준 23 3 9 2 2 3" xfId="13105" xr:uid="{00000000-0005-0000-0000-000013330000}"/>
    <cellStyle name="표준 23 3 9 2 2 3 2" xfId="13106" xr:uid="{00000000-0005-0000-0000-000014330000}"/>
    <cellStyle name="표준 23 3 9 2 2 3 2 2" xfId="13107" xr:uid="{00000000-0005-0000-0000-000015330000}"/>
    <cellStyle name="표준 23 3 9 2 2 3 3" xfId="13108" xr:uid="{00000000-0005-0000-0000-000016330000}"/>
    <cellStyle name="표준 23 3 9 2 2 4" xfId="13109" xr:uid="{00000000-0005-0000-0000-000017330000}"/>
    <cellStyle name="표준 23 3 9 2 2 4 2" xfId="13110" xr:uid="{00000000-0005-0000-0000-000018330000}"/>
    <cellStyle name="표준 23 3 9 2 2 5" xfId="13111" xr:uid="{00000000-0005-0000-0000-000019330000}"/>
    <cellStyle name="표준 23 3 9 2 3" xfId="13112" xr:uid="{00000000-0005-0000-0000-00001A330000}"/>
    <cellStyle name="표준 23 3 9 2 3 2" xfId="13113" xr:uid="{00000000-0005-0000-0000-00001B330000}"/>
    <cellStyle name="표준 23 3 9 2 3 2 2" xfId="13114" xr:uid="{00000000-0005-0000-0000-00001C330000}"/>
    <cellStyle name="표준 23 3 9 2 3 2 2 2" xfId="13115" xr:uid="{00000000-0005-0000-0000-00001D330000}"/>
    <cellStyle name="표준 23 3 9 2 3 2 3" xfId="13116" xr:uid="{00000000-0005-0000-0000-00001E330000}"/>
    <cellStyle name="표준 23 3 9 2 3 3" xfId="13117" xr:uid="{00000000-0005-0000-0000-00001F330000}"/>
    <cellStyle name="표준 23 3 9 2 3 3 2" xfId="13118" xr:uid="{00000000-0005-0000-0000-000020330000}"/>
    <cellStyle name="표준 23 3 9 2 3 4" xfId="13119" xr:uid="{00000000-0005-0000-0000-000021330000}"/>
    <cellStyle name="표준 23 3 9 2 4" xfId="13120" xr:uid="{00000000-0005-0000-0000-000022330000}"/>
    <cellStyle name="표준 23 3 9 2 4 2" xfId="13121" xr:uid="{00000000-0005-0000-0000-000023330000}"/>
    <cellStyle name="표준 23 3 9 2 4 2 2" xfId="13122" xr:uid="{00000000-0005-0000-0000-000024330000}"/>
    <cellStyle name="표준 23 3 9 2 4 3" xfId="13123" xr:uid="{00000000-0005-0000-0000-000025330000}"/>
    <cellStyle name="표준 23 3 9 2 5" xfId="13124" xr:uid="{00000000-0005-0000-0000-000026330000}"/>
    <cellStyle name="표준 23 3 9 2 5 2" xfId="13125" xr:uid="{00000000-0005-0000-0000-000027330000}"/>
    <cellStyle name="표준 23 3 9 2 6" xfId="13126" xr:uid="{00000000-0005-0000-0000-000028330000}"/>
    <cellStyle name="표준 23 3 9 3" xfId="13127" xr:uid="{00000000-0005-0000-0000-000029330000}"/>
    <cellStyle name="표준 23 3 9 3 2" xfId="13128" xr:uid="{00000000-0005-0000-0000-00002A330000}"/>
    <cellStyle name="표준 23 3 9 3 2 2" xfId="13129" xr:uid="{00000000-0005-0000-0000-00002B330000}"/>
    <cellStyle name="표준 23 3 9 3 2 2 2" xfId="13130" xr:uid="{00000000-0005-0000-0000-00002C330000}"/>
    <cellStyle name="표준 23 3 9 3 2 2 2 2" xfId="13131" xr:uid="{00000000-0005-0000-0000-00002D330000}"/>
    <cellStyle name="표준 23 3 9 3 2 2 3" xfId="13132" xr:uid="{00000000-0005-0000-0000-00002E330000}"/>
    <cellStyle name="표준 23 3 9 3 2 3" xfId="13133" xr:uid="{00000000-0005-0000-0000-00002F330000}"/>
    <cellStyle name="표준 23 3 9 3 2 3 2" xfId="13134" xr:uid="{00000000-0005-0000-0000-000030330000}"/>
    <cellStyle name="표준 23 3 9 3 2 4" xfId="13135" xr:uid="{00000000-0005-0000-0000-000031330000}"/>
    <cellStyle name="표준 23 3 9 3 3" xfId="13136" xr:uid="{00000000-0005-0000-0000-000032330000}"/>
    <cellStyle name="표준 23 3 9 3 3 2" xfId="13137" xr:uid="{00000000-0005-0000-0000-000033330000}"/>
    <cellStyle name="표준 23 3 9 3 3 2 2" xfId="13138" xr:uid="{00000000-0005-0000-0000-000034330000}"/>
    <cellStyle name="표준 23 3 9 3 3 3" xfId="13139" xr:uid="{00000000-0005-0000-0000-000035330000}"/>
    <cellStyle name="표준 23 3 9 3 4" xfId="13140" xr:uid="{00000000-0005-0000-0000-000036330000}"/>
    <cellStyle name="표준 23 3 9 3 4 2" xfId="13141" xr:uid="{00000000-0005-0000-0000-000037330000}"/>
    <cellStyle name="표준 23 3 9 3 5" xfId="13142" xr:uid="{00000000-0005-0000-0000-000038330000}"/>
    <cellStyle name="표준 23 3 9 4" xfId="13143" xr:uid="{00000000-0005-0000-0000-000039330000}"/>
    <cellStyle name="표준 23 3 9 4 2" xfId="13144" xr:uid="{00000000-0005-0000-0000-00003A330000}"/>
    <cellStyle name="표준 23 3 9 4 2 2" xfId="13145" xr:uid="{00000000-0005-0000-0000-00003B330000}"/>
    <cellStyle name="표준 23 3 9 4 2 2 2" xfId="13146" xr:uid="{00000000-0005-0000-0000-00003C330000}"/>
    <cellStyle name="표준 23 3 9 4 2 3" xfId="13147" xr:uid="{00000000-0005-0000-0000-00003D330000}"/>
    <cellStyle name="표준 23 3 9 4 3" xfId="13148" xr:uid="{00000000-0005-0000-0000-00003E330000}"/>
    <cellStyle name="표준 23 3 9 4 3 2" xfId="13149" xr:uid="{00000000-0005-0000-0000-00003F330000}"/>
    <cellStyle name="표준 23 3 9 4 4" xfId="13150" xr:uid="{00000000-0005-0000-0000-000040330000}"/>
    <cellStyle name="표준 23 3 9 5" xfId="13151" xr:uid="{00000000-0005-0000-0000-000041330000}"/>
    <cellStyle name="표준 23 3 9 5 2" xfId="13152" xr:uid="{00000000-0005-0000-0000-000042330000}"/>
    <cellStyle name="표준 23 3 9 5 2 2" xfId="13153" xr:uid="{00000000-0005-0000-0000-000043330000}"/>
    <cellStyle name="표준 23 3 9 5 3" xfId="13154" xr:uid="{00000000-0005-0000-0000-000044330000}"/>
    <cellStyle name="표준 23 3 9 6" xfId="13155" xr:uid="{00000000-0005-0000-0000-000045330000}"/>
    <cellStyle name="표준 23 3 9 6 2" xfId="13156" xr:uid="{00000000-0005-0000-0000-000046330000}"/>
    <cellStyle name="표준 23 3 9 7" xfId="13157" xr:uid="{00000000-0005-0000-0000-000047330000}"/>
    <cellStyle name="표준 23 3 9 8" xfId="13158" xr:uid="{00000000-0005-0000-0000-000048330000}"/>
    <cellStyle name="표준 23 4" xfId="13159" xr:uid="{00000000-0005-0000-0000-000049330000}"/>
    <cellStyle name="표준 23 4 10" xfId="13160" xr:uid="{00000000-0005-0000-0000-00004A330000}"/>
    <cellStyle name="표준 23 4 11" xfId="13161" xr:uid="{00000000-0005-0000-0000-00004B330000}"/>
    <cellStyle name="표준 23 4 2" xfId="13162" xr:uid="{00000000-0005-0000-0000-00004C330000}"/>
    <cellStyle name="표준 23 4 2 10" xfId="13163" xr:uid="{00000000-0005-0000-0000-00004D330000}"/>
    <cellStyle name="표준 23 4 2 2" xfId="13164" xr:uid="{00000000-0005-0000-0000-00004E330000}"/>
    <cellStyle name="표준 23 4 2 2 2" xfId="13165" xr:uid="{00000000-0005-0000-0000-00004F330000}"/>
    <cellStyle name="표준 23 4 2 2 2 2" xfId="13166" xr:uid="{00000000-0005-0000-0000-000050330000}"/>
    <cellStyle name="표준 23 4 2 2 2 2 2" xfId="13167" xr:uid="{00000000-0005-0000-0000-000051330000}"/>
    <cellStyle name="표준 23 4 2 2 2 2 2 2" xfId="13168" xr:uid="{00000000-0005-0000-0000-000052330000}"/>
    <cellStyle name="표준 23 4 2 2 2 2 2 2 2" xfId="13169" xr:uid="{00000000-0005-0000-0000-000053330000}"/>
    <cellStyle name="표준 23 4 2 2 2 2 2 2 2 2" xfId="13170" xr:uid="{00000000-0005-0000-0000-000054330000}"/>
    <cellStyle name="표준 23 4 2 2 2 2 2 2 2 2 2" xfId="13171" xr:uid="{00000000-0005-0000-0000-000055330000}"/>
    <cellStyle name="표준 23 4 2 2 2 2 2 2 2 3" xfId="13172" xr:uid="{00000000-0005-0000-0000-000056330000}"/>
    <cellStyle name="표준 23 4 2 2 2 2 2 2 3" xfId="13173" xr:uid="{00000000-0005-0000-0000-000057330000}"/>
    <cellStyle name="표준 23 4 2 2 2 2 2 2 3 2" xfId="13174" xr:uid="{00000000-0005-0000-0000-000058330000}"/>
    <cellStyle name="표준 23 4 2 2 2 2 2 2 4" xfId="13175" xr:uid="{00000000-0005-0000-0000-000059330000}"/>
    <cellStyle name="표준 23 4 2 2 2 2 2 3" xfId="13176" xr:uid="{00000000-0005-0000-0000-00005A330000}"/>
    <cellStyle name="표준 23 4 2 2 2 2 2 3 2" xfId="13177" xr:uid="{00000000-0005-0000-0000-00005B330000}"/>
    <cellStyle name="표준 23 4 2 2 2 2 2 3 2 2" xfId="13178" xr:uid="{00000000-0005-0000-0000-00005C330000}"/>
    <cellStyle name="표준 23 4 2 2 2 2 2 3 3" xfId="13179" xr:uid="{00000000-0005-0000-0000-00005D330000}"/>
    <cellStyle name="표준 23 4 2 2 2 2 2 4" xfId="13180" xr:uid="{00000000-0005-0000-0000-00005E330000}"/>
    <cellStyle name="표준 23 4 2 2 2 2 2 4 2" xfId="13181" xr:uid="{00000000-0005-0000-0000-00005F330000}"/>
    <cellStyle name="표준 23 4 2 2 2 2 2 5" xfId="13182" xr:uid="{00000000-0005-0000-0000-000060330000}"/>
    <cellStyle name="표준 23 4 2 2 2 2 3" xfId="13183" xr:uid="{00000000-0005-0000-0000-000061330000}"/>
    <cellStyle name="표준 23 4 2 2 2 2 3 2" xfId="13184" xr:uid="{00000000-0005-0000-0000-000062330000}"/>
    <cellStyle name="표준 23 4 2 2 2 2 3 2 2" xfId="13185" xr:uid="{00000000-0005-0000-0000-000063330000}"/>
    <cellStyle name="표준 23 4 2 2 2 2 3 2 2 2" xfId="13186" xr:uid="{00000000-0005-0000-0000-000064330000}"/>
    <cellStyle name="표준 23 4 2 2 2 2 3 2 3" xfId="13187" xr:uid="{00000000-0005-0000-0000-000065330000}"/>
    <cellStyle name="표준 23 4 2 2 2 2 3 3" xfId="13188" xr:uid="{00000000-0005-0000-0000-000066330000}"/>
    <cellStyle name="표준 23 4 2 2 2 2 3 3 2" xfId="13189" xr:uid="{00000000-0005-0000-0000-000067330000}"/>
    <cellStyle name="표준 23 4 2 2 2 2 3 4" xfId="13190" xr:uid="{00000000-0005-0000-0000-000068330000}"/>
    <cellStyle name="표준 23 4 2 2 2 2 4" xfId="13191" xr:uid="{00000000-0005-0000-0000-000069330000}"/>
    <cellStyle name="표준 23 4 2 2 2 2 4 2" xfId="13192" xr:uid="{00000000-0005-0000-0000-00006A330000}"/>
    <cellStyle name="표준 23 4 2 2 2 2 4 2 2" xfId="13193" xr:uid="{00000000-0005-0000-0000-00006B330000}"/>
    <cellStyle name="표준 23 4 2 2 2 2 4 3" xfId="13194" xr:uid="{00000000-0005-0000-0000-00006C330000}"/>
    <cellStyle name="표준 23 4 2 2 2 2 5" xfId="13195" xr:uid="{00000000-0005-0000-0000-00006D330000}"/>
    <cellStyle name="표준 23 4 2 2 2 2 5 2" xfId="13196" xr:uid="{00000000-0005-0000-0000-00006E330000}"/>
    <cellStyle name="표준 23 4 2 2 2 2 6" xfId="13197" xr:uid="{00000000-0005-0000-0000-00006F330000}"/>
    <cellStyle name="표준 23 4 2 2 2 3" xfId="13198" xr:uid="{00000000-0005-0000-0000-000070330000}"/>
    <cellStyle name="표준 23 4 2 2 2 3 2" xfId="13199" xr:uid="{00000000-0005-0000-0000-000071330000}"/>
    <cellStyle name="표준 23 4 2 2 2 3 2 2" xfId="13200" xr:uid="{00000000-0005-0000-0000-000072330000}"/>
    <cellStyle name="표준 23 4 2 2 2 3 2 2 2" xfId="13201" xr:uid="{00000000-0005-0000-0000-000073330000}"/>
    <cellStyle name="표준 23 4 2 2 2 3 2 2 2 2" xfId="13202" xr:uid="{00000000-0005-0000-0000-000074330000}"/>
    <cellStyle name="표준 23 4 2 2 2 3 2 2 3" xfId="13203" xr:uid="{00000000-0005-0000-0000-000075330000}"/>
    <cellStyle name="표준 23 4 2 2 2 3 2 3" xfId="13204" xr:uid="{00000000-0005-0000-0000-000076330000}"/>
    <cellStyle name="표준 23 4 2 2 2 3 2 3 2" xfId="13205" xr:uid="{00000000-0005-0000-0000-000077330000}"/>
    <cellStyle name="표준 23 4 2 2 2 3 2 4" xfId="13206" xr:uid="{00000000-0005-0000-0000-000078330000}"/>
    <cellStyle name="표준 23 4 2 2 2 3 3" xfId="13207" xr:uid="{00000000-0005-0000-0000-000079330000}"/>
    <cellStyle name="표준 23 4 2 2 2 3 3 2" xfId="13208" xr:uid="{00000000-0005-0000-0000-00007A330000}"/>
    <cellStyle name="표준 23 4 2 2 2 3 3 2 2" xfId="13209" xr:uid="{00000000-0005-0000-0000-00007B330000}"/>
    <cellStyle name="표준 23 4 2 2 2 3 3 3" xfId="13210" xr:uid="{00000000-0005-0000-0000-00007C330000}"/>
    <cellStyle name="표준 23 4 2 2 2 3 4" xfId="13211" xr:uid="{00000000-0005-0000-0000-00007D330000}"/>
    <cellStyle name="표준 23 4 2 2 2 3 4 2" xfId="13212" xr:uid="{00000000-0005-0000-0000-00007E330000}"/>
    <cellStyle name="표준 23 4 2 2 2 3 5" xfId="13213" xr:uid="{00000000-0005-0000-0000-00007F330000}"/>
    <cellStyle name="표준 23 4 2 2 2 4" xfId="13214" xr:uid="{00000000-0005-0000-0000-000080330000}"/>
    <cellStyle name="표준 23 4 2 2 2 4 2" xfId="13215" xr:uid="{00000000-0005-0000-0000-000081330000}"/>
    <cellStyle name="표준 23 4 2 2 2 4 2 2" xfId="13216" xr:uid="{00000000-0005-0000-0000-000082330000}"/>
    <cellStyle name="표준 23 4 2 2 2 4 2 2 2" xfId="13217" xr:uid="{00000000-0005-0000-0000-000083330000}"/>
    <cellStyle name="표준 23 4 2 2 2 4 2 3" xfId="13218" xr:uid="{00000000-0005-0000-0000-000084330000}"/>
    <cellStyle name="표준 23 4 2 2 2 4 3" xfId="13219" xr:uid="{00000000-0005-0000-0000-000085330000}"/>
    <cellStyle name="표준 23 4 2 2 2 4 3 2" xfId="13220" xr:uid="{00000000-0005-0000-0000-000086330000}"/>
    <cellStyle name="표준 23 4 2 2 2 4 4" xfId="13221" xr:uid="{00000000-0005-0000-0000-000087330000}"/>
    <cellStyle name="표준 23 4 2 2 2 5" xfId="13222" xr:uid="{00000000-0005-0000-0000-000088330000}"/>
    <cellStyle name="표준 23 4 2 2 2 5 2" xfId="13223" xr:uid="{00000000-0005-0000-0000-000089330000}"/>
    <cellStyle name="표준 23 4 2 2 2 5 2 2" xfId="13224" xr:uid="{00000000-0005-0000-0000-00008A330000}"/>
    <cellStyle name="표준 23 4 2 2 2 5 3" xfId="13225" xr:uid="{00000000-0005-0000-0000-00008B330000}"/>
    <cellStyle name="표준 23 4 2 2 2 6" xfId="13226" xr:uid="{00000000-0005-0000-0000-00008C330000}"/>
    <cellStyle name="표준 23 4 2 2 2 6 2" xfId="13227" xr:uid="{00000000-0005-0000-0000-00008D330000}"/>
    <cellStyle name="표준 23 4 2 2 2 7" xfId="13228" xr:uid="{00000000-0005-0000-0000-00008E330000}"/>
    <cellStyle name="표준 23 4 2 2 2 8" xfId="13229" xr:uid="{00000000-0005-0000-0000-00008F330000}"/>
    <cellStyle name="표준 23 4 2 2 3" xfId="13230" xr:uid="{00000000-0005-0000-0000-000090330000}"/>
    <cellStyle name="표준 23 4 2 2 3 2" xfId="13231" xr:uid="{00000000-0005-0000-0000-000091330000}"/>
    <cellStyle name="표준 23 4 2 2 3 2 2" xfId="13232" xr:uid="{00000000-0005-0000-0000-000092330000}"/>
    <cellStyle name="표준 23 4 2 2 3 2 2 2" xfId="13233" xr:uid="{00000000-0005-0000-0000-000093330000}"/>
    <cellStyle name="표준 23 4 2 2 3 2 2 2 2" xfId="13234" xr:uid="{00000000-0005-0000-0000-000094330000}"/>
    <cellStyle name="표준 23 4 2 2 3 2 2 2 2 2" xfId="13235" xr:uid="{00000000-0005-0000-0000-000095330000}"/>
    <cellStyle name="표준 23 4 2 2 3 2 2 2 3" xfId="13236" xr:uid="{00000000-0005-0000-0000-000096330000}"/>
    <cellStyle name="표준 23 4 2 2 3 2 2 3" xfId="13237" xr:uid="{00000000-0005-0000-0000-000097330000}"/>
    <cellStyle name="표준 23 4 2 2 3 2 2 3 2" xfId="13238" xr:uid="{00000000-0005-0000-0000-000098330000}"/>
    <cellStyle name="표준 23 4 2 2 3 2 2 4" xfId="13239" xr:uid="{00000000-0005-0000-0000-000099330000}"/>
    <cellStyle name="표준 23 4 2 2 3 2 3" xfId="13240" xr:uid="{00000000-0005-0000-0000-00009A330000}"/>
    <cellStyle name="표준 23 4 2 2 3 2 3 2" xfId="13241" xr:uid="{00000000-0005-0000-0000-00009B330000}"/>
    <cellStyle name="표준 23 4 2 2 3 2 3 2 2" xfId="13242" xr:uid="{00000000-0005-0000-0000-00009C330000}"/>
    <cellStyle name="표준 23 4 2 2 3 2 3 3" xfId="13243" xr:uid="{00000000-0005-0000-0000-00009D330000}"/>
    <cellStyle name="표준 23 4 2 2 3 2 4" xfId="13244" xr:uid="{00000000-0005-0000-0000-00009E330000}"/>
    <cellStyle name="표준 23 4 2 2 3 2 4 2" xfId="13245" xr:uid="{00000000-0005-0000-0000-00009F330000}"/>
    <cellStyle name="표준 23 4 2 2 3 2 5" xfId="13246" xr:uid="{00000000-0005-0000-0000-0000A0330000}"/>
    <cellStyle name="표준 23 4 2 2 3 3" xfId="13247" xr:uid="{00000000-0005-0000-0000-0000A1330000}"/>
    <cellStyle name="표준 23 4 2 2 3 3 2" xfId="13248" xr:uid="{00000000-0005-0000-0000-0000A2330000}"/>
    <cellStyle name="표준 23 4 2 2 3 3 2 2" xfId="13249" xr:uid="{00000000-0005-0000-0000-0000A3330000}"/>
    <cellStyle name="표준 23 4 2 2 3 3 2 2 2" xfId="13250" xr:uid="{00000000-0005-0000-0000-0000A4330000}"/>
    <cellStyle name="표준 23 4 2 2 3 3 2 3" xfId="13251" xr:uid="{00000000-0005-0000-0000-0000A5330000}"/>
    <cellStyle name="표준 23 4 2 2 3 3 3" xfId="13252" xr:uid="{00000000-0005-0000-0000-0000A6330000}"/>
    <cellStyle name="표준 23 4 2 2 3 3 3 2" xfId="13253" xr:uid="{00000000-0005-0000-0000-0000A7330000}"/>
    <cellStyle name="표준 23 4 2 2 3 3 4" xfId="13254" xr:uid="{00000000-0005-0000-0000-0000A8330000}"/>
    <cellStyle name="표준 23 4 2 2 3 4" xfId="13255" xr:uid="{00000000-0005-0000-0000-0000A9330000}"/>
    <cellStyle name="표준 23 4 2 2 3 4 2" xfId="13256" xr:uid="{00000000-0005-0000-0000-0000AA330000}"/>
    <cellStyle name="표준 23 4 2 2 3 4 2 2" xfId="13257" xr:uid="{00000000-0005-0000-0000-0000AB330000}"/>
    <cellStyle name="표준 23 4 2 2 3 4 3" xfId="13258" xr:uid="{00000000-0005-0000-0000-0000AC330000}"/>
    <cellStyle name="표준 23 4 2 2 3 5" xfId="13259" xr:uid="{00000000-0005-0000-0000-0000AD330000}"/>
    <cellStyle name="표준 23 4 2 2 3 5 2" xfId="13260" xr:uid="{00000000-0005-0000-0000-0000AE330000}"/>
    <cellStyle name="표준 23 4 2 2 3 6" xfId="13261" xr:uid="{00000000-0005-0000-0000-0000AF330000}"/>
    <cellStyle name="표준 23 4 2 2 4" xfId="13262" xr:uid="{00000000-0005-0000-0000-0000B0330000}"/>
    <cellStyle name="표준 23 4 2 2 4 2" xfId="13263" xr:uid="{00000000-0005-0000-0000-0000B1330000}"/>
    <cellStyle name="표준 23 4 2 2 4 2 2" xfId="13264" xr:uid="{00000000-0005-0000-0000-0000B2330000}"/>
    <cellStyle name="표준 23 4 2 2 4 2 2 2" xfId="13265" xr:uid="{00000000-0005-0000-0000-0000B3330000}"/>
    <cellStyle name="표준 23 4 2 2 4 2 2 2 2" xfId="13266" xr:uid="{00000000-0005-0000-0000-0000B4330000}"/>
    <cellStyle name="표준 23 4 2 2 4 2 2 3" xfId="13267" xr:uid="{00000000-0005-0000-0000-0000B5330000}"/>
    <cellStyle name="표준 23 4 2 2 4 2 3" xfId="13268" xr:uid="{00000000-0005-0000-0000-0000B6330000}"/>
    <cellStyle name="표준 23 4 2 2 4 2 3 2" xfId="13269" xr:uid="{00000000-0005-0000-0000-0000B7330000}"/>
    <cellStyle name="표준 23 4 2 2 4 2 4" xfId="13270" xr:uid="{00000000-0005-0000-0000-0000B8330000}"/>
    <cellStyle name="표준 23 4 2 2 4 3" xfId="13271" xr:uid="{00000000-0005-0000-0000-0000B9330000}"/>
    <cellStyle name="표준 23 4 2 2 4 3 2" xfId="13272" xr:uid="{00000000-0005-0000-0000-0000BA330000}"/>
    <cellStyle name="표준 23 4 2 2 4 3 2 2" xfId="13273" xr:uid="{00000000-0005-0000-0000-0000BB330000}"/>
    <cellStyle name="표준 23 4 2 2 4 3 3" xfId="13274" xr:uid="{00000000-0005-0000-0000-0000BC330000}"/>
    <cellStyle name="표준 23 4 2 2 4 4" xfId="13275" xr:uid="{00000000-0005-0000-0000-0000BD330000}"/>
    <cellStyle name="표준 23 4 2 2 4 4 2" xfId="13276" xr:uid="{00000000-0005-0000-0000-0000BE330000}"/>
    <cellStyle name="표준 23 4 2 2 4 5" xfId="13277" xr:uid="{00000000-0005-0000-0000-0000BF330000}"/>
    <cellStyle name="표준 23 4 2 2 5" xfId="13278" xr:uid="{00000000-0005-0000-0000-0000C0330000}"/>
    <cellStyle name="표준 23 4 2 2 5 2" xfId="13279" xr:uid="{00000000-0005-0000-0000-0000C1330000}"/>
    <cellStyle name="표준 23 4 2 2 5 2 2" xfId="13280" xr:uid="{00000000-0005-0000-0000-0000C2330000}"/>
    <cellStyle name="표준 23 4 2 2 5 2 2 2" xfId="13281" xr:uid="{00000000-0005-0000-0000-0000C3330000}"/>
    <cellStyle name="표준 23 4 2 2 5 2 3" xfId="13282" xr:uid="{00000000-0005-0000-0000-0000C4330000}"/>
    <cellStyle name="표준 23 4 2 2 5 3" xfId="13283" xr:uid="{00000000-0005-0000-0000-0000C5330000}"/>
    <cellStyle name="표준 23 4 2 2 5 3 2" xfId="13284" xr:uid="{00000000-0005-0000-0000-0000C6330000}"/>
    <cellStyle name="표준 23 4 2 2 5 4" xfId="13285" xr:uid="{00000000-0005-0000-0000-0000C7330000}"/>
    <cellStyle name="표준 23 4 2 2 6" xfId="13286" xr:uid="{00000000-0005-0000-0000-0000C8330000}"/>
    <cellStyle name="표준 23 4 2 2 6 2" xfId="13287" xr:uid="{00000000-0005-0000-0000-0000C9330000}"/>
    <cellStyle name="표준 23 4 2 2 6 2 2" xfId="13288" xr:uid="{00000000-0005-0000-0000-0000CA330000}"/>
    <cellStyle name="표준 23 4 2 2 6 3" xfId="13289" xr:uid="{00000000-0005-0000-0000-0000CB330000}"/>
    <cellStyle name="표준 23 4 2 2 7" xfId="13290" xr:uid="{00000000-0005-0000-0000-0000CC330000}"/>
    <cellStyle name="표준 23 4 2 2 7 2" xfId="13291" xr:uid="{00000000-0005-0000-0000-0000CD330000}"/>
    <cellStyle name="표준 23 4 2 2 8" xfId="13292" xr:uid="{00000000-0005-0000-0000-0000CE330000}"/>
    <cellStyle name="표준 23 4 2 2 9" xfId="13293" xr:uid="{00000000-0005-0000-0000-0000CF330000}"/>
    <cellStyle name="표준 23 4 2 3" xfId="13294" xr:uid="{00000000-0005-0000-0000-0000D0330000}"/>
    <cellStyle name="표준 23 4 2 3 2" xfId="13295" xr:uid="{00000000-0005-0000-0000-0000D1330000}"/>
    <cellStyle name="표준 23 4 2 3 2 2" xfId="13296" xr:uid="{00000000-0005-0000-0000-0000D2330000}"/>
    <cellStyle name="표준 23 4 2 3 2 2 2" xfId="13297" xr:uid="{00000000-0005-0000-0000-0000D3330000}"/>
    <cellStyle name="표준 23 4 2 3 2 2 2 2" xfId="13298" xr:uid="{00000000-0005-0000-0000-0000D4330000}"/>
    <cellStyle name="표준 23 4 2 3 2 2 2 2 2" xfId="13299" xr:uid="{00000000-0005-0000-0000-0000D5330000}"/>
    <cellStyle name="표준 23 4 2 3 2 2 2 2 2 2" xfId="13300" xr:uid="{00000000-0005-0000-0000-0000D6330000}"/>
    <cellStyle name="표준 23 4 2 3 2 2 2 2 3" xfId="13301" xr:uid="{00000000-0005-0000-0000-0000D7330000}"/>
    <cellStyle name="표준 23 4 2 3 2 2 2 3" xfId="13302" xr:uid="{00000000-0005-0000-0000-0000D8330000}"/>
    <cellStyle name="표준 23 4 2 3 2 2 2 3 2" xfId="13303" xr:uid="{00000000-0005-0000-0000-0000D9330000}"/>
    <cellStyle name="표준 23 4 2 3 2 2 2 4" xfId="13304" xr:uid="{00000000-0005-0000-0000-0000DA330000}"/>
    <cellStyle name="표준 23 4 2 3 2 2 3" xfId="13305" xr:uid="{00000000-0005-0000-0000-0000DB330000}"/>
    <cellStyle name="표준 23 4 2 3 2 2 3 2" xfId="13306" xr:uid="{00000000-0005-0000-0000-0000DC330000}"/>
    <cellStyle name="표준 23 4 2 3 2 2 3 2 2" xfId="13307" xr:uid="{00000000-0005-0000-0000-0000DD330000}"/>
    <cellStyle name="표준 23 4 2 3 2 2 3 3" xfId="13308" xr:uid="{00000000-0005-0000-0000-0000DE330000}"/>
    <cellStyle name="표준 23 4 2 3 2 2 4" xfId="13309" xr:uid="{00000000-0005-0000-0000-0000DF330000}"/>
    <cellStyle name="표준 23 4 2 3 2 2 4 2" xfId="13310" xr:uid="{00000000-0005-0000-0000-0000E0330000}"/>
    <cellStyle name="표준 23 4 2 3 2 2 5" xfId="13311" xr:uid="{00000000-0005-0000-0000-0000E1330000}"/>
    <cellStyle name="표준 23 4 2 3 2 3" xfId="13312" xr:uid="{00000000-0005-0000-0000-0000E2330000}"/>
    <cellStyle name="표준 23 4 2 3 2 3 2" xfId="13313" xr:uid="{00000000-0005-0000-0000-0000E3330000}"/>
    <cellStyle name="표준 23 4 2 3 2 3 2 2" xfId="13314" xr:uid="{00000000-0005-0000-0000-0000E4330000}"/>
    <cellStyle name="표준 23 4 2 3 2 3 2 2 2" xfId="13315" xr:uid="{00000000-0005-0000-0000-0000E5330000}"/>
    <cellStyle name="표준 23 4 2 3 2 3 2 3" xfId="13316" xr:uid="{00000000-0005-0000-0000-0000E6330000}"/>
    <cellStyle name="표준 23 4 2 3 2 3 3" xfId="13317" xr:uid="{00000000-0005-0000-0000-0000E7330000}"/>
    <cellStyle name="표준 23 4 2 3 2 3 3 2" xfId="13318" xr:uid="{00000000-0005-0000-0000-0000E8330000}"/>
    <cellStyle name="표준 23 4 2 3 2 3 4" xfId="13319" xr:uid="{00000000-0005-0000-0000-0000E9330000}"/>
    <cellStyle name="표준 23 4 2 3 2 4" xfId="13320" xr:uid="{00000000-0005-0000-0000-0000EA330000}"/>
    <cellStyle name="표준 23 4 2 3 2 4 2" xfId="13321" xr:uid="{00000000-0005-0000-0000-0000EB330000}"/>
    <cellStyle name="표준 23 4 2 3 2 4 2 2" xfId="13322" xr:uid="{00000000-0005-0000-0000-0000EC330000}"/>
    <cellStyle name="표준 23 4 2 3 2 4 3" xfId="13323" xr:uid="{00000000-0005-0000-0000-0000ED330000}"/>
    <cellStyle name="표준 23 4 2 3 2 5" xfId="13324" xr:uid="{00000000-0005-0000-0000-0000EE330000}"/>
    <cellStyle name="표준 23 4 2 3 2 5 2" xfId="13325" xr:uid="{00000000-0005-0000-0000-0000EF330000}"/>
    <cellStyle name="표준 23 4 2 3 2 6" xfId="13326" xr:uid="{00000000-0005-0000-0000-0000F0330000}"/>
    <cellStyle name="표준 23 4 2 3 3" xfId="13327" xr:uid="{00000000-0005-0000-0000-0000F1330000}"/>
    <cellStyle name="표준 23 4 2 3 3 2" xfId="13328" xr:uid="{00000000-0005-0000-0000-0000F2330000}"/>
    <cellStyle name="표준 23 4 2 3 3 2 2" xfId="13329" xr:uid="{00000000-0005-0000-0000-0000F3330000}"/>
    <cellStyle name="표준 23 4 2 3 3 2 2 2" xfId="13330" xr:uid="{00000000-0005-0000-0000-0000F4330000}"/>
    <cellStyle name="표준 23 4 2 3 3 2 2 2 2" xfId="13331" xr:uid="{00000000-0005-0000-0000-0000F5330000}"/>
    <cellStyle name="표준 23 4 2 3 3 2 2 3" xfId="13332" xr:uid="{00000000-0005-0000-0000-0000F6330000}"/>
    <cellStyle name="표준 23 4 2 3 3 2 3" xfId="13333" xr:uid="{00000000-0005-0000-0000-0000F7330000}"/>
    <cellStyle name="표준 23 4 2 3 3 2 3 2" xfId="13334" xr:uid="{00000000-0005-0000-0000-0000F8330000}"/>
    <cellStyle name="표준 23 4 2 3 3 2 4" xfId="13335" xr:uid="{00000000-0005-0000-0000-0000F9330000}"/>
    <cellStyle name="표준 23 4 2 3 3 3" xfId="13336" xr:uid="{00000000-0005-0000-0000-0000FA330000}"/>
    <cellStyle name="표준 23 4 2 3 3 3 2" xfId="13337" xr:uid="{00000000-0005-0000-0000-0000FB330000}"/>
    <cellStyle name="표준 23 4 2 3 3 3 2 2" xfId="13338" xr:uid="{00000000-0005-0000-0000-0000FC330000}"/>
    <cellStyle name="표준 23 4 2 3 3 3 3" xfId="13339" xr:uid="{00000000-0005-0000-0000-0000FD330000}"/>
    <cellStyle name="표준 23 4 2 3 3 4" xfId="13340" xr:uid="{00000000-0005-0000-0000-0000FE330000}"/>
    <cellStyle name="표준 23 4 2 3 3 4 2" xfId="13341" xr:uid="{00000000-0005-0000-0000-0000FF330000}"/>
    <cellStyle name="표준 23 4 2 3 3 5" xfId="13342" xr:uid="{00000000-0005-0000-0000-000000340000}"/>
    <cellStyle name="표준 23 4 2 3 4" xfId="13343" xr:uid="{00000000-0005-0000-0000-000001340000}"/>
    <cellStyle name="표준 23 4 2 3 4 2" xfId="13344" xr:uid="{00000000-0005-0000-0000-000002340000}"/>
    <cellStyle name="표준 23 4 2 3 4 2 2" xfId="13345" xr:uid="{00000000-0005-0000-0000-000003340000}"/>
    <cellStyle name="표준 23 4 2 3 4 2 2 2" xfId="13346" xr:uid="{00000000-0005-0000-0000-000004340000}"/>
    <cellStyle name="표준 23 4 2 3 4 2 3" xfId="13347" xr:uid="{00000000-0005-0000-0000-000005340000}"/>
    <cellStyle name="표준 23 4 2 3 4 3" xfId="13348" xr:uid="{00000000-0005-0000-0000-000006340000}"/>
    <cellStyle name="표준 23 4 2 3 4 3 2" xfId="13349" xr:uid="{00000000-0005-0000-0000-000007340000}"/>
    <cellStyle name="표준 23 4 2 3 4 4" xfId="13350" xr:uid="{00000000-0005-0000-0000-000008340000}"/>
    <cellStyle name="표준 23 4 2 3 5" xfId="13351" xr:uid="{00000000-0005-0000-0000-000009340000}"/>
    <cellStyle name="표준 23 4 2 3 5 2" xfId="13352" xr:uid="{00000000-0005-0000-0000-00000A340000}"/>
    <cellStyle name="표준 23 4 2 3 5 2 2" xfId="13353" xr:uid="{00000000-0005-0000-0000-00000B340000}"/>
    <cellStyle name="표준 23 4 2 3 5 3" xfId="13354" xr:uid="{00000000-0005-0000-0000-00000C340000}"/>
    <cellStyle name="표준 23 4 2 3 6" xfId="13355" xr:uid="{00000000-0005-0000-0000-00000D340000}"/>
    <cellStyle name="표준 23 4 2 3 6 2" xfId="13356" xr:uid="{00000000-0005-0000-0000-00000E340000}"/>
    <cellStyle name="표준 23 4 2 3 7" xfId="13357" xr:uid="{00000000-0005-0000-0000-00000F340000}"/>
    <cellStyle name="표준 23 4 2 3 8" xfId="13358" xr:uid="{00000000-0005-0000-0000-000010340000}"/>
    <cellStyle name="표준 23 4 2 4" xfId="13359" xr:uid="{00000000-0005-0000-0000-000011340000}"/>
    <cellStyle name="표준 23 4 2 4 2" xfId="13360" xr:uid="{00000000-0005-0000-0000-000012340000}"/>
    <cellStyle name="표준 23 4 2 4 2 2" xfId="13361" xr:uid="{00000000-0005-0000-0000-000013340000}"/>
    <cellStyle name="표준 23 4 2 4 2 2 2" xfId="13362" xr:uid="{00000000-0005-0000-0000-000014340000}"/>
    <cellStyle name="표준 23 4 2 4 2 2 2 2" xfId="13363" xr:uid="{00000000-0005-0000-0000-000015340000}"/>
    <cellStyle name="표준 23 4 2 4 2 2 2 2 2" xfId="13364" xr:uid="{00000000-0005-0000-0000-000016340000}"/>
    <cellStyle name="표준 23 4 2 4 2 2 2 3" xfId="13365" xr:uid="{00000000-0005-0000-0000-000017340000}"/>
    <cellStyle name="표준 23 4 2 4 2 2 3" xfId="13366" xr:uid="{00000000-0005-0000-0000-000018340000}"/>
    <cellStyle name="표준 23 4 2 4 2 2 3 2" xfId="13367" xr:uid="{00000000-0005-0000-0000-000019340000}"/>
    <cellStyle name="표준 23 4 2 4 2 2 4" xfId="13368" xr:uid="{00000000-0005-0000-0000-00001A340000}"/>
    <cellStyle name="표준 23 4 2 4 2 3" xfId="13369" xr:uid="{00000000-0005-0000-0000-00001B340000}"/>
    <cellStyle name="표준 23 4 2 4 2 3 2" xfId="13370" xr:uid="{00000000-0005-0000-0000-00001C340000}"/>
    <cellStyle name="표준 23 4 2 4 2 3 2 2" xfId="13371" xr:uid="{00000000-0005-0000-0000-00001D340000}"/>
    <cellStyle name="표준 23 4 2 4 2 3 3" xfId="13372" xr:uid="{00000000-0005-0000-0000-00001E340000}"/>
    <cellStyle name="표준 23 4 2 4 2 4" xfId="13373" xr:uid="{00000000-0005-0000-0000-00001F340000}"/>
    <cellStyle name="표준 23 4 2 4 2 4 2" xfId="13374" xr:uid="{00000000-0005-0000-0000-000020340000}"/>
    <cellStyle name="표준 23 4 2 4 2 5" xfId="13375" xr:uid="{00000000-0005-0000-0000-000021340000}"/>
    <cellStyle name="표준 23 4 2 4 3" xfId="13376" xr:uid="{00000000-0005-0000-0000-000022340000}"/>
    <cellStyle name="표준 23 4 2 4 3 2" xfId="13377" xr:uid="{00000000-0005-0000-0000-000023340000}"/>
    <cellStyle name="표준 23 4 2 4 3 2 2" xfId="13378" xr:uid="{00000000-0005-0000-0000-000024340000}"/>
    <cellStyle name="표준 23 4 2 4 3 2 2 2" xfId="13379" xr:uid="{00000000-0005-0000-0000-000025340000}"/>
    <cellStyle name="표준 23 4 2 4 3 2 3" xfId="13380" xr:uid="{00000000-0005-0000-0000-000026340000}"/>
    <cellStyle name="표준 23 4 2 4 3 3" xfId="13381" xr:uid="{00000000-0005-0000-0000-000027340000}"/>
    <cellStyle name="표준 23 4 2 4 3 3 2" xfId="13382" xr:uid="{00000000-0005-0000-0000-000028340000}"/>
    <cellStyle name="표준 23 4 2 4 3 4" xfId="13383" xr:uid="{00000000-0005-0000-0000-000029340000}"/>
    <cellStyle name="표준 23 4 2 4 4" xfId="13384" xr:uid="{00000000-0005-0000-0000-00002A340000}"/>
    <cellStyle name="표준 23 4 2 4 4 2" xfId="13385" xr:uid="{00000000-0005-0000-0000-00002B340000}"/>
    <cellStyle name="표준 23 4 2 4 4 2 2" xfId="13386" xr:uid="{00000000-0005-0000-0000-00002C340000}"/>
    <cellStyle name="표준 23 4 2 4 4 3" xfId="13387" xr:uid="{00000000-0005-0000-0000-00002D340000}"/>
    <cellStyle name="표준 23 4 2 4 5" xfId="13388" xr:uid="{00000000-0005-0000-0000-00002E340000}"/>
    <cellStyle name="표준 23 4 2 4 5 2" xfId="13389" xr:uid="{00000000-0005-0000-0000-00002F340000}"/>
    <cellStyle name="표준 23 4 2 4 6" xfId="13390" xr:uid="{00000000-0005-0000-0000-000030340000}"/>
    <cellStyle name="표준 23 4 2 5" xfId="13391" xr:uid="{00000000-0005-0000-0000-000031340000}"/>
    <cellStyle name="표준 23 4 2 5 2" xfId="13392" xr:uid="{00000000-0005-0000-0000-000032340000}"/>
    <cellStyle name="표준 23 4 2 5 2 2" xfId="13393" xr:uid="{00000000-0005-0000-0000-000033340000}"/>
    <cellStyle name="표준 23 4 2 5 2 2 2" xfId="13394" xr:uid="{00000000-0005-0000-0000-000034340000}"/>
    <cellStyle name="표준 23 4 2 5 2 2 2 2" xfId="13395" xr:uid="{00000000-0005-0000-0000-000035340000}"/>
    <cellStyle name="표준 23 4 2 5 2 2 3" xfId="13396" xr:uid="{00000000-0005-0000-0000-000036340000}"/>
    <cellStyle name="표준 23 4 2 5 2 3" xfId="13397" xr:uid="{00000000-0005-0000-0000-000037340000}"/>
    <cellStyle name="표준 23 4 2 5 2 3 2" xfId="13398" xr:uid="{00000000-0005-0000-0000-000038340000}"/>
    <cellStyle name="표준 23 4 2 5 2 4" xfId="13399" xr:uid="{00000000-0005-0000-0000-000039340000}"/>
    <cellStyle name="표준 23 4 2 5 3" xfId="13400" xr:uid="{00000000-0005-0000-0000-00003A340000}"/>
    <cellStyle name="표준 23 4 2 5 3 2" xfId="13401" xr:uid="{00000000-0005-0000-0000-00003B340000}"/>
    <cellStyle name="표준 23 4 2 5 3 2 2" xfId="13402" xr:uid="{00000000-0005-0000-0000-00003C340000}"/>
    <cellStyle name="표준 23 4 2 5 3 3" xfId="13403" xr:uid="{00000000-0005-0000-0000-00003D340000}"/>
    <cellStyle name="표준 23 4 2 5 4" xfId="13404" xr:uid="{00000000-0005-0000-0000-00003E340000}"/>
    <cellStyle name="표준 23 4 2 5 4 2" xfId="13405" xr:uid="{00000000-0005-0000-0000-00003F340000}"/>
    <cellStyle name="표준 23 4 2 5 5" xfId="13406" xr:uid="{00000000-0005-0000-0000-000040340000}"/>
    <cellStyle name="표준 23 4 2 6" xfId="13407" xr:uid="{00000000-0005-0000-0000-000041340000}"/>
    <cellStyle name="표준 23 4 2 6 2" xfId="13408" xr:uid="{00000000-0005-0000-0000-000042340000}"/>
    <cellStyle name="표준 23 4 2 6 2 2" xfId="13409" xr:uid="{00000000-0005-0000-0000-000043340000}"/>
    <cellStyle name="표준 23 4 2 6 2 2 2" xfId="13410" xr:uid="{00000000-0005-0000-0000-000044340000}"/>
    <cellStyle name="표준 23 4 2 6 2 3" xfId="13411" xr:uid="{00000000-0005-0000-0000-000045340000}"/>
    <cellStyle name="표준 23 4 2 6 3" xfId="13412" xr:uid="{00000000-0005-0000-0000-000046340000}"/>
    <cellStyle name="표준 23 4 2 6 3 2" xfId="13413" xr:uid="{00000000-0005-0000-0000-000047340000}"/>
    <cellStyle name="표준 23 4 2 6 4" xfId="13414" xr:uid="{00000000-0005-0000-0000-000048340000}"/>
    <cellStyle name="표준 23 4 2 7" xfId="13415" xr:uid="{00000000-0005-0000-0000-000049340000}"/>
    <cellStyle name="표준 23 4 2 7 2" xfId="13416" xr:uid="{00000000-0005-0000-0000-00004A340000}"/>
    <cellStyle name="표준 23 4 2 7 2 2" xfId="13417" xr:uid="{00000000-0005-0000-0000-00004B340000}"/>
    <cellStyle name="표준 23 4 2 7 3" xfId="13418" xr:uid="{00000000-0005-0000-0000-00004C340000}"/>
    <cellStyle name="표준 23 4 2 8" xfId="13419" xr:uid="{00000000-0005-0000-0000-00004D340000}"/>
    <cellStyle name="표준 23 4 2 8 2" xfId="13420" xr:uid="{00000000-0005-0000-0000-00004E340000}"/>
    <cellStyle name="표준 23 4 2 9" xfId="13421" xr:uid="{00000000-0005-0000-0000-00004F340000}"/>
    <cellStyle name="표준 23 4 3" xfId="13422" xr:uid="{00000000-0005-0000-0000-000050340000}"/>
    <cellStyle name="표준 23 4 3 2" xfId="13423" xr:uid="{00000000-0005-0000-0000-000051340000}"/>
    <cellStyle name="표준 23 4 3 2 2" xfId="13424" xr:uid="{00000000-0005-0000-0000-000052340000}"/>
    <cellStyle name="표준 23 4 3 2 2 2" xfId="13425" xr:uid="{00000000-0005-0000-0000-000053340000}"/>
    <cellStyle name="표준 23 4 3 2 2 2 2" xfId="13426" xr:uid="{00000000-0005-0000-0000-000054340000}"/>
    <cellStyle name="표준 23 4 3 2 2 2 2 2" xfId="13427" xr:uid="{00000000-0005-0000-0000-000055340000}"/>
    <cellStyle name="표준 23 4 3 2 2 2 2 2 2" xfId="13428" xr:uid="{00000000-0005-0000-0000-000056340000}"/>
    <cellStyle name="표준 23 4 3 2 2 2 2 2 2 2" xfId="13429" xr:uid="{00000000-0005-0000-0000-000057340000}"/>
    <cellStyle name="표준 23 4 3 2 2 2 2 2 3" xfId="13430" xr:uid="{00000000-0005-0000-0000-000058340000}"/>
    <cellStyle name="표준 23 4 3 2 2 2 2 3" xfId="13431" xr:uid="{00000000-0005-0000-0000-000059340000}"/>
    <cellStyle name="표준 23 4 3 2 2 2 2 3 2" xfId="13432" xr:uid="{00000000-0005-0000-0000-00005A340000}"/>
    <cellStyle name="표준 23 4 3 2 2 2 2 4" xfId="13433" xr:uid="{00000000-0005-0000-0000-00005B340000}"/>
    <cellStyle name="표준 23 4 3 2 2 2 3" xfId="13434" xr:uid="{00000000-0005-0000-0000-00005C340000}"/>
    <cellStyle name="표준 23 4 3 2 2 2 3 2" xfId="13435" xr:uid="{00000000-0005-0000-0000-00005D340000}"/>
    <cellStyle name="표준 23 4 3 2 2 2 3 2 2" xfId="13436" xr:uid="{00000000-0005-0000-0000-00005E340000}"/>
    <cellStyle name="표준 23 4 3 2 2 2 3 3" xfId="13437" xr:uid="{00000000-0005-0000-0000-00005F340000}"/>
    <cellStyle name="표준 23 4 3 2 2 2 4" xfId="13438" xr:uid="{00000000-0005-0000-0000-000060340000}"/>
    <cellStyle name="표준 23 4 3 2 2 2 4 2" xfId="13439" xr:uid="{00000000-0005-0000-0000-000061340000}"/>
    <cellStyle name="표준 23 4 3 2 2 2 5" xfId="13440" xr:uid="{00000000-0005-0000-0000-000062340000}"/>
    <cellStyle name="표준 23 4 3 2 2 3" xfId="13441" xr:uid="{00000000-0005-0000-0000-000063340000}"/>
    <cellStyle name="표준 23 4 3 2 2 3 2" xfId="13442" xr:uid="{00000000-0005-0000-0000-000064340000}"/>
    <cellStyle name="표준 23 4 3 2 2 3 2 2" xfId="13443" xr:uid="{00000000-0005-0000-0000-000065340000}"/>
    <cellStyle name="표준 23 4 3 2 2 3 2 2 2" xfId="13444" xr:uid="{00000000-0005-0000-0000-000066340000}"/>
    <cellStyle name="표준 23 4 3 2 2 3 2 3" xfId="13445" xr:uid="{00000000-0005-0000-0000-000067340000}"/>
    <cellStyle name="표준 23 4 3 2 2 3 3" xfId="13446" xr:uid="{00000000-0005-0000-0000-000068340000}"/>
    <cellStyle name="표준 23 4 3 2 2 3 3 2" xfId="13447" xr:uid="{00000000-0005-0000-0000-000069340000}"/>
    <cellStyle name="표준 23 4 3 2 2 3 4" xfId="13448" xr:uid="{00000000-0005-0000-0000-00006A340000}"/>
    <cellStyle name="표준 23 4 3 2 2 4" xfId="13449" xr:uid="{00000000-0005-0000-0000-00006B340000}"/>
    <cellStyle name="표준 23 4 3 2 2 4 2" xfId="13450" xr:uid="{00000000-0005-0000-0000-00006C340000}"/>
    <cellStyle name="표준 23 4 3 2 2 4 2 2" xfId="13451" xr:uid="{00000000-0005-0000-0000-00006D340000}"/>
    <cellStyle name="표준 23 4 3 2 2 4 3" xfId="13452" xr:uid="{00000000-0005-0000-0000-00006E340000}"/>
    <cellStyle name="표준 23 4 3 2 2 5" xfId="13453" xr:uid="{00000000-0005-0000-0000-00006F340000}"/>
    <cellStyle name="표준 23 4 3 2 2 5 2" xfId="13454" xr:uid="{00000000-0005-0000-0000-000070340000}"/>
    <cellStyle name="표준 23 4 3 2 2 6" xfId="13455" xr:uid="{00000000-0005-0000-0000-000071340000}"/>
    <cellStyle name="표준 23 4 3 2 3" xfId="13456" xr:uid="{00000000-0005-0000-0000-000072340000}"/>
    <cellStyle name="표준 23 4 3 2 3 2" xfId="13457" xr:uid="{00000000-0005-0000-0000-000073340000}"/>
    <cellStyle name="표준 23 4 3 2 3 2 2" xfId="13458" xr:uid="{00000000-0005-0000-0000-000074340000}"/>
    <cellStyle name="표준 23 4 3 2 3 2 2 2" xfId="13459" xr:uid="{00000000-0005-0000-0000-000075340000}"/>
    <cellStyle name="표준 23 4 3 2 3 2 2 2 2" xfId="13460" xr:uid="{00000000-0005-0000-0000-000076340000}"/>
    <cellStyle name="표준 23 4 3 2 3 2 2 3" xfId="13461" xr:uid="{00000000-0005-0000-0000-000077340000}"/>
    <cellStyle name="표준 23 4 3 2 3 2 3" xfId="13462" xr:uid="{00000000-0005-0000-0000-000078340000}"/>
    <cellStyle name="표준 23 4 3 2 3 2 3 2" xfId="13463" xr:uid="{00000000-0005-0000-0000-000079340000}"/>
    <cellStyle name="표준 23 4 3 2 3 2 4" xfId="13464" xr:uid="{00000000-0005-0000-0000-00007A340000}"/>
    <cellStyle name="표준 23 4 3 2 3 3" xfId="13465" xr:uid="{00000000-0005-0000-0000-00007B340000}"/>
    <cellStyle name="표준 23 4 3 2 3 3 2" xfId="13466" xr:uid="{00000000-0005-0000-0000-00007C340000}"/>
    <cellStyle name="표준 23 4 3 2 3 3 2 2" xfId="13467" xr:uid="{00000000-0005-0000-0000-00007D340000}"/>
    <cellStyle name="표준 23 4 3 2 3 3 3" xfId="13468" xr:uid="{00000000-0005-0000-0000-00007E340000}"/>
    <cellStyle name="표준 23 4 3 2 3 4" xfId="13469" xr:uid="{00000000-0005-0000-0000-00007F340000}"/>
    <cellStyle name="표준 23 4 3 2 3 4 2" xfId="13470" xr:uid="{00000000-0005-0000-0000-000080340000}"/>
    <cellStyle name="표준 23 4 3 2 3 5" xfId="13471" xr:uid="{00000000-0005-0000-0000-000081340000}"/>
    <cellStyle name="표준 23 4 3 2 4" xfId="13472" xr:uid="{00000000-0005-0000-0000-000082340000}"/>
    <cellStyle name="표준 23 4 3 2 4 2" xfId="13473" xr:uid="{00000000-0005-0000-0000-000083340000}"/>
    <cellStyle name="표준 23 4 3 2 4 2 2" xfId="13474" xr:uid="{00000000-0005-0000-0000-000084340000}"/>
    <cellStyle name="표준 23 4 3 2 4 2 2 2" xfId="13475" xr:uid="{00000000-0005-0000-0000-000085340000}"/>
    <cellStyle name="표준 23 4 3 2 4 2 3" xfId="13476" xr:uid="{00000000-0005-0000-0000-000086340000}"/>
    <cellStyle name="표준 23 4 3 2 4 3" xfId="13477" xr:uid="{00000000-0005-0000-0000-000087340000}"/>
    <cellStyle name="표준 23 4 3 2 4 3 2" xfId="13478" xr:uid="{00000000-0005-0000-0000-000088340000}"/>
    <cellStyle name="표준 23 4 3 2 4 4" xfId="13479" xr:uid="{00000000-0005-0000-0000-000089340000}"/>
    <cellStyle name="표준 23 4 3 2 5" xfId="13480" xr:uid="{00000000-0005-0000-0000-00008A340000}"/>
    <cellStyle name="표준 23 4 3 2 5 2" xfId="13481" xr:uid="{00000000-0005-0000-0000-00008B340000}"/>
    <cellStyle name="표준 23 4 3 2 5 2 2" xfId="13482" xr:uid="{00000000-0005-0000-0000-00008C340000}"/>
    <cellStyle name="표준 23 4 3 2 5 3" xfId="13483" xr:uid="{00000000-0005-0000-0000-00008D340000}"/>
    <cellStyle name="표준 23 4 3 2 6" xfId="13484" xr:uid="{00000000-0005-0000-0000-00008E340000}"/>
    <cellStyle name="표준 23 4 3 2 6 2" xfId="13485" xr:uid="{00000000-0005-0000-0000-00008F340000}"/>
    <cellStyle name="표준 23 4 3 2 7" xfId="13486" xr:uid="{00000000-0005-0000-0000-000090340000}"/>
    <cellStyle name="표준 23 4 3 2 8" xfId="13487" xr:uid="{00000000-0005-0000-0000-000091340000}"/>
    <cellStyle name="표준 23 4 3 3" xfId="13488" xr:uid="{00000000-0005-0000-0000-000092340000}"/>
    <cellStyle name="표준 23 4 3 3 2" xfId="13489" xr:uid="{00000000-0005-0000-0000-000093340000}"/>
    <cellStyle name="표준 23 4 3 3 2 2" xfId="13490" xr:uid="{00000000-0005-0000-0000-000094340000}"/>
    <cellStyle name="표준 23 4 3 3 2 2 2" xfId="13491" xr:uid="{00000000-0005-0000-0000-000095340000}"/>
    <cellStyle name="표준 23 4 3 3 2 2 2 2" xfId="13492" xr:uid="{00000000-0005-0000-0000-000096340000}"/>
    <cellStyle name="표준 23 4 3 3 2 2 2 2 2" xfId="13493" xr:uid="{00000000-0005-0000-0000-000097340000}"/>
    <cellStyle name="표준 23 4 3 3 2 2 2 3" xfId="13494" xr:uid="{00000000-0005-0000-0000-000098340000}"/>
    <cellStyle name="표준 23 4 3 3 2 2 3" xfId="13495" xr:uid="{00000000-0005-0000-0000-000099340000}"/>
    <cellStyle name="표준 23 4 3 3 2 2 3 2" xfId="13496" xr:uid="{00000000-0005-0000-0000-00009A340000}"/>
    <cellStyle name="표준 23 4 3 3 2 2 4" xfId="13497" xr:uid="{00000000-0005-0000-0000-00009B340000}"/>
    <cellStyle name="표준 23 4 3 3 2 3" xfId="13498" xr:uid="{00000000-0005-0000-0000-00009C340000}"/>
    <cellStyle name="표준 23 4 3 3 2 3 2" xfId="13499" xr:uid="{00000000-0005-0000-0000-00009D340000}"/>
    <cellStyle name="표준 23 4 3 3 2 3 2 2" xfId="13500" xr:uid="{00000000-0005-0000-0000-00009E340000}"/>
    <cellStyle name="표준 23 4 3 3 2 3 3" xfId="13501" xr:uid="{00000000-0005-0000-0000-00009F340000}"/>
    <cellStyle name="표준 23 4 3 3 2 4" xfId="13502" xr:uid="{00000000-0005-0000-0000-0000A0340000}"/>
    <cellStyle name="표준 23 4 3 3 2 4 2" xfId="13503" xr:uid="{00000000-0005-0000-0000-0000A1340000}"/>
    <cellStyle name="표준 23 4 3 3 2 5" xfId="13504" xr:uid="{00000000-0005-0000-0000-0000A2340000}"/>
    <cellStyle name="표준 23 4 3 3 3" xfId="13505" xr:uid="{00000000-0005-0000-0000-0000A3340000}"/>
    <cellStyle name="표준 23 4 3 3 3 2" xfId="13506" xr:uid="{00000000-0005-0000-0000-0000A4340000}"/>
    <cellStyle name="표준 23 4 3 3 3 2 2" xfId="13507" xr:uid="{00000000-0005-0000-0000-0000A5340000}"/>
    <cellStyle name="표준 23 4 3 3 3 2 2 2" xfId="13508" xr:uid="{00000000-0005-0000-0000-0000A6340000}"/>
    <cellStyle name="표준 23 4 3 3 3 2 3" xfId="13509" xr:uid="{00000000-0005-0000-0000-0000A7340000}"/>
    <cellStyle name="표준 23 4 3 3 3 3" xfId="13510" xr:uid="{00000000-0005-0000-0000-0000A8340000}"/>
    <cellStyle name="표준 23 4 3 3 3 3 2" xfId="13511" xr:uid="{00000000-0005-0000-0000-0000A9340000}"/>
    <cellStyle name="표준 23 4 3 3 3 4" xfId="13512" xr:uid="{00000000-0005-0000-0000-0000AA340000}"/>
    <cellStyle name="표준 23 4 3 3 4" xfId="13513" xr:uid="{00000000-0005-0000-0000-0000AB340000}"/>
    <cellStyle name="표준 23 4 3 3 4 2" xfId="13514" xr:uid="{00000000-0005-0000-0000-0000AC340000}"/>
    <cellStyle name="표준 23 4 3 3 4 2 2" xfId="13515" xr:uid="{00000000-0005-0000-0000-0000AD340000}"/>
    <cellStyle name="표준 23 4 3 3 4 3" xfId="13516" xr:uid="{00000000-0005-0000-0000-0000AE340000}"/>
    <cellStyle name="표준 23 4 3 3 5" xfId="13517" xr:uid="{00000000-0005-0000-0000-0000AF340000}"/>
    <cellStyle name="표준 23 4 3 3 5 2" xfId="13518" xr:uid="{00000000-0005-0000-0000-0000B0340000}"/>
    <cellStyle name="표준 23 4 3 3 6" xfId="13519" xr:uid="{00000000-0005-0000-0000-0000B1340000}"/>
    <cellStyle name="표준 23 4 3 4" xfId="13520" xr:uid="{00000000-0005-0000-0000-0000B2340000}"/>
    <cellStyle name="표준 23 4 3 4 2" xfId="13521" xr:uid="{00000000-0005-0000-0000-0000B3340000}"/>
    <cellStyle name="표준 23 4 3 4 2 2" xfId="13522" xr:uid="{00000000-0005-0000-0000-0000B4340000}"/>
    <cellStyle name="표준 23 4 3 4 2 2 2" xfId="13523" xr:uid="{00000000-0005-0000-0000-0000B5340000}"/>
    <cellStyle name="표준 23 4 3 4 2 2 2 2" xfId="13524" xr:uid="{00000000-0005-0000-0000-0000B6340000}"/>
    <cellStyle name="표준 23 4 3 4 2 2 3" xfId="13525" xr:uid="{00000000-0005-0000-0000-0000B7340000}"/>
    <cellStyle name="표준 23 4 3 4 2 3" xfId="13526" xr:uid="{00000000-0005-0000-0000-0000B8340000}"/>
    <cellStyle name="표준 23 4 3 4 2 3 2" xfId="13527" xr:uid="{00000000-0005-0000-0000-0000B9340000}"/>
    <cellStyle name="표준 23 4 3 4 2 4" xfId="13528" xr:uid="{00000000-0005-0000-0000-0000BA340000}"/>
    <cellStyle name="표준 23 4 3 4 3" xfId="13529" xr:uid="{00000000-0005-0000-0000-0000BB340000}"/>
    <cellStyle name="표준 23 4 3 4 3 2" xfId="13530" xr:uid="{00000000-0005-0000-0000-0000BC340000}"/>
    <cellStyle name="표준 23 4 3 4 3 2 2" xfId="13531" xr:uid="{00000000-0005-0000-0000-0000BD340000}"/>
    <cellStyle name="표준 23 4 3 4 3 3" xfId="13532" xr:uid="{00000000-0005-0000-0000-0000BE340000}"/>
    <cellStyle name="표준 23 4 3 4 4" xfId="13533" xr:uid="{00000000-0005-0000-0000-0000BF340000}"/>
    <cellStyle name="표준 23 4 3 4 4 2" xfId="13534" xr:uid="{00000000-0005-0000-0000-0000C0340000}"/>
    <cellStyle name="표준 23 4 3 4 5" xfId="13535" xr:uid="{00000000-0005-0000-0000-0000C1340000}"/>
    <cellStyle name="표준 23 4 3 5" xfId="13536" xr:uid="{00000000-0005-0000-0000-0000C2340000}"/>
    <cellStyle name="표준 23 4 3 5 2" xfId="13537" xr:uid="{00000000-0005-0000-0000-0000C3340000}"/>
    <cellStyle name="표준 23 4 3 5 2 2" xfId="13538" xr:uid="{00000000-0005-0000-0000-0000C4340000}"/>
    <cellStyle name="표준 23 4 3 5 2 2 2" xfId="13539" xr:uid="{00000000-0005-0000-0000-0000C5340000}"/>
    <cellStyle name="표준 23 4 3 5 2 3" xfId="13540" xr:uid="{00000000-0005-0000-0000-0000C6340000}"/>
    <cellStyle name="표준 23 4 3 5 3" xfId="13541" xr:uid="{00000000-0005-0000-0000-0000C7340000}"/>
    <cellStyle name="표준 23 4 3 5 3 2" xfId="13542" xr:uid="{00000000-0005-0000-0000-0000C8340000}"/>
    <cellStyle name="표준 23 4 3 5 4" xfId="13543" xr:uid="{00000000-0005-0000-0000-0000C9340000}"/>
    <cellStyle name="표준 23 4 3 6" xfId="13544" xr:uid="{00000000-0005-0000-0000-0000CA340000}"/>
    <cellStyle name="표준 23 4 3 6 2" xfId="13545" xr:uid="{00000000-0005-0000-0000-0000CB340000}"/>
    <cellStyle name="표준 23 4 3 6 2 2" xfId="13546" xr:uid="{00000000-0005-0000-0000-0000CC340000}"/>
    <cellStyle name="표준 23 4 3 6 3" xfId="13547" xr:uid="{00000000-0005-0000-0000-0000CD340000}"/>
    <cellStyle name="표준 23 4 3 7" xfId="13548" xr:uid="{00000000-0005-0000-0000-0000CE340000}"/>
    <cellStyle name="표준 23 4 3 7 2" xfId="13549" xr:uid="{00000000-0005-0000-0000-0000CF340000}"/>
    <cellStyle name="표준 23 4 3 8" xfId="13550" xr:uid="{00000000-0005-0000-0000-0000D0340000}"/>
    <cellStyle name="표준 23 4 3 9" xfId="13551" xr:uid="{00000000-0005-0000-0000-0000D1340000}"/>
    <cellStyle name="표준 23 4 4" xfId="13552" xr:uid="{00000000-0005-0000-0000-0000D2340000}"/>
    <cellStyle name="표준 23 4 4 2" xfId="13553" xr:uid="{00000000-0005-0000-0000-0000D3340000}"/>
    <cellStyle name="표준 23 4 4 2 2" xfId="13554" xr:uid="{00000000-0005-0000-0000-0000D4340000}"/>
    <cellStyle name="표준 23 4 4 2 2 2" xfId="13555" xr:uid="{00000000-0005-0000-0000-0000D5340000}"/>
    <cellStyle name="표준 23 4 4 2 2 2 2" xfId="13556" xr:uid="{00000000-0005-0000-0000-0000D6340000}"/>
    <cellStyle name="표준 23 4 4 2 2 2 2 2" xfId="13557" xr:uid="{00000000-0005-0000-0000-0000D7340000}"/>
    <cellStyle name="표준 23 4 4 2 2 2 2 2 2" xfId="13558" xr:uid="{00000000-0005-0000-0000-0000D8340000}"/>
    <cellStyle name="표준 23 4 4 2 2 2 2 3" xfId="13559" xr:uid="{00000000-0005-0000-0000-0000D9340000}"/>
    <cellStyle name="표준 23 4 4 2 2 2 3" xfId="13560" xr:uid="{00000000-0005-0000-0000-0000DA340000}"/>
    <cellStyle name="표준 23 4 4 2 2 2 3 2" xfId="13561" xr:uid="{00000000-0005-0000-0000-0000DB340000}"/>
    <cellStyle name="표준 23 4 4 2 2 2 4" xfId="13562" xr:uid="{00000000-0005-0000-0000-0000DC340000}"/>
    <cellStyle name="표준 23 4 4 2 2 3" xfId="13563" xr:uid="{00000000-0005-0000-0000-0000DD340000}"/>
    <cellStyle name="표준 23 4 4 2 2 3 2" xfId="13564" xr:uid="{00000000-0005-0000-0000-0000DE340000}"/>
    <cellStyle name="표준 23 4 4 2 2 3 2 2" xfId="13565" xr:uid="{00000000-0005-0000-0000-0000DF340000}"/>
    <cellStyle name="표준 23 4 4 2 2 3 3" xfId="13566" xr:uid="{00000000-0005-0000-0000-0000E0340000}"/>
    <cellStyle name="표준 23 4 4 2 2 4" xfId="13567" xr:uid="{00000000-0005-0000-0000-0000E1340000}"/>
    <cellStyle name="표준 23 4 4 2 2 4 2" xfId="13568" xr:uid="{00000000-0005-0000-0000-0000E2340000}"/>
    <cellStyle name="표준 23 4 4 2 2 5" xfId="13569" xr:uid="{00000000-0005-0000-0000-0000E3340000}"/>
    <cellStyle name="표준 23 4 4 2 3" xfId="13570" xr:uid="{00000000-0005-0000-0000-0000E4340000}"/>
    <cellStyle name="표준 23 4 4 2 3 2" xfId="13571" xr:uid="{00000000-0005-0000-0000-0000E5340000}"/>
    <cellStyle name="표준 23 4 4 2 3 2 2" xfId="13572" xr:uid="{00000000-0005-0000-0000-0000E6340000}"/>
    <cellStyle name="표준 23 4 4 2 3 2 2 2" xfId="13573" xr:uid="{00000000-0005-0000-0000-0000E7340000}"/>
    <cellStyle name="표준 23 4 4 2 3 2 3" xfId="13574" xr:uid="{00000000-0005-0000-0000-0000E8340000}"/>
    <cellStyle name="표준 23 4 4 2 3 3" xfId="13575" xr:uid="{00000000-0005-0000-0000-0000E9340000}"/>
    <cellStyle name="표준 23 4 4 2 3 3 2" xfId="13576" xr:uid="{00000000-0005-0000-0000-0000EA340000}"/>
    <cellStyle name="표준 23 4 4 2 3 4" xfId="13577" xr:uid="{00000000-0005-0000-0000-0000EB340000}"/>
    <cellStyle name="표준 23 4 4 2 4" xfId="13578" xr:uid="{00000000-0005-0000-0000-0000EC340000}"/>
    <cellStyle name="표준 23 4 4 2 4 2" xfId="13579" xr:uid="{00000000-0005-0000-0000-0000ED340000}"/>
    <cellStyle name="표준 23 4 4 2 4 2 2" xfId="13580" xr:uid="{00000000-0005-0000-0000-0000EE340000}"/>
    <cellStyle name="표준 23 4 4 2 4 3" xfId="13581" xr:uid="{00000000-0005-0000-0000-0000EF340000}"/>
    <cellStyle name="표준 23 4 4 2 5" xfId="13582" xr:uid="{00000000-0005-0000-0000-0000F0340000}"/>
    <cellStyle name="표준 23 4 4 2 5 2" xfId="13583" xr:uid="{00000000-0005-0000-0000-0000F1340000}"/>
    <cellStyle name="표준 23 4 4 2 6" xfId="13584" xr:uid="{00000000-0005-0000-0000-0000F2340000}"/>
    <cellStyle name="표준 23 4 4 3" xfId="13585" xr:uid="{00000000-0005-0000-0000-0000F3340000}"/>
    <cellStyle name="표준 23 4 4 3 2" xfId="13586" xr:uid="{00000000-0005-0000-0000-0000F4340000}"/>
    <cellStyle name="표준 23 4 4 3 2 2" xfId="13587" xr:uid="{00000000-0005-0000-0000-0000F5340000}"/>
    <cellStyle name="표준 23 4 4 3 2 2 2" xfId="13588" xr:uid="{00000000-0005-0000-0000-0000F6340000}"/>
    <cellStyle name="표준 23 4 4 3 2 2 2 2" xfId="13589" xr:uid="{00000000-0005-0000-0000-0000F7340000}"/>
    <cellStyle name="표준 23 4 4 3 2 2 3" xfId="13590" xr:uid="{00000000-0005-0000-0000-0000F8340000}"/>
    <cellStyle name="표준 23 4 4 3 2 3" xfId="13591" xr:uid="{00000000-0005-0000-0000-0000F9340000}"/>
    <cellStyle name="표준 23 4 4 3 2 3 2" xfId="13592" xr:uid="{00000000-0005-0000-0000-0000FA340000}"/>
    <cellStyle name="표준 23 4 4 3 2 4" xfId="13593" xr:uid="{00000000-0005-0000-0000-0000FB340000}"/>
    <cellStyle name="표준 23 4 4 3 3" xfId="13594" xr:uid="{00000000-0005-0000-0000-0000FC340000}"/>
    <cellStyle name="표준 23 4 4 3 3 2" xfId="13595" xr:uid="{00000000-0005-0000-0000-0000FD340000}"/>
    <cellStyle name="표준 23 4 4 3 3 2 2" xfId="13596" xr:uid="{00000000-0005-0000-0000-0000FE340000}"/>
    <cellStyle name="표준 23 4 4 3 3 3" xfId="13597" xr:uid="{00000000-0005-0000-0000-0000FF340000}"/>
    <cellStyle name="표준 23 4 4 3 4" xfId="13598" xr:uid="{00000000-0005-0000-0000-000000350000}"/>
    <cellStyle name="표준 23 4 4 3 4 2" xfId="13599" xr:uid="{00000000-0005-0000-0000-000001350000}"/>
    <cellStyle name="표준 23 4 4 3 5" xfId="13600" xr:uid="{00000000-0005-0000-0000-000002350000}"/>
    <cellStyle name="표준 23 4 4 4" xfId="13601" xr:uid="{00000000-0005-0000-0000-000003350000}"/>
    <cellStyle name="표준 23 4 4 4 2" xfId="13602" xr:uid="{00000000-0005-0000-0000-000004350000}"/>
    <cellStyle name="표준 23 4 4 4 2 2" xfId="13603" xr:uid="{00000000-0005-0000-0000-000005350000}"/>
    <cellStyle name="표준 23 4 4 4 2 2 2" xfId="13604" xr:uid="{00000000-0005-0000-0000-000006350000}"/>
    <cellStyle name="표준 23 4 4 4 2 3" xfId="13605" xr:uid="{00000000-0005-0000-0000-000007350000}"/>
    <cellStyle name="표준 23 4 4 4 3" xfId="13606" xr:uid="{00000000-0005-0000-0000-000008350000}"/>
    <cellStyle name="표준 23 4 4 4 3 2" xfId="13607" xr:uid="{00000000-0005-0000-0000-000009350000}"/>
    <cellStyle name="표준 23 4 4 4 4" xfId="13608" xr:uid="{00000000-0005-0000-0000-00000A350000}"/>
    <cellStyle name="표준 23 4 4 5" xfId="13609" xr:uid="{00000000-0005-0000-0000-00000B350000}"/>
    <cellStyle name="표준 23 4 4 5 2" xfId="13610" xr:uid="{00000000-0005-0000-0000-00000C350000}"/>
    <cellStyle name="표준 23 4 4 5 2 2" xfId="13611" xr:uid="{00000000-0005-0000-0000-00000D350000}"/>
    <cellStyle name="표준 23 4 4 5 3" xfId="13612" xr:uid="{00000000-0005-0000-0000-00000E350000}"/>
    <cellStyle name="표준 23 4 4 6" xfId="13613" xr:uid="{00000000-0005-0000-0000-00000F350000}"/>
    <cellStyle name="표준 23 4 4 6 2" xfId="13614" xr:uid="{00000000-0005-0000-0000-000010350000}"/>
    <cellStyle name="표준 23 4 4 7" xfId="13615" xr:uid="{00000000-0005-0000-0000-000011350000}"/>
    <cellStyle name="표준 23 4 4 8" xfId="13616" xr:uid="{00000000-0005-0000-0000-000012350000}"/>
    <cellStyle name="표준 23 4 5" xfId="13617" xr:uid="{00000000-0005-0000-0000-000013350000}"/>
    <cellStyle name="표준 23 4 5 2" xfId="13618" xr:uid="{00000000-0005-0000-0000-000014350000}"/>
    <cellStyle name="표준 23 4 5 2 2" xfId="13619" xr:uid="{00000000-0005-0000-0000-000015350000}"/>
    <cellStyle name="표준 23 4 5 2 2 2" xfId="13620" xr:uid="{00000000-0005-0000-0000-000016350000}"/>
    <cellStyle name="표준 23 4 5 2 2 2 2" xfId="13621" xr:uid="{00000000-0005-0000-0000-000017350000}"/>
    <cellStyle name="표준 23 4 5 2 2 2 2 2" xfId="13622" xr:uid="{00000000-0005-0000-0000-000018350000}"/>
    <cellStyle name="표준 23 4 5 2 2 2 3" xfId="13623" xr:uid="{00000000-0005-0000-0000-000019350000}"/>
    <cellStyle name="표준 23 4 5 2 2 3" xfId="13624" xr:uid="{00000000-0005-0000-0000-00001A350000}"/>
    <cellStyle name="표준 23 4 5 2 2 3 2" xfId="13625" xr:uid="{00000000-0005-0000-0000-00001B350000}"/>
    <cellStyle name="표준 23 4 5 2 2 4" xfId="13626" xr:uid="{00000000-0005-0000-0000-00001C350000}"/>
    <cellStyle name="표준 23 4 5 2 3" xfId="13627" xr:uid="{00000000-0005-0000-0000-00001D350000}"/>
    <cellStyle name="표준 23 4 5 2 3 2" xfId="13628" xr:uid="{00000000-0005-0000-0000-00001E350000}"/>
    <cellStyle name="표준 23 4 5 2 3 2 2" xfId="13629" xr:uid="{00000000-0005-0000-0000-00001F350000}"/>
    <cellStyle name="표준 23 4 5 2 3 3" xfId="13630" xr:uid="{00000000-0005-0000-0000-000020350000}"/>
    <cellStyle name="표준 23 4 5 2 4" xfId="13631" xr:uid="{00000000-0005-0000-0000-000021350000}"/>
    <cellStyle name="표준 23 4 5 2 4 2" xfId="13632" xr:uid="{00000000-0005-0000-0000-000022350000}"/>
    <cellStyle name="표준 23 4 5 2 5" xfId="13633" xr:uid="{00000000-0005-0000-0000-000023350000}"/>
    <cellStyle name="표준 23 4 5 3" xfId="13634" xr:uid="{00000000-0005-0000-0000-000024350000}"/>
    <cellStyle name="표준 23 4 5 3 2" xfId="13635" xr:uid="{00000000-0005-0000-0000-000025350000}"/>
    <cellStyle name="표준 23 4 5 3 2 2" xfId="13636" xr:uid="{00000000-0005-0000-0000-000026350000}"/>
    <cellStyle name="표준 23 4 5 3 2 2 2" xfId="13637" xr:uid="{00000000-0005-0000-0000-000027350000}"/>
    <cellStyle name="표준 23 4 5 3 2 3" xfId="13638" xr:uid="{00000000-0005-0000-0000-000028350000}"/>
    <cellStyle name="표준 23 4 5 3 3" xfId="13639" xr:uid="{00000000-0005-0000-0000-000029350000}"/>
    <cellStyle name="표준 23 4 5 3 3 2" xfId="13640" xr:uid="{00000000-0005-0000-0000-00002A350000}"/>
    <cellStyle name="표준 23 4 5 3 4" xfId="13641" xr:uid="{00000000-0005-0000-0000-00002B350000}"/>
    <cellStyle name="표준 23 4 5 4" xfId="13642" xr:uid="{00000000-0005-0000-0000-00002C350000}"/>
    <cellStyle name="표준 23 4 5 4 2" xfId="13643" xr:uid="{00000000-0005-0000-0000-00002D350000}"/>
    <cellStyle name="표준 23 4 5 4 2 2" xfId="13644" xr:uid="{00000000-0005-0000-0000-00002E350000}"/>
    <cellStyle name="표준 23 4 5 4 3" xfId="13645" xr:uid="{00000000-0005-0000-0000-00002F350000}"/>
    <cellStyle name="표준 23 4 5 5" xfId="13646" xr:uid="{00000000-0005-0000-0000-000030350000}"/>
    <cellStyle name="표준 23 4 5 5 2" xfId="13647" xr:uid="{00000000-0005-0000-0000-000031350000}"/>
    <cellStyle name="표준 23 4 5 6" xfId="13648" xr:uid="{00000000-0005-0000-0000-000032350000}"/>
    <cellStyle name="표준 23 4 6" xfId="13649" xr:uid="{00000000-0005-0000-0000-000033350000}"/>
    <cellStyle name="표준 23 4 6 2" xfId="13650" xr:uid="{00000000-0005-0000-0000-000034350000}"/>
    <cellStyle name="표준 23 4 6 2 2" xfId="13651" xr:uid="{00000000-0005-0000-0000-000035350000}"/>
    <cellStyle name="표준 23 4 6 2 2 2" xfId="13652" xr:uid="{00000000-0005-0000-0000-000036350000}"/>
    <cellStyle name="표준 23 4 6 2 2 2 2" xfId="13653" xr:uid="{00000000-0005-0000-0000-000037350000}"/>
    <cellStyle name="표준 23 4 6 2 2 3" xfId="13654" xr:uid="{00000000-0005-0000-0000-000038350000}"/>
    <cellStyle name="표준 23 4 6 2 3" xfId="13655" xr:uid="{00000000-0005-0000-0000-000039350000}"/>
    <cellStyle name="표준 23 4 6 2 3 2" xfId="13656" xr:uid="{00000000-0005-0000-0000-00003A350000}"/>
    <cellStyle name="표준 23 4 6 2 4" xfId="13657" xr:uid="{00000000-0005-0000-0000-00003B350000}"/>
    <cellStyle name="표준 23 4 6 3" xfId="13658" xr:uid="{00000000-0005-0000-0000-00003C350000}"/>
    <cellStyle name="표준 23 4 6 3 2" xfId="13659" xr:uid="{00000000-0005-0000-0000-00003D350000}"/>
    <cellStyle name="표준 23 4 6 3 2 2" xfId="13660" xr:uid="{00000000-0005-0000-0000-00003E350000}"/>
    <cellStyle name="표준 23 4 6 3 3" xfId="13661" xr:uid="{00000000-0005-0000-0000-00003F350000}"/>
    <cellStyle name="표준 23 4 6 4" xfId="13662" xr:uid="{00000000-0005-0000-0000-000040350000}"/>
    <cellStyle name="표준 23 4 6 4 2" xfId="13663" xr:uid="{00000000-0005-0000-0000-000041350000}"/>
    <cellStyle name="표준 23 4 6 5" xfId="13664" xr:uid="{00000000-0005-0000-0000-000042350000}"/>
    <cellStyle name="표준 23 4 7" xfId="13665" xr:uid="{00000000-0005-0000-0000-000043350000}"/>
    <cellStyle name="표준 23 4 7 2" xfId="13666" xr:uid="{00000000-0005-0000-0000-000044350000}"/>
    <cellStyle name="표준 23 4 7 2 2" xfId="13667" xr:uid="{00000000-0005-0000-0000-000045350000}"/>
    <cellStyle name="표준 23 4 7 2 2 2" xfId="13668" xr:uid="{00000000-0005-0000-0000-000046350000}"/>
    <cellStyle name="표준 23 4 7 2 3" xfId="13669" xr:uid="{00000000-0005-0000-0000-000047350000}"/>
    <cellStyle name="표준 23 4 7 3" xfId="13670" xr:uid="{00000000-0005-0000-0000-000048350000}"/>
    <cellStyle name="표준 23 4 7 3 2" xfId="13671" xr:uid="{00000000-0005-0000-0000-000049350000}"/>
    <cellStyle name="표준 23 4 7 4" xfId="13672" xr:uid="{00000000-0005-0000-0000-00004A350000}"/>
    <cellStyle name="표준 23 4 8" xfId="13673" xr:uid="{00000000-0005-0000-0000-00004B350000}"/>
    <cellStyle name="표준 23 4 8 2" xfId="13674" xr:uid="{00000000-0005-0000-0000-00004C350000}"/>
    <cellStyle name="표준 23 4 8 2 2" xfId="13675" xr:uid="{00000000-0005-0000-0000-00004D350000}"/>
    <cellStyle name="표준 23 4 8 3" xfId="13676" xr:uid="{00000000-0005-0000-0000-00004E350000}"/>
    <cellStyle name="표준 23 4 9" xfId="13677" xr:uid="{00000000-0005-0000-0000-00004F350000}"/>
    <cellStyle name="표준 23 4 9 2" xfId="13678" xr:uid="{00000000-0005-0000-0000-000050350000}"/>
    <cellStyle name="표준 23 5" xfId="13679" xr:uid="{00000000-0005-0000-0000-000051350000}"/>
    <cellStyle name="표준 23 5 10" xfId="13680" xr:uid="{00000000-0005-0000-0000-000052350000}"/>
    <cellStyle name="표준 23 5 11" xfId="13681" xr:uid="{00000000-0005-0000-0000-000053350000}"/>
    <cellStyle name="표준 23 5 2" xfId="13682" xr:uid="{00000000-0005-0000-0000-000054350000}"/>
    <cellStyle name="표준 23 5 2 10" xfId="13683" xr:uid="{00000000-0005-0000-0000-000055350000}"/>
    <cellStyle name="표준 23 5 2 2" xfId="13684" xr:uid="{00000000-0005-0000-0000-000056350000}"/>
    <cellStyle name="표준 23 5 2 2 2" xfId="13685" xr:uid="{00000000-0005-0000-0000-000057350000}"/>
    <cellStyle name="표준 23 5 2 2 2 2" xfId="13686" xr:uid="{00000000-0005-0000-0000-000058350000}"/>
    <cellStyle name="표준 23 5 2 2 2 2 2" xfId="13687" xr:uid="{00000000-0005-0000-0000-000059350000}"/>
    <cellStyle name="표준 23 5 2 2 2 2 2 2" xfId="13688" xr:uid="{00000000-0005-0000-0000-00005A350000}"/>
    <cellStyle name="표준 23 5 2 2 2 2 2 2 2" xfId="13689" xr:uid="{00000000-0005-0000-0000-00005B350000}"/>
    <cellStyle name="표준 23 5 2 2 2 2 2 2 2 2" xfId="13690" xr:uid="{00000000-0005-0000-0000-00005C350000}"/>
    <cellStyle name="표준 23 5 2 2 2 2 2 2 2 2 2" xfId="13691" xr:uid="{00000000-0005-0000-0000-00005D350000}"/>
    <cellStyle name="표준 23 5 2 2 2 2 2 2 2 3" xfId="13692" xr:uid="{00000000-0005-0000-0000-00005E350000}"/>
    <cellStyle name="표준 23 5 2 2 2 2 2 2 3" xfId="13693" xr:uid="{00000000-0005-0000-0000-00005F350000}"/>
    <cellStyle name="표준 23 5 2 2 2 2 2 2 3 2" xfId="13694" xr:uid="{00000000-0005-0000-0000-000060350000}"/>
    <cellStyle name="표준 23 5 2 2 2 2 2 2 4" xfId="13695" xr:uid="{00000000-0005-0000-0000-000061350000}"/>
    <cellStyle name="표준 23 5 2 2 2 2 2 3" xfId="13696" xr:uid="{00000000-0005-0000-0000-000062350000}"/>
    <cellStyle name="표준 23 5 2 2 2 2 2 3 2" xfId="13697" xr:uid="{00000000-0005-0000-0000-000063350000}"/>
    <cellStyle name="표준 23 5 2 2 2 2 2 3 2 2" xfId="13698" xr:uid="{00000000-0005-0000-0000-000064350000}"/>
    <cellStyle name="표준 23 5 2 2 2 2 2 3 3" xfId="13699" xr:uid="{00000000-0005-0000-0000-000065350000}"/>
    <cellStyle name="표준 23 5 2 2 2 2 2 4" xfId="13700" xr:uid="{00000000-0005-0000-0000-000066350000}"/>
    <cellStyle name="표준 23 5 2 2 2 2 2 4 2" xfId="13701" xr:uid="{00000000-0005-0000-0000-000067350000}"/>
    <cellStyle name="표준 23 5 2 2 2 2 2 5" xfId="13702" xr:uid="{00000000-0005-0000-0000-000068350000}"/>
    <cellStyle name="표준 23 5 2 2 2 2 3" xfId="13703" xr:uid="{00000000-0005-0000-0000-000069350000}"/>
    <cellStyle name="표준 23 5 2 2 2 2 3 2" xfId="13704" xr:uid="{00000000-0005-0000-0000-00006A350000}"/>
    <cellStyle name="표준 23 5 2 2 2 2 3 2 2" xfId="13705" xr:uid="{00000000-0005-0000-0000-00006B350000}"/>
    <cellStyle name="표준 23 5 2 2 2 2 3 2 2 2" xfId="13706" xr:uid="{00000000-0005-0000-0000-00006C350000}"/>
    <cellStyle name="표준 23 5 2 2 2 2 3 2 3" xfId="13707" xr:uid="{00000000-0005-0000-0000-00006D350000}"/>
    <cellStyle name="표준 23 5 2 2 2 2 3 3" xfId="13708" xr:uid="{00000000-0005-0000-0000-00006E350000}"/>
    <cellStyle name="표준 23 5 2 2 2 2 3 3 2" xfId="13709" xr:uid="{00000000-0005-0000-0000-00006F350000}"/>
    <cellStyle name="표준 23 5 2 2 2 2 3 4" xfId="13710" xr:uid="{00000000-0005-0000-0000-000070350000}"/>
    <cellStyle name="표준 23 5 2 2 2 2 4" xfId="13711" xr:uid="{00000000-0005-0000-0000-000071350000}"/>
    <cellStyle name="표준 23 5 2 2 2 2 4 2" xfId="13712" xr:uid="{00000000-0005-0000-0000-000072350000}"/>
    <cellStyle name="표준 23 5 2 2 2 2 4 2 2" xfId="13713" xr:uid="{00000000-0005-0000-0000-000073350000}"/>
    <cellStyle name="표준 23 5 2 2 2 2 4 3" xfId="13714" xr:uid="{00000000-0005-0000-0000-000074350000}"/>
    <cellStyle name="표준 23 5 2 2 2 2 5" xfId="13715" xr:uid="{00000000-0005-0000-0000-000075350000}"/>
    <cellStyle name="표준 23 5 2 2 2 2 5 2" xfId="13716" xr:uid="{00000000-0005-0000-0000-000076350000}"/>
    <cellStyle name="표준 23 5 2 2 2 2 6" xfId="13717" xr:uid="{00000000-0005-0000-0000-000077350000}"/>
    <cellStyle name="표준 23 5 2 2 2 3" xfId="13718" xr:uid="{00000000-0005-0000-0000-000078350000}"/>
    <cellStyle name="표준 23 5 2 2 2 3 2" xfId="13719" xr:uid="{00000000-0005-0000-0000-000079350000}"/>
    <cellStyle name="표준 23 5 2 2 2 3 2 2" xfId="13720" xr:uid="{00000000-0005-0000-0000-00007A350000}"/>
    <cellStyle name="표준 23 5 2 2 2 3 2 2 2" xfId="13721" xr:uid="{00000000-0005-0000-0000-00007B350000}"/>
    <cellStyle name="표준 23 5 2 2 2 3 2 2 2 2" xfId="13722" xr:uid="{00000000-0005-0000-0000-00007C350000}"/>
    <cellStyle name="표준 23 5 2 2 2 3 2 2 3" xfId="13723" xr:uid="{00000000-0005-0000-0000-00007D350000}"/>
    <cellStyle name="표준 23 5 2 2 2 3 2 3" xfId="13724" xr:uid="{00000000-0005-0000-0000-00007E350000}"/>
    <cellStyle name="표준 23 5 2 2 2 3 2 3 2" xfId="13725" xr:uid="{00000000-0005-0000-0000-00007F350000}"/>
    <cellStyle name="표준 23 5 2 2 2 3 2 4" xfId="13726" xr:uid="{00000000-0005-0000-0000-000080350000}"/>
    <cellStyle name="표준 23 5 2 2 2 3 3" xfId="13727" xr:uid="{00000000-0005-0000-0000-000081350000}"/>
    <cellStyle name="표준 23 5 2 2 2 3 3 2" xfId="13728" xr:uid="{00000000-0005-0000-0000-000082350000}"/>
    <cellStyle name="표준 23 5 2 2 2 3 3 2 2" xfId="13729" xr:uid="{00000000-0005-0000-0000-000083350000}"/>
    <cellStyle name="표준 23 5 2 2 2 3 3 3" xfId="13730" xr:uid="{00000000-0005-0000-0000-000084350000}"/>
    <cellStyle name="표준 23 5 2 2 2 3 4" xfId="13731" xr:uid="{00000000-0005-0000-0000-000085350000}"/>
    <cellStyle name="표준 23 5 2 2 2 3 4 2" xfId="13732" xr:uid="{00000000-0005-0000-0000-000086350000}"/>
    <cellStyle name="표준 23 5 2 2 2 3 5" xfId="13733" xr:uid="{00000000-0005-0000-0000-000087350000}"/>
    <cellStyle name="표준 23 5 2 2 2 4" xfId="13734" xr:uid="{00000000-0005-0000-0000-000088350000}"/>
    <cellStyle name="표준 23 5 2 2 2 4 2" xfId="13735" xr:uid="{00000000-0005-0000-0000-000089350000}"/>
    <cellStyle name="표준 23 5 2 2 2 4 2 2" xfId="13736" xr:uid="{00000000-0005-0000-0000-00008A350000}"/>
    <cellStyle name="표준 23 5 2 2 2 4 2 2 2" xfId="13737" xr:uid="{00000000-0005-0000-0000-00008B350000}"/>
    <cellStyle name="표준 23 5 2 2 2 4 2 3" xfId="13738" xr:uid="{00000000-0005-0000-0000-00008C350000}"/>
    <cellStyle name="표준 23 5 2 2 2 4 3" xfId="13739" xr:uid="{00000000-0005-0000-0000-00008D350000}"/>
    <cellStyle name="표준 23 5 2 2 2 4 3 2" xfId="13740" xr:uid="{00000000-0005-0000-0000-00008E350000}"/>
    <cellStyle name="표준 23 5 2 2 2 4 4" xfId="13741" xr:uid="{00000000-0005-0000-0000-00008F350000}"/>
    <cellStyle name="표준 23 5 2 2 2 5" xfId="13742" xr:uid="{00000000-0005-0000-0000-000090350000}"/>
    <cellStyle name="표준 23 5 2 2 2 5 2" xfId="13743" xr:uid="{00000000-0005-0000-0000-000091350000}"/>
    <cellStyle name="표준 23 5 2 2 2 5 2 2" xfId="13744" xr:uid="{00000000-0005-0000-0000-000092350000}"/>
    <cellStyle name="표준 23 5 2 2 2 5 3" xfId="13745" xr:uid="{00000000-0005-0000-0000-000093350000}"/>
    <cellStyle name="표준 23 5 2 2 2 6" xfId="13746" xr:uid="{00000000-0005-0000-0000-000094350000}"/>
    <cellStyle name="표준 23 5 2 2 2 6 2" xfId="13747" xr:uid="{00000000-0005-0000-0000-000095350000}"/>
    <cellStyle name="표준 23 5 2 2 2 7" xfId="13748" xr:uid="{00000000-0005-0000-0000-000096350000}"/>
    <cellStyle name="표준 23 5 2 2 2 8" xfId="13749" xr:uid="{00000000-0005-0000-0000-000097350000}"/>
    <cellStyle name="표준 23 5 2 2 3" xfId="13750" xr:uid="{00000000-0005-0000-0000-000098350000}"/>
    <cellStyle name="표준 23 5 2 2 3 2" xfId="13751" xr:uid="{00000000-0005-0000-0000-000099350000}"/>
    <cellStyle name="표준 23 5 2 2 3 2 2" xfId="13752" xr:uid="{00000000-0005-0000-0000-00009A350000}"/>
    <cellStyle name="표준 23 5 2 2 3 2 2 2" xfId="13753" xr:uid="{00000000-0005-0000-0000-00009B350000}"/>
    <cellStyle name="표준 23 5 2 2 3 2 2 2 2" xfId="13754" xr:uid="{00000000-0005-0000-0000-00009C350000}"/>
    <cellStyle name="표준 23 5 2 2 3 2 2 2 2 2" xfId="13755" xr:uid="{00000000-0005-0000-0000-00009D350000}"/>
    <cellStyle name="표준 23 5 2 2 3 2 2 2 3" xfId="13756" xr:uid="{00000000-0005-0000-0000-00009E350000}"/>
    <cellStyle name="표준 23 5 2 2 3 2 2 3" xfId="13757" xr:uid="{00000000-0005-0000-0000-00009F350000}"/>
    <cellStyle name="표준 23 5 2 2 3 2 2 3 2" xfId="13758" xr:uid="{00000000-0005-0000-0000-0000A0350000}"/>
    <cellStyle name="표준 23 5 2 2 3 2 2 4" xfId="13759" xr:uid="{00000000-0005-0000-0000-0000A1350000}"/>
    <cellStyle name="표준 23 5 2 2 3 2 3" xfId="13760" xr:uid="{00000000-0005-0000-0000-0000A2350000}"/>
    <cellStyle name="표준 23 5 2 2 3 2 3 2" xfId="13761" xr:uid="{00000000-0005-0000-0000-0000A3350000}"/>
    <cellStyle name="표준 23 5 2 2 3 2 3 2 2" xfId="13762" xr:uid="{00000000-0005-0000-0000-0000A4350000}"/>
    <cellStyle name="표준 23 5 2 2 3 2 3 3" xfId="13763" xr:uid="{00000000-0005-0000-0000-0000A5350000}"/>
    <cellStyle name="표준 23 5 2 2 3 2 4" xfId="13764" xr:uid="{00000000-0005-0000-0000-0000A6350000}"/>
    <cellStyle name="표준 23 5 2 2 3 2 4 2" xfId="13765" xr:uid="{00000000-0005-0000-0000-0000A7350000}"/>
    <cellStyle name="표준 23 5 2 2 3 2 5" xfId="13766" xr:uid="{00000000-0005-0000-0000-0000A8350000}"/>
    <cellStyle name="표준 23 5 2 2 3 3" xfId="13767" xr:uid="{00000000-0005-0000-0000-0000A9350000}"/>
    <cellStyle name="표준 23 5 2 2 3 3 2" xfId="13768" xr:uid="{00000000-0005-0000-0000-0000AA350000}"/>
    <cellStyle name="표준 23 5 2 2 3 3 2 2" xfId="13769" xr:uid="{00000000-0005-0000-0000-0000AB350000}"/>
    <cellStyle name="표준 23 5 2 2 3 3 2 2 2" xfId="13770" xr:uid="{00000000-0005-0000-0000-0000AC350000}"/>
    <cellStyle name="표준 23 5 2 2 3 3 2 3" xfId="13771" xr:uid="{00000000-0005-0000-0000-0000AD350000}"/>
    <cellStyle name="표준 23 5 2 2 3 3 3" xfId="13772" xr:uid="{00000000-0005-0000-0000-0000AE350000}"/>
    <cellStyle name="표준 23 5 2 2 3 3 3 2" xfId="13773" xr:uid="{00000000-0005-0000-0000-0000AF350000}"/>
    <cellStyle name="표준 23 5 2 2 3 3 4" xfId="13774" xr:uid="{00000000-0005-0000-0000-0000B0350000}"/>
    <cellStyle name="표준 23 5 2 2 3 4" xfId="13775" xr:uid="{00000000-0005-0000-0000-0000B1350000}"/>
    <cellStyle name="표준 23 5 2 2 3 4 2" xfId="13776" xr:uid="{00000000-0005-0000-0000-0000B2350000}"/>
    <cellStyle name="표준 23 5 2 2 3 4 2 2" xfId="13777" xr:uid="{00000000-0005-0000-0000-0000B3350000}"/>
    <cellStyle name="표준 23 5 2 2 3 4 3" xfId="13778" xr:uid="{00000000-0005-0000-0000-0000B4350000}"/>
    <cellStyle name="표준 23 5 2 2 3 5" xfId="13779" xr:uid="{00000000-0005-0000-0000-0000B5350000}"/>
    <cellStyle name="표준 23 5 2 2 3 5 2" xfId="13780" xr:uid="{00000000-0005-0000-0000-0000B6350000}"/>
    <cellStyle name="표준 23 5 2 2 3 6" xfId="13781" xr:uid="{00000000-0005-0000-0000-0000B7350000}"/>
    <cellStyle name="표준 23 5 2 2 4" xfId="13782" xr:uid="{00000000-0005-0000-0000-0000B8350000}"/>
    <cellStyle name="표준 23 5 2 2 4 2" xfId="13783" xr:uid="{00000000-0005-0000-0000-0000B9350000}"/>
    <cellStyle name="표준 23 5 2 2 4 2 2" xfId="13784" xr:uid="{00000000-0005-0000-0000-0000BA350000}"/>
    <cellStyle name="표준 23 5 2 2 4 2 2 2" xfId="13785" xr:uid="{00000000-0005-0000-0000-0000BB350000}"/>
    <cellStyle name="표준 23 5 2 2 4 2 2 2 2" xfId="13786" xr:uid="{00000000-0005-0000-0000-0000BC350000}"/>
    <cellStyle name="표준 23 5 2 2 4 2 2 3" xfId="13787" xr:uid="{00000000-0005-0000-0000-0000BD350000}"/>
    <cellStyle name="표준 23 5 2 2 4 2 3" xfId="13788" xr:uid="{00000000-0005-0000-0000-0000BE350000}"/>
    <cellStyle name="표준 23 5 2 2 4 2 3 2" xfId="13789" xr:uid="{00000000-0005-0000-0000-0000BF350000}"/>
    <cellStyle name="표준 23 5 2 2 4 2 4" xfId="13790" xr:uid="{00000000-0005-0000-0000-0000C0350000}"/>
    <cellStyle name="표준 23 5 2 2 4 3" xfId="13791" xr:uid="{00000000-0005-0000-0000-0000C1350000}"/>
    <cellStyle name="표준 23 5 2 2 4 3 2" xfId="13792" xr:uid="{00000000-0005-0000-0000-0000C2350000}"/>
    <cellStyle name="표준 23 5 2 2 4 3 2 2" xfId="13793" xr:uid="{00000000-0005-0000-0000-0000C3350000}"/>
    <cellStyle name="표준 23 5 2 2 4 3 3" xfId="13794" xr:uid="{00000000-0005-0000-0000-0000C4350000}"/>
    <cellStyle name="표준 23 5 2 2 4 4" xfId="13795" xr:uid="{00000000-0005-0000-0000-0000C5350000}"/>
    <cellStyle name="표준 23 5 2 2 4 4 2" xfId="13796" xr:uid="{00000000-0005-0000-0000-0000C6350000}"/>
    <cellStyle name="표준 23 5 2 2 4 5" xfId="13797" xr:uid="{00000000-0005-0000-0000-0000C7350000}"/>
    <cellStyle name="표준 23 5 2 2 5" xfId="13798" xr:uid="{00000000-0005-0000-0000-0000C8350000}"/>
    <cellStyle name="표준 23 5 2 2 5 2" xfId="13799" xr:uid="{00000000-0005-0000-0000-0000C9350000}"/>
    <cellStyle name="표준 23 5 2 2 5 2 2" xfId="13800" xr:uid="{00000000-0005-0000-0000-0000CA350000}"/>
    <cellStyle name="표준 23 5 2 2 5 2 2 2" xfId="13801" xr:uid="{00000000-0005-0000-0000-0000CB350000}"/>
    <cellStyle name="표준 23 5 2 2 5 2 3" xfId="13802" xr:uid="{00000000-0005-0000-0000-0000CC350000}"/>
    <cellStyle name="표준 23 5 2 2 5 3" xfId="13803" xr:uid="{00000000-0005-0000-0000-0000CD350000}"/>
    <cellStyle name="표준 23 5 2 2 5 3 2" xfId="13804" xr:uid="{00000000-0005-0000-0000-0000CE350000}"/>
    <cellStyle name="표준 23 5 2 2 5 4" xfId="13805" xr:uid="{00000000-0005-0000-0000-0000CF350000}"/>
    <cellStyle name="표준 23 5 2 2 6" xfId="13806" xr:uid="{00000000-0005-0000-0000-0000D0350000}"/>
    <cellStyle name="표준 23 5 2 2 6 2" xfId="13807" xr:uid="{00000000-0005-0000-0000-0000D1350000}"/>
    <cellStyle name="표준 23 5 2 2 6 2 2" xfId="13808" xr:uid="{00000000-0005-0000-0000-0000D2350000}"/>
    <cellStyle name="표준 23 5 2 2 6 3" xfId="13809" xr:uid="{00000000-0005-0000-0000-0000D3350000}"/>
    <cellStyle name="표준 23 5 2 2 7" xfId="13810" xr:uid="{00000000-0005-0000-0000-0000D4350000}"/>
    <cellStyle name="표준 23 5 2 2 7 2" xfId="13811" xr:uid="{00000000-0005-0000-0000-0000D5350000}"/>
    <cellStyle name="표준 23 5 2 2 8" xfId="13812" xr:uid="{00000000-0005-0000-0000-0000D6350000}"/>
    <cellStyle name="표준 23 5 2 2 9" xfId="13813" xr:uid="{00000000-0005-0000-0000-0000D7350000}"/>
    <cellStyle name="표준 23 5 2 3" xfId="13814" xr:uid="{00000000-0005-0000-0000-0000D8350000}"/>
    <cellStyle name="표준 23 5 2 3 2" xfId="13815" xr:uid="{00000000-0005-0000-0000-0000D9350000}"/>
    <cellStyle name="표준 23 5 2 3 2 2" xfId="13816" xr:uid="{00000000-0005-0000-0000-0000DA350000}"/>
    <cellStyle name="표준 23 5 2 3 2 2 2" xfId="13817" xr:uid="{00000000-0005-0000-0000-0000DB350000}"/>
    <cellStyle name="표준 23 5 2 3 2 2 2 2" xfId="13818" xr:uid="{00000000-0005-0000-0000-0000DC350000}"/>
    <cellStyle name="표준 23 5 2 3 2 2 2 2 2" xfId="13819" xr:uid="{00000000-0005-0000-0000-0000DD350000}"/>
    <cellStyle name="표준 23 5 2 3 2 2 2 2 2 2" xfId="13820" xr:uid="{00000000-0005-0000-0000-0000DE350000}"/>
    <cellStyle name="표준 23 5 2 3 2 2 2 2 3" xfId="13821" xr:uid="{00000000-0005-0000-0000-0000DF350000}"/>
    <cellStyle name="표준 23 5 2 3 2 2 2 3" xfId="13822" xr:uid="{00000000-0005-0000-0000-0000E0350000}"/>
    <cellStyle name="표준 23 5 2 3 2 2 2 3 2" xfId="13823" xr:uid="{00000000-0005-0000-0000-0000E1350000}"/>
    <cellStyle name="표준 23 5 2 3 2 2 2 4" xfId="13824" xr:uid="{00000000-0005-0000-0000-0000E2350000}"/>
    <cellStyle name="표준 23 5 2 3 2 2 3" xfId="13825" xr:uid="{00000000-0005-0000-0000-0000E3350000}"/>
    <cellStyle name="표준 23 5 2 3 2 2 3 2" xfId="13826" xr:uid="{00000000-0005-0000-0000-0000E4350000}"/>
    <cellStyle name="표준 23 5 2 3 2 2 3 2 2" xfId="13827" xr:uid="{00000000-0005-0000-0000-0000E5350000}"/>
    <cellStyle name="표준 23 5 2 3 2 2 3 3" xfId="13828" xr:uid="{00000000-0005-0000-0000-0000E6350000}"/>
    <cellStyle name="표준 23 5 2 3 2 2 4" xfId="13829" xr:uid="{00000000-0005-0000-0000-0000E7350000}"/>
    <cellStyle name="표준 23 5 2 3 2 2 4 2" xfId="13830" xr:uid="{00000000-0005-0000-0000-0000E8350000}"/>
    <cellStyle name="표준 23 5 2 3 2 2 5" xfId="13831" xr:uid="{00000000-0005-0000-0000-0000E9350000}"/>
    <cellStyle name="표준 23 5 2 3 2 3" xfId="13832" xr:uid="{00000000-0005-0000-0000-0000EA350000}"/>
    <cellStyle name="표준 23 5 2 3 2 3 2" xfId="13833" xr:uid="{00000000-0005-0000-0000-0000EB350000}"/>
    <cellStyle name="표준 23 5 2 3 2 3 2 2" xfId="13834" xr:uid="{00000000-0005-0000-0000-0000EC350000}"/>
    <cellStyle name="표준 23 5 2 3 2 3 2 2 2" xfId="13835" xr:uid="{00000000-0005-0000-0000-0000ED350000}"/>
    <cellStyle name="표준 23 5 2 3 2 3 2 3" xfId="13836" xr:uid="{00000000-0005-0000-0000-0000EE350000}"/>
    <cellStyle name="표준 23 5 2 3 2 3 3" xfId="13837" xr:uid="{00000000-0005-0000-0000-0000EF350000}"/>
    <cellStyle name="표준 23 5 2 3 2 3 3 2" xfId="13838" xr:uid="{00000000-0005-0000-0000-0000F0350000}"/>
    <cellStyle name="표준 23 5 2 3 2 3 4" xfId="13839" xr:uid="{00000000-0005-0000-0000-0000F1350000}"/>
    <cellStyle name="표준 23 5 2 3 2 4" xfId="13840" xr:uid="{00000000-0005-0000-0000-0000F2350000}"/>
    <cellStyle name="표준 23 5 2 3 2 4 2" xfId="13841" xr:uid="{00000000-0005-0000-0000-0000F3350000}"/>
    <cellStyle name="표준 23 5 2 3 2 4 2 2" xfId="13842" xr:uid="{00000000-0005-0000-0000-0000F4350000}"/>
    <cellStyle name="표준 23 5 2 3 2 4 3" xfId="13843" xr:uid="{00000000-0005-0000-0000-0000F5350000}"/>
    <cellStyle name="표준 23 5 2 3 2 5" xfId="13844" xr:uid="{00000000-0005-0000-0000-0000F6350000}"/>
    <cellStyle name="표준 23 5 2 3 2 5 2" xfId="13845" xr:uid="{00000000-0005-0000-0000-0000F7350000}"/>
    <cellStyle name="표준 23 5 2 3 2 6" xfId="13846" xr:uid="{00000000-0005-0000-0000-0000F8350000}"/>
    <cellStyle name="표준 23 5 2 3 3" xfId="13847" xr:uid="{00000000-0005-0000-0000-0000F9350000}"/>
    <cellStyle name="표준 23 5 2 3 3 2" xfId="13848" xr:uid="{00000000-0005-0000-0000-0000FA350000}"/>
    <cellStyle name="표준 23 5 2 3 3 2 2" xfId="13849" xr:uid="{00000000-0005-0000-0000-0000FB350000}"/>
    <cellStyle name="표준 23 5 2 3 3 2 2 2" xfId="13850" xr:uid="{00000000-0005-0000-0000-0000FC350000}"/>
    <cellStyle name="표준 23 5 2 3 3 2 2 2 2" xfId="13851" xr:uid="{00000000-0005-0000-0000-0000FD350000}"/>
    <cellStyle name="표준 23 5 2 3 3 2 2 3" xfId="13852" xr:uid="{00000000-0005-0000-0000-0000FE350000}"/>
    <cellStyle name="표준 23 5 2 3 3 2 3" xfId="13853" xr:uid="{00000000-0005-0000-0000-0000FF350000}"/>
    <cellStyle name="표준 23 5 2 3 3 2 3 2" xfId="13854" xr:uid="{00000000-0005-0000-0000-000000360000}"/>
    <cellStyle name="표준 23 5 2 3 3 2 4" xfId="13855" xr:uid="{00000000-0005-0000-0000-000001360000}"/>
    <cellStyle name="표준 23 5 2 3 3 3" xfId="13856" xr:uid="{00000000-0005-0000-0000-000002360000}"/>
    <cellStyle name="표준 23 5 2 3 3 3 2" xfId="13857" xr:uid="{00000000-0005-0000-0000-000003360000}"/>
    <cellStyle name="표준 23 5 2 3 3 3 2 2" xfId="13858" xr:uid="{00000000-0005-0000-0000-000004360000}"/>
    <cellStyle name="표준 23 5 2 3 3 3 3" xfId="13859" xr:uid="{00000000-0005-0000-0000-000005360000}"/>
    <cellStyle name="표준 23 5 2 3 3 4" xfId="13860" xr:uid="{00000000-0005-0000-0000-000006360000}"/>
    <cellStyle name="표준 23 5 2 3 3 4 2" xfId="13861" xr:uid="{00000000-0005-0000-0000-000007360000}"/>
    <cellStyle name="표준 23 5 2 3 3 5" xfId="13862" xr:uid="{00000000-0005-0000-0000-000008360000}"/>
    <cellStyle name="표준 23 5 2 3 4" xfId="13863" xr:uid="{00000000-0005-0000-0000-000009360000}"/>
    <cellStyle name="표준 23 5 2 3 4 2" xfId="13864" xr:uid="{00000000-0005-0000-0000-00000A360000}"/>
    <cellStyle name="표준 23 5 2 3 4 2 2" xfId="13865" xr:uid="{00000000-0005-0000-0000-00000B360000}"/>
    <cellStyle name="표준 23 5 2 3 4 2 2 2" xfId="13866" xr:uid="{00000000-0005-0000-0000-00000C360000}"/>
    <cellStyle name="표준 23 5 2 3 4 2 3" xfId="13867" xr:uid="{00000000-0005-0000-0000-00000D360000}"/>
    <cellStyle name="표준 23 5 2 3 4 3" xfId="13868" xr:uid="{00000000-0005-0000-0000-00000E360000}"/>
    <cellStyle name="표준 23 5 2 3 4 3 2" xfId="13869" xr:uid="{00000000-0005-0000-0000-00000F360000}"/>
    <cellStyle name="표준 23 5 2 3 4 4" xfId="13870" xr:uid="{00000000-0005-0000-0000-000010360000}"/>
    <cellStyle name="표준 23 5 2 3 5" xfId="13871" xr:uid="{00000000-0005-0000-0000-000011360000}"/>
    <cellStyle name="표준 23 5 2 3 5 2" xfId="13872" xr:uid="{00000000-0005-0000-0000-000012360000}"/>
    <cellStyle name="표준 23 5 2 3 5 2 2" xfId="13873" xr:uid="{00000000-0005-0000-0000-000013360000}"/>
    <cellStyle name="표준 23 5 2 3 5 3" xfId="13874" xr:uid="{00000000-0005-0000-0000-000014360000}"/>
    <cellStyle name="표준 23 5 2 3 6" xfId="13875" xr:uid="{00000000-0005-0000-0000-000015360000}"/>
    <cellStyle name="표준 23 5 2 3 6 2" xfId="13876" xr:uid="{00000000-0005-0000-0000-000016360000}"/>
    <cellStyle name="표준 23 5 2 3 7" xfId="13877" xr:uid="{00000000-0005-0000-0000-000017360000}"/>
    <cellStyle name="표준 23 5 2 3 8" xfId="13878" xr:uid="{00000000-0005-0000-0000-000018360000}"/>
    <cellStyle name="표준 23 5 2 4" xfId="13879" xr:uid="{00000000-0005-0000-0000-000019360000}"/>
    <cellStyle name="표준 23 5 2 4 2" xfId="13880" xr:uid="{00000000-0005-0000-0000-00001A360000}"/>
    <cellStyle name="표준 23 5 2 4 2 2" xfId="13881" xr:uid="{00000000-0005-0000-0000-00001B360000}"/>
    <cellStyle name="표준 23 5 2 4 2 2 2" xfId="13882" xr:uid="{00000000-0005-0000-0000-00001C360000}"/>
    <cellStyle name="표준 23 5 2 4 2 2 2 2" xfId="13883" xr:uid="{00000000-0005-0000-0000-00001D360000}"/>
    <cellStyle name="표준 23 5 2 4 2 2 2 2 2" xfId="13884" xr:uid="{00000000-0005-0000-0000-00001E360000}"/>
    <cellStyle name="표준 23 5 2 4 2 2 2 3" xfId="13885" xr:uid="{00000000-0005-0000-0000-00001F360000}"/>
    <cellStyle name="표준 23 5 2 4 2 2 3" xfId="13886" xr:uid="{00000000-0005-0000-0000-000020360000}"/>
    <cellStyle name="표준 23 5 2 4 2 2 3 2" xfId="13887" xr:uid="{00000000-0005-0000-0000-000021360000}"/>
    <cellStyle name="표준 23 5 2 4 2 2 4" xfId="13888" xr:uid="{00000000-0005-0000-0000-000022360000}"/>
    <cellStyle name="표준 23 5 2 4 2 3" xfId="13889" xr:uid="{00000000-0005-0000-0000-000023360000}"/>
    <cellStyle name="표준 23 5 2 4 2 3 2" xfId="13890" xr:uid="{00000000-0005-0000-0000-000024360000}"/>
    <cellStyle name="표준 23 5 2 4 2 3 2 2" xfId="13891" xr:uid="{00000000-0005-0000-0000-000025360000}"/>
    <cellStyle name="표준 23 5 2 4 2 3 3" xfId="13892" xr:uid="{00000000-0005-0000-0000-000026360000}"/>
    <cellStyle name="표준 23 5 2 4 2 4" xfId="13893" xr:uid="{00000000-0005-0000-0000-000027360000}"/>
    <cellStyle name="표준 23 5 2 4 2 4 2" xfId="13894" xr:uid="{00000000-0005-0000-0000-000028360000}"/>
    <cellStyle name="표준 23 5 2 4 2 5" xfId="13895" xr:uid="{00000000-0005-0000-0000-000029360000}"/>
    <cellStyle name="표준 23 5 2 4 3" xfId="13896" xr:uid="{00000000-0005-0000-0000-00002A360000}"/>
    <cellStyle name="표준 23 5 2 4 3 2" xfId="13897" xr:uid="{00000000-0005-0000-0000-00002B360000}"/>
    <cellStyle name="표준 23 5 2 4 3 2 2" xfId="13898" xr:uid="{00000000-0005-0000-0000-00002C360000}"/>
    <cellStyle name="표준 23 5 2 4 3 2 2 2" xfId="13899" xr:uid="{00000000-0005-0000-0000-00002D360000}"/>
    <cellStyle name="표준 23 5 2 4 3 2 3" xfId="13900" xr:uid="{00000000-0005-0000-0000-00002E360000}"/>
    <cellStyle name="표준 23 5 2 4 3 3" xfId="13901" xr:uid="{00000000-0005-0000-0000-00002F360000}"/>
    <cellStyle name="표준 23 5 2 4 3 3 2" xfId="13902" xr:uid="{00000000-0005-0000-0000-000030360000}"/>
    <cellStyle name="표준 23 5 2 4 3 4" xfId="13903" xr:uid="{00000000-0005-0000-0000-000031360000}"/>
    <cellStyle name="표준 23 5 2 4 4" xfId="13904" xr:uid="{00000000-0005-0000-0000-000032360000}"/>
    <cellStyle name="표준 23 5 2 4 4 2" xfId="13905" xr:uid="{00000000-0005-0000-0000-000033360000}"/>
    <cellStyle name="표준 23 5 2 4 4 2 2" xfId="13906" xr:uid="{00000000-0005-0000-0000-000034360000}"/>
    <cellStyle name="표준 23 5 2 4 4 3" xfId="13907" xr:uid="{00000000-0005-0000-0000-000035360000}"/>
    <cellStyle name="표준 23 5 2 4 5" xfId="13908" xr:uid="{00000000-0005-0000-0000-000036360000}"/>
    <cellStyle name="표준 23 5 2 4 5 2" xfId="13909" xr:uid="{00000000-0005-0000-0000-000037360000}"/>
    <cellStyle name="표준 23 5 2 4 6" xfId="13910" xr:uid="{00000000-0005-0000-0000-000038360000}"/>
    <cellStyle name="표준 23 5 2 5" xfId="13911" xr:uid="{00000000-0005-0000-0000-000039360000}"/>
    <cellStyle name="표준 23 5 2 5 2" xfId="13912" xr:uid="{00000000-0005-0000-0000-00003A360000}"/>
    <cellStyle name="표준 23 5 2 5 2 2" xfId="13913" xr:uid="{00000000-0005-0000-0000-00003B360000}"/>
    <cellStyle name="표준 23 5 2 5 2 2 2" xfId="13914" xr:uid="{00000000-0005-0000-0000-00003C360000}"/>
    <cellStyle name="표준 23 5 2 5 2 2 2 2" xfId="13915" xr:uid="{00000000-0005-0000-0000-00003D360000}"/>
    <cellStyle name="표준 23 5 2 5 2 2 3" xfId="13916" xr:uid="{00000000-0005-0000-0000-00003E360000}"/>
    <cellStyle name="표준 23 5 2 5 2 3" xfId="13917" xr:uid="{00000000-0005-0000-0000-00003F360000}"/>
    <cellStyle name="표준 23 5 2 5 2 3 2" xfId="13918" xr:uid="{00000000-0005-0000-0000-000040360000}"/>
    <cellStyle name="표준 23 5 2 5 2 4" xfId="13919" xr:uid="{00000000-0005-0000-0000-000041360000}"/>
    <cellStyle name="표준 23 5 2 5 3" xfId="13920" xr:uid="{00000000-0005-0000-0000-000042360000}"/>
    <cellStyle name="표준 23 5 2 5 3 2" xfId="13921" xr:uid="{00000000-0005-0000-0000-000043360000}"/>
    <cellStyle name="표준 23 5 2 5 3 2 2" xfId="13922" xr:uid="{00000000-0005-0000-0000-000044360000}"/>
    <cellStyle name="표준 23 5 2 5 3 3" xfId="13923" xr:uid="{00000000-0005-0000-0000-000045360000}"/>
    <cellStyle name="표준 23 5 2 5 4" xfId="13924" xr:uid="{00000000-0005-0000-0000-000046360000}"/>
    <cellStyle name="표준 23 5 2 5 4 2" xfId="13925" xr:uid="{00000000-0005-0000-0000-000047360000}"/>
    <cellStyle name="표준 23 5 2 5 5" xfId="13926" xr:uid="{00000000-0005-0000-0000-000048360000}"/>
    <cellStyle name="표준 23 5 2 6" xfId="13927" xr:uid="{00000000-0005-0000-0000-000049360000}"/>
    <cellStyle name="표준 23 5 2 6 2" xfId="13928" xr:uid="{00000000-0005-0000-0000-00004A360000}"/>
    <cellStyle name="표준 23 5 2 6 2 2" xfId="13929" xr:uid="{00000000-0005-0000-0000-00004B360000}"/>
    <cellStyle name="표준 23 5 2 6 2 2 2" xfId="13930" xr:uid="{00000000-0005-0000-0000-00004C360000}"/>
    <cellStyle name="표준 23 5 2 6 2 3" xfId="13931" xr:uid="{00000000-0005-0000-0000-00004D360000}"/>
    <cellStyle name="표준 23 5 2 6 3" xfId="13932" xr:uid="{00000000-0005-0000-0000-00004E360000}"/>
    <cellStyle name="표준 23 5 2 6 3 2" xfId="13933" xr:uid="{00000000-0005-0000-0000-00004F360000}"/>
    <cellStyle name="표준 23 5 2 6 4" xfId="13934" xr:uid="{00000000-0005-0000-0000-000050360000}"/>
    <cellStyle name="표준 23 5 2 7" xfId="13935" xr:uid="{00000000-0005-0000-0000-000051360000}"/>
    <cellStyle name="표준 23 5 2 7 2" xfId="13936" xr:uid="{00000000-0005-0000-0000-000052360000}"/>
    <cellStyle name="표준 23 5 2 7 2 2" xfId="13937" xr:uid="{00000000-0005-0000-0000-000053360000}"/>
    <cellStyle name="표준 23 5 2 7 3" xfId="13938" xr:uid="{00000000-0005-0000-0000-000054360000}"/>
    <cellStyle name="표준 23 5 2 8" xfId="13939" xr:uid="{00000000-0005-0000-0000-000055360000}"/>
    <cellStyle name="표준 23 5 2 8 2" xfId="13940" xr:uid="{00000000-0005-0000-0000-000056360000}"/>
    <cellStyle name="표준 23 5 2 9" xfId="13941" xr:uid="{00000000-0005-0000-0000-000057360000}"/>
    <cellStyle name="표준 23 5 3" xfId="13942" xr:uid="{00000000-0005-0000-0000-000058360000}"/>
    <cellStyle name="표준 23 5 3 2" xfId="13943" xr:uid="{00000000-0005-0000-0000-000059360000}"/>
    <cellStyle name="표준 23 5 3 2 2" xfId="13944" xr:uid="{00000000-0005-0000-0000-00005A360000}"/>
    <cellStyle name="표준 23 5 3 2 2 2" xfId="13945" xr:uid="{00000000-0005-0000-0000-00005B360000}"/>
    <cellStyle name="표준 23 5 3 2 2 2 2" xfId="13946" xr:uid="{00000000-0005-0000-0000-00005C360000}"/>
    <cellStyle name="표준 23 5 3 2 2 2 2 2" xfId="13947" xr:uid="{00000000-0005-0000-0000-00005D360000}"/>
    <cellStyle name="표준 23 5 3 2 2 2 2 2 2" xfId="13948" xr:uid="{00000000-0005-0000-0000-00005E360000}"/>
    <cellStyle name="표준 23 5 3 2 2 2 2 2 2 2" xfId="13949" xr:uid="{00000000-0005-0000-0000-00005F360000}"/>
    <cellStyle name="표준 23 5 3 2 2 2 2 2 3" xfId="13950" xr:uid="{00000000-0005-0000-0000-000060360000}"/>
    <cellStyle name="표준 23 5 3 2 2 2 2 3" xfId="13951" xr:uid="{00000000-0005-0000-0000-000061360000}"/>
    <cellStyle name="표준 23 5 3 2 2 2 2 3 2" xfId="13952" xr:uid="{00000000-0005-0000-0000-000062360000}"/>
    <cellStyle name="표준 23 5 3 2 2 2 2 4" xfId="13953" xr:uid="{00000000-0005-0000-0000-000063360000}"/>
    <cellStyle name="표준 23 5 3 2 2 2 3" xfId="13954" xr:uid="{00000000-0005-0000-0000-000064360000}"/>
    <cellStyle name="표준 23 5 3 2 2 2 3 2" xfId="13955" xr:uid="{00000000-0005-0000-0000-000065360000}"/>
    <cellStyle name="표준 23 5 3 2 2 2 3 2 2" xfId="13956" xr:uid="{00000000-0005-0000-0000-000066360000}"/>
    <cellStyle name="표준 23 5 3 2 2 2 3 3" xfId="13957" xr:uid="{00000000-0005-0000-0000-000067360000}"/>
    <cellStyle name="표준 23 5 3 2 2 2 4" xfId="13958" xr:uid="{00000000-0005-0000-0000-000068360000}"/>
    <cellStyle name="표준 23 5 3 2 2 2 4 2" xfId="13959" xr:uid="{00000000-0005-0000-0000-000069360000}"/>
    <cellStyle name="표준 23 5 3 2 2 2 5" xfId="13960" xr:uid="{00000000-0005-0000-0000-00006A360000}"/>
    <cellStyle name="표준 23 5 3 2 2 3" xfId="13961" xr:uid="{00000000-0005-0000-0000-00006B360000}"/>
    <cellStyle name="표준 23 5 3 2 2 3 2" xfId="13962" xr:uid="{00000000-0005-0000-0000-00006C360000}"/>
    <cellStyle name="표준 23 5 3 2 2 3 2 2" xfId="13963" xr:uid="{00000000-0005-0000-0000-00006D360000}"/>
    <cellStyle name="표준 23 5 3 2 2 3 2 2 2" xfId="13964" xr:uid="{00000000-0005-0000-0000-00006E360000}"/>
    <cellStyle name="표준 23 5 3 2 2 3 2 3" xfId="13965" xr:uid="{00000000-0005-0000-0000-00006F360000}"/>
    <cellStyle name="표준 23 5 3 2 2 3 3" xfId="13966" xr:uid="{00000000-0005-0000-0000-000070360000}"/>
    <cellStyle name="표준 23 5 3 2 2 3 3 2" xfId="13967" xr:uid="{00000000-0005-0000-0000-000071360000}"/>
    <cellStyle name="표준 23 5 3 2 2 3 4" xfId="13968" xr:uid="{00000000-0005-0000-0000-000072360000}"/>
    <cellStyle name="표준 23 5 3 2 2 4" xfId="13969" xr:uid="{00000000-0005-0000-0000-000073360000}"/>
    <cellStyle name="표준 23 5 3 2 2 4 2" xfId="13970" xr:uid="{00000000-0005-0000-0000-000074360000}"/>
    <cellStyle name="표준 23 5 3 2 2 4 2 2" xfId="13971" xr:uid="{00000000-0005-0000-0000-000075360000}"/>
    <cellStyle name="표준 23 5 3 2 2 4 3" xfId="13972" xr:uid="{00000000-0005-0000-0000-000076360000}"/>
    <cellStyle name="표준 23 5 3 2 2 5" xfId="13973" xr:uid="{00000000-0005-0000-0000-000077360000}"/>
    <cellStyle name="표준 23 5 3 2 2 5 2" xfId="13974" xr:uid="{00000000-0005-0000-0000-000078360000}"/>
    <cellStyle name="표준 23 5 3 2 2 6" xfId="13975" xr:uid="{00000000-0005-0000-0000-000079360000}"/>
    <cellStyle name="표준 23 5 3 2 3" xfId="13976" xr:uid="{00000000-0005-0000-0000-00007A360000}"/>
    <cellStyle name="표준 23 5 3 2 3 2" xfId="13977" xr:uid="{00000000-0005-0000-0000-00007B360000}"/>
    <cellStyle name="표준 23 5 3 2 3 2 2" xfId="13978" xr:uid="{00000000-0005-0000-0000-00007C360000}"/>
    <cellStyle name="표준 23 5 3 2 3 2 2 2" xfId="13979" xr:uid="{00000000-0005-0000-0000-00007D360000}"/>
    <cellStyle name="표준 23 5 3 2 3 2 2 2 2" xfId="13980" xr:uid="{00000000-0005-0000-0000-00007E360000}"/>
    <cellStyle name="표준 23 5 3 2 3 2 2 3" xfId="13981" xr:uid="{00000000-0005-0000-0000-00007F360000}"/>
    <cellStyle name="표준 23 5 3 2 3 2 3" xfId="13982" xr:uid="{00000000-0005-0000-0000-000080360000}"/>
    <cellStyle name="표준 23 5 3 2 3 2 3 2" xfId="13983" xr:uid="{00000000-0005-0000-0000-000081360000}"/>
    <cellStyle name="표준 23 5 3 2 3 2 4" xfId="13984" xr:uid="{00000000-0005-0000-0000-000082360000}"/>
    <cellStyle name="표준 23 5 3 2 3 3" xfId="13985" xr:uid="{00000000-0005-0000-0000-000083360000}"/>
    <cellStyle name="표준 23 5 3 2 3 3 2" xfId="13986" xr:uid="{00000000-0005-0000-0000-000084360000}"/>
    <cellStyle name="표준 23 5 3 2 3 3 2 2" xfId="13987" xr:uid="{00000000-0005-0000-0000-000085360000}"/>
    <cellStyle name="표준 23 5 3 2 3 3 3" xfId="13988" xr:uid="{00000000-0005-0000-0000-000086360000}"/>
    <cellStyle name="표준 23 5 3 2 3 4" xfId="13989" xr:uid="{00000000-0005-0000-0000-000087360000}"/>
    <cellStyle name="표준 23 5 3 2 3 4 2" xfId="13990" xr:uid="{00000000-0005-0000-0000-000088360000}"/>
    <cellStyle name="표준 23 5 3 2 3 5" xfId="13991" xr:uid="{00000000-0005-0000-0000-000089360000}"/>
    <cellStyle name="표준 23 5 3 2 4" xfId="13992" xr:uid="{00000000-0005-0000-0000-00008A360000}"/>
    <cellStyle name="표준 23 5 3 2 4 2" xfId="13993" xr:uid="{00000000-0005-0000-0000-00008B360000}"/>
    <cellStyle name="표준 23 5 3 2 4 2 2" xfId="13994" xr:uid="{00000000-0005-0000-0000-00008C360000}"/>
    <cellStyle name="표준 23 5 3 2 4 2 2 2" xfId="13995" xr:uid="{00000000-0005-0000-0000-00008D360000}"/>
    <cellStyle name="표준 23 5 3 2 4 2 3" xfId="13996" xr:uid="{00000000-0005-0000-0000-00008E360000}"/>
    <cellStyle name="표준 23 5 3 2 4 3" xfId="13997" xr:uid="{00000000-0005-0000-0000-00008F360000}"/>
    <cellStyle name="표준 23 5 3 2 4 3 2" xfId="13998" xr:uid="{00000000-0005-0000-0000-000090360000}"/>
    <cellStyle name="표준 23 5 3 2 4 4" xfId="13999" xr:uid="{00000000-0005-0000-0000-000091360000}"/>
    <cellStyle name="표준 23 5 3 2 5" xfId="14000" xr:uid="{00000000-0005-0000-0000-000092360000}"/>
    <cellStyle name="표준 23 5 3 2 5 2" xfId="14001" xr:uid="{00000000-0005-0000-0000-000093360000}"/>
    <cellStyle name="표준 23 5 3 2 5 2 2" xfId="14002" xr:uid="{00000000-0005-0000-0000-000094360000}"/>
    <cellStyle name="표준 23 5 3 2 5 3" xfId="14003" xr:uid="{00000000-0005-0000-0000-000095360000}"/>
    <cellStyle name="표준 23 5 3 2 6" xfId="14004" xr:uid="{00000000-0005-0000-0000-000096360000}"/>
    <cellStyle name="표준 23 5 3 2 6 2" xfId="14005" xr:uid="{00000000-0005-0000-0000-000097360000}"/>
    <cellStyle name="표준 23 5 3 2 7" xfId="14006" xr:uid="{00000000-0005-0000-0000-000098360000}"/>
    <cellStyle name="표준 23 5 3 2 8" xfId="14007" xr:uid="{00000000-0005-0000-0000-000099360000}"/>
    <cellStyle name="표준 23 5 3 3" xfId="14008" xr:uid="{00000000-0005-0000-0000-00009A360000}"/>
    <cellStyle name="표준 23 5 3 3 2" xfId="14009" xr:uid="{00000000-0005-0000-0000-00009B360000}"/>
    <cellStyle name="표준 23 5 3 3 2 2" xfId="14010" xr:uid="{00000000-0005-0000-0000-00009C360000}"/>
    <cellStyle name="표준 23 5 3 3 2 2 2" xfId="14011" xr:uid="{00000000-0005-0000-0000-00009D360000}"/>
    <cellStyle name="표준 23 5 3 3 2 2 2 2" xfId="14012" xr:uid="{00000000-0005-0000-0000-00009E360000}"/>
    <cellStyle name="표준 23 5 3 3 2 2 2 2 2" xfId="14013" xr:uid="{00000000-0005-0000-0000-00009F360000}"/>
    <cellStyle name="표준 23 5 3 3 2 2 2 3" xfId="14014" xr:uid="{00000000-0005-0000-0000-0000A0360000}"/>
    <cellStyle name="표준 23 5 3 3 2 2 3" xfId="14015" xr:uid="{00000000-0005-0000-0000-0000A1360000}"/>
    <cellStyle name="표준 23 5 3 3 2 2 3 2" xfId="14016" xr:uid="{00000000-0005-0000-0000-0000A2360000}"/>
    <cellStyle name="표준 23 5 3 3 2 2 4" xfId="14017" xr:uid="{00000000-0005-0000-0000-0000A3360000}"/>
    <cellStyle name="표준 23 5 3 3 2 3" xfId="14018" xr:uid="{00000000-0005-0000-0000-0000A4360000}"/>
    <cellStyle name="표준 23 5 3 3 2 3 2" xfId="14019" xr:uid="{00000000-0005-0000-0000-0000A5360000}"/>
    <cellStyle name="표준 23 5 3 3 2 3 2 2" xfId="14020" xr:uid="{00000000-0005-0000-0000-0000A6360000}"/>
    <cellStyle name="표준 23 5 3 3 2 3 3" xfId="14021" xr:uid="{00000000-0005-0000-0000-0000A7360000}"/>
    <cellStyle name="표준 23 5 3 3 2 4" xfId="14022" xr:uid="{00000000-0005-0000-0000-0000A8360000}"/>
    <cellStyle name="표준 23 5 3 3 2 4 2" xfId="14023" xr:uid="{00000000-0005-0000-0000-0000A9360000}"/>
    <cellStyle name="표준 23 5 3 3 2 5" xfId="14024" xr:uid="{00000000-0005-0000-0000-0000AA360000}"/>
    <cellStyle name="표준 23 5 3 3 3" xfId="14025" xr:uid="{00000000-0005-0000-0000-0000AB360000}"/>
    <cellStyle name="표준 23 5 3 3 3 2" xfId="14026" xr:uid="{00000000-0005-0000-0000-0000AC360000}"/>
    <cellStyle name="표준 23 5 3 3 3 2 2" xfId="14027" xr:uid="{00000000-0005-0000-0000-0000AD360000}"/>
    <cellStyle name="표준 23 5 3 3 3 2 2 2" xfId="14028" xr:uid="{00000000-0005-0000-0000-0000AE360000}"/>
    <cellStyle name="표준 23 5 3 3 3 2 3" xfId="14029" xr:uid="{00000000-0005-0000-0000-0000AF360000}"/>
    <cellStyle name="표준 23 5 3 3 3 3" xfId="14030" xr:uid="{00000000-0005-0000-0000-0000B0360000}"/>
    <cellStyle name="표준 23 5 3 3 3 3 2" xfId="14031" xr:uid="{00000000-0005-0000-0000-0000B1360000}"/>
    <cellStyle name="표준 23 5 3 3 3 4" xfId="14032" xr:uid="{00000000-0005-0000-0000-0000B2360000}"/>
    <cellStyle name="표준 23 5 3 3 4" xfId="14033" xr:uid="{00000000-0005-0000-0000-0000B3360000}"/>
    <cellStyle name="표준 23 5 3 3 4 2" xfId="14034" xr:uid="{00000000-0005-0000-0000-0000B4360000}"/>
    <cellStyle name="표준 23 5 3 3 4 2 2" xfId="14035" xr:uid="{00000000-0005-0000-0000-0000B5360000}"/>
    <cellStyle name="표준 23 5 3 3 4 3" xfId="14036" xr:uid="{00000000-0005-0000-0000-0000B6360000}"/>
    <cellStyle name="표준 23 5 3 3 5" xfId="14037" xr:uid="{00000000-0005-0000-0000-0000B7360000}"/>
    <cellStyle name="표준 23 5 3 3 5 2" xfId="14038" xr:uid="{00000000-0005-0000-0000-0000B8360000}"/>
    <cellStyle name="표준 23 5 3 3 6" xfId="14039" xr:uid="{00000000-0005-0000-0000-0000B9360000}"/>
    <cellStyle name="표준 23 5 3 4" xfId="14040" xr:uid="{00000000-0005-0000-0000-0000BA360000}"/>
    <cellStyle name="표준 23 5 3 4 2" xfId="14041" xr:uid="{00000000-0005-0000-0000-0000BB360000}"/>
    <cellStyle name="표준 23 5 3 4 2 2" xfId="14042" xr:uid="{00000000-0005-0000-0000-0000BC360000}"/>
    <cellStyle name="표준 23 5 3 4 2 2 2" xfId="14043" xr:uid="{00000000-0005-0000-0000-0000BD360000}"/>
    <cellStyle name="표준 23 5 3 4 2 2 2 2" xfId="14044" xr:uid="{00000000-0005-0000-0000-0000BE360000}"/>
    <cellStyle name="표준 23 5 3 4 2 2 3" xfId="14045" xr:uid="{00000000-0005-0000-0000-0000BF360000}"/>
    <cellStyle name="표준 23 5 3 4 2 3" xfId="14046" xr:uid="{00000000-0005-0000-0000-0000C0360000}"/>
    <cellStyle name="표준 23 5 3 4 2 3 2" xfId="14047" xr:uid="{00000000-0005-0000-0000-0000C1360000}"/>
    <cellStyle name="표준 23 5 3 4 2 4" xfId="14048" xr:uid="{00000000-0005-0000-0000-0000C2360000}"/>
    <cellStyle name="표준 23 5 3 4 3" xfId="14049" xr:uid="{00000000-0005-0000-0000-0000C3360000}"/>
    <cellStyle name="표준 23 5 3 4 3 2" xfId="14050" xr:uid="{00000000-0005-0000-0000-0000C4360000}"/>
    <cellStyle name="표준 23 5 3 4 3 2 2" xfId="14051" xr:uid="{00000000-0005-0000-0000-0000C5360000}"/>
    <cellStyle name="표준 23 5 3 4 3 3" xfId="14052" xr:uid="{00000000-0005-0000-0000-0000C6360000}"/>
    <cellStyle name="표준 23 5 3 4 4" xfId="14053" xr:uid="{00000000-0005-0000-0000-0000C7360000}"/>
    <cellStyle name="표준 23 5 3 4 4 2" xfId="14054" xr:uid="{00000000-0005-0000-0000-0000C8360000}"/>
    <cellStyle name="표준 23 5 3 4 5" xfId="14055" xr:uid="{00000000-0005-0000-0000-0000C9360000}"/>
    <cellStyle name="표준 23 5 3 5" xfId="14056" xr:uid="{00000000-0005-0000-0000-0000CA360000}"/>
    <cellStyle name="표준 23 5 3 5 2" xfId="14057" xr:uid="{00000000-0005-0000-0000-0000CB360000}"/>
    <cellStyle name="표준 23 5 3 5 2 2" xfId="14058" xr:uid="{00000000-0005-0000-0000-0000CC360000}"/>
    <cellStyle name="표준 23 5 3 5 2 2 2" xfId="14059" xr:uid="{00000000-0005-0000-0000-0000CD360000}"/>
    <cellStyle name="표준 23 5 3 5 2 3" xfId="14060" xr:uid="{00000000-0005-0000-0000-0000CE360000}"/>
    <cellStyle name="표준 23 5 3 5 3" xfId="14061" xr:uid="{00000000-0005-0000-0000-0000CF360000}"/>
    <cellStyle name="표준 23 5 3 5 3 2" xfId="14062" xr:uid="{00000000-0005-0000-0000-0000D0360000}"/>
    <cellStyle name="표준 23 5 3 5 4" xfId="14063" xr:uid="{00000000-0005-0000-0000-0000D1360000}"/>
    <cellStyle name="표준 23 5 3 6" xfId="14064" xr:uid="{00000000-0005-0000-0000-0000D2360000}"/>
    <cellStyle name="표준 23 5 3 6 2" xfId="14065" xr:uid="{00000000-0005-0000-0000-0000D3360000}"/>
    <cellStyle name="표준 23 5 3 6 2 2" xfId="14066" xr:uid="{00000000-0005-0000-0000-0000D4360000}"/>
    <cellStyle name="표준 23 5 3 6 3" xfId="14067" xr:uid="{00000000-0005-0000-0000-0000D5360000}"/>
    <cellStyle name="표준 23 5 3 7" xfId="14068" xr:uid="{00000000-0005-0000-0000-0000D6360000}"/>
    <cellStyle name="표준 23 5 3 7 2" xfId="14069" xr:uid="{00000000-0005-0000-0000-0000D7360000}"/>
    <cellStyle name="표준 23 5 3 8" xfId="14070" xr:uid="{00000000-0005-0000-0000-0000D8360000}"/>
    <cellStyle name="표준 23 5 3 9" xfId="14071" xr:uid="{00000000-0005-0000-0000-0000D9360000}"/>
    <cellStyle name="표준 23 5 4" xfId="14072" xr:uid="{00000000-0005-0000-0000-0000DA360000}"/>
    <cellStyle name="표준 23 5 4 2" xfId="14073" xr:uid="{00000000-0005-0000-0000-0000DB360000}"/>
    <cellStyle name="표준 23 5 4 2 2" xfId="14074" xr:uid="{00000000-0005-0000-0000-0000DC360000}"/>
    <cellStyle name="표준 23 5 4 2 2 2" xfId="14075" xr:uid="{00000000-0005-0000-0000-0000DD360000}"/>
    <cellStyle name="표준 23 5 4 2 2 2 2" xfId="14076" xr:uid="{00000000-0005-0000-0000-0000DE360000}"/>
    <cellStyle name="표준 23 5 4 2 2 2 2 2" xfId="14077" xr:uid="{00000000-0005-0000-0000-0000DF360000}"/>
    <cellStyle name="표준 23 5 4 2 2 2 2 2 2" xfId="14078" xr:uid="{00000000-0005-0000-0000-0000E0360000}"/>
    <cellStyle name="표준 23 5 4 2 2 2 2 3" xfId="14079" xr:uid="{00000000-0005-0000-0000-0000E1360000}"/>
    <cellStyle name="표준 23 5 4 2 2 2 3" xfId="14080" xr:uid="{00000000-0005-0000-0000-0000E2360000}"/>
    <cellStyle name="표준 23 5 4 2 2 2 3 2" xfId="14081" xr:uid="{00000000-0005-0000-0000-0000E3360000}"/>
    <cellStyle name="표준 23 5 4 2 2 2 4" xfId="14082" xr:uid="{00000000-0005-0000-0000-0000E4360000}"/>
    <cellStyle name="표준 23 5 4 2 2 3" xfId="14083" xr:uid="{00000000-0005-0000-0000-0000E5360000}"/>
    <cellStyle name="표준 23 5 4 2 2 3 2" xfId="14084" xr:uid="{00000000-0005-0000-0000-0000E6360000}"/>
    <cellStyle name="표준 23 5 4 2 2 3 2 2" xfId="14085" xr:uid="{00000000-0005-0000-0000-0000E7360000}"/>
    <cellStyle name="표준 23 5 4 2 2 3 3" xfId="14086" xr:uid="{00000000-0005-0000-0000-0000E8360000}"/>
    <cellStyle name="표준 23 5 4 2 2 4" xfId="14087" xr:uid="{00000000-0005-0000-0000-0000E9360000}"/>
    <cellStyle name="표준 23 5 4 2 2 4 2" xfId="14088" xr:uid="{00000000-0005-0000-0000-0000EA360000}"/>
    <cellStyle name="표준 23 5 4 2 2 5" xfId="14089" xr:uid="{00000000-0005-0000-0000-0000EB360000}"/>
    <cellStyle name="표준 23 5 4 2 3" xfId="14090" xr:uid="{00000000-0005-0000-0000-0000EC360000}"/>
    <cellStyle name="표준 23 5 4 2 3 2" xfId="14091" xr:uid="{00000000-0005-0000-0000-0000ED360000}"/>
    <cellStyle name="표준 23 5 4 2 3 2 2" xfId="14092" xr:uid="{00000000-0005-0000-0000-0000EE360000}"/>
    <cellStyle name="표준 23 5 4 2 3 2 2 2" xfId="14093" xr:uid="{00000000-0005-0000-0000-0000EF360000}"/>
    <cellStyle name="표준 23 5 4 2 3 2 3" xfId="14094" xr:uid="{00000000-0005-0000-0000-0000F0360000}"/>
    <cellStyle name="표준 23 5 4 2 3 3" xfId="14095" xr:uid="{00000000-0005-0000-0000-0000F1360000}"/>
    <cellStyle name="표준 23 5 4 2 3 3 2" xfId="14096" xr:uid="{00000000-0005-0000-0000-0000F2360000}"/>
    <cellStyle name="표준 23 5 4 2 3 4" xfId="14097" xr:uid="{00000000-0005-0000-0000-0000F3360000}"/>
    <cellStyle name="표준 23 5 4 2 4" xfId="14098" xr:uid="{00000000-0005-0000-0000-0000F4360000}"/>
    <cellStyle name="표준 23 5 4 2 4 2" xfId="14099" xr:uid="{00000000-0005-0000-0000-0000F5360000}"/>
    <cellStyle name="표준 23 5 4 2 4 2 2" xfId="14100" xr:uid="{00000000-0005-0000-0000-0000F6360000}"/>
    <cellStyle name="표준 23 5 4 2 4 3" xfId="14101" xr:uid="{00000000-0005-0000-0000-0000F7360000}"/>
    <cellStyle name="표준 23 5 4 2 5" xfId="14102" xr:uid="{00000000-0005-0000-0000-0000F8360000}"/>
    <cellStyle name="표준 23 5 4 2 5 2" xfId="14103" xr:uid="{00000000-0005-0000-0000-0000F9360000}"/>
    <cellStyle name="표준 23 5 4 2 6" xfId="14104" xr:uid="{00000000-0005-0000-0000-0000FA360000}"/>
    <cellStyle name="표준 23 5 4 3" xfId="14105" xr:uid="{00000000-0005-0000-0000-0000FB360000}"/>
    <cellStyle name="표준 23 5 4 3 2" xfId="14106" xr:uid="{00000000-0005-0000-0000-0000FC360000}"/>
    <cellStyle name="표준 23 5 4 3 2 2" xfId="14107" xr:uid="{00000000-0005-0000-0000-0000FD360000}"/>
    <cellStyle name="표준 23 5 4 3 2 2 2" xfId="14108" xr:uid="{00000000-0005-0000-0000-0000FE360000}"/>
    <cellStyle name="표준 23 5 4 3 2 2 2 2" xfId="14109" xr:uid="{00000000-0005-0000-0000-0000FF360000}"/>
    <cellStyle name="표준 23 5 4 3 2 2 3" xfId="14110" xr:uid="{00000000-0005-0000-0000-000000370000}"/>
    <cellStyle name="표준 23 5 4 3 2 3" xfId="14111" xr:uid="{00000000-0005-0000-0000-000001370000}"/>
    <cellStyle name="표준 23 5 4 3 2 3 2" xfId="14112" xr:uid="{00000000-0005-0000-0000-000002370000}"/>
    <cellStyle name="표준 23 5 4 3 2 4" xfId="14113" xr:uid="{00000000-0005-0000-0000-000003370000}"/>
    <cellStyle name="표준 23 5 4 3 3" xfId="14114" xr:uid="{00000000-0005-0000-0000-000004370000}"/>
    <cellStyle name="표준 23 5 4 3 3 2" xfId="14115" xr:uid="{00000000-0005-0000-0000-000005370000}"/>
    <cellStyle name="표준 23 5 4 3 3 2 2" xfId="14116" xr:uid="{00000000-0005-0000-0000-000006370000}"/>
    <cellStyle name="표준 23 5 4 3 3 3" xfId="14117" xr:uid="{00000000-0005-0000-0000-000007370000}"/>
    <cellStyle name="표준 23 5 4 3 4" xfId="14118" xr:uid="{00000000-0005-0000-0000-000008370000}"/>
    <cellStyle name="표준 23 5 4 3 4 2" xfId="14119" xr:uid="{00000000-0005-0000-0000-000009370000}"/>
    <cellStyle name="표준 23 5 4 3 5" xfId="14120" xr:uid="{00000000-0005-0000-0000-00000A370000}"/>
    <cellStyle name="표준 23 5 4 4" xfId="14121" xr:uid="{00000000-0005-0000-0000-00000B370000}"/>
    <cellStyle name="표준 23 5 4 4 2" xfId="14122" xr:uid="{00000000-0005-0000-0000-00000C370000}"/>
    <cellStyle name="표준 23 5 4 4 2 2" xfId="14123" xr:uid="{00000000-0005-0000-0000-00000D370000}"/>
    <cellStyle name="표준 23 5 4 4 2 2 2" xfId="14124" xr:uid="{00000000-0005-0000-0000-00000E370000}"/>
    <cellStyle name="표준 23 5 4 4 2 3" xfId="14125" xr:uid="{00000000-0005-0000-0000-00000F370000}"/>
    <cellStyle name="표준 23 5 4 4 3" xfId="14126" xr:uid="{00000000-0005-0000-0000-000010370000}"/>
    <cellStyle name="표준 23 5 4 4 3 2" xfId="14127" xr:uid="{00000000-0005-0000-0000-000011370000}"/>
    <cellStyle name="표준 23 5 4 4 4" xfId="14128" xr:uid="{00000000-0005-0000-0000-000012370000}"/>
    <cellStyle name="표준 23 5 4 5" xfId="14129" xr:uid="{00000000-0005-0000-0000-000013370000}"/>
    <cellStyle name="표준 23 5 4 5 2" xfId="14130" xr:uid="{00000000-0005-0000-0000-000014370000}"/>
    <cellStyle name="표준 23 5 4 5 2 2" xfId="14131" xr:uid="{00000000-0005-0000-0000-000015370000}"/>
    <cellStyle name="표준 23 5 4 5 3" xfId="14132" xr:uid="{00000000-0005-0000-0000-000016370000}"/>
    <cellStyle name="표준 23 5 4 6" xfId="14133" xr:uid="{00000000-0005-0000-0000-000017370000}"/>
    <cellStyle name="표준 23 5 4 6 2" xfId="14134" xr:uid="{00000000-0005-0000-0000-000018370000}"/>
    <cellStyle name="표준 23 5 4 7" xfId="14135" xr:uid="{00000000-0005-0000-0000-000019370000}"/>
    <cellStyle name="표준 23 5 4 8" xfId="14136" xr:uid="{00000000-0005-0000-0000-00001A370000}"/>
    <cellStyle name="표준 23 5 5" xfId="14137" xr:uid="{00000000-0005-0000-0000-00001B370000}"/>
    <cellStyle name="표준 23 5 5 2" xfId="14138" xr:uid="{00000000-0005-0000-0000-00001C370000}"/>
    <cellStyle name="표준 23 5 5 2 2" xfId="14139" xr:uid="{00000000-0005-0000-0000-00001D370000}"/>
    <cellStyle name="표준 23 5 5 2 2 2" xfId="14140" xr:uid="{00000000-0005-0000-0000-00001E370000}"/>
    <cellStyle name="표준 23 5 5 2 2 2 2" xfId="14141" xr:uid="{00000000-0005-0000-0000-00001F370000}"/>
    <cellStyle name="표준 23 5 5 2 2 2 2 2" xfId="14142" xr:uid="{00000000-0005-0000-0000-000020370000}"/>
    <cellStyle name="표준 23 5 5 2 2 2 3" xfId="14143" xr:uid="{00000000-0005-0000-0000-000021370000}"/>
    <cellStyle name="표준 23 5 5 2 2 3" xfId="14144" xr:uid="{00000000-0005-0000-0000-000022370000}"/>
    <cellStyle name="표준 23 5 5 2 2 3 2" xfId="14145" xr:uid="{00000000-0005-0000-0000-000023370000}"/>
    <cellStyle name="표준 23 5 5 2 2 4" xfId="14146" xr:uid="{00000000-0005-0000-0000-000024370000}"/>
    <cellStyle name="표준 23 5 5 2 3" xfId="14147" xr:uid="{00000000-0005-0000-0000-000025370000}"/>
    <cellStyle name="표준 23 5 5 2 3 2" xfId="14148" xr:uid="{00000000-0005-0000-0000-000026370000}"/>
    <cellStyle name="표준 23 5 5 2 3 2 2" xfId="14149" xr:uid="{00000000-0005-0000-0000-000027370000}"/>
    <cellStyle name="표준 23 5 5 2 3 3" xfId="14150" xr:uid="{00000000-0005-0000-0000-000028370000}"/>
    <cellStyle name="표준 23 5 5 2 4" xfId="14151" xr:uid="{00000000-0005-0000-0000-000029370000}"/>
    <cellStyle name="표준 23 5 5 2 4 2" xfId="14152" xr:uid="{00000000-0005-0000-0000-00002A370000}"/>
    <cellStyle name="표준 23 5 5 2 5" xfId="14153" xr:uid="{00000000-0005-0000-0000-00002B370000}"/>
    <cellStyle name="표준 23 5 5 3" xfId="14154" xr:uid="{00000000-0005-0000-0000-00002C370000}"/>
    <cellStyle name="표준 23 5 5 3 2" xfId="14155" xr:uid="{00000000-0005-0000-0000-00002D370000}"/>
    <cellStyle name="표준 23 5 5 3 2 2" xfId="14156" xr:uid="{00000000-0005-0000-0000-00002E370000}"/>
    <cellStyle name="표준 23 5 5 3 2 2 2" xfId="14157" xr:uid="{00000000-0005-0000-0000-00002F370000}"/>
    <cellStyle name="표준 23 5 5 3 2 3" xfId="14158" xr:uid="{00000000-0005-0000-0000-000030370000}"/>
    <cellStyle name="표준 23 5 5 3 3" xfId="14159" xr:uid="{00000000-0005-0000-0000-000031370000}"/>
    <cellStyle name="표준 23 5 5 3 3 2" xfId="14160" xr:uid="{00000000-0005-0000-0000-000032370000}"/>
    <cellStyle name="표준 23 5 5 3 4" xfId="14161" xr:uid="{00000000-0005-0000-0000-000033370000}"/>
    <cellStyle name="표준 23 5 5 4" xfId="14162" xr:uid="{00000000-0005-0000-0000-000034370000}"/>
    <cellStyle name="표준 23 5 5 4 2" xfId="14163" xr:uid="{00000000-0005-0000-0000-000035370000}"/>
    <cellStyle name="표준 23 5 5 4 2 2" xfId="14164" xr:uid="{00000000-0005-0000-0000-000036370000}"/>
    <cellStyle name="표준 23 5 5 4 3" xfId="14165" xr:uid="{00000000-0005-0000-0000-000037370000}"/>
    <cellStyle name="표준 23 5 5 5" xfId="14166" xr:uid="{00000000-0005-0000-0000-000038370000}"/>
    <cellStyle name="표준 23 5 5 5 2" xfId="14167" xr:uid="{00000000-0005-0000-0000-000039370000}"/>
    <cellStyle name="표준 23 5 5 6" xfId="14168" xr:uid="{00000000-0005-0000-0000-00003A370000}"/>
    <cellStyle name="표준 23 5 6" xfId="14169" xr:uid="{00000000-0005-0000-0000-00003B370000}"/>
    <cellStyle name="표준 23 5 6 2" xfId="14170" xr:uid="{00000000-0005-0000-0000-00003C370000}"/>
    <cellStyle name="표준 23 5 6 2 2" xfId="14171" xr:uid="{00000000-0005-0000-0000-00003D370000}"/>
    <cellStyle name="표준 23 5 6 2 2 2" xfId="14172" xr:uid="{00000000-0005-0000-0000-00003E370000}"/>
    <cellStyle name="표준 23 5 6 2 2 2 2" xfId="14173" xr:uid="{00000000-0005-0000-0000-00003F370000}"/>
    <cellStyle name="표준 23 5 6 2 2 3" xfId="14174" xr:uid="{00000000-0005-0000-0000-000040370000}"/>
    <cellStyle name="표준 23 5 6 2 3" xfId="14175" xr:uid="{00000000-0005-0000-0000-000041370000}"/>
    <cellStyle name="표준 23 5 6 2 3 2" xfId="14176" xr:uid="{00000000-0005-0000-0000-000042370000}"/>
    <cellStyle name="표준 23 5 6 2 4" xfId="14177" xr:uid="{00000000-0005-0000-0000-000043370000}"/>
    <cellStyle name="표준 23 5 6 3" xfId="14178" xr:uid="{00000000-0005-0000-0000-000044370000}"/>
    <cellStyle name="표준 23 5 6 3 2" xfId="14179" xr:uid="{00000000-0005-0000-0000-000045370000}"/>
    <cellStyle name="표준 23 5 6 3 2 2" xfId="14180" xr:uid="{00000000-0005-0000-0000-000046370000}"/>
    <cellStyle name="표준 23 5 6 3 3" xfId="14181" xr:uid="{00000000-0005-0000-0000-000047370000}"/>
    <cellStyle name="표준 23 5 6 4" xfId="14182" xr:uid="{00000000-0005-0000-0000-000048370000}"/>
    <cellStyle name="표준 23 5 6 4 2" xfId="14183" xr:uid="{00000000-0005-0000-0000-000049370000}"/>
    <cellStyle name="표준 23 5 6 5" xfId="14184" xr:uid="{00000000-0005-0000-0000-00004A370000}"/>
    <cellStyle name="표준 23 5 7" xfId="14185" xr:uid="{00000000-0005-0000-0000-00004B370000}"/>
    <cellStyle name="표준 23 5 7 2" xfId="14186" xr:uid="{00000000-0005-0000-0000-00004C370000}"/>
    <cellStyle name="표준 23 5 7 2 2" xfId="14187" xr:uid="{00000000-0005-0000-0000-00004D370000}"/>
    <cellStyle name="표준 23 5 7 2 2 2" xfId="14188" xr:uid="{00000000-0005-0000-0000-00004E370000}"/>
    <cellStyle name="표준 23 5 7 2 3" xfId="14189" xr:uid="{00000000-0005-0000-0000-00004F370000}"/>
    <cellStyle name="표준 23 5 7 3" xfId="14190" xr:uid="{00000000-0005-0000-0000-000050370000}"/>
    <cellStyle name="표준 23 5 7 3 2" xfId="14191" xr:uid="{00000000-0005-0000-0000-000051370000}"/>
    <cellStyle name="표준 23 5 7 4" xfId="14192" xr:uid="{00000000-0005-0000-0000-000052370000}"/>
    <cellStyle name="표준 23 5 8" xfId="14193" xr:uid="{00000000-0005-0000-0000-000053370000}"/>
    <cellStyle name="표준 23 5 8 2" xfId="14194" xr:uid="{00000000-0005-0000-0000-000054370000}"/>
    <cellStyle name="표준 23 5 8 2 2" xfId="14195" xr:uid="{00000000-0005-0000-0000-000055370000}"/>
    <cellStyle name="표준 23 5 8 3" xfId="14196" xr:uid="{00000000-0005-0000-0000-000056370000}"/>
    <cellStyle name="표준 23 5 9" xfId="14197" xr:uid="{00000000-0005-0000-0000-000057370000}"/>
    <cellStyle name="표준 23 5 9 2" xfId="14198" xr:uid="{00000000-0005-0000-0000-000058370000}"/>
    <cellStyle name="표준 23 6" xfId="14199" xr:uid="{00000000-0005-0000-0000-000059370000}"/>
    <cellStyle name="표준 23 6 10" xfId="14200" xr:uid="{00000000-0005-0000-0000-00005A370000}"/>
    <cellStyle name="표준 23 6 11" xfId="14201" xr:uid="{00000000-0005-0000-0000-00005B370000}"/>
    <cellStyle name="표준 23 6 2" xfId="14202" xr:uid="{00000000-0005-0000-0000-00005C370000}"/>
    <cellStyle name="표준 23 6 2 10" xfId="14203" xr:uid="{00000000-0005-0000-0000-00005D370000}"/>
    <cellStyle name="표준 23 6 2 2" xfId="14204" xr:uid="{00000000-0005-0000-0000-00005E370000}"/>
    <cellStyle name="표준 23 6 2 2 2" xfId="14205" xr:uid="{00000000-0005-0000-0000-00005F370000}"/>
    <cellStyle name="표준 23 6 2 2 2 2" xfId="14206" xr:uid="{00000000-0005-0000-0000-000060370000}"/>
    <cellStyle name="표준 23 6 2 2 2 2 2" xfId="14207" xr:uid="{00000000-0005-0000-0000-000061370000}"/>
    <cellStyle name="표준 23 6 2 2 2 2 2 2" xfId="14208" xr:uid="{00000000-0005-0000-0000-000062370000}"/>
    <cellStyle name="표준 23 6 2 2 2 2 2 2 2" xfId="14209" xr:uid="{00000000-0005-0000-0000-000063370000}"/>
    <cellStyle name="표준 23 6 2 2 2 2 2 2 2 2" xfId="14210" xr:uid="{00000000-0005-0000-0000-000064370000}"/>
    <cellStyle name="표준 23 6 2 2 2 2 2 2 2 2 2" xfId="14211" xr:uid="{00000000-0005-0000-0000-000065370000}"/>
    <cellStyle name="표준 23 6 2 2 2 2 2 2 2 3" xfId="14212" xr:uid="{00000000-0005-0000-0000-000066370000}"/>
    <cellStyle name="표준 23 6 2 2 2 2 2 2 3" xfId="14213" xr:uid="{00000000-0005-0000-0000-000067370000}"/>
    <cellStyle name="표준 23 6 2 2 2 2 2 2 3 2" xfId="14214" xr:uid="{00000000-0005-0000-0000-000068370000}"/>
    <cellStyle name="표준 23 6 2 2 2 2 2 2 4" xfId="14215" xr:uid="{00000000-0005-0000-0000-000069370000}"/>
    <cellStyle name="표준 23 6 2 2 2 2 2 3" xfId="14216" xr:uid="{00000000-0005-0000-0000-00006A370000}"/>
    <cellStyle name="표준 23 6 2 2 2 2 2 3 2" xfId="14217" xr:uid="{00000000-0005-0000-0000-00006B370000}"/>
    <cellStyle name="표준 23 6 2 2 2 2 2 3 2 2" xfId="14218" xr:uid="{00000000-0005-0000-0000-00006C370000}"/>
    <cellStyle name="표준 23 6 2 2 2 2 2 3 3" xfId="14219" xr:uid="{00000000-0005-0000-0000-00006D370000}"/>
    <cellStyle name="표준 23 6 2 2 2 2 2 4" xfId="14220" xr:uid="{00000000-0005-0000-0000-00006E370000}"/>
    <cellStyle name="표준 23 6 2 2 2 2 2 4 2" xfId="14221" xr:uid="{00000000-0005-0000-0000-00006F370000}"/>
    <cellStyle name="표준 23 6 2 2 2 2 2 5" xfId="14222" xr:uid="{00000000-0005-0000-0000-000070370000}"/>
    <cellStyle name="표준 23 6 2 2 2 2 3" xfId="14223" xr:uid="{00000000-0005-0000-0000-000071370000}"/>
    <cellStyle name="표준 23 6 2 2 2 2 3 2" xfId="14224" xr:uid="{00000000-0005-0000-0000-000072370000}"/>
    <cellStyle name="표준 23 6 2 2 2 2 3 2 2" xfId="14225" xr:uid="{00000000-0005-0000-0000-000073370000}"/>
    <cellStyle name="표준 23 6 2 2 2 2 3 2 2 2" xfId="14226" xr:uid="{00000000-0005-0000-0000-000074370000}"/>
    <cellStyle name="표준 23 6 2 2 2 2 3 2 3" xfId="14227" xr:uid="{00000000-0005-0000-0000-000075370000}"/>
    <cellStyle name="표준 23 6 2 2 2 2 3 3" xfId="14228" xr:uid="{00000000-0005-0000-0000-000076370000}"/>
    <cellStyle name="표준 23 6 2 2 2 2 3 3 2" xfId="14229" xr:uid="{00000000-0005-0000-0000-000077370000}"/>
    <cellStyle name="표준 23 6 2 2 2 2 3 4" xfId="14230" xr:uid="{00000000-0005-0000-0000-000078370000}"/>
    <cellStyle name="표준 23 6 2 2 2 2 4" xfId="14231" xr:uid="{00000000-0005-0000-0000-000079370000}"/>
    <cellStyle name="표준 23 6 2 2 2 2 4 2" xfId="14232" xr:uid="{00000000-0005-0000-0000-00007A370000}"/>
    <cellStyle name="표준 23 6 2 2 2 2 4 2 2" xfId="14233" xr:uid="{00000000-0005-0000-0000-00007B370000}"/>
    <cellStyle name="표준 23 6 2 2 2 2 4 3" xfId="14234" xr:uid="{00000000-0005-0000-0000-00007C370000}"/>
    <cellStyle name="표준 23 6 2 2 2 2 5" xfId="14235" xr:uid="{00000000-0005-0000-0000-00007D370000}"/>
    <cellStyle name="표준 23 6 2 2 2 2 5 2" xfId="14236" xr:uid="{00000000-0005-0000-0000-00007E370000}"/>
    <cellStyle name="표준 23 6 2 2 2 2 6" xfId="14237" xr:uid="{00000000-0005-0000-0000-00007F370000}"/>
    <cellStyle name="표준 23 6 2 2 2 3" xfId="14238" xr:uid="{00000000-0005-0000-0000-000080370000}"/>
    <cellStyle name="표준 23 6 2 2 2 3 2" xfId="14239" xr:uid="{00000000-0005-0000-0000-000081370000}"/>
    <cellStyle name="표준 23 6 2 2 2 3 2 2" xfId="14240" xr:uid="{00000000-0005-0000-0000-000082370000}"/>
    <cellStyle name="표준 23 6 2 2 2 3 2 2 2" xfId="14241" xr:uid="{00000000-0005-0000-0000-000083370000}"/>
    <cellStyle name="표준 23 6 2 2 2 3 2 2 2 2" xfId="14242" xr:uid="{00000000-0005-0000-0000-000084370000}"/>
    <cellStyle name="표준 23 6 2 2 2 3 2 2 3" xfId="14243" xr:uid="{00000000-0005-0000-0000-000085370000}"/>
    <cellStyle name="표준 23 6 2 2 2 3 2 3" xfId="14244" xr:uid="{00000000-0005-0000-0000-000086370000}"/>
    <cellStyle name="표준 23 6 2 2 2 3 2 3 2" xfId="14245" xr:uid="{00000000-0005-0000-0000-000087370000}"/>
    <cellStyle name="표준 23 6 2 2 2 3 2 4" xfId="14246" xr:uid="{00000000-0005-0000-0000-000088370000}"/>
    <cellStyle name="표준 23 6 2 2 2 3 3" xfId="14247" xr:uid="{00000000-0005-0000-0000-000089370000}"/>
    <cellStyle name="표준 23 6 2 2 2 3 3 2" xfId="14248" xr:uid="{00000000-0005-0000-0000-00008A370000}"/>
    <cellStyle name="표준 23 6 2 2 2 3 3 2 2" xfId="14249" xr:uid="{00000000-0005-0000-0000-00008B370000}"/>
    <cellStyle name="표준 23 6 2 2 2 3 3 3" xfId="14250" xr:uid="{00000000-0005-0000-0000-00008C370000}"/>
    <cellStyle name="표준 23 6 2 2 2 3 4" xfId="14251" xr:uid="{00000000-0005-0000-0000-00008D370000}"/>
    <cellStyle name="표준 23 6 2 2 2 3 4 2" xfId="14252" xr:uid="{00000000-0005-0000-0000-00008E370000}"/>
    <cellStyle name="표준 23 6 2 2 2 3 5" xfId="14253" xr:uid="{00000000-0005-0000-0000-00008F370000}"/>
    <cellStyle name="표준 23 6 2 2 2 4" xfId="14254" xr:uid="{00000000-0005-0000-0000-000090370000}"/>
    <cellStyle name="표준 23 6 2 2 2 4 2" xfId="14255" xr:uid="{00000000-0005-0000-0000-000091370000}"/>
    <cellStyle name="표준 23 6 2 2 2 4 2 2" xfId="14256" xr:uid="{00000000-0005-0000-0000-000092370000}"/>
    <cellStyle name="표준 23 6 2 2 2 4 2 2 2" xfId="14257" xr:uid="{00000000-0005-0000-0000-000093370000}"/>
    <cellStyle name="표준 23 6 2 2 2 4 2 3" xfId="14258" xr:uid="{00000000-0005-0000-0000-000094370000}"/>
    <cellStyle name="표준 23 6 2 2 2 4 3" xfId="14259" xr:uid="{00000000-0005-0000-0000-000095370000}"/>
    <cellStyle name="표준 23 6 2 2 2 4 3 2" xfId="14260" xr:uid="{00000000-0005-0000-0000-000096370000}"/>
    <cellStyle name="표준 23 6 2 2 2 4 4" xfId="14261" xr:uid="{00000000-0005-0000-0000-000097370000}"/>
    <cellStyle name="표준 23 6 2 2 2 5" xfId="14262" xr:uid="{00000000-0005-0000-0000-000098370000}"/>
    <cellStyle name="표준 23 6 2 2 2 5 2" xfId="14263" xr:uid="{00000000-0005-0000-0000-000099370000}"/>
    <cellStyle name="표준 23 6 2 2 2 5 2 2" xfId="14264" xr:uid="{00000000-0005-0000-0000-00009A370000}"/>
    <cellStyle name="표준 23 6 2 2 2 5 3" xfId="14265" xr:uid="{00000000-0005-0000-0000-00009B370000}"/>
    <cellStyle name="표준 23 6 2 2 2 6" xfId="14266" xr:uid="{00000000-0005-0000-0000-00009C370000}"/>
    <cellStyle name="표준 23 6 2 2 2 6 2" xfId="14267" xr:uid="{00000000-0005-0000-0000-00009D370000}"/>
    <cellStyle name="표준 23 6 2 2 2 7" xfId="14268" xr:uid="{00000000-0005-0000-0000-00009E370000}"/>
    <cellStyle name="표준 23 6 2 2 2 8" xfId="14269" xr:uid="{00000000-0005-0000-0000-00009F370000}"/>
    <cellStyle name="표준 23 6 2 2 3" xfId="14270" xr:uid="{00000000-0005-0000-0000-0000A0370000}"/>
    <cellStyle name="표준 23 6 2 2 3 2" xfId="14271" xr:uid="{00000000-0005-0000-0000-0000A1370000}"/>
    <cellStyle name="표준 23 6 2 2 3 2 2" xfId="14272" xr:uid="{00000000-0005-0000-0000-0000A2370000}"/>
    <cellStyle name="표준 23 6 2 2 3 2 2 2" xfId="14273" xr:uid="{00000000-0005-0000-0000-0000A3370000}"/>
    <cellStyle name="표준 23 6 2 2 3 2 2 2 2" xfId="14274" xr:uid="{00000000-0005-0000-0000-0000A4370000}"/>
    <cellStyle name="표준 23 6 2 2 3 2 2 2 2 2" xfId="14275" xr:uid="{00000000-0005-0000-0000-0000A5370000}"/>
    <cellStyle name="표준 23 6 2 2 3 2 2 2 3" xfId="14276" xr:uid="{00000000-0005-0000-0000-0000A6370000}"/>
    <cellStyle name="표준 23 6 2 2 3 2 2 3" xfId="14277" xr:uid="{00000000-0005-0000-0000-0000A7370000}"/>
    <cellStyle name="표준 23 6 2 2 3 2 2 3 2" xfId="14278" xr:uid="{00000000-0005-0000-0000-0000A8370000}"/>
    <cellStyle name="표준 23 6 2 2 3 2 2 4" xfId="14279" xr:uid="{00000000-0005-0000-0000-0000A9370000}"/>
    <cellStyle name="표준 23 6 2 2 3 2 3" xfId="14280" xr:uid="{00000000-0005-0000-0000-0000AA370000}"/>
    <cellStyle name="표준 23 6 2 2 3 2 3 2" xfId="14281" xr:uid="{00000000-0005-0000-0000-0000AB370000}"/>
    <cellStyle name="표준 23 6 2 2 3 2 3 2 2" xfId="14282" xr:uid="{00000000-0005-0000-0000-0000AC370000}"/>
    <cellStyle name="표준 23 6 2 2 3 2 3 3" xfId="14283" xr:uid="{00000000-0005-0000-0000-0000AD370000}"/>
    <cellStyle name="표준 23 6 2 2 3 2 4" xfId="14284" xr:uid="{00000000-0005-0000-0000-0000AE370000}"/>
    <cellStyle name="표준 23 6 2 2 3 2 4 2" xfId="14285" xr:uid="{00000000-0005-0000-0000-0000AF370000}"/>
    <cellStyle name="표준 23 6 2 2 3 2 5" xfId="14286" xr:uid="{00000000-0005-0000-0000-0000B0370000}"/>
    <cellStyle name="표준 23 6 2 2 3 3" xfId="14287" xr:uid="{00000000-0005-0000-0000-0000B1370000}"/>
    <cellStyle name="표준 23 6 2 2 3 3 2" xfId="14288" xr:uid="{00000000-0005-0000-0000-0000B2370000}"/>
    <cellStyle name="표준 23 6 2 2 3 3 2 2" xfId="14289" xr:uid="{00000000-0005-0000-0000-0000B3370000}"/>
    <cellStyle name="표준 23 6 2 2 3 3 2 2 2" xfId="14290" xr:uid="{00000000-0005-0000-0000-0000B4370000}"/>
    <cellStyle name="표준 23 6 2 2 3 3 2 3" xfId="14291" xr:uid="{00000000-0005-0000-0000-0000B5370000}"/>
    <cellStyle name="표준 23 6 2 2 3 3 3" xfId="14292" xr:uid="{00000000-0005-0000-0000-0000B6370000}"/>
    <cellStyle name="표준 23 6 2 2 3 3 3 2" xfId="14293" xr:uid="{00000000-0005-0000-0000-0000B7370000}"/>
    <cellStyle name="표준 23 6 2 2 3 3 4" xfId="14294" xr:uid="{00000000-0005-0000-0000-0000B8370000}"/>
    <cellStyle name="표준 23 6 2 2 3 4" xfId="14295" xr:uid="{00000000-0005-0000-0000-0000B9370000}"/>
    <cellStyle name="표준 23 6 2 2 3 4 2" xfId="14296" xr:uid="{00000000-0005-0000-0000-0000BA370000}"/>
    <cellStyle name="표준 23 6 2 2 3 4 2 2" xfId="14297" xr:uid="{00000000-0005-0000-0000-0000BB370000}"/>
    <cellStyle name="표준 23 6 2 2 3 4 3" xfId="14298" xr:uid="{00000000-0005-0000-0000-0000BC370000}"/>
    <cellStyle name="표준 23 6 2 2 3 5" xfId="14299" xr:uid="{00000000-0005-0000-0000-0000BD370000}"/>
    <cellStyle name="표준 23 6 2 2 3 5 2" xfId="14300" xr:uid="{00000000-0005-0000-0000-0000BE370000}"/>
    <cellStyle name="표준 23 6 2 2 3 6" xfId="14301" xr:uid="{00000000-0005-0000-0000-0000BF370000}"/>
    <cellStyle name="표준 23 6 2 2 4" xfId="14302" xr:uid="{00000000-0005-0000-0000-0000C0370000}"/>
    <cellStyle name="표준 23 6 2 2 4 2" xfId="14303" xr:uid="{00000000-0005-0000-0000-0000C1370000}"/>
    <cellStyle name="표준 23 6 2 2 4 2 2" xfId="14304" xr:uid="{00000000-0005-0000-0000-0000C2370000}"/>
    <cellStyle name="표준 23 6 2 2 4 2 2 2" xfId="14305" xr:uid="{00000000-0005-0000-0000-0000C3370000}"/>
    <cellStyle name="표준 23 6 2 2 4 2 2 2 2" xfId="14306" xr:uid="{00000000-0005-0000-0000-0000C4370000}"/>
    <cellStyle name="표준 23 6 2 2 4 2 2 3" xfId="14307" xr:uid="{00000000-0005-0000-0000-0000C5370000}"/>
    <cellStyle name="표준 23 6 2 2 4 2 3" xfId="14308" xr:uid="{00000000-0005-0000-0000-0000C6370000}"/>
    <cellStyle name="표준 23 6 2 2 4 2 3 2" xfId="14309" xr:uid="{00000000-0005-0000-0000-0000C7370000}"/>
    <cellStyle name="표준 23 6 2 2 4 2 4" xfId="14310" xr:uid="{00000000-0005-0000-0000-0000C8370000}"/>
    <cellStyle name="표준 23 6 2 2 4 3" xfId="14311" xr:uid="{00000000-0005-0000-0000-0000C9370000}"/>
    <cellStyle name="표준 23 6 2 2 4 3 2" xfId="14312" xr:uid="{00000000-0005-0000-0000-0000CA370000}"/>
    <cellStyle name="표준 23 6 2 2 4 3 2 2" xfId="14313" xr:uid="{00000000-0005-0000-0000-0000CB370000}"/>
    <cellStyle name="표준 23 6 2 2 4 3 3" xfId="14314" xr:uid="{00000000-0005-0000-0000-0000CC370000}"/>
    <cellStyle name="표준 23 6 2 2 4 4" xfId="14315" xr:uid="{00000000-0005-0000-0000-0000CD370000}"/>
    <cellStyle name="표준 23 6 2 2 4 4 2" xfId="14316" xr:uid="{00000000-0005-0000-0000-0000CE370000}"/>
    <cellStyle name="표준 23 6 2 2 4 5" xfId="14317" xr:uid="{00000000-0005-0000-0000-0000CF370000}"/>
    <cellStyle name="표준 23 6 2 2 5" xfId="14318" xr:uid="{00000000-0005-0000-0000-0000D0370000}"/>
    <cellStyle name="표준 23 6 2 2 5 2" xfId="14319" xr:uid="{00000000-0005-0000-0000-0000D1370000}"/>
    <cellStyle name="표준 23 6 2 2 5 2 2" xfId="14320" xr:uid="{00000000-0005-0000-0000-0000D2370000}"/>
    <cellStyle name="표준 23 6 2 2 5 2 2 2" xfId="14321" xr:uid="{00000000-0005-0000-0000-0000D3370000}"/>
    <cellStyle name="표준 23 6 2 2 5 2 3" xfId="14322" xr:uid="{00000000-0005-0000-0000-0000D4370000}"/>
    <cellStyle name="표준 23 6 2 2 5 3" xfId="14323" xr:uid="{00000000-0005-0000-0000-0000D5370000}"/>
    <cellStyle name="표준 23 6 2 2 5 3 2" xfId="14324" xr:uid="{00000000-0005-0000-0000-0000D6370000}"/>
    <cellStyle name="표준 23 6 2 2 5 4" xfId="14325" xr:uid="{00000000-0005-0000-0000-0000D7370000}"/>
    <cellStyle name="표준 23 6 2 2 6" xfId="14326" xr:uid="{00000000-0005-0000-0000-0000D8370000}"/>
    <cellStyle name="표준 23 6 2 2 6 2" xfId="14327" xr:uid="{00000000-0005-0000-0000-0000D9370000}"/>
    <cellStyle name="표준 23 6 2 2 6 2 2" xfId="14328" xr:uid="{00000000-0005-0000-0000-0000DA370000}"/>
    <cellStyle name="표준 23 6 2 2 6 3" xfId="14329" xr:uid="{00000000-0005-0000-0000-0000DB370000}"/>
    <cellStyle name="표준 23 6 2 2 7" xfId="14330" xr:uid="{00000000-0005-0000-0000-0000DC370000}"/>
    <cellStyle name="표준 23 6 2 2 7 2" xfId="14331" xr:uid="{00000000-0005-0000-0000-0000DD370000}"/>
    <cellStyle name="표준 23 6 2 2 8" xfId="14332" xr:uid="{00000000-0005-0000-0000-0000DE370000}"/>
    <cellStyle name="표준 23 6 2 2 9" xfId="14333" xr:uid="{00000000-0005-0000-0000-0000DF370000}"/>
    <cellStyle name="표준 23 6 2 3" xfId="14334" xr:uid="{00000000-0005-0000-0000-0000E0370000}"/>
    <cellStyle name="표준 23 6 2 3 2" xfId="14335" xr:uid="{00000000-0005-0000-0000-0000E1370000}"/>
    <cellStyle name="표준 23 6 2 3 2 2" xfId="14336" xr:uid="{00000000-0005-0000-0000-0000E2370000}"/>
    <cellStyle name="표준 23 6 2 3 2 2 2" xfId="14337" xr:uid="{00000000-0005-0000-0000-0000E3370000}"/>
    <cellStyle name="표준 23 6 2 3 2 2 2 2" xfId="14338" xr:uid="{00000000-0005-0000-0000-0000E4370000}"/>
    <cellStyle name="표준 23 6 2 3 2 2 2 2 2" xfId="14339" xr:uid="{00000000-0005-0000-0000-0000E5370000}"/>
    <cellStyle name="표준 23 6 2 3 2 2 2 2 2 2" xfId="14340" xr:uid="{00000000-0005-0000-0000-0000E6370000}"/>
    <cellStyle name="표준 23 6 2 3 2 2 2 2 3" xfId="14341" xr:uid="{00000000-0005-0000-0000-0000E7370000}"/>
    <cellStyle name="표준 23 6 2 3 2 2 2 3" xfId="14342" xr:uid="{00000000-0005-0000-0000-0000E8370000}"/>
    <cellStyle name="표준 23 6 2 3 2 2 2 3 2" xfId="14343" xr:uid="{00000000-0005-0000-0000-0000E9370000}"/>
    <cellStyle name="표준 23 6 2 3 2 2 2 4" xfId="14344" xr:uid="{00000000-0005-0000-0000-0000EA370000}"/>
    <cellStyle name="표준 23 6 2 3 2 2 3" xfId="14345" xr:uid="{00000000-0005-0000-0000-0000EB370000}"/>
    <cellStyle name="표준 23 6 2 3 2 2 3 2" xfId="14346" xr:uid="{00000000-0005-0000-0000-0000EC370000}"/>
    <cellStyle name="표준 23 6 2 3 2 2 3 2 2" xfId="14347" xr:uid="{00000000-0005-0000-0000-0000ED370000}"/>
    <cellStyle name="표준 23 6 2 3 2 2 3 3" xfId="14348" xr:uid="{00000000-0005-0000-0000-0000EE370000}"/>
    <cellStyle name="표준 23 6 2 3 2 2 4" xfId="14349" xr:uid="{00000000-0005-0000-0000-0000EF370000}"/>
    <cellStyle name="표준 23 6 2 3 2 2 4 2" xfId="14350" xr:uid="{00000000-0005-0000-0000-0000F0370000}"/>
    <cellStyle name="표준 23 6 2 3 2 2 5" xfId="14351" xr:uid="{00000000-0005-0000-0000-0000F1370000}"/>
    <cellStyle name="표준 23 6 2 3 2 3" xfId="14352" xr:uid="{00000000-0005-0000-0000-0000F2370000}"/>
    <cellStyle name="표준 23 6 2 3 2 3 2" xfId="14353" xr:uid="{00000000-0005-0000-0000-0000F3370000}"/>
    <cellStyle name="표준 23 6 2 3 2 3 2 2" xfId="14354" xr:uid="{00000000-0005-0000-0000-0000F4370000}"/>
    <cellStyle name="표준 23 6 2 3 2 3 2 2 2" xfId="14355" xr:uid="{00000000-0005-0000-0000-0000F5370000}"/>
    <cellStyle name="표준 23 6 2 3 2 3 2 3" xfId="14356" xr:uid="{00000000-0005-0000-0000-0000F6370000}"/>
    <cellStyle name="표준 23 6 2 3 2 3 3" xfId="14357" xr:uid="{00000000-0005-0000-0000-0000F7370000}"/>
    <cellStyle name="표준 23 6 2 3 2 3 3 2" xfId="14358" xr:uid="{00000000-0005-0000-0000-0000F8370000}"/>
    <cellStyle name="표준 23 6 2 3 2 3 4" xfId="14359" xr:uid="{00000000-0005-0000-0000-0000F9370000}"/>
    <cellStyle name="표준 23 6 2 3 2 4" xfId="14360" xr:uid="{00000000-0005-0000-0000-0000FA370000}"/>
    <cellStyle name="표준 23 6 2 3 2 4 2" xfId="14361" xr:uid="{00000000-0005-0000-0000-0000FB370000}"/>
    <cellStyle name="표준 23 6 2 3 2 4 2 2" xfId="14362" xr:uid="{00000000-0005-0000-0000-0000FC370000}"/>
    <cellStyle name="표준 23 6 2 3 2 4 3" xfId="14363" xr:uid="{00000000-0005-0000-0000-0000FD370000}"/>
    <cellStyle name="표준 23 6 2 3 2 5" xfId="14364" xr:uid="{00000000-0005-0000-0000-0000FE370000}"/>
    <cellStyle name="표준 23 6 2 3 2 5 2" xfId="14365" xr:uid="{00000000-0005-0000-0000-0000FF370000}"/>
    <cellStyle name="표준 23 6 2 3 2 6" xfId="14366" xr:uid="{00000000-0005-0000-0000-000000380000}"/>
    <cellStyle name="표준 23 6 2 3 3" xfId="14367" xr:uid="{00000000-0005-0000-0000-000001380000}"/>
    <cellStyle name="표준 23 6 2 3 3 2" xfId="14368" xr:uid="{00000000-0005-0000-0000-000002380000}"/>
    <cellStyle name="표준 23 6 2 3 3 2 2" xfId="14369" xr:uid="{00000000-0005-0000-0000-000003380000}"/>
    <cellStyle name="표준 23 6 2 3 3 2 2 2" xfId="14370" xr:uid="{00000000-0005-0000-0000-000004380000}"/>
    <cellStyle name="표준 23 6 2 3 3 2 2 2 2" xfId="14371" xr:uid="{00000000-0005-0000-0000-000005380000}"/>
    <cellStyle name="표준 23 6 2 3 3 2 2 3" xfId="14372" xr:uid="{00000000-0005-0000-0000-000006380000}"/>
    <cellStyle name="표준 23 6 2 3 3 2 3" xfId="14373" xr:uid="{00000000-0005-0000-0000-000007380000}"/>
    <cellStyle name="표준 23 6 2 3 3 2 3 2" xfId="14374" xr:uid="{00000000-0005-0000-0000-000008380000}"/>
    <cellStyle name="표준 23 6 2 3 3 2 4" xfId="14375" xr:uid="{00000000-0005-0000-0000-000009380000}"/>
    <cellStyle name="표준 23 6 2 3 3 3" xfId="14376" xr:uid="{00000000-0005-0000-0000-00000A380000}"/>
    <cellStyle name="표준 23 6 2 3 3 3 2" xfId="14377" xr:uid="{00000000-0005-0000-0000-00000B380000}"/>
    <cellStyle name="표준 23 6 2 3 3 3 2 2" xfId="14378" xr:uid="{00000000-0005-0000-0000-00000C380000}"/>
    <cellStyle name="표준 23 6 2 3 3 3 3" xfId="14379" xr:uid="{00000000-0005-0000-0000-00000D380000}"/>
    <cellStyle name="표준 23 6 2 3 3 4" xfId="14380" xr:uid="{00000000-0005-0000-0000-00000E380000}"/>
    <cellStyle name="표준 23 6 2 3 3 4 2" xfId="14381" xr:uid="{00000000-0005-0000-0000-00000F380000}"/>
    <cellStyle name="표준 23 6 2 3 3 5" xfId="14382" xr:uid="{00000000-0005-0000-0000-000010380000}"/>
    <cellStyle name="표준 23 6 2 3 4" xfId="14383" xr:uid="{00000000-0005-0000-0000-000011380000}"/>
    <cellStyle name="표준 23 6 2 3 4 2" xfId="14384" xr:uid="{00000000-0005-0000-0000-000012380000}"/>
    <cellStyle name="표준 23 6 2 3 4 2 2" xfId="14385" xr:uid="{00000000-0005-0000-0000-000013380000}"/>
    <cellStyle name="표준 23 6 2 3 4 2 2 2" xfId="14386" xr:uid="{00000000-0005-0000-0000-000014380000}"/>
    <cellStyle name="표준 23 6 2 3 4 2 3" xfId="14387" xr:uid="{00000000-0005-0000-0000-000015380000}"/>
    <cellStyle name="표준 23 6 2 3 4 3" xfId="14388" xr:uid="{00000000-0005-0000-0000-000016380000}"/>
    <cellStyle name="표준 23 6 2 3 4 3 2" xfId="14389" xr:uid="{00000000-0005-0000-0000-000017380000}"/>
    <cellStyle name="표준 23 6 2 3 4 4" xfId="14390" xr:uid="{00000000-0005-0000-0000-000018380000}"/>
    <cellStyle name="표준 23 6 2 3 5" xfId="14391" xr:uid="{00000000-0005-0000-0000-000019380000}"/>
    <cellStyle name="표준 23 6 2 3 5 2" xfId="14392" xr:uid="{00000000-0005-0000-0000-00001A380000}"/>
    <cellStyle name="표준 23 6 2 3 5 2 2" xfId="14393" xr:uid="{00000000-0005-0000-0000-00001B380000}"/>
    <cellStyle name="표준 23 6 2 3 5 3" xfId="14394" xr:uid="{00000000-0005-0000-0000-00001C380000}"/>
    <cellStyle name="표준 23 6 2 3 6" xfId="14395" xr:uid="{00000000-0005-0000-0000-00001D380000}"/>
    <cellStyle name="표준 23 6 2 3 6 2" xfId="14396" xr:uid="{00000000-0005-0000-0000-00001E380000}"/>
    <cellStyle name="표준 23 6 2 3 7" xfId="14397" xr:uid="{00000000-0005-0000-0000-00001F380000}"/>
    <cellStyle name="표준 23 6 2 3 8" xfId="14398" xr:uid="{00000000-0005-0000-0000-000020380000}"/>
    <cellStyle name="표준 23 6 2 4" xfId="14399" xr:uid="{00000000-0005-0000-0000-000021380000}"/>
    <cellStyle name="표준 23 6 2 4 2" xfId="14400" xr:uid="{00000000-0005-0000-0000-000022380000}"/>
    <cellStyle name="표준 23 6 2 4 2 2" xfId="14401" xr:uid="{00000000-0005-0000-0000-000023380000}"/>
    <cellStyle name="표준 23 6 2 4 2 2 2" xfId="14402" xr:uid="{00000000-0005-0000-0000-000024380000}"/>
    <cellStyle name="표준 23 6 2 4 2 2 2 2" xfId="14403" xr:uid="{00000000-0005-0000-0000-000025380000}"/>
    <cellStyle name="표준 23 6 2 4 2 2 2 2 2" xfId="14404" xr:uid="{00000000-0005-0000-0000-000026380000}"/>
    <cellStyle name="표준 23 6 2 4 2 2 2 3" xfId="14405" xr:uid="{00000000-0005-0000-0000-000027380000}"/>
    <cellStyle name="표준 23 6 2 4 2 2 3" xfId="14406" xr:uid="{00000000-0005-0000-0000-000028380000}"/>
    <cellStyle name="표준 23 6 2 4 2 2 3 2" xfId="14407" xr:uid="{00000000-0005-0000-0000-000029380000}"/>
    <cellStyle name="표준 23 6 2 4 2 2 4" xfId="14408" xr:uid="{00000000-0005-0000-0000-00002A380000}"/>
    <cellStyle name="표준 23 6 2 4 2 3" xfId="14409" xr:uid="{00000000-0005-0000-0000-00002B380000}"/>
    <cellStyle name="표준 23 6 2 4 2 3 2" xfId="14410" xr:uid="{00000000-0005-0000-0000-00002C380000}"/>
    <cellStyle name="표준 23 6 2 4 2 3 2 2" xfId="14411" xr:uid="{00000000-0005-0000-0000-00002D380000}"/>
    <cellStyle name="표준 23 6 2 4 2 3 3" xfId="14412" xr:uid="{00000000-0005-0000-0000-00002E380000}"/>
    <cellStyle name="표준 23 6 2 4 2 4" xfId="14413" xr:uid="{00000000-0005-0000-0000-00002F380000}"/>
    <cellStyle name="표준 23 6 2 4 2 4 2" xfId="14414" xr:uid="{00000000-0005-0000-0000-000030380000}"/>
    <cellStyle name="표준 23 6 2 4 2 5" xfId="14415" xr:uid="{00000000-0005-0000-0000-000031380000}"/>
    <cellStyle name="표준 23 6 2 4 3" xfId="14416" xr:uid="{00000000-0005-0000-0000-000032380000}"/>
    <cellStyle name="표준 23 6 2 4 3 2" xfId="14417" xr:uid="{00000000-0005-0000-0000-000033380000}"/>
    <cellStyle name="표준 23 6 2 4 3 2 2" xfId="14418" xr:uid="{00000000-0005-0000-0000-000034380000}"/>
    <cellStyle name="표준 23 6 2 4 3 2 2 2" xfId="14419" xr:uid="{00000000-0005-0000-0000-000035380000}"/>
    <cellStyle name="표준 23 6 2 4 3 2 3" xfId="14420" xr:uid="{00000000-0005-0000-0000-000036380000}"/>
    <cellStyle name="표준 23 6 2 4 3 3" xfId="14421" xr:uid="{00000000-0005-0000-0000-000037380000}"/>
    <cellStyle name="표준 23 6 2 4 3 3 2" xfId="14422" xr:uid="{00000000-0005-0000-0000-000038380000}"/>
    <cellStyle name="표준 23 6 2 4 3 4" xfId="14423" xr:uid="{00000000-0005-0000-0000-000039380000}"/>
    <cellStyle name="표준 23 6 2 4 4" xfId="14424" xr:uid="{00000000-0005-0000-0000-00003A380000}"/>
    <cellStyle name="표준 23 6 2 4 4 2" xfId="14425" xr:uid="{00000000-0005-0000-0000-00003B380000}"/>
    <cellStyle name="표준 23 6 2 4 4 2 2" xfId="14426" xr:uid="{00000000-0005-0000-0000-00003C380000}"/>
    <cellStyle name="표준 23 6 2 4 4 3" xfId="14427" xr:uid="{00000000-0005-0000-0000-00003D380000}"/>
    <cellStyle name="표준 23 6 2 4 5" xfId="14428" xr:uid="{00000000-0005-0000-0000-00003E380000}"/>
    <cellStyle name="표준 23 6 2 4 5 2" xfId="14429" xr:uid="{00000000-0005-0000-0000-00003F380000}"/>
    <cellStyle name="표준 23 6 2 4 6" xfId="14430" xr:uid="{00000000-0005-0000-0000-000040380000}"/>
    <cellStyle name="표준 23 6 2 5" xfId="14431" xr:uid="{00000000-0005-0000-0000-000041380000}"/>
    <cellStyle name="표준 23 6 2 5 2" xfId="14432" xr:uid="{00000000-0005-0000-0000-000042380000}"/>
    <cellStyle name="표준 23 6 2 5 2 2" xfId="14433" xr:uid="{00000000-0005-0000-0000-000043380000}"/>
    <cellStyle name="표준 23 6 2 5 2 2 2" xfId="14434" xr:uid="{00000000-0005-0000-0000-000044380000}"/>
    <cellStyle name="표준 23 6 2 5 2 2 2 2" xfId="14435" xr:uid="{00000000-0005-0000-0000-000045380000}"/>
    <cellStyle name="표준 23 6 2 5 2 2 3" xfId="14436" xr:uid="{00000000-0005-0000-0000-000046380000}"/>
    <cellStyle name="표준 23 6 2 5 2 3" xfId="14437" xr:uid="{00000000-0005-0000-0000-000047380000}"/>
    <cellStyle name="표준 23 6 2 5 2 3 2" xfId="14438" xr:uid="{00000000-0005-0000-0000-000048380000}"/>
    <cellStyle name="표준 23 6 2 5 2 4" xfId="14439" xr:uid="{00000000-0005-0000-0000-000049380000}"/>
    <cellStyle name="표준 23 6 2 5 3" xfId="14440" xr:uid="{00000000-0005-0000-0000-00004A380000}"/>
    <cellStyle name="표준 23 6 2 5 3 2" xfId="14441" xr:uid="{00000000-0005-0000-0000-00004B380000}"/>
    <cellStyle name="표준 23 6 2 5 3 2 2" xfId="14442" xr:uid="{00000000-0005-0000-0000-00004C380000}"/>
    <cellStyle name="표준 23 6 2 5 3 3" xfId="14443" xr:uid="{00000000-0005-0000-0000-00004D380000}"/>
    <cellStyle name="표준 23 6 2 5 4" xfId="14444" xr:uid="{00000000-0005-0000-0000-00004E380000}"/>
    <cellStyle name="표준 23 6 2 5 4 2" xfId="14445" xr:uid="{00000000-0005-0000-0000-00004F380000}"/>
    <cellStyle name="표준 23 6 2 5 5" xfId="14446" xr:uid="{00000000-0005-0000-0000-000050380000}"/>
    <cellStyle name="표준 23 6 2 6" xfId="14447" xr:uid="{00000000-0005-0000-0000-000051380000}"/>
    <cellStyle name="표준 23 6 2 6 2" xfId="14448" xr:uid="{00000000-0005-0000-0000-000052380000}"/>
    <cellStyle name="표준 23 6 2 6 2 2" xfId="14449" xr:uid="{00000000-0005-0000-0000-000053380000}"/>
    <cellStyle name="표준 23 6 2 6 2 2 2" xfId="14450" xr:uid="{00000000-0005-0000-0000-000054380000}"/>
    <cellStyle name="표준 23 6 2 6 2 3" xfId="14451" xr:uid="{00000000-0005-0000-0000-000055380000}"/>
    <cellStyle name="표준 23 6 2 6 3" xfId="14452" xr:uid="{00000000-0005-0000-0000-000056380000}"/>
    <cellStyle name="표준 23 6 2 6 3 2" xfId="14453" xr:uid="{00000000-0005-0000-0000-000057380000}"/>
    <cellStyle name="표준 23 6 2 6 4" xfId="14454" xr:uid="{00000000-0005-0000-0000-000058380000}"/>
    <cellStyle name="표준 23 6 2 7" xfId="14455" xr:uid="{00000000-0005-0000-0000-000059380000}"/>
    <cellStyle name="표준 23 6 2 7 2" xfId="14456" xr:uid="{00000000-0005-0000-0000-00005A380000}"/>
    <cellStyle name="표준 23 6 2 7 2 2" xfId="14457" xr:uid="{00000000-0005-0000-0000-00005B380000}"/>
    <cellStyle name="표준 23 6 2 7 3" xfId="14458" xr:uid="{00000000-0005-0000-0000-00005C380000}"/>
    <cellStyle name="표준 23 6 2 8" xfId="14459" xr:uid="{00000000-0005-0000-0000-00005D380000}"/>
    <cellStyle name="표준 23 6 2 8 2" xfId="14460" xr:uid="{00000000-0005-0000-0000-00005E380000}"/>
    <cellStyle name="표준 23 6 2 9" xfId="14461" xr:uid="{00000000-0005-0000-0000-00005F380000}"/>
    <cellStyle name="표준 23 6 3" xfId="14462" xr:uid="{00000000-0005-0000-0000-000060380000}"/>
    <cellStyle name="표준 23 6 3 2" xfId="14463" xr:uid="{00000000-0005-0000-0000-000061380000}"/>
    <cellStyle name="표준 23 6 3 2 2" xfId="14464" xr:uid="{00000000-0005-0000-0000-000062380000}"/>
    <cellStyle name="표준 23 6 3 2 2 2" xfId="14465" xr:uid="{00000000-0005-0000-0000-000063380000}"/>
    <cellStyle name="표준 23 6 3 2 2 2 2" xfId="14466" xr:uid="{00000000-0005-0000-0000-000064380000}"/>
    <cellStyle name="표준 23 6 3 2 2 2 2 2" xfId="14467" xr:uid="{00000000-0005-0000-0000-000065380000}"/>
    <cellStyle name="표준 23 6 3 2 2 2 2 2 2" xfId="14468" xr:uid="{00000000-0005-0000-0000-000066380000}"/>
    <cellStyle name="표준 23 6 3 2 2 2 2 2 2 2" xfId="14469" xr:uid="{00000000-0005-0000-0000-000067380000}"/>
    <cellStyle name="표준 23 6 3 2 2 2 2 2 3" xfId="14470" xr:uid="{00000000-0005-0000-0000-000068380000}"/>
    <cellStyle name="표준 23 6 3 2 2 2 2 3" xfId="14471" xr:uid="{00000000-0005-0000-0000-000069380000}"/>
    <cellStyle name="표준 23 6 3 2 2 2 2 3 2" xfId="14472" xr:uid="{00000000-0005-0000-0000-00006A380000}"/>
    <cellStyle name="표준 23 6 3 2 2 2 2 4" xfId="14473" xr:uid="{00000000-0005-0000-0000-00006B380000}"/>
    <cellStyle name="표준 23 6 3 2 2 2 3" xfId="14474" xr:uid="{00000000-0005-0000-0000-00006C380000}"/>
    <cellStyle name="표준 23 6 3 2 2 2 3 2" xfId="14475" xr:uid="{00000000-0005-0000-0000-00006D380000}"/>
    <cellStyle name="표준 23 6 3 2 2 2 3 2 2" xfId="14476" xr:uid="{00000000-0005-0000-0000-00006E380000}"/>
    <cellStyle name="표준 23 6 3 2 2 2 3 3" xfId="14477" xr:uid="{00000000-0005-0000-0000-00006F380000}"/>
    <cellStyle name="표준 23 6 3 2 2 2 4" xfId="14478" xr:uid="{00000000-0005-0000-0000-000070380000}"/>
    <cellStyle name="표준 23 6 3 2 2 2 4 2" xfId="14479" xr:uid="{00000000-0005-0000-0000-000071380000}"/>
    <cellStyle name="표준 23 6 3 2 2 2 5" xfId="14480" xr:uid="{00000000-0005-0000-0000-000072380000}"/>
    <cellStyle name="표준 23 6 3 2 2 3" xfId="14481" xr:uid="{00000000-0005-0000-0000-000073380000}"/>
    <cellStyle name="표준 23 6 3 2 2 3 2" xfId="14482" xr:uid="{00000000-0005-0000-0000-000074380000}"/>
    <cellStyle name="표준 23 6 3 2 2 3 2 2" xfId="14483" xr:uid="{00000000-0005-0000-0000-000075380000}"/>
    <cellStyle name="표준 23 6 3 2 2 3 2 2 2" xfId="14484" xr:uid="{00000000-0005-0000-0000-000076380000}"/>
    <cellStyle name="표준 23 6 3 2 2 3 2 3" xfId="14485" xr:uid="{00000000-0005-0000-0000-000077380000}"/>
    <cellStyle name="표준 23 6 3 2 2 3 3" xfId="14486" xr:uid="{00000000-0005-0000-0000-000078380000}"/>
    <cellStyle name="표준 23 6 3 2 2 3 3 2" xfId="14487" xr:uid="{00000000-0005-0000-0000-000079380000}"/>
    <cellStyle name="표준 23 6 3 2 2 3 4" xfId="14488" xr:uid="{00000000-0005-0000-0000-00007A380000}"/>
    <cellStyle name="표준 23 6 3 2 2 4" xfId="14489" xr:uid="{00000000-0005-0000-0000-00007B380000}"/>
    <cellStyle name="표준 23 6 3 2 2 4 2" xfId="14490" xr:uid="{00000000-0005-0000-0000-00007C380000}"/>
    <cellStyle name="표준 23 6 3 2 2 4 2 2" xfId="14491" xr:uid="{00000000-0005-0000-0000-00007D380000}"/>
    <cellStyle name="표준 23 6 3 2 2 4 3" xfId="14492" xr:uid="{00000000-0005-0000-0000-00007E380000}"/>
    <cellStyle name="표준 23 6 3 2 2 5" xfId="14493" xr:uid="{00000000-0005-0000-0000-00007F380000}"/>
    <cellStyle name="표준 23 6 3 2 2 5 2" xfId="14494" xr:uid="{00000000-0005-0000-0000-000080380000}"/>
    <cellStyle name="표준 23 6 3 2 2 6" xfId="14495" xr:uid="{00000000-0005-0000-0000-000081380000}"/>
    <cellStyle name="표준 23 6 3 2 3" xfId="14496" xr:uid="{00000000-0005-0000-0000-000082380000}"/>
    <cellStyle name="표준 23 6 3 2 3 2" xfId="14497" xr:uid="{00000000-0005-0000-0000-000083380000}"/>
    <cellStyle name="표준 23 6 3 2 3 2 2" xfId="14498" xr:uid="{00000000-0005-0000-0000-000084380000}"/>
    <cellStyle name="표준 23 6 3 2 3 2 2 2" xfId="14499" xr:uid="{00000000-0005-0000-0000-000085380000}"/>
    <cellStyle name="표준 23 6 3 2 3 2 2 2 2" xfId="14500" xr:uid="{00000000-0005-0000-0000-000086380000}"/>
    <cellStyle name="표준 23 6 3 2 3 2 2 3" xfId="14501" xr:uid="{00000000-0005-0000-0000-000087380000}"/>
    <cellStyle name="표준 23 6 3 2 3 2 3" xfId="14502" xr:uid="{00000000-0005-0000-0000-000088380000}"/>
    <cellStyle name="표준 23 6 3 2 3 2 3 2" xfId="14503" xr:uid="{00000000-0005-0000-0000-000089380000}"/>
    <cellStyle name="표준 23 6 3 2 3 2 4" xfId="14504" xr:uid="{00000000-0005-0000-0000-00008A380000}"/>
    <cellStyle name="표준 23 6 3 2 3 3" xfId="14505" xr:uid="{00000000-0005-0000-0000-00008B380000}"/>
    <cellStyle name="표준 23 6 3 2 3 3 2" xfId="14506" xr:uid="{00000000-0005-0000-0000-00008C380000}"/>
    <cellStyle name="표준 23 6 3 2 3 3 2 2" xfId="14507" xr:uid="{00000000-0005-0000-0000-00008D380000}"/>
    <cellStyle name="표준 23 6 3 2 3 3 3" xfId="14508" xr:uid="{00000000-0005-0000-0000-00008E380000}"/>
    <cellStyle name="표준 23 6 3 2 3 4" xfId="14509" xr:uid="{00000000-0005-0000-0000-00008F380000}"/>
    <cellStyle name="표준 23 6 3 2 3 4 2" xfId="14510" xr:uid="{00000000-0005-0000-0000-000090380000}"/>
    <cellStyle name="표준 23 6 3 2 3 5" xfId="14511" xr:uid="{00000000-0005-0000-0000-000091380000}"/>
    <cellStyle name="표준 23 6 3 2 4" xfId="14512" xr:uid="{00000000-0005-0000-0000-000092380000}"/>
    <cellStyle name="표준 23 6 3 2 4 2" xfId="14513" xr:uid="{00000000-0005-0000-0000-000093380000}"/>
    <cellStyle name="표준 23 6 3 2 4 2 2" xfId="14514" xr:uid="{00000000-0005-0000-0000-000094380000}"/>
    <cellStyle name="표준 23 6 3 2 4 2 2 2" xfId="14515" xr:uid="{00000000-0005-0000-0000-000095380000}"/>
    <cellStyle name="표준 23 6 3 2 4 2 3" xfId="14516" xr:uid="{00000000-0005-0000-0000-000096380000}"/>
    <cellStyle name="표준 23 6 3 2 4 3" xfId="14517" xr:uid="{00000000-0005-0000-0000-000097380000}"/>
    <cellStyle name="표준 23 6 3 2 4 3 2" xfId="14518" xr:uid="{00000000-0005-0000-0000-000098380000}"/>
    <cellStyle name="표준 23 6 3 2 4 4" xfId="14519" xr:uid="{00000000-0005-0000-0000-000099380000}"/>
    <cellStyle name="표준 23 6 3 2 5" xfId="14520" xr:uid="{00000000-0005-0000-0000-00009A380000}"/>
    <cellStyle name="표준 23 6 3 2 5 2" xfId="14521" xr:uid="{00000000-0005-0000-0000-00009B380000}"/>
    <cellStyle name="표준 23 6 3 2 5 2 2" xfId="14522" xr:uid="{00000000-0005-0000-0000-00009C380000}"/>
    <cellStyle name="표준 23 6 3 2 5 3" xfId="14523" xr:uid="{00000000-0005-0000-0000-00009D380000}"/>
    <cellStyle name="표준 23 6 3 2 6" xfId="14524" xr:uid="{00000000-0005-0000-0000-00009E380000}"/>
    <cellStyle name="표준 23 6 3 2 6 2" xfId="14525" xr:uid="{00000000-0005-0000-0000-00009F380000}"/>
    <cellStyle name="표준 23 6 3 2 7" xfId="14526" xr:uid="{00000000-0005-0000-0000-0000A0380000}"/>
    <cellStyle name="표준 23 6 3 2 8" xfId="14527" xr:uid="{00000000-0005-0000-0000-0000A1380000}"/>
    <cellStyle name="표준 23 6 3 3" xfId="14528" xr:uid="{00000000-0005-0000-0000-0000A2380000}"/>
    <cellStyle name="표준 23 6 3 3 2" xfId="14529" xr:uid="{00000000-0005-0000-0000-0000A3380000}"/>
    <cellStyle name="표준 23 6 3 3 2 2" xfId="14530" xr:uid="{00000000-0005-0000-0000-0000A4380000}"/>
    <cellStyle name="표준 23 6 3 3 2 2 2" xfId="14531" xr:uid="{00000000-0005-0000-0000-0000A5380000}"/>
    <cellStyle name="표준 23 6 3 3 2 2 2 2" xfId="14532" xr:uid="{00000000-0005-0000-0000-0000A6380000}"/>
    <cellStyle name="표준 23 6 3 3 2 2 2 2 2" xfId="14533" xr:uid="{00000000-0005-0000-0000-0000A7380000}"/>
    <cellStyle name="표준 23 6 3 3 2 2 2 3" xfId="14534" xr:uid="{00000000-0005-0000-0000-0000A8380000}"/>
    <cellStyle name="표준 23 6 3 3 2 2 3" xfId="14535" xr:uid="{00000000-0005-0000-0000-0000A9380000}"/>
    <cellStyle name="표준 23 6 3 3 2 2 3 2" xfId="14536" xr:uid="{00000000-0005-0000-0000-0000AA380000}"/>
    <cellStyle name="표준 23 6 3 3 2 2 4" xfId="14537" xr:uid="{00000000-0005-0000-0000-0000AB380000}"/>
    <cellStyle name="표준 23 6 3 3 2 3" xfId="14538" xr:uid="{00000000-0005-0000-0000-0000AC380000}"/>
    <cellStyle name="표준 23 6 3 3 2 3 2" xfId="14539" xr:uid="{00000000-0005-0000-0000-0000AD380000}"/>
    <cellStyle name="표준 23 6 3 3 2 3 2 2" xfId="14540" xr:uid="{00000000-0005-0000-0000-0000AE380000}"/>
    <cellStyle name="표준 23 6 3 3 2 3 3" xfId="14541" xr:uid="{00000000-0005-0000-0000-0000AF380000}"/>
    <cellStyle name="표준 23 6 3 3 2 4" xfId="14542" xr:uid="{00000000-0005-0000-0000-0000B0380000}"/>
    <cellStyle name="표준 23 6 3 3 2 4 2" xfId="14543" xr:uid="{00000000-0005-0000-0000-0000B1380000}"/>
    <cellStyle name="표준 23 6 3 3 2 5" xfId="14544" xr:uid="{00000000-0005-0000-0000-0000B2380000}"/>
    <cellStyle name="표준 23 6 3 3 3" xfId="14545" xr:uid="{00000000-0005-0000-0000-0000B3380000}"/>
    <cellStyle name="표준 23 6 3 3 3 2" xfId="14546" xr:uid="{00000000-0005-0000-0000-0000B4380000}"/>
    <cellStyle name="표준 23 6 3 3 3 2 2" xfId="14547" xr:uid="{00000000-0005-0000-0000-0000B5380000}"/>
    <cellStyle name="표준 23 6 3 3 3 2 2 2" xfId="14548" xr:uid="{00000000-0005-0000-0000-0000B6380000}"/>
    <cellStyle name="표준 23 6 3 3 3 2 3" xfId="14549" xr:uid="{00000000-0005-0000-0000-0000B7380000}"/>
    <cellStyle name="표준 23 6 3 3 3 3" xfId="14550" xr:uid="{00000000-0005-0000-0000-0000B8380000}"/>
    <cellStyle name="표준 23 6 3 3 3 3 2" xfId="14551" xr:uid="{00000000-0005-0000-0000-0000B9380000}"/>
    <cellStyle name="표준 23 6 3 3 3 4" xfId="14552" xr:uid="{00000000-0005-0000-0000-0000BA380000}"/>
    <cellStyle name="표준 23 6 3 3 4" xfId="14553" xr:uid="{00000000-0005-0000-0000-0000BB380000}"/>
    <cellStyle name="표준 23 6 3 3 4 2" xfId="14554" xr:uid="{00000000-0005-0000-0000-0000BC380000}"/>
    <cellStyle name="표준 23 6 3 3 4 2 2" xfId="14555" xr:uid="{00000000-0005-0000-0000-0000BD380000}"/>
    <cellStyle name="표준 23 6 3 3 4 3" xfId="14556" xr:uid="{00000000-0005-0000-0000-0000BE380000}"/>
    <cellStyle name="표준 23 6 3 3 5" xfId="14557" xr:uid="{00000000-0005-0000-0000-0000BF380000}"/>
    <cellStyle name="표준 23 6 3 3 5 2" xfId="14558" xr:uid="{00000000-0005-0000-0000-0000C0380000}"/>
    <cellStyle name="표준 23 6 3 3 6" xfId="14559" xr:uid="{00000000-0005-0000-0000-0000C1380000}"/>
    <cellStyle name="표준 23 6 3 4" xfId="14560" xr:uid="{00000000-0005-0000-0000-0000C2380000}"/>
    <cellStyle name="표준 23 6 3 4 2" xfId="14561" xr:uid="{00000000-0005-0000-0000-0000C3380000}"/>
    <cellStyle name="표준 23 6 3 4 2 2" xfId="14562" xr:uid="{00000000-0005-0000-0000-0000C4380000}"/>
    <cellStyle name="표준 23 6 3 4 2 2 2" xfId="14563" xr:uid="{00000000-0005-0000-0000-0000C5380000}"/>
    <cellStyle name="표준 23 6 3 4 2 2 2 2" xfId="14564" xr:uid="{00000000-0005-0000-0000-0000C6380000}"/>
    <cellStyle name="표준 23 6 3 4 2 2 3" xfId="14565" xr:uid="{00000000-0005-0000-0000-0000C7380000}"/>
    <cellStyle name="표준 23 6 3 4 2 3" xfId="14566" xr:uid="{00000000-0005-0000-0000-0000C8380000}"/>
    <cellStyle name="표준 23 6 3 4 2 3 2" xfId="14567" xr:uid="{00000000-0005-0000-0000-0000C9380000}"/>
    <cellStyle name="표준 23 6 3 4 2 4" xfId="14568" xr:uid="{00000000-0005-0000-0000-0000CA380000}"/>
    <cellStyle name="표준 23 6 3 4 3" xfId="14569" xr:uid="{00000000-0005-0000-0000-0000CB380000}"/>
    <cellStyle name="표준 23 6 3 4 3 2" xfId="14570" xr:uid="{00000000-0005-0000-0000-0000CC380000}"/>
    <cellStyle name="표준 23 6 3 4 3 2 2" xfId="14571" xr:uid="{00000000-0005-0000-0000-0000CD380000}"/>
    <cellStyle name="표준 23 6 3 4 3 3" xfId="14572" xr:uid="{00000000-0005-0000-0000-0000CE380000}"/>
    <cellStyle name="표준 23 6 3 4 4" xfId="14573" xr:uid="{00000000-0005-0000-0000-0000CF380000}"/>
    <cellStyle name="표준 23 6 3 4 4 2" xfId="14574" xr:uid="{00000000-0005-0000-0000-0000D0380000}"/>
    <cellStyle name="표준 23 6 3 4 5" xfId="14575" xr:uid="{00000000-0005-0000-0000-0000D1380000}"/>
    <cellStyle name="표준 23 6 3 5" xfId="14576" xr:uid="{00000000-0005-0000-0000-0000D2380000}"/>
    <cellStyle name="표준 23 6 3 5 2" xfId="14577" xr:uid="{00000000-0005-0000-0000-0000D3380000}"/>
    <cellStyle name="표준 23 6 3 5 2 2" xfId="14578" xr:uid="{00000000-0005-0000-0000-0000D4380000}"/>
    <cellStyle name="표준 23 6 3 5 2 2 2" xfId="14579" xr:uid="{00000000-0005-0000-0000-0000D5380000}"/>
    <cellStyle name="표준 23 6 3 5 2 3" xfId="14580" xr:uid="{00000000-0005-0000-0000-0000D6380000}"/>
    <cellStyle name="표준 23 6 3 5 3" xfId="14581" xr:uid="{00000000-0005-0000-0000-0000D7380000}"/>
    <cellStyle name="표준 23 6 3 5 3 2" xfId="14582" xr:uid="{00000000-0005-0000-0000-0000D8380000}"/>
    <cellStyle name="표준 23 6 3 5 4" xfId="14583" xr:uid="{00000000-0005-0000-0000-0000D9380000}"/>
    <cellStyle name="표준 23 6 3 6" xfId="14584" xr:uid="{00000000-0005-0000-0000-0000DA380000}"/>
    <cellStyle name="표준 23 6 3 6 2" xfId="14585" xr:uid="{00000000-0005-0000-0000-0000DB380000}"/>
    <cellStyle name="표준 23 6 3 6 2 2" xfId="14586" xr:uid="{00000000-0005-0000-0000-0000DC380000}"/>
    <cellStyle name="표준 23 6 3 6 3" xfId="14587" xr:uid="{00000000-0005-0000-0000-0000DD380000}"/>
    <cellStyle name="표준 23 6 3 7" xfId="14588" xr:uid="{00000000-0005-0000-0000-0000DE380000}"/>
    <cellStyle name="표준 23 6 3 7 2" xfId="14589" xr:uid="{00000000-0005-0000-0000-0000DF380000}"/>
    <cellStyle name="표준 23 6 3 8" xfId="14590" xr:uid="{00000000-0005-0000-0000-0000E0380000}"/>
    <cellStyle name="표준 23 6 3 9" xfId="14591" xr:uid="{00000000-0005-0000-0000-0000E1380000}"/>
    <cellStyle name="표준 23 6 4" xfId="14592" xr:uid="{00000000-0005-0000-0000-0000E2380000}"/>
    <cellStyle name="표준 23 6 4 2" xfId="14593" xr:uid="{00000000-0005-0000-0000-0000E3380000}"/>
    <cellStyle name="표준 23 6 4 2 2" xfId="14594" xr:uid="{00000000-0005-0000-0000-0000E4380000}"/>
    <cellStyle name="표준 23 6 4 2 2 2" xfId="14595" xr:uid="{00000000-0005-0000-0000-0000E5380000}"/>
    <cellStyle name="표준 23 6 4 2 2 2 2" xfId="14596" xr:uid="{00000000-0005-0000-0000-0000E6380000}"/>
    <cellStyle name="표준 23 6 4 2 2 2 2 2" xfId="14597" xr:uid="{00000000-0005-0000-0000-0000E7380000}"/>
    <cellStyle name="표준 23 6 4 2 2 2 2 2 2" xfId="14598" xr:uid="{00000000-0005-0000-0000-0000E8380000}"/>
    <cellStyle name="표준 23 6 4 2 2 2 2 3" xfId="14599" xr:uid="{00000000-0005-0000-0000-0000E9380000}"/>
    <cellStyle name="표준 23 6 4 2 2 2 3" xfId="14600" xr:uid="{00000000-0005-0000-0000-0000EA380000}"/>
    <cellStyle name="표준 23 6 4 2 2 2 3 2" xfId="14601" xr:uid="{00000000-0005-0000-0000-0000EB380000}"/>
    <cellStyle name="표준 23 6 4 2 2 2 4" xfId="14602" xr:uid="{00000000-0005-0000-0000-0000EC380000}"/>
    <cellStyle name="표준 23 6 4 2 2 3" xfId="14603" xr:uid="{00000000-0005-0000-0000-0000ED380000}"/>
    <cellStyle name="표준 23 6 4 2 2 3 2" xfId="14604" xr:uid="{00000000-0005-0000-0000-0000EE380000}"/>
    <cellStyle name="표준 23 6 4 2 2 3 2 2" xfId="14605" xr:uid="{00000000-0005-0000-0000-0000EF380000}"/>
    <cellStyle name="표준 23 6 4 2 2 3 3" xfId="14606" xr:uid="{00000000-0005-0000-0000-0000F0380000}"/>
    <cellStyle name="표준 23 6 4 2 2 4" xfId="14607" xr:uid="{00000000-0005-0000-0000-0000F1380000}"/>
    <cellStyle name="표준 23 6 4 2 2 4 2" xfId="14608" xr:uid="{00000000-0005-0000-0000-0000F2380000}"/>
    <cellStyle name="표준 23 6 4 2 2 5" xfId="14609" xr:uid="{00000000-0005-0000-0000-0000F3380000}"/>
    <cellStyle name="표준 23 6 4 2 3" xfId="14610" xr:uid="{00000000-0005-0000-0000-0000F4380000}"/>
    <cellStyle name="표준 23 6 4 2 3 2" xfId="14611" xr:uid="{00000000-0005-0000-0000-0000F5380000}"/>
    <cellStyle name="표준 23 6 4 2 3 2 2" xfId="14612" xr:uid="{00000000-0005-0000-0000-0000F6380000}"/>
    <cellStyle name="표준 23 6 4 2 3 2 2 2" xfId="14613" xr:uid="{00000000-0005-0000-0000-0000F7380000}"/>
    <cellStyle name="표준 23 6 4 2 3 2 3" xfId="14614" xr:uid="{00000000-0005-0000-0000-0000F8380000}"/>
    <cellStyle name="표준 23 6 4 2 3 3" xfId="14615" xr:uid="{00000000-0005-0000-0000-0000F9380000}"/>
    <cellStyle name="표준 23 6 4 2 3 3 2" xfId="14616" xr:uid="{00000000-0005-0000-0000-0000FA380000}"/>
    <cellStyle name="표준 23 6 4 2 3 4" xfId="14617" xr:uid="{00000000-0005-0000-0000-0000FB380000}"/>
    <cellStyle name="표준 23 6 4 2 4" xfId="14618" xr:uid="{00000000-0005-0000-0000-0000FC380000}"/>
    <cellStyle name="표준 23 6 4 2 4 2" xfId="14619" xr:uid="{00000000-0005-0000-0000-0000FD380000}"/>
    <cellStyle name="표준 23 6 4 2 4 2 2" xfId="14620" xr:uid="{00000000-0005-0000-0000-0000FE380000}"/>
    <cellStyle name="표준 23 6 4 2 4 3" xfId="14621" xr:uid="{00000000-0005-0000-0000-0000FF380000}"/>
    <cellStyle name="표준 23 6 4 2 5" xfId="14622" xr:uid="{00000000-0005-0000-0000-000000390000}"/>
    <cellStyle name="표준 23 6 4 2 5 2" xfId="14623" xr:uid="{00000000-0005-0000-0000-000001390000}"/>
    <cellStyle name="표준 23 6 4 2 6" xfId="14624" xr:uid="{00000000-0005-0000-0000-000002390000}"/>
    <cellStyle name="표준 23 6 4 3" xfId="14625" xr:uid="{00000000-0005-0000-0000-000003390000}"/>
    <cellStyle name="표준 23 6 4 3 2" xfId="14626" xr:uid="{00000000-0005-0000-0000-000004390000}"/>
    <cellStyle name="표준 23 6 4 3 2 2" xfId="14627" xr:uid="{00000000-0005-0000-0000-000005390000}"/>
    <cellStyle name="표준 23 6 4 3 2 2 2" xfId="14628" xr:uid="{00000000-0005-0000-0000-000006390000}"/>
    <cellStyle name="표준 23 6 4 3 2 2 2 2" xfId="14629" xr:uid="{00000000-0005-0000-0000-000007390000}"/>
    <cellStyle name="표준 23 6 4 3 2 2 3" xfId="14630" xr:uid="{00000000-0005-0000-0000-000008390000}"/>
    <cellStyle name="표준 23 6 4 3 2 3" xfId="14631" xr:uid="{00000000-0005-0000-0000-000009390000}"/>
    <cellStyle name="표준 23 6 4 3 2 3 2" xfId="14632" xr:uid="{00000000-0005-0000-0000-00000A390000}"/>
    <cellStyle name="표준 23 6 4 3 2 4" xfId="14633" xr:uid="{00000000-0005-0000-0000-00000B390000}"/>
    <cellStyle name="표준 23 6 4 3 3" xfId="14634" xr:uid="{00000000-0005-0000-0000-00000C390000}"/>
    <cellStyle name="표준 23 6 4 3 3 2" xfId="14635" xr:uid="{00000000-0005-0000-0000-00000D390000}"/>
    <cellStyle name="표준 23 6 4 3 3 2 2" xfId="14636" xr:uid="{00000000-0005-0000-0000-00000E390000}"/>
    <cellStyle name="표준 23 6 4 3 3 3" xfId="14637" xr:uid="{00000000-0005-0000-0000-00000F390000}"/>
    <cellStyle name="표준 23 6 4 3 4" xfId="14638" xr:uid="{00000000-0005-0000-0000-000010390000}"/>
    <cellStyle name="표준 23 6 4 3 4 2" xfId="14639" xr:uid="{00000000-0005-0000-0000-000011390000}"/>
    <cellStyle name="표준 23 6 4 3 5" xfId="14640" xr:uid="{00000000-0005-0000-0000-000012390000}"/>
    <cellStyle name="표준 23 6 4 4" xfId="14641" xr:uid="{00000000-0005-0000-0000-000013390000}"/>
    <cellStyle name="표준 23 6 4 4 2" xfId="14642" xr:uid="{00000000-0005-0000-0000-000014390000}"/>
    <cellStyle name="표준 23 6 4 4 2 2" xfId="14643" xr:uid="{00000000-0005-0000-0000-000015390000}"/>
    <cellStyle name="표준 23 6 4 4 2 2 2" xfId="14644" xr:uid="{00000000-0005-0000-0000-000016390000}"/>
    <cellStyle name="표준 23 6 4 4 2 3" xfId="14645" xr:uid="{00000000-0005-0000-0000-000017390000}"/>
    <cellStyle name="표준 23 6 4 4 3" xfId="14646" xr:uid="{00000000-0005-0000-0000-000018390000}"/>
    <cellStyle name="표준 23 6 4 4 3 2" xfId="14647" xr:uid="{00000000-0005-0000-0000-000019390000}"/>
    <cellStyle name="표준 23 6 4 4 4" xfId="14648" xr:uid="{00000000-0005-0000-0000-00001A390000}"/>
    <cellStyle name="표준 23 6 4 5" xfId="14649" xr:uid="{00000000-0005-0000-0000-00001B390000}"/>
    <cellStyle name="표준 23 6 4 5 2" xfId="14650" xr:uid="{00000000-0005-0000-0000-00001C390000}"/>
    <cellStyle name="표준 23 6 4 5 2 2" xfId="14651" xr:uid="{00000000-0005-0000-0000-00001D390000}"/>
    <cellStyle name="표준 23 6 4 5 3" xfId="14652" xr:uid="{00000000-0005-0000-0000-00001E390000}"/>
    <cellStyle name="표준 23 6 4 6" xfId="14653" xr:uid="{00000000-0005-0000-0000-00001F390000}"/>
    <cellStyle name="표준 23 6 4 6 2" xfId="14654" xr:uid="{00000000-0005-0000-0000-000020390000}"/>
    <cellStyle name="표준 23 6 4 7" xfId="14655" xr:uid="{00000000-0005-0000-0000-000021390000}"/>
    <cellStyle name="표준 23 6 4 8" xfId="14656" xr:uid="{00000000-0005-0000-0000-000022390000}"/>
    <cellStyle name="표준 23 6 5" xfId="14657" xr:uid="{00000000-0005-0000-0000-000023390000}"/>
    <cellStyle name="표준 23 6 5 2" xfId="14658" xr:uid="{00000000-0005-0000-0000-000024390000}"/>
    <cellStyle name="표준 23 6 5 2 2" xfId="14659" xr:uid="{00000000-0005-0000-0000-000025390000}"/>
    <cellStyle name="표준 23 6 5 2 2 2" xfId="14660" xr:uid="{00000000-0005-0000-0000-000026390000}"/>
    <cellStyle name="표준 23 6 5 2 2 2 2" xfId="14661" xr:uid="{00000000-0005-0000-0000-000027390000}"/>
    <cellStyle name="표준 23 6 5 2 2 2 2 2" xfId="14662" xr:uid="{00000000-0005-0000-0000-000028390000}"/>
    <cellStyle name="표준 23 6 5 2 2 2 3" xfId="14663" xr:uid="{00000000-0005-0000-0000-000029390000}"/>
    <cellStyle name="표준 23 6 5 2 2 3" xfId="14664" xr:uid="{00000000-0005-0000-0000-00002A390000}"/>
    <cellStyle name="표준 23 6 5 2 2 3 2" xfId="14665" xr:uid="{00000000-0005-0000-0000-00002B390000}"/>
    <cellStyle name="표준 23 6 5 2 2 4" xfId="14666" xr:uid="{00000000-0005-0000-0000-00002C390000}"/>
    <cellStyle name="표준 23 6 5 2 3" xfId="14667" xr:uid="{00000000-0005-0000-0000-00002D390000}"/>
    <cellStyle name="표준 23 6 5 2 3 2" xfId="14668" xr:uid="{00000000-0005-0000-0000-00002E390000}"/>
    <cellStyle name="표준 23 6 5 2 3 2 2" xfId="14669" xr:uid="{00000000-0005-0000-0000-00002F390000}"/>
    <cellStyle name="표준 23 6 5 2 3 3" xfId="14670" xr:uid="{00000000-0005-0000-0000-000030390000}"/>
    <cellStyle name="표준 23 6 5 2 4" xfId="14671" xr:uid="{00000000-0005-0000-0000-000031390000}"/>
    <cellStyle name="표준 23 6 5 2 4 2" xfId="14672" xr:uid="{00000000-0005-0000-0000-000032390000}"/>
    <cellStyle name="표준 23 6 5 2 5" xfId="14673" xr:uid="{00000000-0005-0000-0000-000033390000}"/>
    <cellStyle name="표준 23 6 5 3" xfId="14674" xr:uid="{00000000-0005-0000-0000-000034390000}"/>
    <cellStyle name="표준 23 6 5 3 2" xfId="14675" xr:uid="{00000000-0005-0000-0000-000035390000}"/>
    <cellStyle name="표준 23 6 5 3 2 2" xfId="14676" xr:uid="{00000000-0005-0000-0000-000036390000}"/>
    <cellStyle name="표준 23 6 5 3 2 2 2" xfId="14677" xr:uid="{00000000-0005-0000-0000-000037390000}"/>
    <cellStyle name="표준 23 6 5 3 2 3" xfId="14678" xr:uid="{00000000-0005-0000-0000-000038390000}"/>
    <cellStyle name="표준 23 6 5 3 3" xfId="14679" xr:uid="{00000000-0005-0000-0000-000039390000}"/>
    <cellStyle name="표준 23 6 5 3 3 2" xfId="14680" xr:uid="{00000000-0005-0000-0000-00003A390000}"/>
    <cellStyle name="표준 23 6 5 3 4" xfId="14681" xr:uid="{00000000-0005-0000-0000-00003B390000}"/>
    <cellStyle name="표준 23 6 5 4" xfId="14682" xr:uid="{00000000-0005-0000-0000-00003C390000}"/>
    <cellStyle name="표준 23 6 5 4 2" xfId="14683" xr:uid="{00000000-0005-0000-0000-00003D390000}"/>
    <cellStyle name="표준 23 6 5 4 2 2" xfId="14684" xr:uid="{00000000-0005-0000-0000-00003E390000}"/>
    <cellStyle name="표준 23 6 5 4 3" xfId="14685" xr:uid="{00000000-0005-0000-0000-00003F390000}"/>
    <cellStyle name="표준 23 6 5 5" xfId="14686" xr:uid="{00000000-0005-0000-0000-000040390000}"/>
    <cellStyle name="표준 23 6 5 5 2" xfId="14687" xr:uid="{00000000-0005-0000-0000-000041390000}"/>
    <cellStyle name="표준 23 6 5 6" xfId="14688" xr:uid="{00000000-0005-0000-0000-000042390000}"/>
    <cellStyle name="표준 23 6 6" xfId="14689" xr:uid="{00000000-0005-0000-0000-000043390000}"/>
    <cellStyle name="표준 23 6 6 2" xfId="14690" xr:uid="{00000000-0005-0000-0000-000044390000}"/>
    <cellStyle name="표준 23 6 6 2 2" xfId="14691" xr:uid="{00000000-0005-0000-0000-000045390000}"/>
    <cellStyle name="표준 23 6 6 2 2 2" xfId="14692" xr:uid="{00000000-0005-0000-0000-000046390000}"/>
    <cellStyle name="표준 23 6 6 2 2 2 2" xfId="14693" xr:uid="{00000000-0005-0000-0000-000047390000}"/>
    <cellStyle name="표준 23 6 6 2 2 3" xfId="14694" xr:uid="{00000000-0005-0000-0000-000048390000}"/>
    <cellStyle name="표준 23 6 6 2 3" xfId="14695" xr:uid="{00000000-0005-0000-0000-000049390000}"/>
    <cellStyle name="표준 23 6 6 2 3 2" xfId="14696" xr:uid="{00000000-0005-0000-0000-00004A390000}"/>
    <cellStyle name="표준 23 6 6 2 4" xfId="14697" xr:uid="{00000000-0005-0000-0000-00004B390000}"/>
    <cellStyle name="표준 23 6 6 3" xfId="14698" xr:uid="{00000000-0005-0000-0000-00004C390000}"/>
    <cellStyle name="표준 23 6 6 3 2" xfId="14699" xr:uid="{00000000-0005-0000-0000-00004D390000}"/>
    <cellStyle name="표준 23 6 6 3 2 2" xfId="14700" xr:uid="{00000000-0005-0000-0000-00004E390000}"/>
    <cellStyle name="표준 23 6 6 3 3" xfId="14701" xr:uid="{00000000-0005-0000-0000-00004F390000}"/>
    <cellStyle name="표준 23 6 6 4" xfId="14702" xr:uid="{00000000-0005-0000-0000-000050390000}"/>
    <cellStyle name="표준 23 6 6 4 2" xfId="14703" xr:uid="{00000000-0005-0000-0000-000051390000}"/>
    <cellStyle name="표준 23 6 6 5" xfId="14704" xr:uid="{00000000-0005-0000-0000-000052390000}"/>
    <cellStyle name="표준 23 6 7" xfId="14705" xr:uid="{00000000-0005-0000-0000-000053390000}"/>
    <cellStyle name="표준 23 6 7 2" xfId="14706" xr:uid="{00000000-0005-0000-0000-000054390000}"/>
    <cellStyle name="표준 23 6 7 2 2" xfId="14707" xr:uid="{00000000-0005-0000-0000-000055390000}"/>
    <cellStyle name="표준 23 6 7 2 2 2" xfId="14708" xr:uid="{00000000-0005-0000-0000-000056390000}"/>
    <cellStyle name="표준 23 6 7 2 3" xfId="14709" xr:uid="{00000000-0005-0000-0000-000057390000}"/>
    <cellStyle name="표준 23 6 7 3" xfId="14710" xr:uid="{00000000-0005-0000-0000-000058390000}"/>
    <cellStyle name="표준 23 6 7 3 2" xfId="14711" xr:uid="{00000000-0005-0000-0000-000059390000}"/>
    <cellStyle name="표준 23 6 7 4" xfId="14712" xr:uid="{00000000-0005-0000-0000-00005A390000}"/>
    <cellStyle name="표준 23 6 8" xfId="14713" xr:uid="{00000000-0005-0000-0000-00005B390000}"/>
    <cellStyle name="표준 23 6 8 2" xfId="14714" xr:uid="{00000000-0005-0000-0000-00005C390000}"/>
    <cellStyle name="표준 23 6 8 2 2" xfId="14715" xr:uid="{00000000-0005-0000-0000-00005D390000}"/>
    <cellStyle name="표준 23 6 8 3" xfId="14716" xr:uid="{00000000-0005-0000-0000-00005E390000}"/>
    <cellStyle name="표준 23 6 9" xfId="14717" xr:uid="{00000000-0005-0000-0000-00005F390000}"/>
    <cellStyle name="표준 23 6 9 2" xfId="14718" xr:uid="{00000000-0005-0000-0000-000060390000}"/>
    <cellStyle name="표준 23 7" xfId="14719" xr:uid="{00000000-0005-0000-0000-000061390000}"/>
    <cellStyle name="표준 23 7 10" xfId="14720" xr:uid="{00000000-0005-0000-0000-000062390000}"/>
    <cellStyle name="표준 23 7 11" xfId="14721" xr:uid="{00000000-0005-0000-0000-000063390000}"/>
    <cellStyle name="표준 23 7 2" xfId="14722" xr:uid="{00000000-0005-0000-0000-000064390000}"/>
    <cellStyle name="표준 23 7 2 10" xfId="14723" xr:uid="{00000000-0005-0000-0000-000065390000}"/>
    <cellStyle name="표준 23 7 2 2" xfId="14724" xr:uid="{00000000-0005-0000-0000-000066390000}"/>
    <cellStyle name="표준 23 7 2 2 2" xfId="14725" xr:uid="{00000000-0005-0000-0000-000067390000}"/>
    <cellStyle name="표준 23 7 2 2 2 2" xfId="14726" xr:uid="{00000000-0005-0000-0000-000068390000}"/>
    <cellStyle name="표준 23 7 2 2 2 2 2" xfId="14727" xr:uid="{00000000-0005-0000-0000-000069390000}"/>
    <cellStyle name="표준 23 7 2 2 2 2 2 2" xfId="14728" xr:uid="{00000000-0005-0000-0000-00006A390000}"/>
    <cellStyle name="표준 23 7 2 2 2 2 2 2 2" xfId="14729" xr:uid="{00000000-0005-0000-0000-00006B390000}"/>
    <cellStyle name="표준 23 7 2 2 2 2 2 2 2 2" xfId="14730" xr:uid="{00000000-0005-0000-0000-00006C390000}"/>
    <cellStyle name="표준 23 7 2 2 2 2 2 2 2 2 2" xfId="14731" xr:uid="{00000000-0005-0000-0000-00006D390000}"/>
    <cellStyle name="표준 23 7 2 2 2 2 2 2 2 3" xfId="14732" xr:uid="{00000000-0005-0000-0000-00006E390000}"/>
    <cellStyle name="표준 23 7 2 2 2 2 2 2 3" xfId="14733" xr:uid="{00000000-0005-0000-0000-00006F390000}"/>
    <cellStyle name="표준 23 7 2 2 2 2 2 2 3 2" xfId="14734" xr:uid="{00000000-0005-0000-0000-000070390000}"/>
    <cellStyle name="표준 23 7 2 2 2 2 2 2 4" xfId="14735" xr:uid="{00000000-0005-0000-0000-000071390000}"/>
    <cellStyle name="표준 23 7 2 2 2 2 2 3" xfId="14736" xr:uid="{00000000-0005-0000-0000-000072390000}"/>
    <cellStyle name="표준 23 7 2 2 2 2 2 3 2" xfId="14737" xr:uid="{00000000-0005-0000-0000-000073390000}"/>
    <cellStyle name="표준 23 7 2 2 2 2 2 3 2 2" xfId="14738" xr:uid="{00000000-0005-0000-0000-000074390000}"/>
    <cellStyle name="표준 23 7 2 2 2 2 2 3 3" xfId="14739" xr:uid="{00000000-0005-0000-0000-000075390000}"/>
    <cellStyle name="표준 23 7 2 2 2 2 2 4" xfId="14740" xr:uid="{00000000-0005-0000-0000-000076390000}"/>
    <cellStyle name="표준 23 7 2 2 2 2 2 4 2" xfId="14741" xr:uid="{00000000-0005-0000-0000-000077390000}"/>
    <cellStyle name="표준 23 7 2 2 2 2 2 5" xfId="14742" xr:uid="{00000000-0005-0000-0000-000078390000}"/>
    <cellStyle name="표준 23 7 2 2 2 2 3" xfId="14743" xr:uid="{00000000-0005-0000-0000-000079390000}"/>
    <cellStyle name="표준 23 7 2 2 2 2 3 2" xfId="14744" xr:uid="{00000000-0005-0000-0000-00007A390000}"/>
    <cellStyle name="표준 23 7 2 2 2 2 3 2 2" xfId="14745" xr:uid="{00000000-0005-0000-0000-00007B390000}"/>
    <cellStyle name="표준 23 7 2 2 2 2 3 2 2 2" xfId="14746" xr:uid="{00000000-0005-0000-0000-00007C390000}"/>
    <cellStyle name="표준 23 7 2 2 2 2 3 2 3" xfId="14747" xr:uid="{00000000-0005-0000-0000-00007D390000}"/>
    <cellStyle name="표준 23 7 2 2 2 2 3 3" xfId="14748" xr:uid="{00000000-0005-0000-0000-00007E390000}"/>
    <cellStyle name="표준 23 7 2 2 2 2 3 3 2" xfId="14749" xr:uid="{00000000-0005-0000-0000-00007F390000}"/>
    <cellStyle name="표준 23 7 2 2 2 2 3 4" xfId="14750" xr:uid="{00000000-0005-0000-0000-000080390000}"/>
    <cellStyle name="표준 23 7 2 2 2 2 4" xfId="14751" xr:uid="{00000000-0005-0000-0000-000081390000}"/>
    <cellStyle name="표준 23 7 2 2 2 2 4 2" xfId="14752" xr:uid="{00000000-0005-0000-0000-000082390000}"/>
    <cellStyle name="표준 23 7 2 2 2 2 4 2 2" xfId="14753" xr:uid="{00000000-0005-0000-0000-000083390000}"/>
    <cellStyle name="표준 23 7 2 2 2 2 4 3" xfId="14754" xr:uid="{00000000-0005-0000-0000-000084390000}"/>
    <cellStyle name="표준 23 7 2 2 2 2 5" xfId="14755" xr:uid="{00000000-0005-0000-0000-000085390000}"/>
    <cellStyle name="표준 23 7 2 2 2 2 5 2" xfId="14756" xr:uid="{00000000-0005-0000-0000-000086390000}"/>
    <cellStyle name="표준 23 7 2 2 2 2 6" xfId="14757" xr:uid="{00000000-0005-0000-0000-000087390000}"/>
    <cellStyle name="표준 23 7 2 2 2 3" xfId="14758" xr:uid="{00000000-0005-0000-0000-000088390000}"/>
    <cellStyle name="표준 23 7 2 2 2 3 2" xfId="14759" xr:uid="{00000000-0005-0000-0000-000089390000}"/>
    <cellStyle name="표준 23 7 2 2 2 3 2 2" xfId="14760" xr:uid="{00000000-0005-0000-0000-00008A390000}"/>
    <cellStyle name="표준 23 7 2 2 2 3 2 2 2" xfId="14761" xr:uid="{00000000-0005-0000-0000-00008B390000}"/>
    <cellStyle name="표준 23 7 2 2 2 3 2 2 2 2" xfId="14762" xr:uid="{00000000-0005-0000-0000-00008C390000}"/>
    <cellStyle name="표준 23 7 2 2 2 3 2 2 3" xfId="14763" xr:uid="{00000000-0005-0000-0000-00008D390000}"/>
    <cellStyle name="표준 23 7 2 2 2 3 2 3" xfId="14764" xr:uid="{00000000-0005-0000-0000-00008E390000}"/>
    <cellStyle name="표준 23 7 2 2 2 3 2 3 2" xfId="14765" xr:uid="{00000000-0005-0000-0000-00008F390000}"/>
    <cellStyle name="표준 23 7 2 2 2 3 2 4" xfId="14766" xr:uid="{00000000-0005-0000-0000-000090390000}"/>
    <cellStyle name="표준 23 7 2 2 2 3 3" xfId="14767" xr:uid="{00000000-0005-0000-0000-000091390000}"/>
    <cellStyle name="표준 23 7 2 2 2 3 3 2" xfId="14768" xr:uid="{00000000-0005-0000-0000-000092390000}"/>
    <cellStyle name="표준 23 7 2 2 2 3 3 2 2" xfId="14769" xr:uid="{00000000-0005-0000-0000-000093390000}"/>
    <cellStyle name="표준 23 7 2 2 2 3 3 3" xfId="14770" xr:uid="{00000000-0005-0000-0000-000094390000}"/>
    <cellStyle name="표준 23 7 2 2 2 3 4" xfId="14771" xr:uid="{00000000-0005-0000-0000-000095390000}"/>
    <cellStyle name="표준 23 7 2 2 2 3 4 2" xfId="14772" xr:uid="{00000000-0005-0000-0000-000096390000}"/>
    <cellStyle name="표준 23 7 2 2 2 3 5" xfId="14773" xr:uid="{00000000-0005-0000-0000-000097390000}"/>
    <cellStyle name="표준 23 7 2 2 2 4" xfId="14774" xr:uid="{00000000-0005-0000-0000-000098390000}"/>
    <cellStyle name="표준 23 7 2 2 2 4 2" xfId="14775" xr:uid="{00000000-0005-0000-0000-000099390000}"/>
    <cellStyle name="표준 23 7 2 2 2 4 2 2" xfId="14776" xr:uid="{00000000-0005-0000-0000-00009A390000}"/>
    <cellStyle name="표준 23 7 2 2 2 4 2 2 2" xfId="14777" xr:uid="{00000000-0005-0000-0000-00009B390000}"/>
    <cellStyle name="표준 23 7 2 2 2 4 2 3" xfId="14778" xr:uid="{00000000-0005-0000-0000-00009C390000}"/>
    <cellStyle name="표준 23 7 2 2 2 4 3" xfId="14779" xr:uid="{00000000-0005-0000-0000-00009D390000}"/>
    <cellStyle name="표준 23 7 2 2 2 4 3 2" xfId="14780" xr:uid="{00000000-0005-0000-0000-00009E390000}"/>
    <cellStyle name="표준 23 7 2 2 2 4 4" xfId="14781" xr:uid="{00000000-0005-0000-0000-00009F390000}"/>
    <cellStyle name="표준 23 7 2 2 2 5" xfId="14782" xr:uid="{00000000-0005-0000-0000-0000A0390000}"/>
    <cellStyle name="표준 23 7 2 2 2 5 2" xfId="14783" xr:uid="{00000000-0005-0000-0000-0000A1390000}"/>
    <cellStyle name="표준 23 7 2 2 2 5 2 2" xfId="14784" xr:uid="{00000000-0005-0000-0000-0000A2390000}"/>
    <cellStyle name="표준 23 7 2 2 2 5 3" xfId="14785" xr:uid="{00000000-0005-0000-0000-0000A3390000}"/>
    <cellStyle name="표준 23 7 2 2 2 6" xfId="14786" xr:uid="{00000000-0005-0000-0000-0000A4390000}"/>
    <cellStyle name="표준 23 7 2 2 2 6 2" xfId="14787" xr:uid="{00000000-0005-0000-0000-0000A5390000}"/>
    <cellStyle name="표준 23 7 2 2 2 7" xfId="14788" xr:uid="{00000000-0005-0000-0000-0000A6390000}"/>
    <cellStyle name="표준 23 7 2 2 2 8" xfId="14789" xr:uid="{00000000-0005-0000-0000-0000A7390000}"/>
    <cellStyle name="표준 23 7 2 2 3" xfId="14790" xr:uid="{00000000-0005-0000-0000-0000A8390000}"/>
    <cellStyle name="표준 23 7 2 2 3 2" xfId="14791" xr:uid="{00000000-0005-0000-0000-0000A9390000}"/>
    <cellStyle name="표준 23 7 2 2 3 2 2" xfId="14792" xr:uid="{00000000-0005-0000-0000-0000AA390000}"/>
    <cellStyle name="표준 23 7 2 2 3 2 2 2" xfId="14793" xr:uid="{00000000-0005-0000-0000-0000AB390000}"/>
    <cellStyle name="표준 23 7 2 2 3 2 2 2 2" xfId="14794" xr:uid="{00000000-0005-0000-0000-0000AC390000}"/>
    <cellStyle name="표준 23 7 2 2 3 2 2 2 2 2" xfId="14795" xr:uid="{00000000-0005-0000-0000-0000AD390000}"/>
    <cellStyle name="표준 23 7 2 2 3 2 2 2 3" xfId="14796" xr:uid="{00000000-0005-0000-0000-0000AE390000}"/>
    <cellStyle name="표준 23 7 2 2 3 2 2 3" xfId="14797" xr:uid="{00000000-0005-0000-0000-0000AF390000}"/>
    <cellStyle name="표준 23 7 2 2 3 2 2 3 2" xfId="14798" xr:uid="{00000000-0005-0000-0000-0000B0390000}"/>
    <cellStyle name="표준 23 7 2 2 3 2 2 4" xfId="14799" xr:uid="{00000000-0005-0000-0000-0000B1390000}"/>
    <cellStyle name="표준 23 7 2 2 3 2 3" xfId="14800" xr:uid="{00000000-0005-0000-0000-0000B2390000}"/>
    <cellStyle name="표준 23 7 2 2 3 2 3 2" xfId="14801" xr:uid="{00000000-0005-0000-0000-0000B3390000}"/>
    <cellStyle name="표준 23 7 2 2 3 2 3 2 2" xfId="14802" xr:uid="{00000000-0005-0000-0000-0000B4390000}"/>
    <cellStyle name="표준 23 7 2 2 3 2 3 3" xfId="14803" xr:uid="{00000000-0005-0000-0000-0000B5390000}"/>
    <cellStyle name="표준 23 7 2 2 3 2 4" xfId="14804" xr:uid="{00000000-0005-0000-0000-0000B6390000}"/>
    <cellStyle name="표준 23 7 2 2 3 2 4 2" xfId="14805" xr:uid="{00000000-0005-0000-0000-0000B7390000}"/>
    <cellStyle name="표준 23 7 2 2 3 2 5" xfId="14806" xr:uid="{00000000-0005-0000-0000-0000B8390000}"/>
    <cellStyle name="표준 23 7 2 2 3 3" xfId="14807" xr:uid="{00000000-0005-0000-0000-0000B9390000}"/>
    <cellStyle name="표준 23 7 2 2 3 3 2" xfId="14808" xr:uid="{00000000-0005-0000-0000-0000BA390000}"/>
    <cellStyle name="표준 23 7 2 2 3 3 2 2" xfId="14809" xr:uid="{00000000-0005-0000-0000-0000BB390000}"/>
    <cellStyle name="표준 23 7 2 2 3 3 2 2 2" xfId="14810" xr:uid="{00000000-0005-0000-0000-0000BC390000}"/>
    <cellStyle name="표준 23 7 2 2 3 3 2 3" xfId="14811" xr:uid="{00000000-0005-0000-0000-0000BD390000}"/>
    <cellStyle name="표준 23 7 2 2 3 3 3" xfId="14812" xr:uid="{00000000-0005-0000-0000-0000BE390000}"/>
    <cellStyle name="표준 23 7 2 2 3 3 3 2" xfId="14813" xr:uid="{00000000-0005-0000-0000-0000BF390000}"/>
    <cellStyle name="표준 23 7 2 2 3 3 4" xfId="14814" xr:uid="{00000000-0005-0000-0000-0000C0390000}"/>
    <cellStyle name="표준 23 7 2 2 3 4" xfId="14815" xr:uid="{00000000-0005-0000-0000-0000C1390000}"/>
    <cellStyle name="표준 23 7 2 2 3 4 2" xfId="14816" xr:uid="{00000000-0005-0000-0000-0000C2390000}"/>
    <cellStyle name="표준 23 7 2 2 3 4 2 2" xfId="14817" xr:uid="{00000000-0005-0000-0000-0000C3390000}"/>
    <cellStyle name="표준 23 7 2 2 3 4 3" xfId="14818" xr:uid="{00000000-0005-0000-0000-0000C4390000}"/>
    <cellStyle name="표준 23 7 2 2 3 5" xfId="14819" xr:uid="{00000000-0005-0000-0000-0000C5390000}"/>
    <cellStyle name="표준 23 7 2 2 3 5 2" xfId="14820" xr:uid="{00000000-0005-0000-0000-0000C6390000}"/>
    <cellStyle name="표준 23 7 2 2 3 6" xfId="14821" xr:uid="{00000000-0005-0000-0000-0000C7390000}"/>
    <cellStyle name="표준 23 7 2 2 4" xfId="14822" xr:uid="{00000000-0005-0000-0000-0000C8390000}"/>
    <cellStyle name="표준 23 7 2 2 4 2" xfId="14823" xr:uid="{00000000-0005-0000-0000-0000C9390000}"/>
    <cellStyle name="표준 23 7 2 2 4 2 2" xfId="14824" xr:uid="{00000000-0005-0000-0000-0000CA390000}"/>
    <cellStyle name="표준 23 7 2 2 4 2 2 2" xfId="14825" xr:uid="{00000000-0005-0000-0000-0000CB390000}"/>
    <cellStyle name="표준 23 7 2 2 4 2 2 2 2" xfId="14826" xr:uid="{00000000-0005-0000-0000-0000CC390000}"/>
    <cellStyle name="표준 23 7 2 2 4 2 2 3" xfId="14827" xr:uid="{00000000-0005-0000-0000-0000CD390000}"/>
    <cellStyle name="표준 23 7 2 2 4 2 3" xfId="14828" xr:uid="{00000000-0005-0000-0000-0000CE390000}"/>
    <cellStyle name="표준 23 7 2 2 4 2 3 2" xfId="14829" xr:uid="{00000000-0005-0000-0000-0000CF390000}"/>
    <cellStyle name="표준 23 7 2 2 4 2 4" xfId="14830" xr:uid="{00000000-0005-0000-0000-0000D0390000}"/>
    <cellStyle name="표준 23 7 2 2 4 3" xfId="14831" xr:uid="{00000000-0005-0000-0000-0000D1390000}"/>
    <cellStyle name="표준 23 7 2 2 4 3 2" xfId="14832" xr:uid="{00000000-0005-0000-0000-0000D2390000}"/>
    <cellStyle name="표준 23 7 2 2 4 3 2 2" xfId="14833" xr:uid="{00000000-0005-0000-0000-0000D3390000}"/>
    <cellStyle name="표준 23 7 2 2 4 3 3" xfId="14834" xr:uid="{00000000-0005-0000-0000-0000D4390000}"/>
    <cellStyle name="표준 23 7 2 2 4 4" xfId="14835" xr:uid="{00000000-0005-0000-0000-0000D5390000}"/>
    <cellStyle name="표준 23 7 2 2 4 4 2" xfId="14836" xr:uid="{00000000-0005-0000-0000-0000D6390000}"/>
    <cellStyle name="표준 23 7 2 2 4 5" xfId="14837" xr:uid="{00000000-0005-0000-0000-0000D7390000}"/>
    <cellStyle name="표준 23 7 2 2 5" xfId="14838" xr:uid="{00000000-0005-0000-0000-0000D8390000}"/>
    <cellStyle name="표준 23 7 2 2 5 2" xfId="14839" xr:uid="{00000000-0005-0000-0000-0000D9390000}"/>
    <cellStyle name="표준 23 7 2 2 5 2 2" xfId="14840" xr:uid="{00000000-0005-0000-0000-0000DA390000}"/>
    <cellStyle name="표준 23 7 2 2 5 2 2 2" xfId="14841" xr:uid="{00000000-0005-0000-0000-0000DB390000}"/>
    <cellStyle name="표준 23 7 2 2 5 2 3" xfId="14842" xr:uid="{00000000-0005-0000-0000-0000DC390000}"/>
    <cellStyle name="표준 23 7 2 2 5 3" xfId="14843" xr:uid="{00000000-0005-0000-0000-0000DD390000}"/>
    <cellStyle name="표준 23 7 2 2 5 3 2" xfId="14844" xr:uid="{00000000-0005-0000-0000-0000DE390000}"/>
    <cellStyle name="표준 23 7 2 2 5 4" xfId="14845" xr:uid="{00000000-0005-0000-0000-0000DF390000}"/>
    <cellStyle name="표준 23 7 2 2 6" xfId="14846" xr:uid="{00000000-0005-0000-0000-0000E0390000}"/>
    <cellStyle name="표준 23 7 2 2 6 2" xfId="14847" xr:uid="{00000000-0005-0000-0000-0000E1390000}"/>
    <cellStyle name="표준 23 7 2 2 6 2 2" xfId="14848" xr:uid="{00000000-0005-0000-0000-0000E2390000}"/>
    <cellStyle name="표준 23 7 2 2 6 3" xfId="14849" xr:uid="{00000000-0005-0000-0000-0000E3390000}"/>
    <cellStyle name="표준 23 7 2 2 7" xfId="14850" xr:uid="{00000000-0005-0000-0000-0000E4390000}"/>
    <cellStyle name="표준 23 7 2 2 7 2" xfId="14851" xr:uid="{00000000-0005-0000-0000-0000E5390000}"/>
    <cellStyle name="표준 23 7 2 2 8" xfId="14852" xr:uid="{00000000-0005-0000-0000-0000E6390000}"/>
    <cellStyle name="표준 23 7 2 2 9" xfId="14853" xr:uid="{00000000-0005-0000-0000-0000E7390000}"/>
    <cellStyle name="표준 23 7 2 3" xfId="14854" xr:uid="{00000000-0005-0000-0000-0000E8390000}"/>
    <cellStyle name="표준 23 7 2 3 2" xfId="14855" xr:uid="{00000000-0005-0000-0000-0000E9390000}"/>
    <cellStyle name="표준 23 7 2 3 2 2" xfId="14856" xr:uid="{00000000-0005-0000-0000-0000EA390000}"/>
    <cellStyle name="표준 23 7 2 3 2 2 2" xfId="14857" xr:uid="{00000000-0005-0000-0000-0000EB390000}"/>
    <cellStyle name="표준 23 7 2 3 2 2 2 2" xfId="14858" xr:uid="{00000000-0005-0000-0000-0000EC390000}"/>
    <cellStyle name="표준 23 7 2 3 2 2 2 2 2" xfId="14859" xr:uid="{00000000-0005-0000-0000-0000ED390000}"/>
    <cellStyle name="표준 23 7 2 3 2 2 2 2 2 2" xfId="14860" xr:uid="{00000000-0005-0000-0000-0000EE390000}"/>
    <cellStyle name="표준 23 7 2 3 2 2 2 2 3" xfId="14861" xr:uid="{00000000-0005-0000-0000-0000EF390000}"/>
    <cellStyle name="표준 23 7 2 3 2 2 2 3" xfId="14862" xr:uid="{00000000-0005-0000-0000-0000F0390000}"/>
    <cellStyle name="표준 23 7 2 3 2 2 2 3 2" xfId="14863" xr:uid="{00000000-0005-0000-0000-0000F1390000}"/>
    <cellStyle name="표준 23 7 2 3 2 2 2 4" xfId="14864" xr:uid="{00000000-0005-0000-0000-0000F2390000}"/>
    <cellStyle name="표준 23 7 2 3 2 2 3" xfId="14865" xr:uid="{00000000-0005-0000-0000-0000F3390000}"/>
    <cellStyle name="표준 23 7 2 3 2 2 3 2" xfId="14866" xr:uid="{00000000-0005-0000-0000-0000F4390000}"/>
    <cellStyle name="표준 23 7 2 3 2 2 3 2 2" xfId="14867" xr:uid="{00000000-0005-0000-0000-0000F5390000}"/>
    <cellStyle name="표준 23 7 2 3 2 2 3 3" xfId="14868" xr:uid="{00000000-0005-0000-0000-0000F6390000}"/>
    <cellStyle name="표준 23 7 2 3 2 2 4" xfId="14869" xr:uid="{00000000-0005-0000-0000-0000F7390000}"/>
    <cellStyle name="표준 23 7 2 3 2 2 4 2" xfId="14870" xr:uid="{00000000-0005-0000-0000-0000F8390000}"/>
    <cellStyle name="표준 23 7 2 3 2 2 5" xfId="14871" xr:uid="{00000000-0005-0000-0000-0000F9390000}"/>
    <cellStyle name="표준 23 7 2 3 2 3" xfId="14872" xr:uid="{00000000-0005-0000-0000-0000FA390000}"/>
    <cellStyle name="표준 23 7 2 3 2 3 2" xfId="14873" xr:uid="{00000000-0005-0000-0000-0000FB390000}"/>
    <cellStyle name="표준 23 7 2 3 2 3 2 2" xfId="14874" xr:uid="{00000000-0005-0000-0000-0000FC390000}"/>
    <cellStyle name="표준 23 7 2 3 2 3 2 2 2" xfId="14875" xr:uid="{00000000-0005-0000-0000-0000FD390000}"/>
    <cellStyle name="표준 23 7 2 3 2 3 2 3" xfId="14876" xr:uid="{00000000-0005-0000-0000-0000FE390000}"/>
    <cellStyle name="표준 23 7 2 3 2 3 3" xfId="14877" xr:uid="{00000000-0005-0000-0000-0000FF390000}"/>
    <cellStyle name="표준 23 7 2 3 2 3 3 2" xfId="14878" xr:uid="{00000000-0005-0000-0000-0000003A0000}"/>
    <cellStyle name="표준 23 7 2 3 2 3 4" xfId="14879" xr:uid="{00000000-0005-0000-0000-0000013A0000}"/>
    <cellStyle name="표준 23 7 2 3 2 4" xfId="14880" xr:uid="{00000000-0005-0000-0000-0000023A0000}"/>
    <cellStyle name="표준 23 7 2 3 2 4 2" xfId="14881" xr:uid="{00000000-0005-0000-0000-0000033A0000}"/>
    <cellStyle name="표준 23 7 2 3 2 4 2 2" xfId="14882" xr:uid="{00000000-0005-0000-0000-0000043A0000}"/>
    <cellStyle name="표준 23 7 2 3 2 4 3" xfId="14883" xr:uid="{00000000-0005-0000-0000-0000053A0000}"/>
    <cellStyle name="표준 23 7 2 3 2 5" xfId="14884" xr:uid="{00000000-0005-0000-0000-0000063A0000}"/>
    <cellStyle name="표준 23 7 2 3 2 5 2" xfId="14885" xr:uid="{00000000-0005-0000-0000-0000073A0000}"/>
    <cellStyle name="표준 23 7 2 3 2 6" xfId="14886" xr:uid="{00000000-0005-0000-0000-0000083A0000}"/>
    <cellStyle name="표준 23 7 2 3 3" xfId="14887" xr:uid="{00000000-0005-0000-0000-0000093A0000}"/>
    <cellStyle name="표준 23 7 2 3 3 2" xfId="14888" xr:uid="{00000000-0005-0000-0000-00000A3A0000}"/>
    <cellStyle name="표준 23 7 2 3 3 2 2" xfId="14889" xr:uid="{00000000-0005-0000-0000-00000B3A0000}"/>
    <cellStyle name="표준 23 7 2 3 3 2 2 2" xfId="14890" xr:uid="{00000000-0005-0000-0000-00000C3A0000}"/>
    <cellStyle name="표준 23 7 2 3 3 2 2 2 2" xfId="14891" xr:uid="{00000000-0005-0000-0000-00000D3A0000}"/>
    <cellStyle name="표준 23 7 2 3 3 2 2 3" xfId="14892" xr:uid="{00000000-0005-0000-0000-00000E3A0000}"/>
    <cellStyle name="표준 23 7 2 3 3 2 3" xfId="14893" xr:uid="{00000000-0005-0000-0000-00000F3A0000}"/>
    <cellStyle name="표준 23 7 2 3 3 2 3 2" xfId="14894" xr:uid="{00000000-0005-0000-0000-0000103A0000}"/>
    <cellStyle name="표준 23 7 2 3 3 2 4" xfId="14895" xr:uid="{00000000-0005-0000-0000-0000113A0000}"/>
    <cellStyle name="표준 23 7 2 3 3 3" xfId="14896" xr:uid="{00000000-0005-0000-0000-0000123A0000}"/>
    <cellStyle name="표준 23 7 2 3 3 3 2" xfId="14897" xr:uid="{00000000-0005-0000-0000-0000133A0000}"/>
    <cellStyle name="표준 23 7 2 3 3 3 2 2" xfId="14898" xr:uid="{00000000-0005-0000-0000-0000143A0000}"/>
    <cellStyle name="표준 23 7 2 3 3 3 3" xfId="14899" xr:uid="{00000000-0005-0000-0000-0000153A0000}"/>
    <cellStyle name="표준 23 7 2 3 3 4" xfId="14900" xr:uid="{00000000-0005-0000-0000-0000163A0000}"/>
    <cellStyle name="표준 23 7 2 3 3 4 2" xfId="14901" xr:uid="{00000000-0005-0000-0000-0000173A0000}"/>
    <cellStyle name="표준 23 7 2 3 3 5" xfId="14902" xr:uid="{00000000-0005-0000-0000-0000183A0000}"/>
    <cellStyle name="표준 23 7 2 3 4" xfId="14903" xr:uid="{00000000-0005-0000-0000-0000193A0000}"/>
    <cellStyle name="표준 23 7 2 3 4 2" xfId="14904" xr:uid="{00000000-0005-0000-0000-00001A3A0000}"/>
    <cellStyle name="표준 23 7 2 3 4 2 2" xfId="14905" xr:uid="{00000000-0005-0000-0000-00001B3A0000}"/>
    <cellStyle name="표준 23 7 2 3 4 2 2 2" xfId="14906" xr:uid="{00000000-0005-0000-0000-00001C3A0000}"/>
    <cellStyle name="표준 23 7 2 3 4 2 3" xfId="14907" xr:uid="{00000000-0005-0000-0000-00001D3A0000}"/>
    <cellStyle name="표준 23 7 2 3 4 3" xfId="14908" xr:uid="{00000000-0005-0000-0000-00001E3A0000}"/>
    <cellStyle name="표준 23 7 2 3 4 3 2" xfId="14909" xr:uid="{00000000-0005-0000-0000-00001F3A0000}"/>
    <cellStyle name="표준 23 7 2 3 4 4" xfId="14910" xr:uid="{00000000-0005-0000-0000-0000203A0000}"/>
    <cellStyle name="표준 23 7 2 3 5" xfId="14911" xr:uid="{00000000-0005-0000-0000-0000213A0000}"/>
    <cellStyle name="표준 23 7 2 3 5 2" xfId="14912" xr:uid="{00000000-0005-0000-0000-0000223A0000}"/>
    <cellStyle name="표준 23 7 2 3 5 2 2" xfId="14913" xr:uid="{00000000-0005-0000-0000-0000233A0000}"/>
    <cellStyle name="표준 23 7 2 3 5 3" xfId="14914" xr:uid="{00000000-0005-0000-0000-0000243A0000}"/>
    <cellStyle name="표준 23 7 2 3 6" xfId="14915" xr:uid="{00000000-0005-0000-0000-0000253A0000}"/>
    <cellStyle name="표준 23 7 2 3 6 2" xfId="14916" xr:uid="{00000000-0005-0000-0000-0000263A0000}"/>
    <cellStyle name="표준 23 7 2 3 7" xfId="14917" xr:uid="{00000000-0005-0000-0000-0000273A0000}"/>
    <cellStyle name="표준 23 7 2 3 8" xfId="14918" xr:uid="{00000000-0005-0000-0000-0000283A0000}"/>
    <cellStyle name="표준 23 7 2 4" xfId="14919" xr:uid="{00000000-0005-0000-0000-0000293A0000}"/>
    <cellStyle name="표준 23 7 2 4 2" xfId="14920" xr:uid="{00000000-0005-0000-0000-00002A3A0000}"/>
    <cellStyle name="표준 23 7 2 4 2 2" xfId="14921" xr:uid="{00000000-0005-0000-0000-00002B3A0000}"/>
    <cellStyle name="표준 23 7 2 4 2 2 2" xfId="14922" xr:uid="{00000000-0005-0000-0000-00002C3A0000}"/>
    <cellStyle name="표준 23 7 2 4 2 2 2 2" xfId="14923" xr:uid="{00000000-0005-0000-0000-00002D3A0000}"/>
    <cellStyle name="표준 23 7 2 4 2 2 2 2 2" xfId="14924" xr:uid="{00000000-0005-0000-0000-00002E3A0000}"/>
    <cellStyle name="표준 23 7 2 4 2 2 2 3" xfId="14925" xr:uid="{00000000-0005-0000-0000-00002F3A0000}"/>
    <cellStyle name="표준 23 7 2 4 2 2 3" xfId="14926" xr:uid="{00000000-0005-0000-0000-0000303A0000}"/>
    <cellStyle name="표준 23 7 2 4 2 2 3 2" xfId="14927" xr:uid="{00000000-0005-0000-0000-0000313A0000}"/>
    <cellStyle name="표준 23 7 2 4 2 2 4" xfId="14928" xr:uid="{00000000-0005-0000-0000-0000323A0000}"/>
    <cellStyle name="표준 23 7 2 4 2 3" xfId="14929" xr:uid="{00000000-0005-0000-0000-0000333A0000}"/>
    <cellStyle name="표준 23 7 2 4 2 3 2" xfId="14930" xr:uid="{00000000-0005-0000-0000-0000343A0000}"/>
    <cellStyle name="표준 23 7 2 4 2 3 2 2" xfId="14931" xr:uid="{00000000-0005-0000-0000-0000353A0000}"/>
    <cellStyle name="표준 23 7 2 4 2 3 3" xfId="14932" xr:uid="{00000000-0005-0000-0000-0000363A0000}"/>
    <cellStyle name="표준 23 7 2 4 2 4" xfId="14933" xr:uid="{00000000-0005-0000-0000-0000373A0000}"/>
    <cellStyle name="표준 23 7 2 4 2 4 2" xfId="14934" xr:uid="{00000000-0005-0000-0000-0000383A0000}"/>
    <cellStyle name="표준 23 7 2 4 2 5" xfId="14935" xr:uid="{00000000-0005-0000-0000-0000393A0000}"/>
    <cellStyle name="표준 23 7 2 4 3" xfId="14936" xr:uid="{00000000-0005-0000-0000-00003A3A0000}"/>
    <cellStyle name="표준 23 7 2 4 3 2" xfId="14937" xr:uid="{00000000-0005-0000-0000-00003B3A0000}"/>
    <cellStyle name="표준 23 7 2 4 3 2 2" xfId="14938" xr:uid="{00000000-0005-0000-0000-00003C3A0000}"/>
    <cellStyle name="표준 23 7 2 4 3 2 2 2" xfId="14939" xr:uid="{00000000-0005-0000-0000-00003D3A0000}"/>
    <cellStyle name="표준 23 7 2 4 3 2 3" xfId="14940" xr:uid="{00000000-0005-0000-0000-00003E3A0000}"/>
    <cellStyle name="표준 23 7 2 4 3 3" xfId="14941" xr:uid="{00000000-0005-0000-0000-00003F3A0000}"/>
    <cellStyle name="표준 23 7 2 4 3 3 2" xfId="14942" xr:uid="{00000000-0005-0000-0000-0000403A0000}"/>
    <cellStyle name="표준 23 7 2 4 3 4" xfId="14943" xr:uid="{00000000-0005-0000-0000-0000413A0000}"/>
    <cellStyle name="표준 23 7 2 4 4" xfId="14944" xr:uid="{00000000-0005-0000-0000-0000423A0000}"/>
    <cellStyle name="표준 23 7 2 4 4 2" xfId="14945" xr:uid="{00000000-0005-0000-0000-0000433A0000}"/>
    <cellStyle name="표준 23 7 2 4 4 2 2" xfId="14946" xr:uid="{00000000-0005-0000-0000-0000443A0000}"/>
    <cellStyle name="표준 23 7 2 4 4 3" xfId="14947" xr:uid="{00000000-0005-0000-0000-0000453A0000}"/>
    <cellStyle name="표준 23 7 2 4 5" xfId="14948" xr:uid="{00000000-0005-0000-0000-0000463A0000}"/>
    <cellStyle name="표준 23 7 2 4 5 2" xfId="14949" xr:uid="{00000000-0005-0000-0000-0000473A0000}"/>
    <cellStyle name="표준 23 7 2 4 6" xfId="14950" xr:uid="{00000000-0005-0000-0000-0000483A0000}"/>
    <cellStyle name="표준 23 7 2 5" xfId="14951" xr:uid="{00000000-0005-0000-0000-0000493A0000}"/>
    <cellStyle name="표준 23 7 2 5 2" xfId="14952" xr:uid="{00000000-0005-0000-0000-00004A3A0000}"/>
    <cellStyle name="표준 23 7 2 5 2 2" xfId="14953" xr:uid="{00000000-0005-0000-0000-00004B3A0000}"/>
    <cellStyle name="표준 23 7 2 5 2 2 2" xfId="14954" xr:uid="{00000000-0005-0000-0000-00004C3A0000}"/>
    <cellStyle name="표준 23 7 2 5 2 2 2 2" xfId="14955" xr:uid="{00000000-0005-0000-0000-00004D3A0000}"/>
    <cellStyle name="표준 23 7 2 5 2 2 3" xfId="14956" xr:uid="{00000000-0005-0000-0000-00004E3A0000}"/>
    <cellStyle name="표준 23 7 2 5 2 3" xfId="14957" xr:uid="{00000000-0005-0000-0000-00004F3A0000}"/>
    <cellStyle name="표준 23 7 2 5 2 3 2" xfId="14958" xr:uid="{00000000-0005-0000-0000-0000503A0000}"/>
    <cellStyle name="표준 23 7 2 5 2 4" xfId="14959" xr:uid="{00000000-0005-0000-0000-0000513A0000}"/>
    <cellStyle name="표준 23 7 2 5 3" xfId="14960" xr:uid="{00000000-0005-0000-0000-0000523A0000}"/>
    <cellStyle name="표준 23 7 2 5 3 2" xfId="14961" xr:uid="{00000000-0005-0000-0000-0000533A0000}"/>
    <cellStyle name="표준 23 7 2 5 3 2 2" xfId="14962" xr:uid="{00000000-0005-0000-0000-0000543A0000}"/>
    <cellStyle name="표준 23 7 2 5 3 3" xfId="14963" xr:uid="{00000000-0005-0000-0000-0000553A0000}"/>
    <cellStyle name="표준 23 7 2 5 4" xfId="14964" xr:uid="{00000000-0005-0000-0000-0000563A0000}"/>
    <cellStyle name="표준 23 7 2 5 4 2" xfId="14965" xr:uid="{00000000-0005-0000-0000-0000573A0000}"/>
    <cellStyle name="표준 23 7 2 5 5" xfId="14966" xr:uid="{00000000-0005-0000-0000-0000583A0000}"/>
    <cellStyle name="표준 23 7 2 6" xfId="14967" xr:uid="{00000000-0005-0000-0000-0000593A0000}"/>
    <cellStyle name="표준 23 7 2 6 2" xfId="14968" xr:uid="{00000000-0005-0000-0000-00005A3A0000}"/>
    <cellStyle name="표준 23 7 2 6 2 2" xfId="14969" xr:uid="{00000000-0005-0000-0000-00005B3A0000}"/>
    <cellStyle name="표준 23 7 2 6 2 2 2" xfId="14970" xr:uid="{00000000-0005-0000-0000-00005C3A0000}"/>
    <cellStyle name="표준 23 7 2 6 2 3" xfId="14971" xr:uid="{00000000-0005-0000-0000-00005D3A0000}"/>
    <cellStyle name="표준 23 7 2 6 3" xfId="14972" xr:uid="{00000000-0005-0000-0000-00005E3A0000}"/>
    <cellStyle name="표준 23 7 2 6 3 2" xfId="14973" xr:uid="{00000000-0005-0000-0000-00005F3A0000}"/>
    <cellStyle name="표준 23 7 2 6 4" xfId="14974" xr:uid="{00000000-0005-0000-0000-0000603A0000}"/>
    <cellStyle name="표준 23 7 2 7" xfId="14975" xr:uid="{00000000-0005-0000-0000-0000613A0000}"/>
    <cellStyle name="표준 23 7 2 7 2" xfId="14976" xr:uid="{00000000-0005-0000-0000-0000623A0000}"/>
    <cellStyle name="표준 23 7 2 7 2 2" xfId="14977" xr:uid="{00000000-0005-0000-0000-0000633A0000}"/>
    <cellStyle name="표준 23 7 2 7 3" xfId="14978" xr:uid="{00000000-0005-0000-0000-0000643A0000}"/>
    <cellStyle name="표준 23 7 2 8" xfId="14979" xr:uid="{00000000-0005-0000-0000-0000653A0000}"/>
    <cellStyle name="표준 23 7 2 8 2" xfId="14980" xr:uid="{00000000-0005-0000-0000-0000663A0000}"/>
    <cellStyle name="표준 23 7 2 9" xfId="14981" xr:uid="{00000000-0005-0000-0000-0000673A0000}"/>
    <cellStyle name="표준 23 7 3" xfId="14982" xr:uid="{00000000-0005-0000-0000-0000683A0000}"/>
    <cellStyle name="표준 23 7 3 2" xfId="14983" xr:uid="{00000000-0005-0000-0000-0000693A0000}"/>
    <cellStyle name="표준 23 7 3 2 2" xfId="14984" xr:uid="{00000000-0005-0000-0000-00006A3A0000}"/>
    <cellStyle name="표준 23 7 3 2 2 2" xfId="14985" xr:uid="{00000000-0005-0000-0000-00006B3A0000}"/>
    <cellStyle name="표준 23 7 3 2 2 2 2" xfId="14986" xr:uid="{00000000-0005-0000-0000-00006C3A0000}"/>
    <cellStyle name="표준 23 7 3 2 2 2 2 2" xfId="14987" xr:uid="{00000000-0005-0000-0000-00006D3A0000}"/>
    <cellStyle name="표준 23 7 3 2 2 2 2 2 2" xfId="14988" xr:uid="{00000000-0005-0000-0000-00006E3A0000}"/>
    <cellStyle name="표준 23 7 3 2 2 2 2 2 2 2" xfId="14989" xr:uid="{00000000-0005-0000-0000-00006F3A0000}"/>
    <cellStyle name="표준 23 7 3 2 2 2 2 2 3" xfId="14990" xr:uid="{00000000-0005-0000-0000-0000703A0000}"/>
    <cellStyle name="표준 23 7 3 2 2 2 2 3" xfId="14991" xr:uid="{00000000-0005-0000-0000-0000713A0000}"/>
    <cellStyle name="표준 23 7 3 2 2 2 2 3 2" xfId="14992" xr:uid="{00000000-0005-0000-0000-0000723A0000}"/>
    <cellStyle name="표준 23 7 3 2 2 2 2 4" xfId="14993" xr:uid="{00000000-0005-0000-0000-0000733A0000}"/>
    <cellStyle name="표준 23 7 3 2 2 2 3" xfId="14994" xr:uid="{00000000-0005-0000-0000-0000743A0000}"/>
    <cellStyle name="표준 23 7 3 2 2 2 3 2" xfId="14995" xr:uid="{00000000-0005-0000-0000-0000753A0000}"/>
    <cellStyle name="표준 23 7 3 2 2 2 3 2 2" xfId="14996" xr:uid="{00000000-0005-0000-0000-0000763A0000}"/>
    <cellStyle name="표준 23 7 3 2 2 2 3 3" xfId="14997" xr:uid="{00000000-0005-0000-0000-0000773A0000}"/>
    <cellStyle name="표준 23 7 3 2 2 2 4" xfId="14998" xr:uid="{00000000-0005-0000-0000-0000783A0000}"/>
    <cellStyle name="표준 23 7 3 2 2 2 4 2" xfId="14999" xr:uid="{00000000-0005-0000-0000-0000793A0000}"/>
    <cellStyle name="표준 23 7 3 2 2 2 5" xfId="15000" xr:uid="{00000000-0005-0000-0000-00007A3A0000}"/>
    <cellStyle name="표준 23 7 3 2 2 3" xfId="15001" xr:uid="{00000000-0005-0000-0000-00007B3A0000}"/>
    <cellStyle name="표준 23 7 3 2 2 3 2" xfId="15002" xr:uid="{00000000-0005-0000-0000-00007C3A0000}"/>
    <cellStyle name="표준 23 7 3 2 2 3 2 2" xfId="15003" xr:uid="{00000000-0005-0000-0000-00007D3A0000}"/>
    <cellStyle name="표준 23 7 3 2 2 3 2 2 2" xfId="15004" xr:uid="{00000000-0005-0000-0000-00007E3A0000}"/>
    <cellStyle name="표준 23 7 3 2 2 3 2 3" xfId="15005" xr:uid="{00000000-0005-0000-0000-00007F3A0000}"/>
    <cellStyle name="표준 23 7 3 2 2 3 3" xfId="15006" xr:uid="{00000000-0005-0000-0000-0000803A0000}"/>
    <cellStyle name="표준 23 7 3 2 2 3 3 2" xfId="15007" xr:uid="{00000000-0005-0000-0000-0000813A0000}"/>
    <cellStyle name="표준 23 7 3 2 2 3 4" xfId="15008" xr:uid="{00000000-0005-0000-0000-0000823A0000}"/>
    <cellStyle name="표준 23 7 3 2 2 4" xfId="15009" xr:uid="{00000000-0005-0000-0000-0000833A0000}"/>
    <cellStyle name="표준 23 7 3 2 2 4 2" xfId="15010" xr:uid="{00000000-0005-0000-0000-0000843A0000}"/>
    <cellStyle name="표준 23 7 3 2 2 4 2 2" xfId="15011" xr:uid="{00000000-0005-0000-0000-0000853A0000}"/>
    <cellStyle name="표준 23 7 3 2 2 4 3" xfId="15012" xr:uid="{00000000-0005-0000-0000-0000863A0000}"/>
    <cellStyle name="표준 23 7 3 2 2 5" xfId="15013" xr:uid="{00000000-0005-0000-0000-0000873A0000}"/>
    <cellStyle name="표준 23 7 3 2 2 5 2" xfId="15014" xr:uid="{00000000-0005-0000-0000-0000883A0000}"/>
    <cellStyle name="표준 23 7 3 2 2 6" xfId="15015" xr:uid="{00000000-0005-0000-0000-0000893A0000}"/>
    <cellStyle name="표준 23 7 3 2 3" xfId="15016" xr:uid="{00000000-0005-0000-0000-00008A3A0000}"/>
    <cellStyle name="표준 23 7 3 2 3 2" xfId="15017" xr:uid="{00000000-0005-0000-0000-00008B3A0000}"/>
    <cellStyle name="표준 23 7 3 2 3 2 2" xfId="15018" xr:uid="{00000000-0005-0000-0000-00008C3A0000}"/>
    <cellStyle name="표준 23 7 3 2 3 2 2 2" xfId="15019" xr:uid="{00000000-0005-0000-0000-00008D3A0000}"/>
    <cellStyle name="표준 23 7 3 2 3 2 2 2 2" xfId="15020" xr:uid="{00000000-0005-0000-0000-00008E3A0000}"/>
    <cellStyle name="표준 23 7 3 2 3 2 2 3" xfId="15021" xr:uid="{00000000-0005-0000-0000-00008F3A0000}"/>
    <cellStyle name="표준 23 7 3 2 3 2 3" xfId="15022" xr:uid="{00000000-0005-0000-0000-0000903A0000}"/>
    <cellStyle name="표준 23 7 3 2 3 2 3 2" xfId="15023" xr:uid="{00000000-0005-0000-0000-0000913A0000}"/>
    <cellStyle name="표준 23 7 3 2 3 2 4" xfId="15024" xr:uid="{00000000-0005-0000-0000-0000923A0000}"/>
    <cellStyle name="표준 23 7 3 2 3 3" xfId="15025" xr:uid="{00000000-0005-0000-0000-0000933A0000}"/>
    <cellStyle name="표준 23 7 3 2 3 3 2" xfId="15026" xr:uid="{00000000-0005-0000-0000-0000943A0000}"/>
    <cellStyle name="표준 23 7 3 2 3 3 2 2" xfId="15027" xr:uid="{00000000-0005-0000-0000-0000953A0000}"/>
    <cellStyle name="표준 23 7 3 2 3 3 3" xfId="15028" xr:uid="{00000000-0005-0000-0000-0000963A0000}"/>
    <cellStyle name="표준 23 7 3 2 3 4" xfId="15029" xr:uid="{00000000-0005-0000-0000-0000973A0000}"/>
    <cellStyle name="표준 23 7 3 2 3 4 2" xfId="15030" xr:uid="{00000000-0005-0000-0000-0000983A0000}"/>
    <cellStyle name="표준 23 7 3 2 3 5" xfId="15031" xr:uid="{00000000-0005-0000-0000-0000993A0000}"/>
    <cellStyle name="표준 23 7 3 2 4" xfId="15032" xr:uid="{00000000-0005-0000-0000-00009A3A0000}"/>
    <cellStyle name="표준 23 7 3 2 4 2" xfId="15033" xr:uid="{00000000-0005-0000-0000-00009B3A0000}"/>
    <cellStyle name="표준 23 7 3 2 4 2 2" xfId="15034" xr:uid="{00000000-0005-0000-0000-00009C3A0000}"/>
    <cellStyle name="표준 23 7 3 2 4 2 2 2" xfId="15035" xr:uid="{00000000-0005-0000-0000-00009D3A0000}"/>
    <cellStyle name="표준 23 7 3 2 4 2 3" xfId="15036" xr:uid="{00000000-0005-0000-0000-00009E3A0000}"/>
    <cellStyle name="표준 23 7 3 2 4 3" xfId="15037" xr:uid="{00000000-0005-0000-0000-00009F3A0000}"/>
    <cellStyle name="표준 23 7 3 2 4 3 2" xfId="15038" xr:uid="{00000000-0005-0000-0000-0000A03A0000}"/>
    <cellStyle name="표준 23 7 3 2 4 4" xfId="15039" xr:uid="{00000000-0005-0000-0000-0000A13A0000}"/>
    <cellStyle name="표준 23 7 3 2 5" xfId="15040" xr:uid="{00000000-0005-0000-0000-0000A23A0000}"/>
    <cellStyle name="표준 23 7 3 2 5 2" xfId="15041" xr:uid="{00000000-0005-0000-0000-0000A33A0000}"/>
    <cellStyle name="표준 23 7 3 2 5 2 2" xfId="15042" xr:uid="{00000000-0005-0000-0000-0000A43A0000}"/>
    <cellStyle name="표준 23 7 3 2 5 3" xfId="15043" xr:uid="{00000000-0005-0000-0000-0000A53A0000}"/>
    <cellStyle name="표준 23 7 3 2 6" xfId="15044" xr:uid="{00000000-0005-0000-0000-0000A63A0000}"/>
    <cellStyle name="표준 23 7 3 2 6 2" xfId="15045" xr:uid="{00000000-0005-0000-0000-0000A73A0000}"/>
    <cellStyle name="표준 23 7 3 2 7" xfId="15046" xr:uid="{00000000-0005-0000-0000-0000A83A0000}"/>
    <cellStyle name="표준 23 7 3 2 8" xfId="15047" xr:uid="{00000000-0005-0000-0000-0000A93A0000}"/>
    <cellStyle name="표준 23 7 3 3" xfId="15048" xr:uid="{00000000-0005-0000-0000-0000AA3A0000}"/>
    <cellStyle name="표준 23 7 3 3 2" xfId="15049" xr:uid="{00000000-0005-0000-0000-0000AB3A0000}"/>
    <cellStyle name="표준 23 7 3 3 2 2" xfId="15050" xr:uid="{00000000-0005-0000-0000-0000AC3A0000}"/>
    <cellStyle name="표준 23 7 3 3 2 2 2" xfId="15051" xr:uid="{00000000-0005-0000-0000-0000AD3A0000}"/>
    <cellStyle name="표준 23 7 3 3 2 2 2 2" xfId="15052" xr:uid="{00000000-0005-0000-0000-0000AE3A0000}"/>
    <cellStyle name="표준 23 7 3 3 2 2 2 2 2" xfId="15053" xr:uid="{00000000-0005-0000-0000-0000AF3A0000}"/>
    <cellStyle name="표준 23 7 3 3 2 2 2 3" xfId="15054" xr:uid="{00000000-0005-0000-0000-0000B03A0000}"/>
    <cellStyle name="표준 23 7 3 3 2 2 3" xfId="15055" xr:uid="{00000000-0005-0000-0000-0000B13A0000}"/>
    <cellStyle name="표준 23 7 3 3 2 2 3 2" xfId="15056" xr:uid="{00000000-0005-0000-0000-0000B23A0000}"/>
    <cellStyle name="표준 23 7 3 3 2 2 4" xfId="15057" xr:uid="{00000000-0005-0000-0000-0000B33A0000}"/>
    <cellStyle name="표준 23 7 3 3 2 3" xfId="15058" xr:uid="{00000000-0005-0000-0000-0000B43A0000}"/>
    <cellStyle name="표준 23 7 3 3 2 3 2" xfId="15059" xr:uid="{00000000-0005-0000-0000-0000B53A0000}"/>
    <cellStyle name="표준 23 7 3 3 2 3 2 2" xfId="15060" xr:uid="{00000000-0005-0000-0000-0000B63A0000}"/>
    <cellStyle name="표준 23 7 3 3 2 3 3" xfId="15061" xr:uid="{00000000-0005-0000-0000-0000B73A0000}"/>
    <cellStyle name="표준 23 7 3 3 2 4" xfId="15062" xr:uid="{00000000-0005-0000-0000-0000B83A0000}"/>
    <cellStyle name="표준 23 7 3 3 2 4 2" xfId="15063" xr:uid="{00000000-0005-0000-0000-0000B93A0000}"/>
    <cellStyle name="표준 23 7 3 3 2 5" xfId="15064" xr:uid="{00000000-0005-0000-0000-0000BA3A0000}"/>
    <cellStyle name="표준 23 7 3 3 3" xfId="15065" xr:uid="{00000000-0005-0000-0000-0000BB3A0000}"/>
    <cellStyle name="표준 23 7 3 3 3 2" xfId="15066" xr:uid="{00000000-0005-0000-0000-0000BC3A0000}"/>
    <cellStyle name="표준 23 7 3 3 3 2 2" xfId="15067" xr:uid="{00000000-0005-0000-0000-0000BD3A0000}"/>
    <cellStyle name="표준 23 7 3 3 3 2 2 2" xfId="15068" xr:uid="{00000000-0005-0000-0000-0000BE3A0000}"/>
    <cellStyle name="표준 23 7 3 3 3 2 3" xfId="15069" xr:uid="{00000000-0005-0000-0000-0000BF3A0000}"/>
    <cellStyle name="표준 23 7 3 3 3 3" xfId="15070" xr:uid="{00000000-0005-0000-0000-0000C03A0000}"/>
    <cellStyle name="표준 23 7 3 3 3 3 2" xfId="15071" xr:uid="{00000000-0005-0000-0000-0000C13A0000}"/>
    <cellStyle name="표준 23 7 3 3 3 4" xfId="15072" xr:uid="{00000000-0005-0000-0000-0000C23A0000}"/>
    <cellStyle name="표준 23 7 3 3 4" xfId="15073" xr:uid="{00000000-0005-0000-0000-0000C33A0000}"/>
    <cellStyle name="표준 23 7 3 3 4 2" xfId="15074" xr:uid="{00000000-0005-0000-0000-0000C43A0000}"/>
    <cellStyle name="표준 23 7 3 3 4 2 2" xfId="15075" xr:uid="{00000000-0005-0000-0000-0000C53A0000}"/>
    <cellStyle name="표준 23 7 3 3 4 3" xfId="15076" xr:uid="{00000000-0005-0000-0000-0000C63A0000}"/>
    <cellStyle name="표준 23 7 3 3 5" xfId="15077" xr:uid="{00000000-0005-0000-0000-0000C73A0000}"/>
    <cellStyle name="표준 23 7 3 3 5 2" xfId="15078" xr:uid="{00000000-0005-0000-0000-0000C83A0000}"/>
    <cellStyle name="표준 23 7 3 3 6" xfId="15079" xr:uid="{00000000-0005-0000-0000-0000C93A0000}"/>
    <cellStyle name="표준 23 7 3 4" xfId="15080" xr:uid="{00000000-0005-0000-0000-0000CA3A0000}"/>
    <cellStyle name="표준 23 7 3 4 2" xfId="15081" xr:uid="{00000000-0005-0000-0000-0000CB3A0000}"/>
    <cellStyle name="표준 23 7 3 4 2 2" xfId="15082" xr:uid="{00000000-0005-0000-0000-0000CC3A0000}"/>
    <cellStyle name="표준 23 7 3 4 2 2 2" xfId="15083" xr:uid="{00000000-0005-0000-0000-0000CD3A0000}"/>
    <cellStyle name="표준 23 7 3 4 2 2 2 2" xfId="15084" xr:uid="{00000000-0005-0000-0000-0000CE3A0000}"/>
    <cellStyle name="표준 23 7 3 4 2 2 3" xfId="15085" xr:uid="{00000000-0005-0000-0000-0000CF3A0000}"/>
    <cellStyle name="표준 23 7 3 4 2 3" xfId="15086" xr:uid="{00000000-0005-0000-0000-0000D03A0000}"/>
    <cellStyle name="표준 23 7 3 4 2 3 2" xfId="15087" xr:uid="{00000000-0005-0000-0000-0000D13A0000}"/>
    <cellStyle name="표준 23 7 3 4 2 4" xfId="15088" xr:uid="{00000000-0005-0000-0000-0000D23A0000}"/>
    <cellStyle name="표준 23 7 3 4 3" xfId="15089" xr:uid="{00000000-0005-0000-0000-0000D33A0000}"/>
    <cellStyle name="표준 23 7 3 4 3 2" xfId="15090" xr:uid="{00000000-0005-0000-0000-0000D43A0000}"/>
    <cellStyle name="표준 23 7 3 4 3 2 2" xfId="15091" xr:uid="{00000000-0005-0000-0000-0000D53A0000}"/>
    <cellStyle name="표준 23 7 3 4 3 3" xfId="15092" xr:uid="{00000000-0005-0000-0000-0000D63A0000}"/>
    <cellStyle name="표준 23 7 3 4 4" xfId="15093" xr:uid="{00000000-0005-0000-0000-0000D73A0000}"/>
    <cellStyle name="표준 23 7 3 4 4 2" xfId="15094" xr:uid="{00000000-0005-0000-0000-0000D83A0000}"/>
    <cellStyle name="표준 23 7 3 4 5" xfId="15095" xr:uid="{00000000-0005-0000-0000-0000D93A0000}"/>
    <cellStyle name="표준 23 7 3 5" xfId="15096" xr:uid="{00000000-0005-0000-0000-0000DA3A0000}"/>
    <cellStyle name="표준 23 7 3 5 2" xfId="15097" xr:uid="{00000000-0005-0000-0000-0000DB3A0000}"/>
    <cellStyle name="표준 23 7 3 5 2 2" xfId="15098" xr:uid="{00000000-0005-0000-0000-0000DC3A0000}"/>
    <cellStyle name="표준 23 7 3 5 2 2 2" xfId="15099" xr:uid="{00000000-0005-0000-0000-0000DD3A0000}"/>
    <cellStyle name="표준 23 7 3 5 2 3" xfId="15100" xr:uid="{00000000-0005-0000-0000-0000DE3A0000}"/>
    <cellStyle name="표준 23 7 3 5 3" xfId="15101" xr:uid="{00000000-0005-0000-0000-0000DF3A0000}"/>
    <cellStyle name="표준 23 7 3 5 3 2" xfId="15102" xr:uid="{00000000-0005-0000-0000-0000E03A0000}"/>
    <cellStyle name="표준 23 7 3 5 4" xfId="15103" xr:uid="{00000000-0005-0000-0000-0000E13A0000}"/>
    <cellStyle name="표준 23 7 3 6" xfId="15104" xr:uid="{00000000-0005-0000-0000-0000E23A0000}"/>
    <cellStyle name="표준 23 7 3 6 2" xfId="15105" xr:uid="{00000000-0005-0000-0000-0000E33A0000}"/>
    <cellStyle name="표준 23 7 3 6 2 2" xfId="15106" xr:uid="{00000000-0005-0000-0000-0000E43A0000}"/>
    <cellStyle name="표준 23 7 3 6 3" xfId="15107" xr:uid="{00000000-0005-0000-0000-0000E53A0000}"/>
    <cellStyle name="표준 23 7 3 7" xfId="15108" xr:uid="{00000000-0005-0000-0000-0000E63A0000}"/>
    <cellStyle name="표준 23 7 3 7 2" xfId="15109" xr:uid="{00000000-0005-0000-0000-0000E73A0000}"/>
    <cellStyle name="표준 23 7 3 8" xfId="15110" xr:uid="{00000000-0005-0000-0000-0000E83A0000}"/>
    <cellStyle name="표준 23 7 3 9" xfId="15111" xr:uid="{00000000-0005-0000-0000-0000E93A0000}"/>
    <cellStyle name="표준 23 7 4" xfId="15112" xr:uid="{00000000-0005-0000-0000-0000EA3A0000}"/>
    <cellStyle name="표준 23 7 4 2" xfId="15113" xr:uid="{00000000-0005-0000-0000-0000EB3A0000}"/>
    <cellStyle name="표준 23 7 4 2 2" xfId="15114" xr:uid="{00000000-0005-0000-0000-0000EC3A0000}"/>
    <cellStyle name="표준 23 7 4 2 2 2" xfId="15115" xr:uid="{00000000-0005-0000-0000-0000ED3A0000}"/>
    <cellStyle name="표준 23 7 4 2 2 2 2" xfId="15116" xr:uid="{00000000-0005-0000-0000-0000EE3A0000}"/>
    <cellStyle name="표준 23 7 4 2 2 2 2 2" xfId="15117" xr:uid="{00000000-0005-0000-0000-0000EF3A0000}"/>
    <cellStyle name="표준 23 7 4 2 2 2 2 2 2" xfId="15118" xr:uid="{00000000-0005-0000-0000-0000F03A0000}"/>
    <cellStyle name="표준 23 7 4 2 2 2 2 3" xfId="15119" xr:uid="{00000000-0005-0000-0000-0000F13A0000}"/>
    <cellStyle name="표준 23 7 4 2 2 2 3" xfId="15120" xr:uid="{00000000-0005-0000-0000-0000F23A0000}"/>
    <cellStyle name="표준 23 7 4 2 2 2 3 2" xfId="15121" xr:uid="{00000000-0005-0000-0000-0000F33A0000}"/>
    <cellStyle name="표준 23 7 4 2 2 2 4" xfId="15122" xr:uid="{00000000-0005-0000-0000-0000F43A0000}"/>
    <cellStyle name="표준 23 7 4 2 2 3" xfId="15123" xr:uid="{00000000-0005-0000-0000-0000F53A0000}"/>
    <cellStyle name="표준 23 7 4 2 2 3 2" xfId="15124" xr:uid="{00000000-0005-0000-0000-0000F63A0000}"/>
    <cellStyle name="표준 23 7 4 2 2 3 2 2" xfId="15125" xr:uid="{00000000-0005-0000-0000-0000F73A0000}"/>
    <cellStyle name="표준 23 7 4 2 2 3 3" xfId="15126" xr:uid="{00000000-0005-0000-0000-0000F83A0000}"/>
    <cellStyle name="표준 23 7 4 2 2 4" xfId="15127" xr:uid="{00000000-0005-0000-0000-0000F93A0000}"/>
    <cellStyle name="표준 23 7 4 2 2 4 2" xfId="15128" xr:uid="{00000000-0005-0000-0000-0000FA3A0000}"/>
    <cellStyle name="표준 23 7 4 2 2 5" xfId="15129" xr:uid="{00000000-0005-0000-0000-0000FB3A0000}"/>
    <cellStyle name="표준 23 7 4 2 3" xfId="15130" xr:uid="{00000000-0005-0000-0000-0000FC3A0000}"/>
    <cellStyle name="표준 23 7 4 2 3 2" xfId="15131" xr:uid="{00000000-0005-0000-0000-0000FD3A0000}"/>
    <cellStyle name="표준 23 7 4 2 3 2 2" xfId="15132" xr:uid="{00000000-0005-0000-0000-0000FE3A0000}"/>
    <cellStyle name="표준 23 7 4 2 3 2 2 2" xfId="15133" xr:uid="{00000000-0005-0000-0000-0000FF3A0000}"/>
    <cellStyle name="표준 23 7 4 2 3 2 3" xfId="15134" xr:uid="{00000000-0005-0000-0000-0000003B0000}"/>
    <cellStyle name="표준 23 7 4 2 3 3" xfId="15135" xr:uid="{00000000-0005-0000-0000-0000013B0000}"/>
    <cellStyle name="표준 23 7 4 2 3 3 2" xfId="15136" xr:uid="{00000000-0005-0000-0000-0000023B0000}"/>
    <cellStyle name="표준 23 7 4 2 3 4" xfId="15137" xr:uid="{00000000-0005-0000-0000-0000033B0000}"/>
    <cellStyle name="표준 23 7 4 2 4" xfId="15138" xr:uid="{00000000-0005-0000-0000-0000043B0000}"/>
    <cellStyle name="표준 23 7 4 2 4 2" xfId="15139" xr:uid="{00000000-0005-0000-0000-0000053B0000}"/>
    <cellStyle name="표준 23 7 4 2 4 2 2" xfId="15140" xr:uid="{00000000-0005-0000-0000-0000063B0000}"/>
    <cellStyle name="표준 23 7 4 2 4 3" xfId="15141" xr:uid="{00000000-0005-0000-0000-0000073B0000}"/>
    <cellStyle name="표준 23 7 4 2 5" xfId="15142" xr:uid="{00000000-0005-0000-0000-0000083B0000}"/>
    <cellStyle name="표준 23 7 4 2 5 2" xfId="15143" xr:uid="{00000000-0005-0000-0000-0000093B0000}"/>
    <cellStyle name="표준 23 7 4 2 6" xfId="15144" xr:uid="{00000000-0005-0000-0000-00000A3B0000}"/>
    <cellStyle name="표준 23 7 4 3" xfId="15145" xr:uid="{00000000-0005-0000-0000-00000B3B0000}"/>
    <cellStyle name="표준 23 7 4 3 2" xfId="15146" xr:uid="{00000000-0005-0000-0000-00000C3B0000}"/>
    <cellStyle name="표준 23 7 4 3 2 2" xfId="15147" xr:uid="{00000000-0005-0000-0000-00000D3B0000}"/>
    <cellStyle name="표준 23 7 4 3 2 2 2" xfId="15148" xr:uid="{00000000-0005-0000-0000-00000E3B0000}"/>
    <cellStyle name="표준 23 7 4 3 2 2 2 2" xfId="15149" xr:uid="{00000000-0005-0000-0000-00000F3B0000}"/>
    <cellStyle name="표준 23 7 4 3 2 2 3" xfId="15150" xr:uid="{00000000-0005-0000-0000-0000103B0000}"/>
    <cellStyle name="표준 23 7 4 3 2 3" xfId="15151" xr:uid="{00000000-0005-0000-0000-0000113B0000}"/>
    <cellStyle name="표준 23 7 4 3 2 3 2" xfId="15152" xr:uid="{00000000-0005-0000-0000-0000123B0000}"/>
    <cellStyle name="표준 23 7 4 3 2 4" xfId="15153" xr:uid="{00000000-0005-0000-0000-0000133B0000}"/>
    <cellStyle name="표준 23 7 4 3 3" xfId="15154" xr:uid="{00000000-0005-0000-0000-0000143B0000}"/>
    <cellStyle name="표준 23 7 4 3 3 2" xfId="15155" xr:uid="{00000000-0005-0000-0000-0000153B0000}"/>
    <cellStyle name="표준 23 7 4 3 3 2 2" xfId="15156" xr:uid="{00000000-0005-0000-0000-0000163B0000}"/>
    <cellStyle name="표준 23 7 4 3 3 3" xfId="15157" xr:uid="{00000000-0005-0000-0000-0000173B0000}"/>
    <cellStyle name="표준 23 7 4 3 4" xfId="15158" xr:uid="{00000000-0005-0000-0000-0000183B0000}"/>
    <cellStyle name="표준 23 7 4 3 4 2" xfId="15159" xr:uid="{00000000-0005-0000-0000-0000193B0000}"/>
    <cellStyle name="표준 23 7 4 3 5" xfId="15160" xr:uid="{00000000-0005-0000-0000-00001A3B0000}"/>
    <cellStyle name="표준 23 7 4 4" xfId="15161" xr:uid="{00000000-0005-0000-0000-00001B3B0000}"/>
    <cellStyle name="표준 23 7 4 4 2" xfId="15162" xr:uid="{00000000-0005-0000-0000-00001C3B0000}"/>
    <cellStyle name="표준 23 7 4 4 2 2" xfId="15163" xr:uid="{00000000-0005-0000-0000-00001D3B0000}"/>
    <cellStyle name="표준 23 7 4 4 2 2 2" xfId="15164" xr:uid="{00000000-0005-0000-0000-00001E3B0000}"/>
    <cellStyle name="표준 23 7 4 4 2 3" xfId="15165" xr:uid="{00000000-0005-0000-0000-00001F3B0000}"/>
    <cellStyle name="표준 23 7 4 4 3" xfId="15166" xr:uid="{00000000-0005-0000-0000-0000203B0000}"/>
    <cellStyle name="표준 23 7 4 4 3 2" xfId="15167" xr:uid="{00000000-0005-0000-0000-0000213B0000}"/>
    <cellStyle name="표준 23 7 4 4 4" xfId="15168" xr:uid="{00000000-0005-0000-0000-0000223B0000}"/>
    <cellStyle name="표준 23 7 4 5" xfId="15169" xr:uid="{00000000-0005-0000-0000-0000233B0000}"/>
    <cellStyle name="표준 23 7 4 5 2" xfId="15170" xr:uid="{00000000-0005-0000-0000-0000243B0000}"/>
    <cellStyle name="표준 23 7 4 5 2 2" xfId="15171" xr:uid="{00000000-0005-0000-0000-0000253B0000}"/>
    <cellStyle name="표준 23 7 4 5 3" xfId="15172" xr:uid="{00000000-0005-0000-0000-0000263B0000}"/>
    <cellStyle name="표준 23 7 4 6" xfId="15173" xr:uid="{00000000-0005-0000-0000-0000273B0000}"/>
    <cellStyle name="표준 23 7 4 6 2" xfId="15174" xr:uid="{00000000-0005-0000-0000-0000283B0000}"/>
    <cellStyle name="표준 23 7 4 7" xfId="15175" xr:uid="{00000000-0005-0000-0000-0000293B0000}"/>
    <cellStyle name="표준 23 7 4 8" xfId="15176" xr:uid="{00000000-0005-0000-0000-00002A3B0000}"/>
    <cellStyle name="표준 23 7 5" xfId="15177" xr:uid="{00000000-0005-0000-0000-00002B3B0000}"/>
    <cellStyle name="표준 23 7 5 2" xfId="15178" xr:uid="{00000000-0005-0000-0000-00002C3B0000}"/>
    <cellStyle name="표준 23 7 5 2 2" xfId="15179" xr:uid="{00000000-0005-0000-0000-00002D3B0000}"/>
    <cellStyle name="표준 23 7 5 2 2 2" xfId="15180" xr:uid="{00000000-0005-0000-0000-00002E3B0000}"/>
    <cellStyle name="표준 23 7 5 2 2 2 2" xfId="15181" xr:uid="{00000000-0005-0000-0000-00002F3B0000}"/>
    <cellStyle name="표준 23 7 5 2 2 2 2 2" xfId="15182" xr:uid="{00000000-0005-0000-0000-0000303B0000}"/>
    <cellStyle name="표준 23 7 5 2 2 2 3" xfId="15183" xr:uid="{00000000-0005-0000-0000-0000313B0000}"/>
    <cellStyle name="표준 23 7 5 2 2 3" xfId="15184" xr:uid="{00000000-0005-0000-0000-0000323B0000}"/>
    <cellStyle name="표준 23 7 5 2 2 3 2" xfId="15185" xr:uid="{00000000-0005-0000-0000-0000333B0000}"/>
    <cellStyle name="표준 23 7 5 2 2 4" xfId="15186" xr:uid="{00000000-0005-0000-0000-0000343B0000}"/>
    <cellStyle name="표준 23 7 5 2 3" xfId="15187" xr:uid="{00000000-0005-0000-0000-0000353B0000}"/>
    <cellStyle name="표준 23 7 5 2 3 2" xfId="15188" xr:uid="{00000000-0005-0000-0000-0000363B0000}"/>
    <cellStyle name="표준 23 7 5 2 3 2 2" xfId="15189" xr:uid="{00000000-0005-0000-0000-0000373B0000}"/>
    <cellStyle name="표준 23 7 5 2 3 3" xfId="15190" xr:uid="{00000000-0005-0000-0000-0000383B0000}"/>
    <cellStyle name="표준 23 7 5 2 4" xfId="15191" xr:uid="{00000000-0005-0000-0000-0000393B0000}"/>
    <cellStyle name="표준 23 7 5 2 4 2" xfId="15192" xr:uid="{00000000-0005-0000-0000-00003A3B0000}"/>
    <cellStyle name="표준 23 7 5 2 5" xfId="15193" xr:uid="{00000000-0005-0000-0000-00003B3B0000}"/>
    <cellStyle name="표준 23 7 5 3" xfId="15194" xr:uid="{00000000-0005-0000-0000-00003C3B0000}"/>
    <cellStyle name="표준 23 7 5 3 2" xfId="15195" xr:uid="{00000000-0005-0000-0000-00003D3B0000}"/>
    <cellStyle name="표준 23 7 5 3 2 2" xfId="15196" xr:uid="{00000000-0005-0000-0000-00003E3B0000}"/>
    <cellStyle name="표준 23 7 5 3 2 2 2" xfId="15197" xr:uid="{00000000-0005-0000-0000-00003F3B0000}"/>
    <cellStyle name="표준 23 7 5 3 2 3" xfId="15198" xr:uid="{00000000-0005-0000-0000-0000403B0000}"/>
    <cellStyle name="표준 23 7 5 3 3" xfId="15199" xr:uid="{00000000-0005-0000-0000-0000413B0000}"/>
    <cellStyle name="표준 23 7 5 3 3 2" xfId="15200" xr:uid="{00000000-0005-0000-0000-0000423B0000}"/>
    <cellStyle name="표준 23 7 5 3 4" xfId="15201" xr:uid="{00000000-0005-0000-0000-0000433B0000}"/>
    <cellStyle name="표준 23 7 5 4" xfId="15202" xr:uid="{00000000-0005-0000-0000-0000443B0000}"/>
    <cellStyle name="표준 23 7 5 4 2" xfId="15203" xr:uid="{00000000-0005-0000-0000-0000453B0000}"/>
    <cellStyle name="표준 23 7 5 4 2 2" xfId="15204" xr:uid="{00000000-0005-0000-0000-0000463B0000}"/>
    <cellStyle name="표준 23 7 5 4 3" xfId="15205" xr:uid="{00000000-0005-0000-0000-0000473B0000}"/>
    <cellStyle name="표준 23 7 5 5" xfId="15206" xr:uid="{00000000-0005-0000-0000-0000483B0000}"/>
    <cellStyle name="표준 23 7 5 5 2" xfId="15207" xr:uid="{00000000-0005-0000-0000-0000493B0000}"/>
    <cellStyle name="표준 23 7 5 6" xfId="15208" xr:uid="{00000000-0005-0000-0000-00004A3B0000}"/>
    <cellStyle name="표준 23 7 6" xfId="15209" xr:uid="{00000000-0005-0000-0000-00004B3B0000}"/>
    <cellStyle name="표준 23 7 6 2" xfId="15210" xr:uid="{00000000-0005-0000-0000-00004C3B0000}"/>
    <cellStyle name="표준 23 7 6 2 2" xfId="15211" xr:uid="{00000000-0005-0000-0000-00004D3B0000}"/>
    <cellStyle name="표준 23 7 6 2 2 2" xfId="15212" xr:uid="{00000000-0005-0000-0000-00004E3B0000}"/>
    <cellStyle name="표준 23 7 6 2 2 2 2" xfId="15213" xr:uid="{00000000-0005-0000-0000-00004F3B0000}"/>
    <cellStyle name="표준 23 7 6 2 2 3" xfId="15214" xr:uid="{00000000-0005-0000-0000-0000503B0000}"/>
    <cellStyle name="표준 23 7 6 2 3" xfId="15215" xr:uid="{00000000-0005-0000-0000-0000513B0000}"/>
    <cellStyle name="표준 23 7 6 2 3 2" xfId="15216" xr:uid="{00000000-0005-0000-0000-0000523B0000}"/>
    <cellStyle name="표준 23 7 6 2 4" xfId="15217" xr:uid="{00000000-0005-0000-0000-0000533B0000}"/>
    <cellStyle name="표준 23 7 6 3" xfId="15218" xr:uid="{00000000-0005-0000-0000-0000543B0000}"/>
    <cellStyle name="표준 23 7 6 3 2" xfId="15219" xr:uid="{00000000-0005-0000-0000-0000553B0000}"/>
    <cellStyle name="표준 23 7 6 3 2 2" xfId="15220" xr:uid="{00000000-0005-0000-0000-0000563B0000}"/>
    <cellStyle name="표준 23 7 6 3 3" xfId="15221" xr:uid="{00000000-0005-0000-0000-0000573B0000}"/>
    <cellStyle name="표준 23 7 6 4" xfId="15222" xr:uid="{00000000-0005-0000-0000-0000583B0000}"/>
    <cellStyle name="표준 23 7 6 4 2" xfId="15223" xr:uid="{00000000-0005-0000-0000-0000593B0000}"/>
    <cellStyle name="표준 23 7 6 5" xfId="15224" xr:uid="{00000000-0005-0000-0000-00005A3B0000}"/>
    <cellStyle name="표준 23 7 7" xfId="15225" xr:uid="{00000000-0005-0000-0000-00005B3B0000}"/>
    <cellStyle name="표준 23 7 7 2" xfId="15226" xr:uid="{00000000-0005-0000-0000-00005C3B0000}"/>
    <cellStyle name="표준 23 7 7 2 2" xfId="15227" xr:uid="{00000000-0005-0000-0000-00005D3B0000}"/>
    <cellStyle name="표준 23 7 7 2 2 2" xfId="15228" xr:uid="{00000000-0005-0000-0000-00005E3B0000}"/>
    <cellStyle name="표준 23 7 7 2 3" xfId="15229" xr:uid="{00000000-0005-0000-0000-00005F3B0000}"/>
    <cellStyle name="표준 23 7 7 3" xfId="15230" xr:uid="{00000000-0005-0000-0000-0000603B0000}"/>
    <cellStyle name="표준 23 7 7 3 2" xfId="15231" xr:uid="{00000000-0005-0000-0000-0000613B0000}"/>
    <cellStyle name="표준 23 7 7 4" xfId="15232" xr:uid="{00000000-0005-0000-0000-0000623B0000}"/>
    <cellStyle name="표준 23 7 8" xfId="15233" xr:uid="{00000000-0005-0000-0000-0000633B0000}"/>
    <cellStyle name="표준 23 7 8 2" xfId="15234" xr:uid="{00000000-0005-0000-0000-0000643B0000}"/>
    <cellStyle name="표준 23 7 8 2 2" xfId="15235" xr:uid="{00000000-0005-0000-0000-0000653B0000}"/>
    <cellStyle name="표준 23 7 8 3" xfId="15236" xr:uid="{00000000-0005-0000-0000-0000663B0000}"/>
    <cellStyle name="표준 23 7 9" xfId="15237" xr:uid="{00000000-0005-0000-0000-0000673B0000}"/>
    <cellStyle name="표준 23 7 9 2" xfId="15238" xr:uid="{00000000-0005-0000-0000-0000683B0000}"/>
    <cellStyle name="표준 23 8" xfId="15239" xr:uid="{00000000-0005-0000-0000-0000693B0000}"/>
    <cellStyle name="표준 23 8 10" xfId="15240" xr:uid="{00000000-0005-0000-0000-00006A3B0000}"/>
    <cellStyle name="표준 23 8 2" xfId="15241" xr:uid="{00000000-0005-0000-0000-00006B3B0000}"/>
    <cellStyle name="표준 23 8 2 2" xfId="15242" xr:uid="{00000000-0005-0000-0000-00006C3B0000}"/>
    <cellStyle name="표준 23 8 2 2 2" xfId="15243" xr:uid="{00000000-0005-0000-0000-00006D3B0000}"/>
    <cellStyle name="표준 23 8 2 2 2 2" xfId="15244" xr:uid="{00000000-0005-0000-0000-00006E3B0000}"/>
    <cellStyle name="표준 23 8 2 2 2 2 2" xfId="15245" xr:uid="{00000000-0005-0000-0000-00006F3B0000}"/>
    <cellStyle name="표준 23 8 2 2 2 2 2 2" xfId="15246" xr:uid="{00000000-0005-0000-0000-0000703B0000}"/>
    <cellStyle name="표준 23 8 2 2 2 2 2 2 2" xfId="15247" xr:uid="{00000000-0005-0000-0000-0000713B0000}"/>
    <cellStyle name="표준 23 8 2 2 2 2 2 2 2 2" xfId="15248" xr:uid="{00000000-0005-0000-0000-0000723B0000}"/>
    <cellStyle name="표준 23 8 2 2 2 2 2 2 3" xfId="15249" xr:uid="{00000000-0005-0000-0000-0000733B0000}"/>
    <cellStyle name="표준 23 8 2 2 2 2 2 3" xfId="15250" xr:uid="{00000000-0005-0000-0000-0000743B0000}"/>
    <cellStyle name="표준 23 8 2 2 2 2 2 3 2" xfId="15251" xr:uid="{00000000-0005-0000-0000-0000753B0000}"/>
    <cellStyle name="표준 23 8 2 2 2 2 2 4" xfId="15252" xr:uid="{00000000-0005-0000-0000-0000763B0000}"/>
    <cellStyle name="표준 23 8 2 2 2 2 3" xfId="15253" xr:uid="{00000000-0005-0000-0000-0000773B0000}"/>
    <cellStyle name="표준 23 8 2 2 2 2 3 2" xfId="15254" xr:uid="{00000000-0005-0000-0000-0000783B0000}"/>
    <cellStyle name="표준 23 8 2 2 2 2 3 2 2" xfId="15255" xr:uid="{00000000-0005-0000-0000-0000793B0000}"/>
    <cellStyle name="표준 23 8 2 2 2 2 3 3" xfId="15256" xr:uid="{00000000-0005-0000-0000-00007A3B0000}"/>
    <cellStyle name="표준 23 8 2 2 2 2 4" xfId="15257" xr:uid="{00000000-0005-0000-0000-00007B3B0000}"/>
    <cellStyle name="표준 23 8 2 2 2 2 4 2" xfId="15258" xr:uid="{00000000-0005-0000-0000-00007C3B0000}"/>
    <cellStyle name="표준 23 8 2 2 2 2 5" xfId="15259" xr:uid="{00000000-0005-0000-0000-00007D3B0000}"/>
    <cellStyle name="표준 23 8 2 2 2 3" xfId="15260" xr:uid="{00000000-0005-0000-0000-00007E3B0000}"/>
    <cellStyle name="표준 23 8 2 2 2 3 2" xfId="15261" xr:uid="{00000000-0005-0000-0000-00007F3B0000}"/>
    <cellStyle name="표준 23 8 2 2 2 3 2 2" xfId="15262" xr:uid="{00000000-0005-0000-0000-0000803B0000}"/>
    <cellStyle name="표준 23 8 2 2 2 3 2 2 2" xfId="15263" xr:uid="{00000000-0005-0000-0000-0000813B0000}"/>
    <cellStyle name="표준 23 8 2 2 2 3 2 3" xfId="15264" xr:uid="{00000000-0005-0000-0000-0000823B0000}"/>
    <cellStyle name="표준 23 8 2 2 2 3 3" xfId="15265" xr:uid="{00000000-0005-0000-0000-0000833B0000}"/>
    <cellStyle name="표준 23 8 2 2 2 3 3 2" xfId="15266" xr:uid="{00000000-0005-0000-0000-0000843B0000}"/>
    <cellStyle name="표준 23 8 2 2 2 3 4" xfId="15267" xr:uid="{00000000-0005-0000-0000-0000853B0000}"/>
    <cellStyle name="표준 23 8 2 2 2 4" xfId="15268" xr:uid="{00000000-0005-0000-0000-0000863B0000}"/>
    <cellStyle name="표준 23 8 2 2 2 4 2" xfId="15269" xr:uid="{00000000-0005-0000-0000-0000873B0000}"/>
    <cellStyle name="표준 23 8 2 2 2 4 2 2" xfId="15270" xr:uid="{00000000-0005-0000-0000-0000883B0000}"/>
    <cellStyle name="표준 23 8 2 2 2 4 3" xfId="15271" xr:uid="{00000000-0005-0000-0000-0000893B0000}"/>
    <cellStyle name="표준 23 8 2 2 2 5" xfId="15272" xr:uid="{00000000-0005-0000-0000-00008A3B0000}"/>
    <cellStyle name="표준 23 8 2 2 2 5 2" xfId="15273" xr:uid="{00000000-0005-0000-0000-00008B3B0000}"/>
    <cellStyle name="표준 23 8 2 2 2 6" xfId="15274" xr:uid="{00000000-0005-0000-0000-00008C3B0000}"/>
    <cellStyle name="표준 23 8 2 2 3" xfId="15275" xr:uid="{00000000-0005-0000-0000-00008D3B0000}"/>
    <cellStyle name="표준 23 8 2 2 3 2" xfId="15276" xr:uid="{00000000-0005-0000-0000-00008E3B0000}"/>
    <cellStyle name="표준 23 8 2 2 3 2 2" xfId="15277" xr:uid="{00000000-0005-0000-0000-00008F3B0000}"/>
    <cellStyle name="표준 23 8 2 2 3 2 2 2" xfId="15278" xr:uid="{00000000-0005-0000-0000-0000903B0000}"/>
    <cellStyle name="표준 23 8 2 2 3 2 2 2 2" xfId="15279" xr:uid="{00000000-0005-0000-0000-0000913B0000}"/>
    <cellStyle name="표준 23 8 2 2 3 2 2 3" xfId="15280" xr:uid="{00000000-0005-0000-0000-0000923B0000}"/>
    <cellStyle name="표준 23 8 2 2 3 2 3" xfId="15281" xr:uid="{00000000-0005-0000-0000-0000933B0000}"/>
    <cellStyle name="표준 23 8 2 2 3 2 3 2" xfId="15282" xr:uid="{00000000-0005-0000-0000-0000943B0000}"/>
    <cellStyle name="표준 23 8 2 2 3 2 4" xfId="15283" xr:uid="{00000000-0005-0000-0000-0000953B0000}"/>
    <cellStyle name="표준 23 8 2 2 3 3" xfId="15284" xr:uid="{00000000-0005-0000-0000-0000963B0000}"/>
    <cellStyle name="표준 23 8 2 2 3 3 2" xfId="15285" xr:uid="{00000000-0005-0000-0000-0000973B0000}"/>
    <cellStyle name="표준 23 8 2 2 3 3 2 2" xfId="15286" xr:uid="{00000000-0005-0000-0000-0000983B0000}"/>
    <cellStyle name="표준 23 8 2 2 3 3 3" xfId="15287" xr:uid="{00000000-0005-0000-0000-0000993B0000}"/>
    <cellStyle name="표준 23 8 2 2 3 4" xfId="15288" xr:uid="{00000000-0005-0000-0000-00009A3B0000}"/>
    <cellStyle name="표준 23 8 2 2 3 4 2" xfId="15289" xr:uid="{00000000-0005-0000-0000-00009B3B0000}"/>
    <cellStyle name="표준 23 8 2 2 3 5" xfId="15290" xr:uid="{00000000-0005-0000-0000-00009C3B0000}"/>
    <cellStyle name="표준 23 8 2 2 4" xfId="15291" xr:uid="{00000000-0005-0000-0000-00009D3B0000}"/>
    <cellStyle name="표준 23 8 2 2 4 2" xfId="15292" xr:uid="{00000000-0005-0000-0000-00009E3B0000}"/>
    <cellStyle name="표준 23 8 2 2 4 2 2" xfId="15293" xr:uid="{00000000-0005-0000-0000-00009F3B0000}"/>
    <cellStyle name="표준 23 8 2 2 4 2 2 2" xfId="15294" xr:uid="{00000000-0005-0000-0000-0000A03B0000}"/>
    <cellStyle name="표준 23 8 2 2 4 2 3" xfId="15295" xr:uid="{00000000-0005-0000-0000-0000A13B0000}"/>
    <cellStyle name="표준 23 8 2 2 4 3" xfId="15296" xr:uid="{00000000-0005-0000-0000-0000A23B0000}"/>
    <cellStyle name="표준 23 8 2 2 4 3 2" xfId="15297" xr:uid="{00000000-0005-0000-0000-0000A33B0000}"/>
    <cellStyle name="표준 23 8 2 2 4 4" xfId="15298" xr:uid="{00000000-0005-0000-0000-0000A43B0000}"/>
    <cellStyle name="표준 23 8 2 2 5" xfId="15299" xr:uid="{00000000-0005-0000-0000-0000A53B0000}"/>
    <cellStyle name="표준 23 8 2 2 5 2" xfId="15300" xr:uid="{00000000-0005-0000-0000-0000A63B0000}"/>
    <cellStyle name="표준 23 8 2 2 5 2 2" xfId="15301" xr:uid="{00000000-0005-0000-0000-0000A73B0000}"/>
    <cellStyle name="표준 23 8 2 2 5 3" xfId="15302" xr:uid="{00000000-0005-0000-0000-0000A83B0000}"/>
    <cellStyle name="표준 23 8 2 2 6" xfId="15303" xr:uid="{00000000-0005-0000-0000-0000A93B0000}"/>
    <cellStyle name="표준 23 8 2 2 6 2" xfId="15304" xr:uid="{00000000-0005-0000-0000-0000AA3B0000}"/>
    <cellStyle name="표준 23 8 2 2 7" xfId="15305" xr:uid="{00000000-0005-0000-0000-0000AB3B0000}"/>
    <cellStyle name="표준 23 8 2 2 8" xfId="15306" xr:uid="{00000000-0005-0000-0000-0000AC3B0000}"/>
    <cellStyle name="표준 23 8 2 3" xfId="15307" xr:uid="{00000000-0005-0000-0000-0000AD3B0000}"/>
    <cellStyle name="표준 23 8 2 3 2" xfId="15308" xr:uid="{00000000-0005-0000-0000-0000AE3B0000}"/>
    <cellStyle name="표준 23 8 2 3 2 2" xfId="15309" xr:uid="{00000000-0005-0000-0000-0000AF3B0000}"/>
    <cellStyle name="표준 23 8 2 3 2 2 2" xfId="15310" xr:uid="{00000000-0005-0000-0000-0000B03B0000}"/>
    <cellStyle name="표준 23 8 2 3 2 2 2 2" xfId="15311" xr:uid="{00000000-0005-0000-0000-0000B13B0000}"/>
    <cellStyle name="표준 23 8 2 3 2 2 2 2 2" xfId="15312" xr:uid="{00000000-0005-0000-0000-0000B23B0000}"/>
    <cellStyle name="표준 23 8 2 3 2 2 2 3" xfId="15313" xr:uid="{00000000-0005-0000-0000-0000B33B0000}"/>
    <cellStyle name="표준 23 8 2 3 2 2 3" xfId="15314" xr:uid="{00000000-0005-0000-0000-0000B43B0000}"/>
    <cellStyle name="표준 23 8 2 3 2 2 3 2" xfId="15315" xr:uid="{00000000-0005-0000-0000-0000B53B0000}"/>
    <cellStyle name="표준 23 8 2 3 2 2 4" xfId="15316" xr:uid="{00000000-0005-0000-0000-0000B63B0000}"/>
    <cellStyle name="표준 23 8 2 3 2 3" xfId="15317" xr:uid="{00000000-0005-0000-0000-0000B73B0000}"/>
    <cellStyle name="표준 23 8 2 3 2 3 2" xfId="15318" xr:uid="{00000000-0005-0000-0000-0000B83B0000}"/>
    <cellStyle name="표준 23 8 2 3 2 3 2 2" xfId="15319" xr:uid="{00000000-0005-0000-0000-0000B93B0000}"/>
    <cellStyle name="표준 23 8 2 3 2 3 3" xfId="15320" xr:uid="{00000000-0005-0000-0000-0000BA3B0000}"/>
    <cellStyle name="표준 23 8 2 3 2 4" xfId="15321" xr:uid="{00000000-0005-0000-0000-0000BB3B0000}"/>
    <cellStyle name="표준 23 8 2 3 2 4 2" xfId="15322" xr:uid="{00000000-0005-0000-0000-0000BC3B0000}"/>
    <cellStyle name="표준 23 8 2 3 2 5" xfId="15323" xr:uid="{00000000-0005-0000-0000-0000BD3B0000}"/>
    <cellStyle name="표준 23 8 2 3 3" xfId="15324" xr:uid="{00000000-0005-0000-0000-0000BE3B0000}"/>
    <cellStyle name="표준 23 8 2 3 3 2" xfId="15325" xr:uid="{00000000-0005-0000-0000-0000BF3B0000}"/>
    <cellStyle name="표준 23 8 2 3 3 2 2" xfId="15326" xr:uid="{00000000-0005-0000-0000-0000C03B0000}"/>
    <cellStyle name="표준 23 8 2 3 3 2 2 2" xfId="15327" xr:uid="{00000000-0005-0000-0000-0000C13B0000}"/>
    <cellStyle name="표준 23 8 2 3 3 2 3" xfId="15328" xr:uid="{00000000-0005-0000-0000-0000C23B0000}"/>
    <cellStyle name="표준 23 8 2 3 3 3" xfId="15329" xr:uid="{00000000-0005-0000-0000-0000C33B0000}"/>
    <cellStyle name="표준 23 8 2 3 3 3 2" xfId="15330" xr:uid="{00000000-0005-0000-0000-0000C43B0000}"/>
    <cellStyle name="표준 23 8 2 3 3 4" xfId="15331" xr:uid="{00000000-0005-0000-0000-0000C53B0000}"/>
    <cellStyle name="표준 23 8 2 3 4" xfId="15332" xr:uid="{00000000-0005-0000-0000-0000C63B0000}"/>
    <cellStyle name="표준 23 8 2 3 4 2" xfId="15333" xr:uid="{00000000-0005-0000-0000-0000C73B0000}"/>
    <cellStyle name="표준 23 8 2 3 4 2 2" xfId="15334" xr:uid="{00000000-0005-0000-0000-0000C83B0000}"/>
    <cellStyle name="표준 23 8 2 3 4 3" xfId="15335" xr:uid="{00000000-0005-0000-0000-0000C93B0000}"/>
    <cellStyle name="표준 23 8 2 3 5" xfId="15336" xr:uid="{00000000-0005-0000-0000-0000CA3B0000}"/>
    <cellStyle name="표준 23 8 2 3 5 2" xfId="15337" xr:uid="{00000000-0005-0000-0000-0000CB3B0000}"/>
    <cellStyle name="표준 23 8 2 3 6" xfId="15338" xr:uid="{00000000-0005-0000-0000-0000CC3B0000}"/>
    <cellStyle name="표준 23 8 2 4" xfId="15339" xr:uid="{00000000-0005-0000-0000-0000CD3B0000}"/>
    <cellStyle name="표준 23 8 2 4 2" xfId="15340" xr:uid="{00000000-0005-0000-0000-0000CE3B0000}"/>
    <cellStyle name="표준 23 8 2 4 2 2" xfId="15341" xr:uid="{00000000-0005-0000-0000-0000CF3B0000}"/>
    <cellStyle name="표준 23 8 2 4 2 2 2" xfId="15342" xr:uid="{00000000-0005-0000-0000-0000D03B0000}"/>
    <cellStyle name="표준 23 8 2 4 2 2 2 2" xfId="15343" xr:uid="{00000000-0005-0000-0000-0000D13B0000}"/>
    <cellStyle name="표준 23 8 2 4 2 2 3" xfId="15344" xr:uid="{00000000-0005-0000-0000-0000D23B0000}"/>
    <cellStyle name="표준 23 8 2 4 2 3" xfId="15345" xr:uid="{00000000-0005-0000-0000-0000D33B0000}"/>
    <cellStyle name="표준 23 8 2 4 2 3 2" xfId="15346" xr:uid="{00000000-0005-0000-0000-0000D43B0000}"/>
    <cellStyle name="표준 23 8 2 4 2 4" xfId="15347" xr:uid="{00000000-0005-0000-0000-0000D53B0000}"/>
    <cellStyle name="표준 23 8 2 4 3" xfId="15348" xr:uid="{00000000-0005-0000-0000-0000D63B0000}"/>
    <cellStyle name="표준 23 8 2 4 3 2" xfId="15349" xr:uid="{00000000-0005-0000-0000-0000D73B0000}"/>
    <cellStyle name="표준 23 8 2 4 3 2 2" xfId="15350" xr:uid="{00000000-0005-0000-0000-0000D83B0000}"/>
    <cellStyle name="표준 23 8 2 4 3 3" xfId="15351" xr:uid="{00000000-0005-0000-0000-0000D93B0000}"/>
    <cellStyle name="표준 23 8 2 4 4" xfId="15352" xr:uid="{00000000-0005-0000-0000-0000DA3B0000}"/>
    <cellStyle name="표준 23 8 2 4 4 2" xfId="15353" xr:uid="{00000000-0005-0000-0000-0000DB3B0000}"/>
    <cellStyle name="표준 23 8 2 4 5" xfId="15354" xr:uid="{00000000-0005-0000-0000-0000DC3B0000}"/>
    <cellStyle name="표준 23 8 2 5" xfId="15355" xr:uid="{00000000-0005-0000-0000-0000DD3B0000}"/>
    <cellStyle name="표준 23 8 2 5 2" xfId="15356" xr:uid="{00000000-0005-0000-0000-0000DE3B0000}"/>
    <cellStyle name="표준 23 8 2 5 2 2" xfId="15357" xr:uid="{00000000-0005-0000-0000-0000DF3B0000}"/>
    <cellStyle name="표준 23 8 2 5 2 2 2" xfId="15358" xr:uid="{00000000-0005-0000-0000-0000E03B0000}"/>
    <cellStyle name="표준 23 8 2 5 2 3" xfId="15359" xr:uid="{00000000-0005-0000-0000-0000E13B0000}"/>
    <cellStyle name="표준 23 8 2 5 3" xfId="15360" xr:uid="{00000000-0005-0000-0000-0000E23B0000}"/>
    <cellStyle name="표준 23 8 2 5 3 2" xfId="15361" xr:uid="{00000000-0005-0000-0000-0000E33B0000}"/>
    <cellStyle name="표준 23 8 2 5 4" xfId="15362" xr:uid="{00000000-0005-0000-0000-0000E43B0000}"/>
    <cellStyle name="표준 23 8 2 6" xfId="15363" xr:uid="{00000000-0005-0000-0000-0000E53B0000}"/>
    <cellStyle name="표준 23 8 2 6 2" xfId="15364" xr:uid="{00000000-0005-0000-0000-0000E63B0000}"/>
    <cellStyle name="표준 23 8 2 6 2 2" xfId="15365" xr:uid="{00000000-0005-0000-0000-0000E73B0000}"/>
    <cellStyle name="표준 23 8 2 6 3" xfId="15366" xr:uid="{00000000-0005-0000-0000-0000E83B0000}"/>
    <cellStyle name="표준 23 8 2 7" xfId="15367" xr:uid="{00000000-0005-0000-0000-0000E93B0000}"/>
    <cellStyle name="표준 23 8 2 7 2" xfId="15368" xr:uid="{00000000-0005-0000-0000-0000EA3B0000}"/>
    <cellStyle name="표준 23 8 2 8" xfId="15369" xr:uid="{00000000-0005-0000-0000-0000EB3B0000}"/>
    <cellStyle name="표준 23 8 2 9" xfId="15370" xr:uid="{00000000-0005-0000-0000-0000EC3B0000}"/>
    <cellStyle name="표준 23 8 3" xfId="15371" xr:uid="{00000000-0005-0000-0000-0000ED3B0000}"/>
    <cellStyle name="표준 23 8 3 2" xfId="15372" xr:uid="{00000000-0005-0000-0000-0000EE3B0000}"/>
    <cellStyle name="표준 23 8 3 2 2" xfId="15373" xr:uid="{00000000-0005-0000-0000-0000EF3B0000}"/>
    <cellStyle name="표준 23 8 3 2 2 2" xfId="15374" xr:uid="{00000000-0005-0000-0000-0000F03B0000}"/>
    <cellStyle name="표준 23 8 3 2 2 2 2" xfId="15375" xr:uid="{00000000-0005-0000-0000-0000F13B0000}"/>
    <cellStyle name="표준 23 8 3 2 2 2 2 2" xfId="15376" xr:uid="{00000000-0005-0000-0000-0000F23B0000}"/>
    <cellStyle name="표준 23 8 3 2 2 2 2 2 2" xfId="15377" xr:uid="{00000000-0005-0000-0000-0000F33B0000}"/>
    <cellStyle name="표준 23 8 3 2 2 2 2 3" xfId="15378" xr:uid="{00000000-0005-0000-0000-0000F43B0000}"/>
    <cellStyle name="표준 23 8 3 2 2 2 3" xfId="15379" xr:uid="{00000000-0005-0000-0000-0000F53B0000}"/>
    <cellStyle name="표준 23 8 3 2 2 2 3 2" xfId="15380" xr:uid="{00000000-0005-0000-0000-0000F63B0000}"/>
    <cellStyle name="표준 23 8 3 2 2 2 4" xfId="15381" xr:uid="{00000000-0005-0000-0000-0000F73B0000}"/>
    <cellStyle name="표준 23 8 3 2 2 3" xfId="15382" xr:uid="{00000000-0005-0000-0000-0000F83B0000}"/>
    <cellStyle name="표준 23 8 3 2 2 3 2" xfId="15383" xr:uid="{00000000-0005-0000-0000-0000F93B0000}"/>
    <cellStyle name="표준 23 8 3 2 2 3 2 2" xfId="15384" xr:uid="{00000000-0005-0000-0000-0000FA3B0000}"/>
    <cellStyle name="표준 23 8 3 2 2 3 3" xfId="15385" xr:uid="{00000000-0005-0000-0000-0000FB3B0000}"/>
    <cellStyle name="표준 23 8 3 2 2 4" xfId="15386" xr:uid="{00000000-0005-0000-0000-0000FC3B0000}"/>
    <cellStyle name="표준 23 8 3 2 2 4 2" xfId="15387" xr:uid="{00000000-0005-0000-0000-0000FD3B0000}"/>
    <cellStyle name="표준 23 8 3 2 2 5" xfId="15388" xr:uid="{00000000-0005-0000-0000-0000FE3B0000}"/>
    <cellStyle name="표준 23 8 3 2 3" xfId="15389" xr:uid="{00000000-0005-0000-0000-0000FF3B0000}"/>
    <cellStyle name="표준 23 8 3 2 3 2" xfId="15390" xr:uid="{00000000-0005-0000-0000-0000003C0000}"/>
    <cellStyle name="표준 23 8 3 2 3 2 2" xfId="15391" xr:uid="{00000000-0005-0000-0000-0000013C0000}"/>
    <cellStyle name="표준 23 8 3 2 3 2 2 2" xfId="15392" xr:uid="{00000000-0005-0000-0000-0000023C0000}"/>
    <cellStyle name="표준 23 8 3 2 3 2 3" xfId="15393" xr:uid="{00000000-0005-0000-0000-0000033C0000}"/>
    <cellStyle name="표준 23 8 3 2 3 3" xfId="15394" xr:uid="{00000000-0005-0000-0000-0000043C0000}"/>
    <cellStyle name="표준 23 8 3 2 3 3 2" xfId="15395" xr:uid="{00000000-0005-0000-0000-0000053C0000}"/>
    <cellStyle name="표준 23 8 3 2 3 4" xfId="15396" xr:uid="{00000000-0005-0000-0000-0000063C0000}"/>
    <cellStyle name="표준 23 8 3 2 4" xfId="15397" xr:uid="{00000000-0005-0000-0000-0000073C0000}"/>
    <cellStyle name="표준 23 8 3 2 4 2" xfId="15398" xr:uid="{00000000-0005-0000-0000-0000083C0000}"/>
    <cellStyle name="표준 23 8 3 2 4 2 2" xfId="15399" xr:uid="{00000000-0005-0000-0000-0000093C0000}"/>
    <cellStyle name="표준 23 8 3 2 4 3" xfId="15400" xr:uid="{00000000-0005-0000-0000-00000A3C0000}"/>
    <cellStyle name="표준 23 8 3 2 5" xfId="15401" xr:uid="{00000000-0005-0000-0000-00000B3C0000}"/>
    <cellStyle name="표준 23 8 3 2 5 2" xfId="15402" xr:uid="{00000000-0005-0000-0000-00000C3C0000}"/>
    <cellStyle name="표준 23 8 3 2 6" xfId="15403" xr:uid="{00000000-0005-0000-0000-00000D3C0000}"/>
    <cellStyle name="표준 23 8 3 3" xfId="15404" xr:uid="{00000000-0005-0000-0000-00000E3C0000}"/>
    <cellStyle name="표준 23 8 3 3 2" xfId="15405" xr:uid="{00000000-0005-0000-0000-00000F3C0000}"/>
    <cellStyle name="표준 23 8 3 3 2 2" xfId="15406" xr:uid="{00000000-0005-0000-0000-0000103C0000}"/>
    <cellStyle name="표준 23 8 3 3 2 2 2" xfId="15407" xr:uid="{00000000-0005-0000-0000-0000113C0000}"/>
    <cellStyle name="표준 23 8 3 3 2 2 2 2" xfId="15408" xr:uid="{00000000-0005-0000-0000-0000123C0000}"/>
    <cellStyle name="표준 23 8 3 3 2 2 3" xfId="15409" xr:uid="{00000000-0005-0000-0000-0000133C0000}"/>
    <cellStyle name="표준 23 8 3 3 2 3" xfId="15410" xr:uid="{00000000-0005-0000-0000-0000143C0000}"/>
    <cellStyle name="표준 23 8 3 3 2 3 2" xfId="15411" xr:uid="{00000000-0005-0000-0000-0000153C0000}"/>
    <cellStyle name="표준 23 8 3 3 2 4" xfId="15412" xr:uid="{00000000-0005-0000-0000-0000163C0000}"/>
    <cellStyle name="표준 23 8 3 3 3" xfId="15413" xr:uid="{00000000-0005-0000-0000-0000173C0000}"/>
    <cellStyle name="표준 23 8 3 3 3 2" xfId="15414" xr:uid="{00000000-0005-0000-0000-0000183C0000}"/>
    <cellStyle name="표준 23 8 3 3 3 2 2" xfId="15415" xr:uid="{00000000-0005-0000-0000-0000193C0000}"/>
    <cellStyle name="표준 23 8 3 3 3 3" xfId="15416" xr:uid="{00000000-0005-0000-0000-00001A3C0000}"/>
    <cellStyle name="표준 23 8 3 3 4" xfId="15417" xr:uid="{00000000-0005-0000-0000-00001B3C0000}"/>
    <cellStyle name="표준 23 8 3 3 4 2" xfId="15418" xr:uid="{00000000-0005-0000-0000-00001C3C0000}"/>
    <cellStyle name="표준 23 8 3 3 5" xfId="15419" xr:uid="{00000000-0005-0000-0000-00001D3C0000}"/>
    <cellStyle name="표준 23 8 3 4" xfId="15420" xr:uid="{00000000-0005-0000-0000-00001E3C0000}"/>
    <cellStyle name="표준 23 8 3 4 2" xfId="15421" xr:uid="{00000000-0005-0000-0000-00001F3C0000}"/>
    <cellStyle name="표준 23 8 3 4 2 2" xfId="15422" xr:uid="{00000000-0005-0000-0000-0000203C0000}"/>
    <cellStyle name="표준 23 8 3 4 2 2 2" xfId="15423" xr:uid="{00000000-0005-0000-0000-0000213C0000}"/>
    <cellStyle name="표준 23 8 3 4 2 3" xfId="15424" xr:uid="{00000000-0005-0000-0000-0000223C0000}"/>
    <cellStyle name="표준 23 8 3 4 3" xfId="15425" xr:uid="{00000000-0005-0000-0000-0000233C0000}"/>
    <cellStyle name="표준 23 8 3 4 3 2" xfId="15426" xr:uid="{00000000-0005-0000-0000-0000243C0000}"/>
    <cellStyle name="표준 23 8 3 4 4" xfId="15427" xr:uid="{00000000-0005-0000-0000-0000253C0000}"/>
    <cellStyle name="표준 23 8 3 5" xfId="15428" xr:uid="{00000000-0005-0000-0000-0000263C0000}"/>
    <cellStyle name="표준 23 8 3 5 2" xfId="15429" xr:uid="{00000000-0005-0000-0000-0000273C0000}"/>
    <cellStyle name="표준 23 8 3 5 2 2" xfId="15430" xr:uid="{00000000-0005-0000-0000-0000283C0000}"/>
    <cellStyle name="표준 23 8 3 5 3" xfId="15431" xr:uid="{00000000-0005-0000-0000-0000293C0000}"/>
    <cellStyle name="표준 23 8 3 6" xfId="15432" xr:uid="{00000000-0005-0000-0000-00002A3C0000}"/>
    <cellStyle name="표준 23 8 3 6 2" xfId="15433" xr:uid="{00000000-0005-0000-0000-00002B3C0000}"/>
    <cellStyle name="표준 23 8 3 7" xfId="15434" xr:uid="{00000000-0005-0000-0000-00002C3C0000}"/>
    <cellStyle name="표준 23 8 3 8" xfId="15435" xr:uid="{00000000-0005-0000-0000-00002D3C0000}"/>
    <cellStyle name="표준 23 8 4" xfId="15436" xr:uid="{00000000-0005-0000-0000-00002E3C0000}"/>
    <cellStyle name="표준 23 8 4 2" xfId="15437" xr:uid="{00000000-0005-0000-0000-00002F3C0000}"/>
    <cellStyle name="표준 23 8 4 2 2" xfId="15438" xr:uid="{00000000-0005-0000-0000-0000303C0000}"/>
    <cellStyle name="표준 23 8 4 2 2 2" xfId="15439" xr:uid="{00000000-0005-0000-0000-0000313C0000}"/>
    <cellStyle name="표준 23 8 4 2 2 2 2" xfId="15440" xr:uid="{00000000-0005-0000-0000-0000323C0000}"/>
    <cellStyle name="표준 23 8 4 2 2 2 2 2" xfId="15441" xr:uid="{00000000-0005-0000-0000-0000333C0000}"/>
    <cellStyle name="표준 23 8 4 2 2 2 3" xfId="15442" xr:uid="{00000000-0005-0000-0000-0000343C0000}"/>
    <cellStyle name="표준 23 8 4 2 2 3" xfId="15443" xr:uid="{00000000-0005-0000-0000-0000353C0000}"/>
    <cellStyle name="표준 23 8 4 2 2 3 2" xfId="15444" xr:uid="{00000000-0005-0000-0000-0000363C0000}"/>
    <cellStyle name="표준 23 8 4 2 2 4" xfId="15445" xr:uid="{00000000-0005-0000-0000-0000373C0000}"/>
    <cellStyle name="표준 23 8 4 2 3" xfId="15446" xr:uid="{00000000-0005-0000-0000-0000383C0000}"/>
    <cellStyle name="표준 23 8 4 2 3 2" xfId="15447" xr:uid="{00000000-0005-0000-0000-0000393C0000}"/>
    <cellStyle name="표준 23 8 4 2 3 2 2" xfId="15448" xr:uid="{00000000-0005-0000-0000-00003A3C0000}"/>
    <cellStyle name="표준 23 8 4 2 3 3" xfId="15449" xr:uid="{00000000-0005-0000-0000-00003B3C0000}"/>
    <cellStyle name="표준 23 8 4 2 4" xfId="15450" xr:uid="{00000000-0005-0000-0000-00003C3C0000}"/>
    <cellStyle name="표준 23 8 4 2 4 2" xfId="15451" xr:uid="{00000000-0005-0000-0000-00003D3C0000}"/>
    <cellStyle name="표준 23 8 4 2 5" xfId="15452" xr:uid="{00000000-0005-0000-0000-00003E3C0000}"/>
    <cellStyle name="표준 23 8 4 3" xfId="15453" xr:uid="{00000000-0005-0000-0000-00003F3C0000}"/>
    <cellStyle name="표준 23 8 4 3 2" xfId="15454" xr:uid="{00000000-0005-0000-0000-0000403C0000}"/>
    <cellStyle name="표준 23 8 4 3 2 2" xfId="15455" xr:uid="{00000000-0005-0000-0000-0000413C0000}"/>
    <cellStyle name="표준 23 8 4 3 2 2 2" xfId="15456" xr:uid="{00000000-0005-0000-0000-0000423C0000}"/>
    <cellStyle name="표준 23 8 4 3 2 3" xfId="15457" xr:uid="{00000000-0005-0000-0000-0000433C0000}"/>
    <cellStyle name="표준 23 8 4 3 3" xfId="15458" xr:uid="{00000000-0005-0000-0000-0000443C0000}"/>
    <cellStyle name="표준 23 8 4 3 3 2" xfId="15459" xr:uid="{00000000-0005-0000-0000-0000453C0000}"/>
    <cellStyle name="표준 23 8 4 3 4" xfId="15460" xr:uid="{00000000-0005-0000-0000-0000463C0000}"/>
    <cellStyle name="표준 23 8 4 4" xfId="15461" xr:uid="{00000000-0005-0000-0000-0000473C0000}"/>
    <cellStyle name="표준 23 8 4 4 2" xfId="15462" xr:uid="{00000000-0005-0000-0000-0000483C0000}"/>
    <cellStyle name="표준 23 8 4 4 2 2" xfId="15463" xr:uid="{00000000-0005-0000-0000-0000493C0000}"/>
    <cellStyle name="표준 23 8 4 4 3" xfId="15464" xr:uid="{00000000-0005-0000-0000-00004A3C0000}"/>
    <cellStyle name="표준 23 8 4 5" xfId="15465" xr:uid="{00000000-0005-0000-0000-00004B3C0000}"/>
    <cellStyle name="표준 23 8 4 5 2" xfId="15466" xr:uid="{00000000-0005-0000-0000-00004C3C0000}"/>
    <cellStyle name="표준 23 8 4 6" xfId="15467" xr:uid="{00000000-0005-0000-0000-00004D3C0000}"/>
    <cellStyle name="표준 23 8 5" xfId="15468" xr:uid="{00000000-0005-0000-0000-00004E3C0000}"/>
    <cellStyle name="표준 23 8 5 2" xfId="15469" xr:uid="{00000000-0005-0000-0000-00004F3C0000}"/>
    <cellStyle name="표준 23 8 5 2 2" xfId="15470" xr:uid="{00000000-0005-0000-0000-0000503C0000}"/>
    <cellStyle name="표준 23 8 5 2 2 2" xfId="15471" xr:uid="{00000000-0005-0000-0000-0000513C0000}"/>
    <cellStyle name="표준 23 8 5 2 2 2 2" xfId="15472" xr:uid="{00000000-0005-0000-0000-0000523C0000}"/>
    <cellStyle name="표준 23 8 5 2 2 3" xfId="15473" xr:uid="{00000000-0005-0000-0000-0000533C0000}"/>
    <cellStyle name="표준 23 8 5 2 3" xfId="15474" xr:uid="{00000000-0005-0000-0000-0000543C0000}"/>
    <cellStyle name="표준 23 8 5 2 3 2" xfId="15475" xr:uid="{00000000-0005-0000-0000-0000553C0000}"/>
    <cellStyle name="표준 23 8 5 2 4" xfId="15476" xr:uid="{00000000-0005-0000-0000-0000563C0000}"/>
    <cellStyle name="표준 23 8 5 3" xfId="15477" xr:uid="{00000000-0005-0000-0000-0000573C0000}"/>
    <cellStyle name="표준 23 8 5 3 2" xfId="15478" xr:uid="{00000000-0005-0000-0000-0000583C0000}"/>
    <cellStyle name="표준 23 8 5 3 2 2" xfId="15479" xr:uid="{00000000-0005-0000-0000-0000593C0000}"/>
    <cellStyle name="표준 23 8 5 3 3" xfId="15480" xr:uid="{00000000-0005-0000-0000-00005A3C0000}"/>
    <cellStyle name="표준 23 8 5 4" xfId="15481" xr:uid="{00000000-0005-0000-0000-00005B3C0000}"/>
    <cellStyle name="표준 23 8 5 4 2" xfId="15482" xr:uid="{00000000-0005-0000-0000-00005C3C0000}"/>
    <cellStyle name="표준 23 8 5 5" xfId="15483" xr:uid="{00000000-0005-0000-0000-00005D3C0000}"/>
    <cellStyle name="표준 23 8 6" xfId="15484" xr:uid="{00000000-0005-0000-0000-00005E3C0000}"/>
    <cellStyle name="표준 23 8 6 2" xfId="15485" xr:uid="{00000000-0005-0000-0000-00005F3C0000}"/>
    <cellStyle name="표준 23 8 6 2 2" xfId="15486" xr:uid="{00000000-0005-0000-0000-0000603C0000}"/>
    <cellStyle name="표준 23 8 6 2 2 2" xfId="15487" xr:uid="{00000000-0005-0000-0000-0000613C0000}"/>
    <cellStyle name="표준 23 8 6 2 3" xfId="15488" xr:uid="{00000000-0005-0000-0000-0000623C0000}"/>
    <cellStyle name="표준 23 8 6 3" xfId="15489" xr:uid="{00000000-0005-0000-0000-0000633C0000}"/>
    <cellStyle name="표준 23 8 6 3 2" xfId="15490" xr:uid="{00000000-0005-0000-0000-0000643C0000}"/>
    <cellStyle name="표준 23 8 6 4" xfId="15491" xr:uid="{00000000-0005-0000-0000-0000653C0000}"/>
    <cellStyle name="표준 23 8 7" xfId="15492" xr:uid="{00000000-0005-0000-0000-0000663C0000}"/>
    <cellStyle name="표준 23 8 7 2" xfId="15493" xr:uid="{00000000-0005-0000-0000-0000673C0000}"/>
    <cellStyle name="표준 23 8 7 2 2" xfId="15494" xr:uid="{00000000-0005-0000-0000-0000683C0000}"/>
    <cellStyle name="표준 23 8 7 3" xfId="15495" xr:uid="{00000000-0005-0000-0000-0000693C0000}"/>
    <cellStyle name="표준 23 8 8" xfId="15496" xr:uid="{00000000-0005-0000-0000-00006A3C0000}"/>
    <cellStyle name="표준 23 8 8 2" xfId="15497" xr:uid="{00000000-0005-0000-0000-00006B3C0000}"/>
    <cellStyle name="표준 23 8 9" xfId="15498" xr:uid="{00000000-0005-0000-0000-00006C3C0000}"/>
    <cellStyle name="표준 23 9" xfId="15499" xr:uid="{00000000-0005-0000-0000-00006D3C0000}"/>
    <cellStyle name="표준 23 9 2" xfId="15500" xr:uid="{00000000-0005-0000-0000-00006E3C0000}"/>
    <cellStyle name="표준 23 9 2 2" xfId="15501" xr:uid="{00000000-0005-0000-0000-00006F3C0000}"/>
    <cellStyle name="표준 23 9 2 2 2" xfId="15502" xr:uid="{00000000-0005-0000-0000-0000703C0000}"/>
    <cellStyle name="표준 23 9 2 2 2 2" xfId="15503" xr:uid="{00000000-0005-0000-0000-0000713C0000}"/>
    <cellStyle name="표준 23 9 2 2 2 2 2" xfId="15504" xr:uid="{00000000-0005-0000-0000-0000723C0000}"/>
    <cellStyle name="표준 23 9 2 2 2 2 2 2" xfId="15505" xr:uid="{00000000-0005-0000-0000-0000733C0000}"/>
    <cellStyle name="표준 23 9 2 2 2 2 2 2 2" xfId="15506" xr:uid="{00000000-0005-0000-0000-0000743C0000}"/>
    <cellStyle name="표준 23 9 2 2 2 2 2 3" xfId="15507" xr:uid="{00000000-0005-0000-0000-0000753C0000}"/>
    <cellStyle name="표준 23 9 2 2 2 2 3" xfId="15508" xr:uid="{00000000-0005-0000-0000-0000763C0000}"/>
    <cellStyle name="표준 23 9 2 2 2 2 3 2" xfId="15509" xr:uid="{00000000-0005-0000-0000-0000773C0000}"/>
    <cellStyle name="표준 23 9 2 2 2 2 4" xfId="15510" xr:uid="{00000000-0005-0000-0000-0000783C0000}"/>
    <cellStyle name="표준 23 9 2 2 2 3" xfId="15511" xr:uid="{00000000-0005-0000-0000-0000793C0000}"/>
    <cellStyle name="표준 23 9 2 2 2 3 2" xfId="15512" xr:uid="{00000000-0005-0000-0000-00007A3C0000}"/>
    <cellStyle name="표준 23 9 2 2 2 3 2 2" xfId="15513" xr:uid="{00000000-0005-0000-0000-00007B3C0000}"/>
    <cellStyle name="표준 23 9 2 2 2 3 3" xfId="15514" xr:uid="{00000000-0005-0000-0000-00007C3C0000}"/>
    <cellStyle name="표준 23 9 2 2 2 4" xfId="15515" xr:uid="{00000000-0005-0000-0000-00007D3C0000}"/>
    <cellStyle name="표준 23 9 2 2 2 4 2" xfId="15516" xr:uid="{00000000-0005-0000-0000-00007E3C0000}"/>
    <cellStyle name="표준 23 9 2 2 2 5" xfId="15517" xr:uid="{00000000-0005-0000-0000-00007F3C0000}"/>
    <cellStyle name="표준 23 9 2 2 3" xfId="15518" xr:uid="{00000000-0005-0000-0000-0000803C0000}"/>
    <cellStyle name="표준 23 9 2 2 3 2" xfId="15519" xr:uid="{00000000-0005-0000-0000-0000813C0000}"/>
    <cellStyle name="표준 23 9 2 2 3 2 2" xfId="15520" xr:uid="{00000000-0005-0000-0000-0000823C0000}"/>
    <cellStyle name="표준 23 9 2 2 3 2 2 2" xfId="15521" xr:uid="{00000000-0005-0000-0000-0000833C0000}"/>
    <cellStyle name="표준 23 9 2 2 3 2 3" xfId="15522" xr:uid="{00000000-0005-0000-0000-0000843C0000}"/>
    <cellStyle name="표준 23 9 2 2 3 3" xfId="15523" xr:uid="{00000000-0005-0000-0000-0000853C0000}"/>
    <cellStyle name="표준 23 9 2 2 3 3 2" xfId="15524" xr:uid="{00000000-0005-0000-0000-0000863C0000}"/>
    <cellStyle name="표준 23 9 2 2 3 4" xfId="15525" xr:uid="{00000000-0005-0000-0000-0000873C0000}"/>
    <cellStyle name="표준 23 9 2 2 4" xfId="15526" xr:uid="{00000000-0005-0000-0000-0000883C0000}"/>
    <cellStyle name="표준 23 9 2 2 4 2" xfId="15527" xr:uid="{00000000-0005-0000-0000-0000893C0000}"/>
    <cellStyle name="표준 23 9 2 2 4 2 2" xfId="15528" xr:uid="{00000000-0005-0000-0000-00008A3C0000}"/>
    <cellStyle name="표준 23 9 2 2 4 3" xfId="15529" xr:uid="{00000000-0005-0000-0000-00008B3C0000}"/>
    <cellStyle name="표준 23 9 2 2 5" xfId="15530" xr:uid="{00000000-0005-0000-0000-00008C3C0000}"/>
    <cellStyle name="표준 23 9 2 2 5 2" xfId="15531" xr:uid="{00000000-0005-0000-0000-00008D3C0000}"/>
    <cellStyle name="표준 23 9 2 2 6" xfId="15532" xr:uid="{00000000-0005-0000-0000-00008E3C0000}"/>
    <cellStyle name="표준 23 9 2 3" xfId="15533" xr:uid="{00000000-0005-0000-0000-00008F3C0000}"/>
    <cellStyle name="표준 23 9 2 3 2" xfId="15534" xr:uid="{00000000-0005-0000-0000-0000903C0000}"/>
    <cellStyle name="표준 23 9 2 3 2 2" xfId="15535" xr:uid="{00000000-0005-0000-0000-0000913C0000}"/>
    <cellStyle name="표준 23 9 2 3 2 2 2" xfId="15536" xr:uid="{00000000-0005-0000-0000-0000923C0000}"/>
    <cellStyle name="표준 23 9 2 3 2 2 2 2" xfId="15537" xr:uid="{00000000-0005-0000-0000-0000933C0000}"/>
    <cellStyle name="표준 23 9 2 3 2 2 3" xfId="15538" xr:uid="{00000000-0005-0000-0000-0000943C0000}"/>
    <cellStyle name="표준 23 9 2 3 2 3" xfId="15539" xr:uid="{00000000-0005-0000-0000-0000953C0000}"/>
    <cellStyle name="표준 23 9 2 3 2 3 2" xfId="15540" xr:uid="{00000000-0005-0000-0000-0000963C0000}"/>
    <cellStyle name="표준 23 9 2 3 2 4" xfId="15541" xr:uid="{00000000-0005-0000-0000-0000973C0000}"/>
    <cellStyle name="표준 23 9 2 3 3" xfId="15542" xr:uid="{00000000-0005-0000-0000-0000983C0000}"/>
    <cellStyle name="표준 23 9 2 3 3 2" xfId="15543" xr:uid="{00000000-0005-0000-0000-0000993C0000}"/>
    <cellStyle name="표준 23 9 2 3 3 2 2" xfId="15544" xr:uid="{00000000-0005-0000-0000-00009A3C0000}"/>
    <cellStyle name="표준 23 9 2 3 3 3" xfId="15545" xr:uid="{00000000-0005-0000-0000-00009B3C0000}"/>
    <cellStyle name="표준 23 9 2 3 4" xfId="15546" xr:uid="{00000000-0005-0000-0000-00009C3C0000}"/>
    <cellStyle name="표준 23 9 2 3 4 2" xfId="15547" xr:uid="{00000000-0005-0000-0000-00009D3C0000}"/>
    <cellStyle name="표준 23 9 2 3 5" xfId="15548" xr:uid="{00000000-0005-0000-0000-00009E3C0000}"/>
    <cellStyle name="표준 23 9 2 4" xfId="15549" xr:uid="{00000000-0005-0000-0000-00009F3C0000}"/>
    <cellStyle name="표준 23 9 2 4 2" xfId="15550" xr:uid="{00000000-0005-0000-0000-0000A03C0000}"/>
    <cellStyle name="표준 23 9 2 4 2 2" xfId="15551" xr:uid="{00000000-0005-0000-0000-0000A13C0000}"/>
    <cellStyle name="표준 23 9 2 4 2 2 2" xfId="15552" xr:uid="{00000000-0005-0000-0000-0000A23C0000}"/>
    <cellStyle name="표준 23 9 2 4 2 3" xfId="15553" xr:uid="{00000000-0005-0000-0000-0000A33C0000}"/>
    <cellStyle name="표준 23 9 2 4 3" xfId="15554" xr:uid="{00000000-0005-0000-0000-0000A43C0000}"/>
    <cellStyle name="표준 23 9 2 4 3 2" xfId="15555" xr:uid="{00000000-0005-0000-0000-0000A53C0000}"/>
    <cellStyle name="표준 23 9 2 4 4" xfId="15556" xr:uid="{00000000-0005-0000-0000-0000A63C0000}"/>
    <cellStyle name="표준 23 9 2 5" xfId="15557" xr:uid="{00000000-0005-0000-0000-0000A73C0000}"/>
    <cellStyle name="표준 23 9 2 5 2" xfId="15558" xr:uid="{00000000-0005-0000-0000-0000A83C0000}"/>
    <cellStyle name="표준 23 9 2 5 2 2" xfId="15559" xr:uid="{00000000-0005-0000-0000-0000A93C0000}"/>
    <cellStyle name="표준 23 9 2 5 3" xfId="15560" xr:uid="{00000000-0005-0000-0000-0000AA3C0000}"/>
    <cellStyle name="표준 23 9 2 6" xfId="15561" xr:uid="{00000000-0005-0000-0000-0000AB3C0000}"/>
    <cellStyle name="표준 23 9 2 6 2" xfId="15562" xr:uid="{00000000-0005-0000-0000-0000AC3C0000}"/>
    <cellStyle name="표준 23 9 2 7" xfId="15563" xr:uid="{00000000-0005-0000-0000-0000AD3C0000}"/>
    <cellStyle name="표준 23 9 2 8" xfId="15564" xr:uid="{00000000-0005-0000-0000-0000AE3C0000}"/>
    <cellStyle name="표준 23 9 3" xfId="15565" xr:uid="{00000000-0005-0000-0000-0000AF3C0000}"/>
    <cellStyle name="표준 23 9 3 2" xfId="15566" xr:uid="{00000000-0005-0000-0000-0000B03C0000}"/>
    <cellStyle name="표준 23 9 3 2 2" xfId="15567" xr:uid="{00000000-0005-0000-0000-0000B13C0000}"/>
    <cellStyle name="표준 23 9 3 2 2 2" xfId="15568" xr:uid="{00000000-0005-0000-0000-0000B23C0000}"/>
    <cellStyle name="표준 23 9 3 2 2 2 2" xfId="15569" xr:uid="{00000000-0005-0000-0000-0000B33C0000}"/>
    <cellStyle name="표준 23 9 3 2 2 2 2 2" xfId="15570" xr:uid="{00000000-0005-0000-0000-0000B43C0000}"/>
    <cellStyle name="표준 23 9 3 2 2 2 3" xfId="15571" xr:uid="{00000000-0005-0000-0000-0000B53C0000}"/>
    <cellStyle name="표준 23 9 3 2 2 3" xfId="15572" xr:uid="{00000000-0005-0000-0000-0000B63C0000}"/>
    <cellStyle name="표준 23 9 3 2 2 3 2" xfId="15573" xr:uid="{00000000-0005-0000-0000-0000B73C0000}"/>
    <cellStyle name="표준 23 9 3 2 2 4" xfId="15574" xr:uid="{00000000-0005-0000-0000-0000B83C0000}"/>
    <cellStyle name="표준 23 9 3 2 3" xfId="15575" xr:uid="{00000000-0005-0000-0000-0000B93C0000}"/>
    <cellStyle name="표준 23 9 3 2 3 2" xfId="15576" xr:uid="{00000000-0005-0000-0000-0000BA3C0000}"/>
    <cellStyle name="표준 23 9 3 2 3 2 2" xfId="15577" xr:uid="{00000000-0005-0000-0000-0000BB3C0000}"/>
    <cellStyle name="표준 23 9 3 2 3 3" xfId="15578" xr:uid="{00000000-0005-0000-0000-0000BC3C0000}"/>
    <cellStyle name="표준 23 9 3 2 4" xfId="15579" xr:uid="{00000000-0005-0000-0000-0000BD3C0000}"/>
    <cellStyle name="표준 23 9 3 2 4 2" xfId="15580" xr:uid="{00000000-0005-0000-0000-0000BE3C0000}"/>
    <cellStyle name="표준 23 9 3 2 5" xfId="15581" xr:uid="{00000000-0005-0000-0000-0000BF3C0000}"/>
    <cellStyle name="표준 23 9 3 3" xfId="15582" xr:uid="{00000000-0005-0000-0000-0000C03C0000}"/>
    <cellStyle name="표준 23 9 3 3 2" xfId="15583" xr:uid="{00000000-0005-0000-0000-0000C13C0000}"/>
    <cellStyle name="표준 23 9 3 3 2 2" xfId="15584" xr:uid="{00000000-0005-0000-0000-0000C23C0000}"/>
    <cellStyle name="표준 23 9 3 3 2 2 2" xfId="15585" xr:uid="{00000000-0005-0000-0000-0000C33C0000}"/>
    <cellStyle name="표준 23 9 3 3 2 3" xfId="15586" xr:uid="{00000000-0005-0000-0000-0000C43C0000}"/>
    <cellStyle name="표준 23 9 3 3 3" xfId="15587" xr:uid="{00000000-0005-0000-0000-0000C53C0000}"/>
    <cellStyle name="표준 23 9 3 3 3 2" xfId="15588" xr:uid="{00000000-0005-0000-0000-0000C63C0000}"/>
    <cellStyle name="표준 23 9 3 3 4" xfId="15589" xr:uid="{00000000-0005-0000-0000-0000C73C0000}"/>
    <cellStyle name="표준 23 9 3 4" xfId="15590" xr:uid="{00000000-0005-0000-0000-0000C83C0000}"/>
    <cellStyle name="표준 23 9 3 4 2" xfId="15591" xr:uid="{00000000-0005-0000-0000-0000C93C0000}"/>
    <cellStyle name="표준 23 9 3 4 2 2" xfId="15592" xr:uid="{00000000-0005-0000-0000-0000CA3C0000}"/>
    <cellStyle name="표준 23 9 3 4 3" xfId="15593" xr:uid="{00000000-0005-0000-0000-0000CB3C0000}"/>
    <cellStyle name="표준 23 9 3 5" xfId="15594" xr:uid="{00000000-0005-0000-0000-0000CC3C0000}"/>
    <cellStyle name="표준 23 9 3 5 2" xfId="15595" xr:uid="{00000000-0005-0000-0000-0000CD3C0000}"/>
    <cellStyle name="표준 23 9 3 6" xfId="15596" xr:uid="{00000000-0005-0000-0000-0000CE3C0000}"/>
    <cellStyle name="표준 23 9 4" xfId="15597" xr:uid="{00000000-0005-0000-0000-0000CF3C0000}"/>
    <cellStyle name="표준 23 9 4 2" xfId="15598" xr:uid="{00000000-0005-0000-0000-0000D03C0000}"/>
    <cellStyle name="표준 23 9 4 2 2" xfId="15599" xr:uid="{00000000-0005-0000-0000-0000D13C0000}"/>
    <cellStyle name="표준 23 9 4 2 2 2" xfId="15600" xr:uid="{00000000-0005-0000-0000-0000D23C0000}"/>
    <cellStyle name="표준 23 9 4 2 2 2 2" xfId="15601" xr:uid="{00000000-0005-0000-0000-0000D33C0000}"/>
    <cellStyle name="표준 23 9 4 2 2 3" xfId="15602" xr:uid="{00000000-0005-0000-0000-0000D43C0000}"/>
    <cellStyle name="표준 23 9 4 2 3" xfId="15603" xr:uid="{00000000-0005-0000-0000-0000D53C0000}"/>
    <cellStyle name="표준 23 9 4 2 3 2" xfId="15604" xr:uid="{00000000-0005-0000-0000-0000D63C0000}"/>
    <cellStyle name="표준 23 9 4 2 4" xfId="15605" xr:uid="{00000000-0005-0000-0000-0000D73C0000}"/>
    <cellStyle name="표준 23 9 4 3" xfId="15606" xr:uid="{00000000-0005-0000-0000-0000D83C0000}"/>
    <cellStyle name="표준 23 9 4 3 2" xfId="15607" xr:uid="{00000000-0005-0000-0000-0000D93C0000}"/>
    <cellStyle name="표준 23 9 4 3 2 2" xfId="15608" xr:uid="{00000000-0005-0000-0000-0000DA3C0000}"/>
    <cellStyle name="표준 23 9 4 3 3" xfId="15609" xr:uid="{00000000-0005-0000-0000-0000DB3C0000}"/>
    <cellStyle name="표준 23 9 4 4" xfId="15610" xr:uid="{00000000-0005-0000-0000-0000DC3C0000}"/>
    <cellStyle name="표준 23 9 4 4 2" xfId="15611" xr:uid="{00000000-0005-0000-0000-0000DD3C0000}"/>
    <cellStyle name="표준 23 9 4 5" xfId="15612" xr:uid="{00000000-0005-0000-0000-0000DE3C0000}"/>
    <cellStyle name="표준 23 9 5" xfId="15613" xr:uid="{00000000-0005-0000-0000-0000DF3C0000}"/>
    <cellStyle name="표준 23 9 5 2" xfId="15614" xr:uid="{00000000-0005-0000-0000-0000E03C0000}"/>
    <cellStyle name="표준 23 9 5 2 2" xfId="15615" xr:uid="{00000000-0005-0000-0000-0000E13C0000}"/>
    <cellStyle name="표준 23 9 5 2 2 2" xfId="15616" xr:uid="{00000000-0005-0000-0000-0000E23C0000}"/>
    <cellStyle name="표준 23 9 5 2 3" xfId="15617" xr:uid="{00000000-0005-0000-0000-0000E33C0000}"/>
    <cellStyle name="표준 23 9 5 3" xfId="15618" xr:uid="{00000000-0005-0000-0000-0000E43C0000}"/>
    <cellStyle name="표준 23 9 5 3 2" xfId="15619" xr:uid="{00000000-0005-0000-0000-0000E53C0000}"/>
    <cellStyle name="표준 23 9 5 4" xfId="15620" xr:uid="{00000000-0005-0000-0000-0000E63C0000}"/>
    <cellStyle name="표준 23 9 6" xfId="15621" xr:uid="{00000000-0005-0000-0000-0000E73C0000}"/>
    <cellStyle name="표준 23 9 6 2" xfId="15622" xr:uid="{00000000-0005-0000-0000-0000E83C0000}"/>
    <cellStyle name="표준 23 9 6 2 2" xfId="15623" xr:uid="{00000000-0005-0000-0000-0000E93C0000}"/>
    <cellStyle name="표준 23 9 6 3" xfId="15624" xr:uid="{00000000-0005-0000-0000-0000EA3C0000}"/>
    <cellStyle name="표준 23 9 7" xfId="15625" xr:uid="{00000000-0005-0000-0000-0000EB3C0000}"/>
    <cellStyle name="표준 23 9 7 2" xfId="15626" xr:uid="{00000000-0005-0000-0000-0000EC3C0000}"/>
    <cellStyle name="표준 23 9 8" xfId="15627" xr:uid="{00000000-0005-0000-0000-0000ED3C0000}"/>
    <cellStyle name="표준 23 9 9" xfId="15628" xr:uid="{00000000-0005-0000-0000-0000EE3C0000}"/>
    <cellStyle name="표준 24" xfId="26" xr:uid="{00000000-0005-0000-0000-0000EF3C0000}"/>
    <cellStyle name="표준 24 2" xfId="48" xr:uid="{00000000-0005-0000-0000-0000F03C0000}"/>
    <cellStyle name="표준 24 3" xfId="15629" xr:uid="{00000000-0005-0000-0000-0000F13C0000}"/>
    <cellStyle name="표준 24 3 10" xfId="15630" xr:uid="{00000000-0005-0000-0000-0000F23C0000}"/>
    <cellStyle name="표준 24 3 10 2" xfId="15631" xr:uid="{00000000-0005-0000-0000-0000F33C0000}"/>
    <cellStyle name="표준 24 3 10 2 2" xfId="15632" xr:uid="{00000000-0005-0000-0000-0000F43C0000}"/>
    <cellStyle name="표준 24 3 10 2 2 2" xfId="15633" xr:uid="{00000000-0005-0000-0000-0000F53C0000}"/>
    <cellStyle name="표준 24 3 10 2 2 2 2" xfId="15634" xr:uid="{00000000-0005-0000-0000-0000F63C0000}"/>
    <cellStyle name="표준 24 3 10 2 2 3" xfId="15635" xr:uid="{00000000-0005-0000-0000-0000F73C0000}"/>
    <cellStyle name="표준 24 3 10 2 3" xfId="15636" xr:uid="{00000000-0005-0000-0000-0000F83C0000}"/>
    <cellStyle name="표준 24 3 10 2 3 2" xfId="15637" xr:uid="{00000000-0005-0000-0000-0000F93C0000}"/>
    <cellStyle name="표준 24 3 10 2 4" xfId="15638" xr:uid="{00000000-0005-0000-0000-0000FA3C0000}"/>
    <cellStyle name="표준 24 3 10 3" xfId="15639" xr:uid="{00000000-0005-0000-0000-0000FB3C0000}"/>
    <cellStyle name="표준 24 3 10 3 2" xfId="15640" xr:uid="{00000000-0005-0000-0000-0000FC3C0000}"/>
    <cellStyle name="표준 24 3 10 3 2 2" xfId="15641" xr:uid="{00000000-0005-0000-0000-0000FD3C0000}"/>
    <cellStyle name="표준 24 3 10 3 3" xfId="15642" xr:uid="{00000000-0005-0000-0000-0000FE3C0000}"/>
    <cellStyle name="표준 24 3 10 4" xfId="15643" xr:uid="{00000000-0005-0000-0000-0000FF3C0000}"/>
    <cellStyle name="표준 24 3 10 4 2" xfId="15644" xr:uid="{00000000-0005-0000-0000-0000003D0000}"/>
    <cellStyle name="표준 24 3 10 5" xfId="15645" xr:uid="{00000000-0005-0000-0000-0000013D0000}"/>
    <cellStyle name="표준 24 3 11" xfId="15646" xr:uid="{00000000-0005-0000-0000-0000023D0000}"/>
    <cellStyle name="표준 24 3 11 2" xfId="15647" xr:uid="{00000000-0005-0000-0000-0000033D0000}"/>
    <cellStyle name="표준 24 3 11 2 2" xfId="15648" xr:uid="{00000000-0005-0000-0000-0000043D0000}"/>
    <cellStyle name="표준 24 3 11 2 2 2" xfId="15649" xr:uid="{00000000-0005-0000-0000-0000053D0000}"/>
    <cellStyle name="표준 24 3 11 2 3" xfId="15650" xr:uid="{00000000-0005-0000-0000-0000063D0000}"/>
    <cellStyle name="표준 24 3 11 3" xfId="15651" xr:uid="{00000000-0005-0000-0000-0000073D0000}"/>
    <cellStyle name="표준 24 3 11 3 2" xfId="15652" xr:uid="{00000000-0005-0000-0000-0000083D0000}"/>
    <cellStyle name="표준 24 3 11 4" xfId="15653" xr:uid="{00000000-0005-0000-0000-0000093D0000}"/>
    <cellStyle name="표준 24 3 12" xfId="15654" xr:uid="{00000000-0005-0000-0000-00000A3D0000}"/>
    <cellStyle name="표준 24 3 12 2" xfId="15655" xr:uid="{00000000-0005-0000-0000-00000B3D0000}"/>
    <cellStyle name="표준 24 3 12 2 2" xfId="15656" xr:uid="{00000000-0005-0000-0000-00000C3D0000}"/>
    <cellStyle name="표준 24 3 12 3" xfId="15657" xr:uid="{00000000-0005-0000-0000-00000D3D0000}"/>
    <cellStyle name="표준 24 3 13" xfId="15658" xr:uid="{00000000-0005-0000-0000-00000E3D0000}"/>
    <cellStyle name="표준 24 3 13 2" xfId="15659" xr:uid="{00000000-0005-0000-0000-00000F3D0000}"/>
    <cellStyle name="표준 24 3 14" xfId="15660" xr:uid="{00000000-0005-0000-0000-0000103D0000}"/>
    <cellStyle name="표준 24 3 15" xfId="15661" xr:uid="{00000000-0005-0000-0000-0000113D0000}"/>
    <cellStyle name="표준 24 3 2" xfId="15662" xr:uid="{00000000-0005-0000-0000-0000123D0000}"/>
    <cellStyle name="표준 24 3 2 10" xfId="15663" xr:uid="{00000000-0005-0000-0000-0000133D0000}"/>
    <cellStyle name="표준 24 3 2 10 2" xfId="15664" xr:uid="{00000000-0005-0000-0000-0000143D0000}"/>
    <cellStyle name="표준 24 3 2 11" xfId="15665" xr:uid="{00000000-0005-0000-0000-0000153D0000}"/>
    <cellStyle name="표준 24 3 2 12" xfId="15666" xr:uid="{00000000-0005-0000-0000-0000163D0000}"/>
    <cellStyle name="표준 24 3 2 2" xfId="15667" xr:uid="{00000000-0005-0000-0000-0000173D0000}"/>
    <cellStyle name="표준 24 3 2 2 10" xfId="15668" xr:uid="{00000000-0005-0000-0000-0000183D0000}"/>
    <cellStyle name="표준 24 3 2 2 11" xfId="15669" xr:uid="{00000000-0005-0000-0000-0000193D0000}"/>
    <cellStyle name="표준 24 3 2 2 2" xfId="15670" xr:uid="{00000000-0005-0000-0000-00001A3D0000}"/>
    <cellStyle name="표준 24 3 2 2 2 10" xfId="15671" xr:uid="{00000000-0005-0000-0000-00001B3D0000}"/>
    <cellStyle name="표준 24 3 2 2 2 2" xfId="15672" xr:uid="{00000000-0005-0000-0000-00001C3D0000}"/>
    <cellStyle name="표준 24 3 2 2 2 2 2" xfId="15673" xr:uid="{00000000-0005-0000-0000-00001D3D0000}"/>
    <cellStyle name="표준 24 3 2 2 2 2 2 2" xfId="15674" xr:uid="{00000000-0005-0000-0000-00001E3D0000}"/>
    <cellStyle name="표준 24 3 2 2 2 2 2 2 2" xfId="15675" xr:uid="{00000000-0005-0000-0000-00001F3D0000}"/>
    <cellStyle name="표준 24 3 2 2 2 2 2 2 2 2" xfId="15676" xr:uid="{00000000-0005-0000-0000-0000203D0000}"/>
    <cellStyle name="표준 24 3 2 2 2 2 2 2 2 2 2" xfId="15677" xr:uid="{00000000-0005-0000-0000-0000213D0000}"/>
    <cellStyle name="표준 24 3 2 2 2 2 2 2 2 2 2 2" xfId="15678" xr:uid="{00000000-0005-0000-0000-0000223D0000}"/>
    <cellStyle name="표준 24 3 2 2 2 2 2 2 2 2 2 2 2" xfId="15679" xr:uid="{00000000-0005-0000-0000-0000233D0000}"/>
    <cellStyle name="표준 24 3 2 2 2 2 2 2 2 2 2 3" xfId="15680" xr:uid="{00000000-0005-0000-0000-0000243D0000}"/>
    <cellStyle name="표준 24 3 2 2 2 2 2 2 2 2 3" xfId="15681" xr:uid="{00000000-0005-0000-0000-0000253D0000}"/>
    <cellStyle name="표준 24 3 2 2 2 2 2 2 2 2 3 2" xfId="15682" xr:uid="{00000000-0005-0000-0000-0000263D0000}"/>
    <cellStyle name="표준 24 3 2 2 2 2 2 2 2 2 4" xfId="15683" xr:uid="{00000000-0005-0000-0000-0000273D0000}"/>
    <cellStyle name="표준 24 3 2 2 2 2 2 2 2 3" xfId="15684" xr:uid="{00000000-0005-0000-0000-0000283D0000}"/>
    <cellStyle name="표준 24 3 2 2 2 2 2 2 2 3 2" xfId="15685" xr:uid="{00000000-0005-0000-0000-0000293D0000}"/>
    <cellStyle name="표준 24 3 2 2 2 2 2 2 2 3 2 2" xfId="15686" xr:uid="{00000000-0005-0000-0000-00002A3D0000}"/>
    <cellStyle name="표준 24 3 2 2 2 2 2 2 2 3 3" xfId="15687" xr:uid="{00000000-0005-0000-0000-00002B3D0000}"/>
    <cellStyle name="표준 24 3 2 2 2 2 2 2 2 4" xfId="15688" xr:uid="{00000000-0005-0000-0000-00002C3D0000}"/>
    <cellStyle name="표준 24 3 2 2 2 2 2 2 2 4 2" xfId="15689" xr:uid="{00000000-0005-0000-0000-00002D3D0000}"/>
    <cellStyle name="표준 24 3 2 2 2 2 2 2 2 5" xfId="15690" xr:uid="{00000000-0005-0000-0000-00002E3D0000}"/>
    <cellStyle name="표준 24 3 2 2 2 2 2 2 3" xfId="15691" xr:uid="{00000000-0005-0000-0000-00002F3D0000}"/>
    <cellStyle name="표준 24 3 2 2 2 2 2 2 3 2" xfId="15692" xr:uid="{00000000-0005-0000-0000-0000303D0000}"/>
    <cellStyle name="표준 24 3 2 2 2 2 2 2 3 2 2" xfId="15693" xr:uid="{00000000-0005-0000-0000-0000313D0000}"/>
    <cellStyle name="표준 24 3 2 2 2 2 2 2 3 2 2 2" xfId="15694" xr:uid="{00000000-0005-0000-0000-0000323D0000}"/>
    <cellStyle name="표준 24 3 2 2 2 2 2 2 3 2 3" xfId="15695" xr:uid="{00000000-0005-0000-0000-0000333D0000}"/>
    <cellStyle name="표준 24 3 2 2 2 2 2 2 3 3" xfId="15696" xr:uid="{00000000-0005-0000-0000-0000343D0000}"/>
    <cellStyle name="표준 24 3 2 2 2 2 2 2 3 3 2" xfId="15697" xr:uid="{00000000-0005-0000-0000-0000353D0000}"/>
    <cellStyle name="표준 24 3 2 2 2 2 2 2 3 4" xfId="15698" xr:uid="{00000000-0005-0000-0000-0000363D0000}"/>
    <cellStyle name="표준 24 3 2 2 2 2 2 2 4" xfId="15699" xr:uid="{00000000-0005-0000-0000-0000373D0000}"/>
    <cellStyle name="표준 24 3 2 2 2 2 2 2 4 2" xfId="15700" xr:uid="{00000000-0005-0000-0000-0000383D0000}"/>
    <cellStyle name="표준 24 3 2 2 2 2 2 2 4 2 2" xfId="15701" xr:uid="{00000000-0005-0000-0000-0000393D0000}"/>
    <cellStyle name="표준 24 3 2 2 2 2 2 2 4 3" xfId="15702" xr:uid="{00000000-0005-0000-0000-00003A3D0000}"/>
    <cellStyle name="표준 24 3 2 2 2 2 2 2 5" xfId="15703" xr:uid="{00000000-0005-0000-0000-00003B3D0000}"/>
    <cellStyle name="표준 24 3 2 2 2 2 2 2 5 2" xfId="15704" xr:uid="{00000000-0005-0000-0000-00003C3D0000}"/>
    <cellStyle name="표준 24 3 2 2 2 2 2 2 6" xfId="15705" xr:uid="{00000000-0005-0000-0000-00003D3D0000}"/>
    <cellStyle name="표준 24 3 2 2 2 2 2 3" xfId="15706" xr:uid="{00000000-0005-0000-0000-00003E3D0000}"/>
    <cellStyle name="표준 24 3 2 2 2 2 2 3 2" xfId="15707" xr:uid="{00000000-0005-0000-0000-00003F3D0000}"/>
    <cellStyle name="표준 24 3 2 2 2 2 2 3 2 2" xfId="15708" xr:uid="{00000000-0005-0000-0000-0000403D0000}"/>
    <cellStyle name="표준 24 3 2 2 2 2 2 3 2 2 2" xfId="15709" xr:uid="{00000000-0005-0000-0000-0000413D0000}"/>
    <cellStyle name="표준 24 3 2 2 2 2 2 3 2 2 2 2" xfId="15710" xr:uid="{00000000-0005-0000-0000-0000423D0000}"/>
    <cellStyle name="표준 24 3 2 2 2 2 2 3 2 2 3" xfId="15711" xr:uid="{00000000-0005-0000-0000-0000433D0000}"/>
    <cellStyle name="표준 24 3 2 2 2 2 2 3 2 3" xfId="15712" xr:uid="{00000000-0005-0000-0000-0000443D0000}"/>
    <cellStyle name="표준 24 3 2 2 2 2 2 3 2 3 2" xfId="15713" xr:uid="{00000000-0005-0000-0000-0000453D0000}"/>
    <cellStyle name="표준 24 3 2 2 2 2 2 3 2 4" xfId="15714" xr:uid="{00000000-0005-0000-0000-0000463D0000}"/>
    <cellStyle name="표준 24 3 2 2 2 2 2 3 3" xfId="15715" xr:uid="{00000000-0005-0000-0000-0000473D0000}"/>
    <cellStyle name="표준 24 3 2 2 2 2 2 3 3 2" xfId="15716" xr:uid="{00000000-0005-0000-0000-0000483D0000}"/>
    <cellStyle name="표준 24 3 2 2 2 2 2 3 3 2 2" xfId="15717" xr:uid="{00000000-0005-0000-0000-0000493D0000}"/>
    <cellStyle name="표준 24 3 2 2 2 2 2 3 3 3" xfId="15718" xr:uid="{00000000-0005-0000-0000-00004A3D0000}"/>
    <cellStyle name="표준 24 3 2 2 2 2 2 3 4" xfId="15719" xr:uid="{00000000-0005-0000-0000-00004B3D0000}"/>
    <cellStyle name="표준 24 3 2 2 2 2 2 3 4 2" xfId="15720" xr:uid="{00000000-0005-0000-0000-00004C3D0000}"/>
    <cellStyle name="표준 24 3 2 2 2 2 2 3 5" xfId="15721" xr:uid="{00000000-0005-0000-0000-00004D3D0000}"/>
    <cellStyle name="표준 24 3 2 2 2 2 2 4" xfId="15722" xr:uid="{00000000-0005-0000-0000-00004E3D0000}"/>
    <cellStyle name="표준 24 3 2 2 2 2 2 4 2" xfId="15723" xr:uid="{00000000-0005-0000-0000-00004F3D0000}"/>
    <cellStyle name="표준 24 3 2 2 2 2 2 4 2 2" xfId="15724" xr:uid="{00000000-0005-0000-0000-0000503D0000}"/>
    <cellStyle name="표준 24 3 2 2 2 2 2 4 2 2 2" xfId="15725" xr:uid="{00000000-0005-0000-0000-0000513D0000}"/>
    <cellStyle name="표준 24 3 2 2 2 2 2 4 2 3" xfId="15726" xr:uid="{00000000-0005-0000-0000-0000523D0000}"/>
    <cellStyle name="표준 24 3 2 2 2 2 2 4 3" xfId="15727" xr:uid="{00000000-0005-0000-0000-0000533D0000}"/>
    <cellStyle name="표준 24 3 2 2 2 2 2 4 3 2" xfId="15728" xr:uid="{00000000-0005-0000-0000-0000543D0000}"/>
    <cellStyle name="표준 24 3 2 2 2 2 2 4 4" xfId="15729" xr:uid="{00000000-0005-0000-0000-0000553D0000}"/>
    <cellStyle name="표준 24 3 2 2 2 2 2 5" xfId="15730" xr:uid="{00000000-0005-0000-0000-0000563D0000}"/>
    <cellStyle name="표준 24 3 2 2 2 2 2 5 2" xfId="15731" xr:uid="{00000000-0005-0000-0000-0000573D0000}"/>
    <cellStyle name="표준 24 3 2 2 2 2 2 5 2 2" xfId="15732" xr:uid="{00000000-0005-0000-0000-0000583D0000}"/>
    <cellStyle name="표준 24 3 2 2 2 2 2 5 3" xfId="15733" xr:uid="{00000000-0005-0000-0000-0000593D0000}"/>
    <cellStyle name="표준 24 3 2 2 2 2 2 6" xfId="15734" xr:uid="{00000000-0005-0000-0000-00005A3D0000}"/>
    <cellStyle name="표준 24 3 2 2 2 2 2 6 2" xfId="15735" xr:uid="{00000000-0005-0000-0000-00005B3D0000}"/>
    <cellStyle name="표준 24 3 2 2 2 2 2 7" xfId="15736" xr:uid="{00000000-0005-0000-0000-00005C3D0000}"/>
    <cellStyle name="표준 24 3 2 2 2 2 2 8" xfId="15737" xr:uid="{00000000-0005-0000-0000-00005D3D0000}"/>
    <cellStyle name="표준 24 3 2 2 2 2 3" xfId="15738" xr:uid="{00000000-0005-0000-0000-00005E3D0000}"/>
    <cellStyle name="표준 24 3 2 2 2 2 3 2" xfId="15739" xr:uid="{00000000-0005-0000-0000-00005F3D0000}"/>
    <cellStyle name="표준 24 3 2 2 2 2 3 2 2" xfId="15740" xr:uid="{00000000-0005-0000-0000-0000603D0000}"/>
    <cellStyle name="표준 24 3 2 2 2 2 3 2 2 2" xfId="15741" xr:uid="{00000000-0005-0000-0000-0000613D0000}"/>
    <cellStyle name="표준 24 3 2 2 2 2 3 2 2 2 2" xfId="15742" xr:uid="{00000000-0005-0000-0000-0000623D0000}"/>
    <cellStyle name="표준 24 3 2 2 2 2 3 2 2 2 2 2" xfId="15743" xr:uid="{00000000-0005-0000-0000-0000633D0000}"/>
    <cellStyle name="표준 24 3 2 2 2 2 3 2 2 2 3" xfId="15744" xr:uid="{00000000-0005-0000-0000-0000643D0000}"/>
    <cellStyle name="표준 24 3 2 2 2 2 3 2 2 3" xfId="15745" xr:uid="{00000000-0005-0000-0000-0000653D0000}"/>
    <cellStyle name="표준 24 3 2 2 2 2 3 2 2 3 2" xfId="15746" xr:uid="{00000000-0005-0000-0000-0000663D0000}"/>
    <cellStyle name="표준 24 3 2 2 2 2 3 2 2 4" xfId="15747" xr:uid="{00000000-0005-0000-0000-0000673D0000}"/>
    <cellStyle name="표준 24 3 2 2 2 2 3 2 3" xfId="15748" xr:uid="{00000000-0005-0000-0000-0000683D0000}"/>
    <cellStyle name="표준 24 3 2 2 2 2 3 2 3 2" xfId="15749" xr:uid="{00000000-0005-0000-0000-0000693D0000}"/>
    <cellStyle name="표준 24 3 2 2 2 2 3 2 3 2 2" xfId="15750" xr:uid="{00000000-0005-0000-0000-00006A3D0000}"/>
    <cellStyle name="표준 24 3 2 2 2 2 3 2 3 3" xfId="15751" xr:uid="{00000000-0005-0000-0000-00006B3D0000}"/>
    <cellStyle name="표준 24 3 2 2 2 2 3 2 4" xfId="15752" xr:uid="{00000000-0005-0000-0000-00006C3D0000}"/>
    <cellStyle name="표준 24 3 2 2 2 2 3 2 4 2" xfId="15753" xr:uid="{00000000-0005-0000-0000-00006D3D0000}"/>
    <cellStyle name="표준 24 3 2 2 2 2 3 2 5" xfId="15754" xr:uid="{00000000-0005-0000-0000-00006E3D0000}"/>
    <cellStyle name="표준 24 3 2 2 2 2 3 3" xfId="15755" xr:uid="{00000000-0005-0000-0000-00006F3D0000}"/>
    <cellStyle name="표준 24 3 2 2 2 2 3 3 2" xfId="15756" xr:uid="{00000000-0005-0000-0000-0000703D0000}"/>
    <cellStyle name="표준 24 3 2 2 2 2 3 3 2 2" xfId="15757" xr:uid="{00000000-0005-0000-0000-0000713D0000}"/>
    <cellStyle name="표준 24 3 2 2 2 2 3 3 2 2 2" xfId="15758" xr:uid="{00000000-0005-0000-0000-0000723D0000}"/>
    <cellStyle name="표준 24 3 2 2 2 2 3 3 2 3" xfId="15759" xr:uid="{00000000-0005-0000-0000-0000733D0000}"/>
    <cellStyle name="표준 24 3 2 2 2 2 3 3 3" xfId="15760" xr:uid="{00000000-0005-0000-0000-0000743D0000}"/>
    <cellStyle name="표준 24 3 2 2 2 2 3 3 3 2" xfId="15761" xr:uid="{00000000-0005-0000-0000-0000753D0000}"/>
    <cellStyle name="표준 24 3 2 2 2 2 3 3 4" xfId="15762" xr:uid="{00000000-0005-0000-0000-0000763D0000}"/>
    <cellStyle name="표준 24 3 2 2 2 2 3 4" xfId="15763" xr:uid="{00000000-0005-0000-0000-0000773D0000}"/>
    <cellStyle name="표준 24 3 2 2 2 2 3 4 2" xfId="15764" xr:uid="{00000000-0005-0000-0000-0000783D0000}"/>
    <cellStyle name="표준 24 3 2 2 2 2 3 4 2 2" xfId="15765" xr:uid="{00000000-0005-0000-0000-0000793D0000}"/>
    <cellStyle name="표준 24 3 2 2 2 2 3 4 3" xfId="15766" xr:uid="{00000000-0005-0000-0000-00007A3D0000}"/>
    <cellStyle name="표준 24 3 2 2 2 2 3 5" xfId="15767" xr:uid="{00000000-0005-0000-0000-00007B3D0000}"/>
    <cellStyle name="표준 24 3 2 2 2 2 3 5 2" xfId="15768" xr:uid="{00000000-0005-0000-0000-00007C3D0000}"/>
    <cellStyle name="표준 24 3 2 2 2 2 3 6" xfId="15769" xr:uid="{00000000-0005-0000-0000-00007D3D0000}"/>
    <cellStyle name="표준 24 3 2 2 2 2 4" xfId="15770" xr:uid="{00000000-0005-0000-0000-00007E3D0000}"/>
    <cellStyle name="표준 24 3 2 2 2 2 4 2" xfId="15771" xr:uid="{00000000-0005-0000-0000-00007F3D0000}"/>
    <cellStyle name="표준 24 3 2 2 2 2 4 2 2" xfId="15772" xr:uid="{00000000-0005-0000-0000-0000803D0000}"/>
    <cellStyle name="표준 24 3 2 2 2 2 4 2 2 2" xfId="15773" xr:uid="{00000000-0005-0000-0000-0000813D0000}"/>
    <cellStyle name="표준 24 3 2 2 2 2 4 2 2 2 2" xfId="15774" xr:uid="{00000000-0005-0000-0000-0000823D0000}"/>
    <cellStyle name="표준 24 3 2 2 2 2 4 2 2 3" xfId="15775" xr:uid="{00000000-0005-0000-0000-0000833D0000}"/>
    <cellStyle name="표준 24 3 2 2 2 2 4 2 3" xfId="15776" xr:uid="{00000000-0005-0000-0000-0000843D0000}"/>
    <cellStyle name="표준 24 3 2 2 2 2 4 2 3 2" xfId="15777" xr:uid="{00000000-0005-0000-0000-0000853D0000}"/>
    <cellStyle name="표준 24 3 2 2 2 2 4 2 4" xfId="15778" xr:uid="{00000000-0005-0000-0000-0000863D0000}"/>
    <cellStyle name="표준 24 3 2 2 2 2 4 3" xfId="15779" xr:uid="{00000000-0005-0000-0000-0000873D0000}"/>
    <cellStyle name="표준 24 3 2 2 2 2 4 3 2" xfId="15780" xr:uid="{00000000-0005-0000-0000-0000883D0000}"/>
    <cellStyle name="표준 24 3 2 2 2 2 4 3 2 2" xfId="15781" xr:uid="{00000000-0005-0000-0000-0000893D0000}"/>
    <cellStyle name="표준 24 3 2 2 2 2 4 3 3" xfId="15782" xr:uid="{00000000-0005-0000-0000-00008A3D0000}"/>
    <cellStyle name="표준 24 3 2 2 2 2 4 4" xfId="15783" xr:uid="{00000000-0005-0000-0000-00008B3D0000}"/>
    <cellStyle name="표준 24 3 2 2 2 2 4 4 2" xfId="15784" xr:uid="{00000000-0005-0000-0000-00008C3D0000}"/>
    <cellStyle name="표준 24 3 2 2 2 2 4 5" xfId="15785" xr:uid="{00000000-0005-0000-0000-00008D3D0000}"/>
    <cellStyle name="표준 24 3 2 2 2 2 5" xfId="15786" xr:uid="{00000000-0005-0000-0000-00008E3D0000}"/>
    <cellStyle name="표준 24 3 2 2 2 2 5 2" xfId="15787" xr:uid="{00000000-0005-0000-0000-00008F3D0000}"/>
    <cellStyle name="표준 24 3 2 2 2 2 5 2 2" xfId="15788" xr:uid="{00000000-0005-0000-0000-0000903D0000}"/>
    <cellStyle name="표준 24 3 2 2 2 2 5 2 2 2" xfId="15789" xr:uid="{00000000-0005-0000-0000-0000913D0000}"/>
    <cellStyle name="표준 24 3 2 2 2 2 5 2 3" xfId="15790" xr:uid="{00000000-0005-0000-0000-0000923D0000}"/>
    <cellStyle name="표준 24 3 2 2 2 2 5 3" xfId="15791" xr:uid="{00000000-0005-0000-0000-0000933D0000}"/>
    <cellStyle name="표준 24 3 2 2 2 2 5 3 2" xfId="15792" xr:uid="{00000000-0005-0000-0000-0000943D0000}"/>
    <cellStyle name="표준 24 3 2 2 2 2 5 4" xfId="15793" xr:uid="{00000000-0005-0000-0000-0000953D0000}"/>
    <cellStyle name="표준 24 3 2 2 2 2 6" xfId="15794" xr:uid="{00000000-0005-0000-0000-0000963D0000}"/>
    <cellStyle name="표준 24 3 2 2 2 2 6 2" xfId="15795" xr:uid="{00000000-0005-0000-0000-0000973D0000}"/>
    <cellStyle name="표준 24 3 2 2 2 2 6 2 2" xfId="15796" xr:uid="{00000000-0005-0000-0000-0000983D0000}"/>
    <cellStyle name="표준 24 3 2 2 2 2 6 3" xfId="15797" xr:uid="{00000000-0005-0000-0000-0000993D0000}"/>
    <cellStyle name="표준 24 3 2 2 2 2 7" xfId="15798" xr:uid="{00000000-0005-0000-0000-00009A3D0000}"/>
    <cellStyle name="표준 24 3 2 2 2 2 7 2" xfId="15799" xr:uid="{00000000-0005-0000-0000-00009B3D0000}"/>
    <cellStyle name="표준 24 3 2 2 2 2 8" xfId="15800" xr:uid="{00000000-0005-0000-0000-00009C3D0000}"/>
    <cellStyle name="표준 24 3 2 2 2 2 9" xfId="15801" xr:uid="{00000000-0005-0000-0000-00009D3D0000}"/>
    <cellStyle name="표준 24 3 2 2 2 3" xfId="15802" xr:uid="{00000000-0005-0000-0000-00009E3D0000}"/>
    <cellStyle name="표준 24 3 2 2 2 3 2" xfId="15803" xr:uid="{00000000-0005-0000-0000-00009F3D0000}"/>
    <cellStyle name="표준 24 3 2 2 2 3 2 2" xfId="15804" xr:uid="{00000000-0005-0000-0000-0000A03D0000}"/>
    <cellStyle name="표준 24 3 2 2 2 3 2 2 2" xfId="15805" xr:uid="{00000000-0005-0000-0000-0000A13D0000}"/>
    <cellStyle name="표준 24 3 2 2 2 3 2 2 2 2" xfId="15806" xr:uid="{00000000-0005-0000-0000-0000A23D0000}"/>
    <cellStyle name="표준 24 3 2 2 2 3 2 2 2 2 2" xfId="15807" xr:uid="{00000000-0005-0000-0000-0000A33D0000}"/>
    <cellStyle name="표준 24 3 2 2 2 3 2 2 2 2 2 2" xfId="15808" xr:uid="{00000000-0005-0000-0000-0000A43D0000}"/>
    <cellStyle name="표준 24 3 2 2 2 3 2 2 2 2 3" xfId="15809" xr:uid="{00000000-0005-0000-0000-0000A53D0000}"/>
    <cellStyle name="표준 24 3 2 2 2 3 2 2 2 3" xfId="15810" xr:uid="{00000000-0005-0000-0000-0000A63D0000}"/>
    <cellStyle name="표준 24 3 2 2 2 3 2 2 2 3 2" xfId="15811" xr:uid="{00000000-0005-0000-0000-0000A73D0000}"/>
    <cellStyle name="표준 24 3 2 2 2 3 2 2 2 4" xfId="15812" xr:uid="{00000000-0005-0000-0000-0000A83D0000}"/>
    <cellStyle name="표준 24 3 2 2 2 3 2 2 3" xfId="15813" xr:uid="{00000000-0005-0000-0000-0000A93D0000}"/>
    <cellStyle name="표준 24 3 2 2 2 3 2 2 3 2" xfId="15814" xr:uid="{00000000-0005-0000-0000-0000AA3D0000}"/>
    <cellStyle name="표준 24 3 2 2 2 3 2 2 3 2 2" xfId="15815" xr:uid="{00000000-0005-0000-0000-0000AB3D0000}"/>
    <cellStyle name="표준 24 3 2 2 2 3 2 2 3 3" xfId="15816" xr:uid="{00000000-0005-0000-0000-0000AC3D0000}"/>
    <cellStyle name="표준 24 3 2 2 2 3 2 2 4" xfId="15817" xr:uid="{00000000-0005-0000-0000-0000AD3D0000}"/>
    <cellStyle name="표준 24 3 2 2 2 3 2 2 4 2" xfId="15818" xr:uid="{00000000-0005-0000-0000-0000AE3D0000}"/>
    <cellStyle name="표준 24 3 2 2 2 3 2 2 5" xfId="15819" xr:uid="{00000000-0005-0000-0000-0000AF3D0000}"/>
    <cellStyle name="표준 24 3 2 2 2 3 2 3" xfId="15820" xr:uid="{00000000-0005-0000-0000-0000B03D0000}"/>
    <cellStyle name="표준 24 3 2 2 2 3 2 3 2" xfId="15821" xr:uid="{00000000-0005-0000-0000-0000B13D0000}"/>
    <cellStyle name="표준 24 3 2 2 2 3 2 3 2 2" xfId="15822" xr:uid="{00000000-0005-0000-0000-0000B23D0000}"/>
    <cellStyle name="표준 24 3 2 2 2 3 2 3 2 2 2" xfId="15823" xr:uid="{00000000-0005-0000-0000-0000B33D0000}"/>
    <cellStyle name="표준 24 3 2 2 2 3 2 3 2 3" xfId="15824" xr:uid="{00000000-0005-0000-0000-0000B43D0000}"/>
    <cellStyle name="표준 24 3 2 2 2 3 2 3 3" xfId="15825" xr:uid="{00000000-0005-0000-0000-0000B53D0000}"/>
    <cellStyle name="표준 24 3 2 2 2 3 2 3 3 2" xfId="15826" xr:uid="{00000000-0005-0000-0000-0000B63D0000}"/>
    <cellStyle name="표준 24 3 2 2 2 3 2 3 4" xfId="15827" xr:uid="{00000000-0005-0000-0000-0000B73D0000}"/>
    <cellStyle name="표준 24 3 2 2 2 3 2 4" xfId="15828" xr:uid="{00000000-0005-0000-0000-0000B83D0000}"/>
    <cellStyle name="표준 24 3 2 2 2 3 2 4 2" xfId="15829" xr:uid="{00000000-0005-0000-0000-0000B93D0000}"/>
    <cellStyle name="표준 24 3 2 2 2 3 2 4 2 2" xfId="15830" xr:uid="{00000000-0005-0000-0000-0000BA3D0000}"/>
    <cellStyle name="표준 24 3 2 2 2 3 2 4 3" xfId="15831" xr:uid="{00000000-0005-0000-0000-0000BB3D0000}"/>
    <cellStyle name="표준 24 3 2 2 2 3 2 5" xfId="15832" xr:uid="{00000000-0005-0000-0000-0000BC3D0000}"/>
    <cellStyle name="표준 24 3 2 2 2 3 2 5 2" xfId="15833" xr:uid="{00000000-0005-0000-0000-0000BD3D0000}"/>
    <cellStyle name="표준 24 3 2 2 2 3 2 6" xfId="15834" xr:uid="{00000000-0005-0000-0000-0000BE3D0000}"/>
    <cellStyle name="표준 24 3 2 2 2 3 3" xfId="15835" xr:uid="{00000000-0005-0000-0000-0000BF3D0000}"/>
    <cellStyle name="표준 24 3 2 2 2 3 3 2" xfId="15836" xr:uid="{00000000-0005-0000-0000-0000C03D0000}"/>
    <cellStyle name="표준 24 3 2 2 2 3 3 2 2" xfId="15837" xr:uid="{00000000-0005-0000-0000-0000C13D0000}"/>
    <cellStyle name="표준 24 3 2 2 2 3 3 2 2 2" xfId="15838" xr:uid="{00000000-0005-0000-0000-0000C23D0000}"/>
    <cellStyle name="표준 24 3 2 2 2 3 3 2 2 2 2" xfId="15839" xr:uid="{00000000-0005-0000-0000-0000C33D0000}"/>
    <cellStyle name="표준 24 3 2 2 2 3 3 2 2 3" xfId="15840" xr:uid="{00000000-0005-0000-0000-0000C43D0000}"/>
    <cellStyle name="표준 24 3 2 2 2 3 3 2 3" xfId="15841" xr:uid="{00000000-0005-0000-0000-0000C53D0000}"/>
    <cellStyle name="표준 24 3 2 2 2 3 3 2 3 2" xfId="15842" xr:uid="{00000000-0005-0000-0000-0000C63D0000}"/>
    <cellStyle name="표준 24 3 2 2 2 3 3 2 4" xfId="15843" xr:uid="{00000000-0005-0000-0000-0000C73D0000}"/>
    <cellStyle name="표준 24 3 2 2 2 3 3 3" xfId="15844" xr:uid="{00000000-0005-0000-0000-0000C83D0000}"/>
    <cellStyle name="표준 24 3 2 2 2 3 3 3 2" xfId="15845" xr:uid="{00000000-0005-0000-0000-0000C93D0000}"/>
    <cellStyle name="표준 24 3 2 2 2 3 3 3 2 2" xfId="15846" xr:uid="{00000000-0005-0000-0000-0000CA3D0000}"/>
    <cellStyle name="표준 24 3 2 2 2 3 3 3 3" xfId="15847" xr:uid="{00000000-0005-0000-0000-0000CB3D0000}"/>
    <cellStyle name="표준 24 3 2 2 2 3 3 4" xfId="15848" xr:uid="{00000000-0005-0000-0000-0000CC3D0000}"/>
    <cellStyle name="표준 24 3 2 2 2 3 3 4 2" xfId="15849" xr:uid="{00000000-0005-0000-0000-0000CD3D0000}"/>
    <cellStyle name="표준 24 3 2 2 2 3 3 5" xfId="15850" xr:uid="{00000000-0005-0000-0000-0000CE3D0000}"/>
    <cellStyle name="표준 24 3 2 2 2 3 4" xfId="15851" xr:uid="{00000000-0005-0000-0000-0000CF3D0000}"/>
    <cellStyle name="표준 24 3 2 2 2 3 4 2" xfId="15852" xr:uid="{00000000-0005-0000-0000-0000D03D0000}"/>
    <cellStyle name="표준 24 3 2 2 2 3 4 2 2" xfId="15853" xr:uid="{00000000-0005-0000-0000-0000D13D0000}"/>
    <cellStyle name="표준 24 3 2 2 2 3 4 2 2 2" xfId="15854" xr:uid="{00000000-0005-0000-0000-0000D23D0000}"/>
    <cellStyle name="표준 24 3 2 2 2 3 4 2 3" xfId="15855" xr:uid="{00000000-0005-0000-0000-0000D33D0000}"/>
    <cellStyle name="표준 24 3 2 2 2 3 4 3" xfId="15856" xr:uid="{00000000-0005-0000-0000-0000D43D0000}"/>
    <cellStyle name="표준 24 3 2 2 2 3 4 3 2" xfId="15857" xr:uid="{00000000-0005-0000-0000-0000D53D0000}"/>
    <cellStyle name="표준 24 3 2 2 2 3 4 4" xfId="15858" xr:uid="{00000000-0005-0000-0000-0000D63D0000}"/>
    <cellStyle name="표준 24 3 2 2 2 3 5" xfId="15859" xr:uid="{00000000-0005-0000-0000-0000D73D0000}"/>
    <cellStyle name="표준 24 3 2 2 2 3 5 2" xfId="15860" xr:uid="{00000000-0005-0000-0000-0000D83D0000}"/>
    <cellStyle name="표준 24 3 2 2 2 3 5 2 2" xfId="15861" xr:uid="{00000000-0005-0000-0000-0000D93D0000}"/>
    <cellStyle name="표준 24 3 2 2 2 3 5 3" xfId="15862" xr:uid="{00000000-0005-0000-0000-0000DA3D0000}"/>
    <cellStyle name="표준 24 3 2 2 2 3 6" xfId="15863" xr:uid="{00000000-0005-0000-0000-0000DB3D0000}"/>
    <cellStyle name="표준 24 3 2 2 2 3 6 2" xfId="15864" xr:uid="{00000000-0005-0000-0000-0000DC3D0000}"/>
    <cellStyle name="표준 24 3 2 2 2 3 7" xfId="15865" xr:uid="{00000000-0005-0000-0000-0000DD3D0000}"/>
    <cellStyle name="표준 24 3 2 2 2 3 8" xfId="15866" xr:uid="{00000000-0005-0000-0000-0000DE3D0000}"/>
    <cellStyle name="표준 24 3 2 2 2 4" xfId="15867" xr:uid="{00000000-0005-0000-0000-0000DF3D0000}"/>
    <cellStyle name="표준 24 3 2 2 2 4 2" xfId="15868" xr:uid="{00000000-0005-0000-0000-0000E03D0000}"/>
    <cellStyle name="표준 24 3 2 2 2 4 2 2" xfId="15869" xr:uid="{00000000-0005-0000-0000-0000E13D0000}"/>
    <cellStyle name="표준 24 3 2 2 2 4 2 2 2" xfId="15870" xr:uid="{00000000-0005-0000-0000-0000E23D0000}"/>
    <cellStyle name="표준 24 3 2 2 2 4 2 2 2 2" xfId="15871" xr:uid="{00000000-0005-0000-0000-0000E33D0000}"/>
    <cellStyle name="표준 24 3 2 2 2 4 2 2 2 2 2" xfId="15872" xr:uid="{00000000-0005-0000-0000-0000E43D0000}"/>
    <cellStyle name="표준 24 3 2 2 2 4 2 2 2 3" xfId="15873" xr:uid="{00000000-0005-0000-0000-0000E53D0000}"/>
    <cellStyle name="표준 24 3 2 2 2 4 2 2 3" xfId="15874" xr:uid="{00000000-0005-0000-0000-0000E63D0000}"/>
    <cellStyle name="표준 24 3 2 2 2 4 2 2 3 2" xfId="15875" xr:uid="{00000000-0005-0000-0000-0000E73D0000}"/>
    <cellStyle name="표준 24 3 2 2 2 4 2 2 4" xfId="15876" xr:uid="{00000000-0005-0000-0000-0000E83D0000}"/>
    <cellStyle name="표준 24 3 2 2 2 4 2 3" xfId="15877" xr:uid="{00000000-0005-0000-0000-0000E93D0000}"/>
    <cellStyle name="표준 24 3 2 2 2 4 2 3 2" xfId="15878" xr:uid="{00000000-0005-0000-0000-0000EA3D0000}"/>
    <cellStyle name="표준 24 3 2 2 2 4 2 3 2 2" xfId="15879" xr:uid="{00000000-0005-0000-0000-0000EB3D0000}"/>
    <cellStyle name="표준 24 3 2 2 2 4 2 3 3" xfId="15880" xr:uid="{00000000-0005-0000-0000-0000EC3D0000}"/>
    <cellStyle name="표준 24 3 2 2 2 4 2 4" xfId="15881" xr:uid="{00000000-0005-0000-0000-0000ED3D0000}"/>
    <cellStyle name="표준 24 3 2 2 2 4 2 4 2" xfId="15882" xr:uid="{00000000-0005-0000-0000-0000EE3D0000}"/>
    <cellStyle name="표준 24 3 2 2 2 4 2 5" xfId="15883" xr:uid="{00000000-0005-0000-0000-0000EF3D0000}"/>
    <cellStyle name="표준 24 3 2 2 2 4 3" xfId="15884" xr:uid="{00000000-0005-0000-0000-0000F03D0000}"/>
    <cellStyle name="표준 24 3 2 2 2 4 3 2" xfId="15885" xr:uid="{00000000-0005-0000-0000-0000F13D0000}"/>
    <cellStyle name="표준 24 3 2 2 2 4 3 2 2" xfId="15886" xr:uid="{00000000-0005-0000-0000-0000F23D0000}"/>
    <cellStyle name="표준 24 3 2 2 2 4 3 2 2 2" xfId="15887" xr:uid="{00000000-0005-0000-0000-0000F33D0000}"/>
    <cellStyle name="표준 24 3 2 2 2 4 3 2 3" xfId="15888" xr:uid="{00000000-0005-0000-0000-0000F43D0000}"/>
    <cellStyle name="표준 24 3 2 2 2 4 3 3" xfId="15889" xr:uid="{00000000-0005-0000-0000-0000F53D0000}"/>
    <cellStyle name="표준 24 3 2 2 2 4 3 3 2" xfId="15890" xr:uid="{00000000-0005-0000-0000-0000F63D0000}"/>
    <cellStyle name="표준 24 3 2 2 2 4 3 4" xfId="15891" xr:uid="{00000000-0005-0000-0000-0000F73D0000}"/>
    <cellStyle name="표준 24 3 2 2 2 4 4" xfId="15892" xr:uid="{00000000-0005-0000-0000-0000F83D0000}"/>
    <cellStyle name="표준 24 3 2 2 2 4 4 2" xfId="15893" xr:uid="{00000000-0005-0000-0000-0000F93D0000}"/>
    <cellStyle name="표준 24 3 2 2 2 4 4 2 2" xfId="15894" xr:uid="{00000000-0005-0000-0000-0000FA3D0000}"/>
    <cellStyle name="표준 24 3 2 2 2 4 4 3" xfId="15895" xr:uid="{00000000-0005-0000-0000-0000FB3D0000}"/>
    <cellStyle name="표준 24 3 2 2 2 4 5" xfId="15896" xr:uid="{00000000-0005-0000-0000-0000FC3D0000}"/>
    <cellStyle name="표준 24 3 2 2 2 4 5 2" xfId="15897" xr:uid="{00000000-0005-0000-0000-0000FD3D0000}"/>
    <cellStyle name="표준 24 3 2 2 2 4 6" xfId="15898" xr:uid="{00000000-0005-0000-0000-0000FE3D0000}"/>
    <cellStyle name="표준 24 3 2 2 2 5" xfId="15899" xr:uid="{00000000-0005-0000-0000-0000FF3D0000}"/>
    <cellStyle name="표준 24 3 2 2 2 5 2" xfId="15900" xr:uid="{00000000-0005-0000-0000-0000003E0000}"/>
    <cellStyle name="표준 24 3 2 2 2 5 2 2" xfId="15901" xr:uid="{00000000-0005-0000-0000-0000013E0000}"/>
    <cellStyle name="표준 24 3 2 2 2 5 2 2 2" xfId="15902" xr:uid="{00000000-0005-0000-0000-0000023E0000}"/>
    <cellStyle name="표준 24 3 2 2 2 5 2 2 2 2" xfId="15903" xr:uid="{00000000-0005-0000-0000-0000033E0000}"/>
    <cellStyle name="표준 24 3 2 2 2 5 2 2 3" xfId="15904" xr:uid="{00000000-0005-0000-0000-0000043E0000}"/>
    <cellStyle name="표준 24 3 2 2 2 5 2 3" xfId="15905" xr:uid="{00000000-0005-0000-0000-0000053E0000}"/>
    <cellStyle name="표준 24 3 2 2 2 5 2 3 2" xfId="15906" xr:uid="{00000000-0005-0000-0000-0000063E0000}"/>
    <cellStyle name="표준 24 3 2 2 2 5 2 4" xfId="15907" xr:uid="{00000000-0005-0000-0000-0000073E0000}"/>
    <cellStyle name="표준 24 3 2 2 2 5 3" xfId="15908" xr:uid="{00000000-0005-0000-0000-0000083E0000}"/>
    <cellStyle name="표준 24 3 2 2 2 5 3 2" xfId="15909" xr:uid="{00000000-0005-0000-0000-0000093E0000}"/>
    <cellStyle name="표준 24 3 2 2 2 5 3 2 2" xfId="15910" xr:uid="{00000000-0005-0000-0000-00000A3E0000}"/>
    <cellStyle name="표준 24 3 2 2 2 5 3 3" xfId="15911" xr:uid="{00000000-0005-0000-0000-00000B3E0000}"/>
    <cellStyle name="표준 24 3 2 2 2 5 4" xfId="15912" xr:uid="{00000000-0005-0000-0000-00000C3E0000}"/>
    <cellStyle name="표준 24 3 2 2 2 5 4 2" xfId="15913" xr:uid="{00000000-0005-0000-0000-00000D3E0000}"/>
    <cellStyle name="표준 24 3 2 2 2 5 5" xfId="15914" xr:uid="{00000000-0005-0000-0000-00000E3E0000}"/>
    <cellStyle name="표준 24 3 2 2 2 6" xfId="15915" xr:uid="{00000000-0005-0000-0000-00000F3E0000}"/>
    <cellStyle name="표준 24 3 2 2 2 6 2" xfId="15916" xr:uid="{00000000-0005-0000-0000-0000103E0000}"/>
    <cellStyle name="표준 24 3 2 2 2 6 2 2" xfId="15917" xr:uid="{00000000-0005-0000-0000-0000113E0000}"/>
    <cellStyle name="표준 24 3 2 2 2 6 2 2 2" xfId="15918" xr:uid="{00000000-0005-0000-0000-0000123E0000}"/>
    <cellStyle name="표준 24 3 2 2 2 6 2 3" xfId="15919" xr:uid="{00000000-0005-0000-0000-0000133E0000}"/>
    <cellStyle name="표준 24 3 2 2 2 6 3" xfId="15920" xr:uid="{00000000-0005-0000-0000-0000143E0000}"/>
    <cellStyle name="표준 24 3 2 2 2 6 3 2" xfId="15921" xr:uid="{00000000-0005-0000-0000-0000153E0000}"/>
    <cellStyle name="표준 24 3 2 2 2 6 4" xfId="15922" xr:uid="{00000000-0005-0000-0000-0000163E0000}"/>
    <cellStyle name="표준 24 3 2 2 2 7" xfId="15923" xr:uid="{00000000-0005-0000-0000-0000173E0000}"/>
    <cellStyle name="표준 24 3 2 2 2 7 2" xfId="15924" xr:uid="{00000000-0005-0000-0000-0000183E0000}"/>
    <cellStyle name="표준 24 3 2 2 2 7 2 2" xfId="15925" xr:uid="{00000000-0005-0000-0000-0000193E0000}"/>
    <cellStyle name="표준 24 3 2 2 2 7 3" xfId="15926" xr:uid="{00000000-0005-0000-0000-00001A3E0000}"/>
    <cellStyle name="표준 24 3 2 2 2 8" xfId="15927" xr:uid="{00000000-0005-0000-0000-00001B3E0000}"/>
    <cellStyle name="표준 24 3 2 2 2 8 2" xfId="15928" xr:uid="{00000000-0005-0000-0000-00001C3E0000}"/>
    <cellStyle name="표준 24 3 2 2 2 9" xfId="15929" xr:uid="{00000000-0005-0000-0000-00001D3E0000}"/>
    <cellStyle name="표준 24 3 2 2 3" xfId="15930" xr:uid="{00000000-0005-0000-0000-00001E3E0000}"/>
    <cellStyle name="표준 24 3 2 2 3 2" xfId="15931" xr:uid="{00000000-0005-0000-0000-00001F3E0000}"/>
    <cellStyle name="표준 24 3 2 2 3 2 2" xfId="15932" xr:uid="{00000000-0005-0000-0000-0000203E0000}"/>
    <cellStyle name="표준 24 3 2 2 3 2 2 2" xfId="15933" xr:uid="{00000000-0005-0000-0000-0000213E0000}"/>
    <cellStyle name="표준 24 3 2 2 3 2 2 2 2" xfId="15934" xr:uid="{00000000-0005-0000-0000-0000223E0000}"/>
    <cellStyle name="표준 24 3 2 2 3 2 2 2 2 2" xfId="15935" xr:uid="{00000000-0005-0000-0000-0000233E0000}"/>
    <cellStyle name="표준 24 3 2 2 3 2 2 2 2 2 2" xfId="15936" xr:uid="{00000000-0005-0000-0000-0000243E0000}"/>
    <cellStyle name="표준 24 3 2 2 3 2 2 2 2 2 2 2" xfId="15937" xr:uid="{00000000-0005-0000-0000-0000253E0000}"/>
    <cellStyle name="표준 24 3 2 2 3 2 2 2 2 2 3" xfId="15938" xr:uid="{00000000-0005-0000-0000-0000263E0000}"/>
    <cellStyle name="표준 24 3 2 2 3 2 2 2 2 3" xfId="15939" xr:uid="{00000000-0005-0000-0000-0000273E0000}"/>
    <cellStyle name="표준 24 3 2 2 3 2 2 2 2 3 2" xfId="15940" xr:uid="{00000000-0005-0000-0000-0000283E0000}"/>
    <cellStyle name="표준 24 3 2 2 3 2 2 2 2 4" xfId="15941" xr:uid="{00000000-0005-0000-0000-0000293E0000}"/>
    <cellStyle name="표준 24 3 2 2 3 2 2 2 3" xfId="15942" xr:uid="{00000000-0005-0000-0000-00002A3E0000}"/>
    <cellStyle name="표준 24 3 2 2 3 2 2 2 3 2" xfId="15943" xr:uid="{00000000-0005-0000-0000-00002B3E0000}"/>
    <cellStyle name="표준 24 3 2 2 3 2 2 2 3 2 2" xfId="15944" xr:uid="{00000000-0005-0000-0000-00002C3E0000}"/>
    <cellStyle name="표준 24 3 2 2 3 2 2 2 3 3" xfId="15945" xr:uid="{00000000-0005-0000-0000-00002D3E0000}"/>
    <cellStyle name="표준 24 3 2 2 3 2 2 2 4" xfId="15946" xr:uid="{00000000-0005-0000-0000-00002E3E0000}"/>
    <cellStyle name="표준 24 3 2 2 3 2 2 2 4 2" xfId="15947" xr:uid="{00000000-0005-0000-0000-00002F3E0000}"/>
    <cellStyle name="표준 24 3 2 2 3 2 2 2 5" xfId="15948" xr:uid="{00000000-0005-0000-0000-0000303E0000}"/>
    <cellStyle name="표준 24 3 2 2 3 2 2 3" xfId="15949" xr:uid="{00000000-0005-0000-0000-0000313E0000}"/>
    <cellStyle name="표준 24 3 2 2 3 2 2 3 2" xfId="15950" xr:uid="{00000000-0005-0000-0000-0000323E0000}"/>
    <cellStyle name="표준 24 3 2 2 3 2 2 3 2 2" xfId="15951" xr:uid="{00000000-0005-0000-0000-0000333E0000}"/>
    <cellStyle name="표준 24 3 2 2 3 2 2 3 2 2 2" xfId="15952" xr:uid="{00000000-0005-0000-0000-0000343E0000}"/>
    <cellStyle name="표준 24 3 2 2 3 2 2 3 2 3" xfId="15953" xr:uid="{00000000-0005-0000-0000-0000353E0000}"/>
    <cellStyle name="표준 24 3 2 2 3 2 2 3 3" xfId="15954" xr:uid="{00000000-0005-0000-0000-0000363E0000}"/>
    <cellStyle name="표준 24 3 2 2 3 2 2 3 3 2" xfId="15955" xr:uid="{00000000-0005-0000-0000-0000373E0000}"/>
    <cellStyle name="표준 24 3 2 2 3 2 2 3 4" xfId="15956" xr:uid="{00000000-0005-0000-0000-0000383E0000}"/>
    <cellStyle name="표준 24 3 2 2 3 2 2 4" xfId="15957" xr:uid="{00000000-0005-0000-0000-0000393E0000}"/>
    <cellStyle name="표준 24 3 2 2 3 2 2 4 2" xfId="15958" xr:uid="{00000000-0005-0000-0000-00003A3E0000}"/>
    <cellStyle name="표준 24 3 2 2 3 2 2 4 2 2" xfId="15959" xr:uid="{00000000-0005-0000-0000-00003B3E0000}"/>
    <cellStyle name="표준 24 3 2 2 3 2 2 4 3" xfId="15960" xr:uid="{00000000-0005-0000-0000-00003C3E0000}"/>
    <cellStyle name="표준 24 3 2 2 3 2 2 5" xfId="15961" xr:uid="{00000000-0005-0000-0000-00003D3E0000}"/>
    <cellStyle name="표준 24 3 2 2 3 2 2 5 2" xfId="15962" xr:uid="{00000000-0005-0000-0000-00003E3E0000}"/>
    <cellStyle name="표준 24 3 2 2 3 2 2 6" xfId="15963" xr:uid="{00000000-0005-0000-0000-00003F3E0000}"/>
    <cellStyle name="표준 24 3 2 2 3 2 3" xfId="15964" xr:uid="{00000000-0005-0000-0000-0000403E0000}"/>
    <cellStyle name="표준 24 3 2 2 3 2 3 2" xfId="15965" xr:uid="{00000000-0005-0000-0000-0000413E0000}"/>
    <cellStyle name="표준 24 3 2 2 3 2 3 2 2" xfId="15966" xr:uid="{00000000-0005-0000-0000-0000423E0000}"/>
    <cellStyle name="표준 24 3 2 2 3 2 3 2 2 2" xfId="15967" xr:uid="{00000000-0005-0000-0000-0000433E0000}"/>
    <cellStyle name="표준 24 3 2 2 3 2 3 2 2 2 2" xfId="15968" xr:uid="{00000000-0005-0000-0000-0000443E0000}"/>
    <cellStyle name="표준 24 3 2 2 3 2 3 2 2 3" xfId="15969" xr:uid="{00000000-0005-0000-0000-0000453E0000}"/>
    <cellStyle name="표준 24 3 2 2 3 2 3 2 3" xfId="15970" xr:uid="{00000000-0005-0000-0000-0000463E0000}"/>
    <cellStyle name="표준 24 3 2 2 3 2 3 2 3 2" xfId="15971" xr:uid="{00000000-0005-0000-0000-0000473E0000}"/>
    <cellStyle name="표준 24 3 2 2 3 2 3 2 4" xfId="15972" xr:uid="{00000000-0005-0000-0000-0000483E0000}"/>
    <cellStyle name="표준 24 3 2 2 3 2 3 3" xfId="15973" xr:uid="{00000000-0005-0000-0000-0000493E0000}"/>
    <cellStyle name="표준 24 3 2 2 3 2 3 3 2" xfId="15974" xr:uid="{00000000-0005-0000-0000-00004A3E0000}"/>
    <cellStyle name="표준 24 3 2 2 3 2 3 3 2 2" xfId="15975" xr:uid="{00000000-0005-0000-0000-00004B3E0000}"/>
    <cellStyle name="표준 24 3 2 2 3 2 3 3 3" xfId="15976" xr:uid="{00000000-0005-0000-0000-00004C3E0000}"/>
    <cellStyle name="표준 24 3 2 2 3 2 3 4" xfId="15977" xr:uid="{00000000-0005-0000-0000-00004D3E0000}"/>
    <cellStyle name="표준 24 3 2 2 3 2 3 4 2" xfId="15978" xr:uid="{00000000-0005-0000-0000-00004E3E0000}"/>
    <cellStyle name="표준 24 3 2 2 3 2 3 5" xfId="15979" xr:uid="{00000000-0005-0000-0000-00004F3E0000}"/>
    <cellStyle name="표준 24 3 2 2 3 2 4" xfId="15980" xr:uid="{00000000-0005-0000-0000-0000503E0000}"/>
    <cellStyle name="표준 24 3 2 2 3 2 4 2" xfId="15981" xr:uid="{00000000-0005-0000-0000-0000513E0000}"/>
    <cellStyle name="표준 24 3 2 2 3 2 4 2 2" xfId="15982" xr:uid="{00000000-0005-0000-0000-0000523E0000}"/>
    <cellStyle name="표준 24 3 2 2 3 2 4 2 2 2" xfId="15983" xr:uid="{00000000-0005-0000-0000-0000533E0000}"/>
    <cellStyle name="표준 24 3 2 2 3 2 4 2 3" xfId="15984" xr:uid="{00000000-0005-0000-0000-0000543E0000}"/>
    <cellStyle name="표준 24 3 2 2 3 2 4 3" xfId="15985" xr:uid="{00000000-0005-0000-0000-0000553E0000}"/>
    <cellStyle name="표준 24 3 2 2 3 2 4 3 2" xfId="15986" xr:uid="{00000000-0005-0000-0000-0000563E0000}"/>
    <cellStyle name="표준 24 3 2 2 3 2 4 4" xfId="15987" xr:uid="{00000000-0005-0000-0000-0000573E0000}"/>
    <cellStyle name="표준 24 3 2 2 3 2 5" xfId="15988" xr:uid="{00000000-0005-0000-0000-0000583E0000}"/>
    <cellStyle name="표준 24 3 2 2 3 2 5 2" xfId="15989" xr:uid="{00000000-0005-0000-0000-0000593E0000}"/>
    <cellStyle name="표준 24 3 2 2 3 2 5 2 2" xfId="15990" xr:uid="{00000000-0005-0000-0000-00005A3E0000}"/>
    <cellStyle name="표준 24 3 2 2 3 2 5 3" xfId="15991" xr:uid="{00000000-0005-0000-0000-00005B3E0000}"/>
    <cellStyle name="표준 24 3 2 2 3 2 6" xfId="15992" xr:uid="{00000000-0005-0000-0000-00005C3E0000}"/>
    <cellStyle name="표준 24 3 2 2 3 2 6 2" xfId="15993" xr:uid="{00000000-0005-0000-0000-00005D3E0000}"/>
    <cellStyle name="표준 24 3 2 2 3 2 7" xfId="15994" xr:uid="{00000000-0005-0000-0000-00005E3E0000}"/>
    <cellStyle name="표준 24 3 2 2 3 2 8" xfId="15995" xr:uid="{00000000-0005-0000-0000-00005F3E0000}"/>
    <cellStyle name="표준 24 3 2 2 3 3" xfId="15996" xr:uid="{00000000-0005-0000-0000-0000603E0000}"/>
    <cellStyle name="표준 24 3 2 2 3 3 2" xfId="15997" xr:uid="{00000000-0005-0000-0000-0000613E0000}"/>
    <cellStyle name="표준 24 3 2 2 3 3 2 2" xfId="15998" xr:uid="{00000000-0005-0000-0000-0000623E0000}"/>
    <cellStyle name="표준 24 3 2 2 3 3 2 2 2" xfId="15999" xr:uid="{00000000-0005-0000-0000-0000633E0000}"/>
    <cellStyle name="표준 24 3 2 2 3 3 2 2 2 2" xfId="16000" xr:uid="{00000000-0005-0000-0000-0000643E0000}"/>
    <cellStyle name="표준 24 3 2 2 3 3 2 2 2 2 2" xfId="16001" xr:uid="{00000000-0005-0000-0000-0000653E0000}"/>
    <cellStyle name="표준 24 3 2 2 3 3 2 2 2 3" xfId="16002" xr:uid="{00000000-0005-0000-0000-0000663E0000}"/>
    <cellStyle name="표준 24 3 2 2 3 3 2 2 3" xfId="16003" xr:uid="{00000000-0005-0000-0000-0000673E0000}"/>
    <cellStyle name="표준 24 3 2 2 3 3 2 2 3 2" xfId="16004" xr:uid="{00000000-0005-0000-0000-0000683E0000}"/>
    <cellStyle name="표준 24 3 2 2 3 3 2 2 4" xfId="16005" xr:uid="{00000000-0005-0000-0000-0000693E0000}"/>
    <cellStyle name="표준 24 3 2 2 3 3 2 3" xfId="16006" xr:uid="{00000000-0005-0000-0000-00006A3E0000}"/>
    <cellStyle name="표준 24 3 2 2 3 3 2 3 2" xfId="16007" xr:uid="{00000000-0005-0000-0000-00006B3E0000}"/>
    <cellStyle name="표준 24 3 2 2 3 3 2 3 2 2" xfId="16008" xr:uid="{00000000-0005-0000-0000-00006C3E0000}"/>
    <cellStyle name="표준 24 3 2 2 3 3 2 3 3" xfId="16009" xr:uid="{00000000-0005-0000-0000-00006D3E0000}"/>
    <cellStyle name="표준 24 3 2 2 3 3 2 4" xfId="16010" xr:uid="{00000000-0005-0000-0000-00006E3E0000}"/>
    <cellStyle name="표준 24 3 2 2 3 3 2 4 2" xfId="16011" xr:uid="{00000000-0005-0000-0000-00006F3E0000}"/>
    <cellStyle name="표준 24 3 2 2 3 3 2 5" xfId="16012" xr:uid="{00000000-0005-0000-0000-0000703E0000}"/>
    <cellStyle name="표준 24 3 2 2 3 3 3" xfId="16013" xr:uid="{00000000-0005-0000-0000-0000713E0000}"/>
    <cellStyle name="표준 24 3 2 2 3 3 3 2" xfId="16014" xr:uid="{00000000-0005-0000-0000-0000723E0000}"/>
    <cellStyle name="표준 24 3 2 2 3 3 3 2 2" xfId="16015" xr:uid="{00000000-0005-0000-0000-0000733E0000}"/>
    <cellStyle name="표준 24 3 2 2 3 3 3 2 2 2" xfId="16016" xr:uid="{00000000-0005-0000-0000-0000743E0000}"/>
    <cellStyle name="표준 24 3 2 2 3 3 3 2 3" xfId="16017" xr:uid="{00000000-0005-0000-0000-0000753E0000}"/>
    <cellStyle name="표준 24 3 2 2 3 3 3 3" xfId="16018" xr:uid="{00000000-0005-0000-0000-0000763E0000}"/>
    <cellStyle name="표준 24 3 2 2 3 3 3 3 2" xfId="16019" xr:uid="{00000000-0005-0000-0000-0000773E0000}"/>
    <cellStyle name="표준 24 3 2 2 3 3 3 4" xfId="16020" xr:uid="{00000000-0005-0000-0000-0000783E0000}"/>
    <cellStyle name="표준 24 3 2 2 3 3 4" xfId="16021" xr:uid="{00000000-0005-0000-0000-0000793E0000}"/>
    <cellStyle name="표준 24 3 2 2 3 3 4 2" xfId="16022" xr:uid="{00000000-0005-0000-0000-00007A3E0000}"/>
    <cellStyle name="표준 24 3 2 2 3 3 4 2 2" xfId="16023" xr:uid="{00000000-0005-0000-0000-00007B3E0000}"/>
    <cellStyle name="표준 24 3 2 2 3 3 4 3" xfId="16024" xr:uid="{00000000-0005-0000-0000-00007C3E0000}"/>
    <cellStyle name="표준 24 3 2 2 3 3 5" xfId="16025" xr:uid="{00000000-0005-0000-0000-00007D3E0000}"/>
    <cellStyle name="표준 24 3 2 2 3 3 5 2" xfId="16026" xr:uid="{00000000-0005-0000-0000-00007E3E0000}"/>
    <cellStyle name="표준 24 3 2 2 3 3 6" xfId="16027" xr:uid="{00000000-0005-0000-0000-00007F3E0000}"/>
    <cellStyle name="표준 24 3 2 2 3 4" xfId="16028" xr:uid="{00000000-0005-0000-0000-0000803E0000}"/>
    <cellStyle name="표준 24 3 2 2 3 4 2" xfId="16029" xr:uid="{00000000-0005-0000-0000-0000813E0000}"/>
    <cellStyle name="표준 24 3 2 2 3 4 2 2" xfId="16030" xr:uid="{00000000-0005-0000-0000-0000823E0000}"/>
    <cellStyle name="표준 24 3 2 2 3 4 2 2 2" xfId="16031" xr:uid="{00000000-0005-0000-0000-0000833E0000}"/>
    <cellStyle name="표준 24 3 2 2 3 4 2 2 2 2" xfId="16032" xr:uid="{00000000-0005-0000-0000-0000843E0000}"/>
    <cellStyle name="표준 24 3 2 2 3 4 2 2 3" xfId="16033" xr:uid="{00000000-0005-0000-0000-0000853E0000}"/>
    <cellStyle name="표준 24 3 2 2 3 4 2 3" xfId="16034" xr:uid="{00000000-0005-0000-0000-0000863E0000}"/>
    <cellStyle name="표준 24 3 2 2 3 4 2 3 2" xfId="16035" xr:uid="{00000000-0005-0000-0000-0000873E0000}"/>
    <cellStyle name="표준 24 3 2 2 3 4 2 4" xfId="16036" xr:uid="{00000000-0005-0000-0000-0000883E0000}"/>
    <cellStyle name="표준 24 3 2 2 3 4 3" xfId="16037" xr:uid="{00000000-0005-0000-0000-0000893E0000}"/>
    <cellStyle name="표준 24 3 2 2 3 4 3 2" xfId="16038" xr:uid="{00000000-0005-0000-0000-00008A3E0000}"/>
    <cellStyle name="표준 24 3 2 2 3 4 3 2 2" xfId="16039" xr:uid="{00000000-0005-0000-0000-00008B3E0000}"/>
    <cellStyle name="표준 24 3 2 2 3 4 3 3" xfId="16040" xr:uid="{00000000-0005-0000-0000-00008C3E0000}"/>
    <cellStyle name="표준 24 3 2 2 3 4 4" xfId="16041" xr:uid="{00000000-0005-0000-0000-00008D3E0000}"/>
    <cellStyle name="표준 24 3 2 2 3 4 4 2" xfId="16042" xr:uid="{00000000-0005-0000-0000-00008E3E0000}"/>
    <cellStyle name="표준 24 3 2 2 3 4 5" xfId="16043" xr:uid="{00000000-0005-0000-0000-00008F3E0000}"/>
    <cellStyle name="표준 24 3 2 2 3 5" xfId="16044" xr:uid="{00000000-0005-0000-0000-0000903E0000}"/>
    <cellStyle name="표준 24 3 2 2 3 5 2" xfId="16045" xr:uid="{00000000-0005-0000-0000-0000913E0000}"/>
    <cellStyle name="표준 24 3 2 2 3 5 2 2" xfId="16046" xr:uid="{00000000-0005-0000-0000-0000923E0000}"/>
    <cellStyle name="표준 24 3 2 2 3 5 2 2 2" xfId="16047" xr:uid="{00000000-0005-0000-0000-0000933E0000}"/>
    <cellStyle name="표준 24 3 2 2 3 5 2 3" xfId="16048" xr:uid="{00000000-0005-0000-0000-0000943E0000}"/>
    <cellStyle name="표준 24 3 2 2 3 5 3" xfId="16049" xr:uid="{00000000-0005-0000-0000-0000953E0000}"/>
    <cellStyle name="표준 24 3 2 2 3 5 3 2" xfId="16050" xr:uid="{00000000-0005-0000-0000-0000963E0000}"/>
    <cellStyle name="표준 24 3 2 2 3 5 4" xfId="16051" xr:uid="{00000000-0005-0000-0000-0000973E0000}"/>
    <cellStyle name="표준 24 3 2 2 3 6" xfId="16052" xr:uid="{00000000-0005-0000-0000-0000983E0000}"/>
    <cellStyle name="표준 24 3 2 2 3 6 2" xfId="16053" xr:uid="{00000000-0005-0000-0000-0000993E0000}"/>
    <cellStyle name="표준 24 3 2 2 3 6 2 2" xfId="16054" xr:uid="{00000000-0005-0000-0000-00009A3E0000}"/>
    <cellStyle name="표준 24 3 2 2 3 6 3" xfId="16055" xr:uid="{00000000-0005-0000-0000-00009B3E0000}"/>
    <cellStyle name="표준 24 3 2 2 3 7" xfId="16056" xr:uid="{00000000-0005-0000-0000-00009C3E0000}"/>
    <cellStyle name="표준 24 3 2 2 3 7 2" xfId="16057" xr:uid="{00000000-0005-0000-0000-00009D3E0000}"/>
    <cellStyle name="표준 24 3 2 2 3 8" xfId="16058" xr:uid="{00000000-0005-0000-0000-00009E3E0000}"/>
    <cellStyle name="표준 24 3 2 2 3 9" xfId="16059" xr:uid="{00000000-0005-0000-0000-00009F3E0000}"/>
    <cellStyle name="표준 24 3 2 2 4" xfId="16060" xr:uid="{00000000-0005-0000-0000-0000A03E0000}"/>
    <cellStyle name="표준 24 3 2 2 4 2" xfId="16061" xr:uid="{00000000-0005-0000-0000-0000A13E0000}"/>
    <cellStyle name="표준 24 3 2 2 4 2 2" xfId="16062" xr:uid="{00000000-0005-0000-0000-0000A23E0000}"/>
    <cellStyle name="표준 24 3 2 2 4 2 2 2" xfId="16063" xr:uid="{00000000-0005-0000-0000-0000A33E0000}"/>
    <cellStyle name="표준 24 3 2 2 4 2 2 2 2" xfId="16064" xr:uid="{00000000-0005-0000-0000-0000A43E0000}"/>
    <cellStyle name="표준 24 3 2 2 4 2 2 2 2 2" xfId="16065" xr:uid="{00000000-0005-0000-0000-0000A53E0000}"/>
    <cellStyle name="표준 24 3 2 2 4 2 2 2 2 2 2" xfId="16066" xr:uid="{00000000-0005-0000-0000-0000A63E0000}"/>
    <cellStyle name="표준 24 3 2 2 4 2 2 2 2 3" xfId="16067" xr:uid="{00000000-0005-0000-0000-0000A73E0000}"/>
    <cellStyle name="표준 24 3 2 2 4 2 2 2 3" xfId="16068" xr:uid="{00000000-0005-0000-0000-0000A83E0000}"/>
    <cellStyle name="표준 24 3 2 2 4 2 2 2 3 2" xfId="16069" xr:uid="{00000000-0005-0000-0000-0000A93E0000}"/>
    <cellStyle name="표준 24 3 2 2 4 2 2 2 4" xfId="16070" xr:uid="{00000000-0005-0000-0000-0000AA3E0000}"/>
    <cellStyle name="표준 24 3 2 2 4 2 2 3" xfId="16071" xr:uid="{00000000-0005-0000-0000-0000AB3E0000}"/>
    <cellStyle name="표준 24 3 2 2 4 2 2 3 2" xfId="16072" xr:uid="{00000000-0005-0000-0000-0000AC3E0000}"/>
    <cellStyle name="표준 24 3 2 2 4 2 2 3 2 2" xfId="16073" xr:uid="{00000000-0005-0000-0000-0000AD3E0000}"/>
    <cellStyle name="표준 24 3 2 2 4 2 2 3 3" xfId="16074" xr:uid="{00000000-0005-0000-0000-0000AE3E0000}"/>
    <cellStyle name="표준 24 3 2 2 4 2 2 4" xfId="16075" xr:uid="{00000000-0005-0000-0000-0000AF3E0000}"/>
    <cellStyle name="표준 24 3 2 2 4 2 2 4 2" xfId="16076" xr:uid="{00000000-0005-0000-0000-0000B03E0000}"/>
    <cellStyle name="표준 24 3 2 2 4 2 2 5" xfId="16077" xr:uid="{00000000-0005-0000-0000-0000B13E0000}"/>
    <cellStyle name="표준 24 3 2 2 4 2 3" xfId="16078" xr:uid="{00000000-0005-0000-0000-0000B23E0000}"/>
    <cellStyle name="표준 24 3 2 2 4 2 3 2" xfId="16079" xr:uid="{00000000-0005-0000-0000-0000B33E0000}"/>
    <cellStyle name="표준 24 3 2 2 4 2 3 2 2" xfId="16080" xr:uid="{00000000-0005-0000-0000-0000B43E0000}"/>
    <cellStyle name="표준 24 3 2 2 4 2 3 2 2 2" xfId="16081" xr:uid="{00000000-0005-0000-0000-0000B53E0000}"/>
    <cellStyle name="표준 24 3 2 2 4 2 3 2 3" xfId="16082" xr:uid="{00000000-0005-0000-0000-0000B63E0000}"/>
    <cellStyle name="표준 24 3 2 2 4 2 3 3" xfId="16083" xr:uid="{00000000-0005-0000-0000-0000B73E0000}"/>
    <cellStyle name="표준 24 3 2 2 4 2 3 3 2" xfId="16084" xr:uid="{00000000-0005-0000-0000-0000B83E0000}"/>
    <cellStyle name="표준 24 3 2 2 4 2 3 4" xfId="16085" xr:uid="{00000000-0005-0000-0000-0000B93E0000}"/>
    <cellStyle name="표준 24 3 2 2 4 2 4" xfId="16086" xr:uid="{00000000-0005-0000-0000-0000BA3E0000}"/>
    <cellStyle name="표준 24 3 2 2 4 2 4 2" xfId="16087" xr:uid="{00000000-0005-0000-0000-0000BB3E0000}"/>
    <cellStyle name="표준 24 3 2 2 4 2 4 2 2" xfId="16088" xr:uid="{00000000-0005-0000-0000-0000BC3E0000}"/>
    <cellStyle name="표준 24 3 2 2 4 2 4 3" xfId="16089" xr:uid="{00000000-0005-0000-0000-0000BD3E0000}"/>
    <cellStyle name="표준 24 3 2 2 4 2 5" xfId="16090" xr:uid="{00000000-0005-0000-0000-0000BE3E0000}"/>
    <cellStyle name="표준 24 3 2 2 4 2 5 2" xfId="16091" xr:uid="{00000000-0005-0000-0000-0000BF3E0000}"/>
    <cellStyle name="표준 24 3 2 2 4 2 6" xfId="16092" xr:uid="{00000000-0005-0000-0000-0000C03E0000}"/>
    <cellStyle name="표준 24 3 2 2 4 3" xfId="16093" xr:uid="{00000000-0005-0000-0000-0000C13E0000}"/>
    <cellStyle name="표준 24 3 2 2 4 3 2" xfId="16094" xr:uid="{00000000-0005-0000-0000-0000C23E0000}"/>
    <cellStyle name="표준 24 3 2 2 4 3 2 2" xfId="16095" xr:uid="{00000000-0005-0000-0000-0000C33E0000}"/>
    <cellStyle name="표준 24 3 2 2 4 3 2 2 2" xfId="16096" xr:uid="{00000000-0005-0000-0000-0000C43E0000}"/>
    <cellStyle name="표준 24 3 2 2 4 3 2 2 2 2" xfId="16097" xr:uid="{00000000-0005-0000-0000-0000C53E0000}"/>
    <cellStyle name="표준 24 3 2 2 4 3 2 2 3" xfId="16098" xr:uid="{00000000-0005-0000-0000-0000C63E0000}"/>
    <cellStyle name="표준 24 3 2 2 4 3 2 3" xfId="16099" xr:uid="{00000000-0005-0000-0000-0000C73E0000}"/>
    <cellStyle name="표준 24 3 2 2 4 3 2 3 2" xfId="16100" xr:uid="{00000000-0005-0000-0000-0000C83E0000}"/>
    <cellStyle name="표준 24 3 2 2 4 3 2 4" xfId="16101" xr:uid="{00000000-0005-0000-0000-0000C93E0000}"/>
    <cellStyle name="표준 24 3 2 2 4 3 3" xfId="16102" xr:uid="{00000000-0005-0000-0000-0000CA3E0000}"/>
    <cellStyle name="표준 24 3 2 2 4 3 3 2" xfId="16103" xr:uid="{00000000-0005-0000-0000-0000CB3E0000}"/>
    <cellStyle name="표준 24 3 2 2 4 3 3 2 2" xfId="16104" xr:uid="{00000000-0005-0000-0000-0000CC3E0000}"/>
    <cellStyle name="표준 24 3 2 2 4 3 3 3" xfId="16105" xr:uid="{00000000-0005-0000-0000-0000CD3E0000}"/>
    <cellStyle name="표준 24 3 2 2 4 3 4" xfId="16106" xr:uid="{00000000-0005-0000-0000-0000CE3E0000}"/>
    <cellStyle name="표준 24 3 2 2 4 3 4 2" xfId="16107" xr:uid="{00000000-0005-0000-0000-0000CF3E0000}"/>
    <cellStyle name="표준 24 3 2 2 4 3 5" xfId="16108" xr:uid="{00000000-0005-0000-0000-0000D03E0000}"/>
    <cellStyle name="표준 24 3 2 2 4 4" xfId="16109" xr:uid="{00000000-0005-0000-0000-0000D13E0000}"/>
    <cellStyle name="표준 24 3 2 2 4 4 2" xfId="16110" xr:uid="{00000000-0005-0000-0000-0000D23E0000}"/>
    <cellStyle name="표준 24 3 2 2 4 4 2 2" xfId="16111" xr:uid="{00000000-0005-0000-0000-0000D33E0000}"/>
    <cellStyle name="표준 24 3 2 2 4 4 2 2 2" xfId="16112" xr:uid="{00000000-0005-0000-0000-0000D43E0000}"/>
    <cellStyle name="표준 24 3 2 2 4 4 2 3" xfId="16113" xr:uid="{00000000-0005-0000-0000-0000D53E0000}"/>
    <cellStyle name="표준 24 3 2 2 4 4 3" xfId="16114" xr:uid="{00000000-0005-0000-0000-0000D63E0000}"/>
    <cellStyle name="표준 24 3 2 2 4 4 3 2" xfId="16115" xr:uid="{00000000-0005-0000-0000-0000D73E0000}"/>
    <cellStyle name="표준 24 3 2 2 4 4 4" xfId="16116" xr:uid="{00000000-0005-0000-0000-0000D83E0000}"/>
    <cellStyle name="표준 24 3 2 2 4 5" xfId="16117" xr:uid="{00000000-0005-0000-0000-0000D93E0000}"/>
    <cellStyle name="표준 24 3 2 2 4 5 2" xfId="16118" xr:uid="{00000000-0005-0000-0000-0000DA3E0000}"/>
    <cellStyle name="표준 24 3 2 2 4 5 2 2" xfId="16119" xr:uid="{00000000-0005-0000-0000-0000DB3E0000}"/>
    <cellStyle name="표준 24 3 2 2 4 5 3" xfId="16120" xr:uid="{00000000-0005-0000-0000-0000DC3E0000}"/>
    <cellStyle name="표준 24 3 2 2 4 6" xfId="16121" xr:uid="{00000000-0005-0000-0000-0000DD3E0000}"/>
    <cellStyle name="표준 24 3 2 2 4 6 2" xfId="16122" xr:uid="{00000000-0005-0000-0000-0000DE3E0000}"/>
    <cellStyle name="표준 24 3 2 2 4 7" xfId="16123" xr:uid="{00000000-0005-0000-0000-0000DF3E0000}"/>
    <cellStyle name="표준 24 3 2 2 4 8" xfId="16124" xr:uid="{00000000-0005-0000-0000-0000E03E0000}"/>
    <cellStyle name="표준 24 3 2 2 5" xfId="16125" xr:uid="{00000000-0005-0000-0000-0000E13E0000}"/>
    <cellStyle name="표준 24 3 2 2 5 2" xfId="16126" xr:uid="{00000000-0005-0000-0000-0000E23E0000}"/>
    <cellStyle name="표준 24 3 2 2 5 2 2" xfId="16127" xr:uid="{00000000-0005-0000-0000-0000E33E0000}"/>
    <cellStyle name="표준 24 3 2 2 5 2 2 2" xfId="16128" xr:uid="{00000000-0005-0000-0000-0000E43E0000}"/>
    <cellStyle name="표준 24 3 2 2 5 2 2 2 2" xfId="16129" xr:uid="{00000000-0005-0000-0000-0000E53E0000}"/>
    <cellStyle name="표준 24 3 2 2 5 2 2 2 2 2" xfId="16130" xr:uid="{00000000-0005-0000-0000-0000E63E0000}"/>
    <cellStyle name="표준 24 3 2 2 5 2 2 2 3" xfId="16131" xr:uid="{00000000-0005-0000-0000-0000E73E0000}"/>
    <cellStyle name="표준 24 3 2 2 5 2 2 3" xfId="16132" xr:uid="{00000000-0005-0000-0000-0000E83E0000}"/>
    <cellStyle name="표준 24 3 2 2 5 2 2 3 2" xfId="16133" xr:uid="{00000000-0005-0000-0000-0000E93E0000}"/>
    <cellStyle name="표준 24 3 2 2 5 2 2 4" xfId="16134" xr:uid="{00000000-0005-0000-0000-0000EA3E0000}"/>
    <cellStyle name="표준 24 3 2 2 5 2 3" xfId="16135" xr:uid="{00000000-0005-0000-0000-0000EB3E0000}"/>
    <cellStyle name="표준 24 3 2 2 5 2 3 2" xfId="16136" xr:uid="{00000000-0005-0000-0000-0000EC3E0000}"/>
    <cellStyle name="표준 24 3 2 2 5 2 3 2 2" xfId="16137" xr:uid="{00000000-0005-0000-0000-0000ED3E0000}"/>
    <cellStyle name="표준 24 3 2 2 5 2 3 3" xfId="16138" xr:uid="{00000000-0005-0000-0000-0000EE3E0000}"/>
    <cellStyle name="표준 24 3 2 2 5 2 4" xfId="16139" xr:uid="{00000000-0005-0000-0000-0000EF3E0000}"/>
    <cellStyle name="표준 24 3 2 2 5 2 4 2" xfId="16140" xr:uid="{00000000-0005-0000-0000-0000F03E0000}"/>
    <cellStyle name="표준 24 3 2 2 5 2 5" xfId="16141" xr:uid="{00000000-0005-0000-0000-0000F13E0000}"/>
    <cellStyle name="표준 24 3 2 2 5 3" xfId="16142" xr:uid="{00000000-0005-0000-0000-0000F23E0000}"/>
    <cellStyle name="표준 24 3 2 2 5 3 2" xfId="16143" xr:uid="{00000000-0005-0000-0000-0000F33E0000}"/>
    <cellStyle name="표준 24 3 2 2 5 3 2 2" xfId="16144" xr:uid="{00000000-0005-0000-0000-0000F43E0000}"/>
    <cellStyle name="표준 24 3 2 2 5 3 2 2 2" xfId="16145" xr:uid="{00000000-0005-0000-0000-0000F53E0000}"/>
    <cellStyle name="표준 24 3 2 2 5 3 2 3" xfId="16146" xr:uid="{00000000-0005-0000-0000-0000F63E0000}"/>
    <cellStyle name="표준 24 3 2 2 5 3 3" xfId="16147" xr:uid="{00000000-0005-0000-0000-0000F73E0000}"/>
    <cellStyle name="표준 24 3 2 2 5 3 3 2" xfId="16148" xr:uid="{00000000-0005-0000-0000-0000F83E0000}"/>
    <cellStyle name="표준 24 3 2 2 5 3 4" xfId="16149" xr:uid="{00000000-0005-0000-0000-0000F93E0000}"/>
    <cellStyle name="표준 24 3 2 2 5 4" xfId="16150" xr:uid="{00000000-0005-0000-0000-0000FA3E0000}"/>
    <cellStyle name="표준 24 3 2 2 5 4 2" xfId="16151" xr:uid="{00000000-0005-0000-0000-0000FB3E0000}"/>
    <cellStyle name="표준 24 3 2 2 5 4 2 2" xfId="16152" xr:uid="{00000000-0005-0000-0000-0000FC3E0000}"/>
    <cellStyle name="표준 24 3 2 2 5 4 3" xfId="16153" xr:uid="{00000000-0005-0000-0000-0000FD3E0000}"/>
    <cellStyle name="표준 24 3 2 2 5 5" xfId="16154" xr:uid="{00000000-0005-0000-0000-0000FE3E0000}"/>
    <cellStyle name="표준 24 3 2 2 5 5 2" xfId="16155" xr:uid="{00000000-0005-0000-0000-0000FF3E0000}"/>
    <cellStyle name="표준 24 3 2 2 5 6" xfId="16156" xr:uid="{00000000-0005-0000-0000-0000003F0000}"/>
    <cellStyle name="표준 24 3 2 2 6" xfId="16157" xr:uid="{00000000-0005-0000-0000-0000013F0000}"/>
    <cellStyle name="표준 24 3 2 2 6 2" xfId="16158" xr:uid="{00000000-0005-0000-0000-0000023F0000}"/>
    <cellStyle name="표준 24 3 2 2 6 2 2" xfId="16159" xr:uid="{00000000-0005-0000-0000-0000033F0000}"/>
    <cellStyle name="표준 24 3 2 2 6 2 2 2" xfId="16160" xr:uid="{00000000-0005-0000-0000-0000043F0000}"/>
    <cellStyle name="표준 24 3 2 2 6 2 2 2 2" xfId="16161" xr:uid="{00000000-0005-0000-0000-0000053F0000}"/>
    <cellStyle name="표준 24 3 2 2 6 2 2 3" xfId="16162" xr:uid="{00000000-0005-0000-0000-0000063F0000}"/>
    <cellStyle name="표준 24 3 2 2 6 2 3" xfId="16163" xr:uid="{00000000-0005-0000-0000-0000073F0000}"/>
    <cellStyle name="표준 24 3 2 2 6 2 3 2" xfId="16164" xr:uid="{00000000-0005-0000-0000-0000083F0000}"/>
    <cellStyle name="표준 24 3 2 2 6 2 4" xfId="16165" xr:uid="{00000000-0005-0000-0000-0000093F0000}"/>
    <cellStyle name="표준 24 3 2 2 6 3" xfId="16166" xr:uid="{00000000-0005-0000-0000-00000A3F0000}"/>
    <cellStyle name="표준 24 3 2 2 6 3 2" xfId="16167" xr:uid="{00000000-0005-0000-0000-00000B3F0000}"/>
    <cellStyle name="표준 24 3 2 2 6 3 2 2" xfId="16168" xr:uid="{00000000-0005-0000-0000-00000C3F0000}"/>
    <cellStyle name="표준 24 3 2 2 6 3 3" xfId="16169" xr:uid="{00000000-0005-0000-0000-00000D3F0000}"/>
    <cellStyle name="표준 24 3 2 2 6 4" xfId="16170" xr:uid="{00000000-0005-0000-0000-00000E3F0000}"/>
    <cellStyle name="표준 24 3 2 2 6 4 2" xfId="16171" xr:uid="{00000000-0005-0000-0000-00000F3F0000}"/>
    <cellStyle name="표준 24 3 2 2 6 5" xfId="16172" xr:uid="{00000000-0005-0000-0000-0000103F0000}"/>
    <cellStyle name="표준 24 3 2 2 7" xfId="16173" xr:uid="{00000000-0005-0000-0000-0000113F0000}"/>
    <cellStyle name="표준 24 3 2 2 7 2" xfId="16174" xr:uid="{00000000-0005-0000-0000-0000123F0000}"/>
    <cellStyle name="표준 24 3 2 2 7 2 2" xfId="16175" xr:uid="{00000000-0005-0000-0000-0000133F0000}"/>
    <cellStyle name="표준 24 3 2 2 7 2 2 2" xfId="16176" xr:uid="{00000000-0005-0000-0000-0000143F0000}"/>
    <cellStyle name="표준 24 3 2 2 7 2 3" xfId="16177" xr:uid="{00000000-0005-0000-0000-0000153F0000}"/>
    <cellStyle name="표준 24 3 2 2 7 3" xfId="16178" xr:uid="{00000000-0005-0000-0000-0000163F0000}"/>
    <cellStyle name="표준 24 3 2 2 7 3 2" xfId="16179" xr:uid="{00000000-0005-0000-0000-0000173F0000}"/>
    <cellStyle name="표준 24 3 2 2 7 4" xfId="16180" xr:uid="{00000000-0005-0000-0000-0000183F0000}"/>
    <cellStyle name="표준 24 3 2 2 8" xfId="16181" xr:uid="{00000000-0005-0000-0000-0000193F0000}"/>
    <cellStyle name="표준 24 3 2 2 8 2" xfId="16182" xr:uid="{00000000-0005-0000-0000-00001A3F0000}"/>
    <cellStyle name="표준 24 3 2 2 8 2 2" xfId="16183" xr:uid="{00000000-0005-0000-0000-00001B3F0000}"/>
    <cellStyle name="표준 24 3 2 2 8 3" xfId="16184" xr:uid="{00000000-0005-0000-0000-00001C3F0000}"/>
    <cellStyle name="표준 24 3 2 2 9" xfId="16185" xr:uid="{00000000-0005-0000-0000-00001D3F0000}"/>
    <cellStyle name="표준 24 3 2 2 9 2" xfId="16186" xr:uid="{00000000-0005-0000-0000-00001E3F0000}"/>
    <cellStyle name="표준 24 3 2 3" xfId="16187" xr:uid="{00000000-0005-0000-0000-00001F3F0000}"/>
    <cellStyle name="표준 24 3 2 3 10" xfId="16188" xr:uid="{00000000-0005-0000-0000-0000203F0000}"/>
    <cellStyle name="표준 24 3 2 3 2" xfId="16189" xr:uid="{00000000-0005-0000-0000-0000213F0000}"/>
    <cellStyle name="표준 24 3 2 3 2 2" xfId="16190" xr:uid="{00000000-0005-0000-0000-0000223F0000}"/>
    <cellStyle name="표준 24 3 2 3 2 2 2" xfId="16191" xr:uid="{00000000-0005-0000-0000-0000233F0000}"/>
    <cellStyle name="표준 24 3 2 3 2 2 2 2" xfId="16192" xr:uid="{00000000-0005-0000-0000-0000243F0000}"/>
    <cellStyle name="표준 24 3 2 3 2 2 2 2 2" xfId="16193" xr:uid="{00000000-0005-0000-0000-0000253F0000}"/>
    <cellStyle name="표준 24 3 2 3 2 2 2 2 2 2" xfId="16194" xr:uid="{00000000-0005-0000-0000-0000263F0000}"/>
    <cellStyle name="표준 24 3 2 3 2 2 2 2 2 2 2" xfId="16195" xr:uid="{00000000-0005-0000-0000-0000273F0000}"/>
    <cellStyle name="표준 24 3 2 3 2 2 2 2 2 2 2 2" xfId="16196" xr:uid="{00000000-0005-0000-0000-0000283F0000}"/>
    <cellStyle name="표준 24 3 2 3 2 2 2 2 2 2 3" xfId="16197" xr:uid="{00000000-0005-0000-0000-0000293F0000}"/>
    <cellStyle name="표준 24 3 2 3 2 2 2 2 2 3" xfId="16198" xr:uid="{00000000-0005-0000-0000-00002A3F0000}"/>
    <cellStyle name="표준 24 3 2 3 2 2 2 2 2 3 2" xfId="16199" xr:uid="{00000000-0005-0000-0000-00002B3F0000}"/>
    <cellStyle name="표준 24 3 2 3 2 2 2 2 2 4" xfId="16200" xr:uid="{00000000-0005-0000-0000-00002C3F0000}"/>
    <cellStyle name="표준 24 3 2 3 2 2 2 2 3" xfId="16201" xr:uid="{00000000-0005-0000-0000-00002D3F0000}"/>
    <cellStyle name="표준 24 3 2 3 2 2 2 2 3 2" xfId="16202" xr:uid="{00000000-0005-0000-0000-00002E3F0000}"/>
    <cellStyle name="표준 24 3 2 3 2 2 2 2 3 2 2" xfId="16203" xr:uid="{00000000-0005-0000-0000-00002F3F0000}"/>
    <cellStyle name="표준 24 3 2 3 2 2 2 2 3 3" xfId="16204" xr:uid="{00000000-0005-0000-0000-0000303F0000}"/>
    <cellStyle name="표준 24 3 2 3 2 2 2 2 4" xfId="16205" xr:uid="{00000000-0005-0000-0000-0000313F0000}"/>
    <cellStyle name="표준 24 3 2 3 2 2 2 2 4 2" xfId="16206" xr:uid="{00000000-0005-0000-0000-0000323F0000}"/>
    <cellStyle name="표준 24 3 2 3 2 2 2 2 5" xfId="16207" xr:uid="{00000000-0005-0000-0000-0000333F0000}"/>
    <cellStyle name="표준 24 3 2 3 2 2 2 3" xfId="16208" xr:uid="{00000000-0005-0000-0000-0000343F0000}"/>
    <cellStyle name="표준 24 3 2 3 2 2 2 3 2" xfId="16209" xr:uid="{00000000-0005-0000-0000-0000353F0000}"/>
    <cellStyle name="표준 24 3 2 3 2 2 2 3 2 2" xfId="16210" xr:uid="{00000000-0005-0000-0000-0000363F0000}"/>
    <cellStyle name="표준 24 3 2 3 2 2 2 3 2 2 2" xfId="16211" xr:uid="{00000000-0005-0000-0000-0000373F0000}"/>
    <cellStyle name="표준 24 3 2 3 2 2 2 3 2 3" xfId="16212" xr:uid="{00000000-0005-0000-0000-0000383F0000}"/>
    <cellStyle name="표준 24 3 2 3 2 2 2 3 3" xfId="16213" xr:uid="{00000000-0005-0000-0000-0000393F0000}"/>
    <cellStyle name="표준 24 3 2 3 2 2 2 3 3 2" xfId="16214" xr:uid="{00000000-0005-0000-0000-00003A3F0000}"/>
    <cellStyle name="표준 24 3 2 3 2 2 2 3 4" xfId="16215" xr:uid="{00000000-0005-0000-0000-00003B3F0000}"/>
    <cellStyle name="표준 24 3 2 3 2 2 2 4" xfId="16216" xr:uid="{00000000-0005-0000-0000-00003C3F0000}"/>
    <cellStyle name="표준 24 3 2 3 2 2 2 4 2" xfId="16217" xr:uid="{00000000-0005-0000-0000-00003D3F0000}"/>
    <cellStyle name="표준 24 3 2 3 2 2 2 4 2 2" xfId="16218" xr:uid="{00000000-0005-0000-0000-00003E3F0000}"/>
    <cellStyle name="표준 24 3 2 3 2 2 2 4 3" xfId="16219" xr:uid="{00000000-0005-0000-0000-00003F3F0000}"/>
    <cellStyle name="표준 24 3 2 3 2 2 2 5" xfId="16220" xr:uid="{00000000-0005-0000-0000-0000403F0000}"/>
    <cellStyle name="표준 24 3 2 3 2 2 2 5 2" xfId="16221" xr:uid="{00000000-0005-0000-0000-0000413F0000}"/>
    <cellStyle name="표준 24 3 2 3 2 2 2 6" xfId="16222" xr:uid="{00000000-0005-0000-0000-0000423F0000}"/>
    <cellStyle name="표준 24 3 2 3 2 2 3" xfId="16223" xr:uid="{00000000-0005-0000-0000-0000433F0000}"/>
    <cellStyle name="표준 24 3 2 3 2 2 3 2" xfId="16224" xr:uid="{00000000-0005-0000-0000-0000443F0000}"/>
    <cellStyle name="표준 24 3 2 3 2 2 3 2 2" xfId="16225" xr:uid="{00000000-0005-0000-0000-0000453F0000}"/>
    <cellStyle name="표준 24 3 2 3 2 2 3 2 2 2" xfId="16226" xr:uid="{00000000-0005-0000-0000-0000463F0000}"/>
    <cellStyle name="표준 24 3 2 3 2 2 3 2 2 2 2" xfId="16227" xr:uid="{00000000-0005-0000-0000-0000473F0000}"/>
    <cellStyle name="표준 24 3 2 3 2 2 3 2 2 3" xfId="16228" xr:uid="{00000000-0005-0000-0000-0000483F0000}"/>
    <cellStyle name="표준 24 3 2 3 2 2 3 2 3" xfId="16229" xr:uid="{00000000-0005-0000-0000-0000493F0000}"/>
    <cellStyle name="표준 24 3 2 3 2 2 3 2 3 2" xfId="16230" xr:uid="{00000000-0005-0000-0000-00004A3F0000}"/>
    <cellStyle name="표준 24 3 2 3 2 2 3 2 4" xfId="16231" xr:uid="{00000000-0005-0000-0000-00004B3F0000}"/>
    <cellStyle name="표준 24 3 2 3 2 2 3 3" xfId="16232" xr:uid="{00000000-0005-0000-0000-00004C3F0000}"/>
    <cellStyle name="표준 24 3 2 3 2 2 3 3 2" xfId="16233" xr:uid="{00000000-0005-0000-0000-00004D3F0000}"/>
    <cellStyle name="표준 24 3 2 3 2 2 3 3 2 2" xfId="16234" xr:uid="{00000000-0005-0000-0000-00004E3F0000}"/>
    <cellStyle name="표준 24 3 2 3 2 2 3 3 3" xfId="16235" xr:uid="{00000000-0005-0000-0000-00004F3F0000}"/>
    <cellStyle name="표준 24 3 2 3 2 2 3 4" xfId="16236" xr:uid="{00000000-0005-0000-0000-0000503F0000}"/>
    <cellStyle name="표준 24 3 2 3 2 2 3 4 2" xfId="16237" xr:uid="{00000000-0005-0000-0000-0000513F0000}"/>
    <cellStyle name="표준 24 3 2 3 2 2 3 5" xfId="16238" xr:uid="{00000000-0005-0000-0000-0000523F0000}"/>
    <cellStyle name="표준 24 3 2 3 2 2 4" xfId="16239" xr:uid="{00000000-0005-0000-0000-0000533F0000}"/>
    <cellStyle name="표준 24 3 2 3 2 2 4 2" xfId="16240" xr:uid="{00000000-0005-0000-0000-0000543F0000}"/>
    <cellStyle name="표준 24 3 2 3 2 2 4 2 2" xfId="16241" xr:uid="{00000000-0005-0000-0000-0000553F0000}"/>
    <cellStyle name="표준 24 3 2 3 2 2 4 2 2 2" xfId="16242" xr:uid="{00000000-0005-0000-0000-0000563F0000}"/>
    <cellStyle name="표준 24 3 2 3 2 2 4 2 3" xfId="16243" xr:uid="{00000000-0005-0000-0000-0000573F0000}"/>
    <cellStyle name="표준 24 3 2 3 2 2 4 3" xfId="16244" xr:uid="{00000000-0005-0000-0000-0000583F0000}"/>
    <cellStyle name="표준 24 3 2 3 2 2 4 3 2" xfId="16245" xr:uid="{00000000-0005-0000-0000-0000593F0000}"/>
    <cellStyle name="표준 24 3 2 3 2 2 4 4" xfId="16246" xr:uid="{00000000-0005-0000-0000-00005A3F0000}"/>
    <cellStyle name="표준 24 3 2 3 2 2 5" xfId="16247" xr:uid="{00000000-0005-0000-0000-00005B3F0000}"/>
    <cellStyle name="표준 24 3 2 3 2 2 5 2" xfId="16248" xr:uid="{00000000-0005-0000-0000-00005C3F0000}"/>
    <cellStyle name="표준 24 3 2 3 2 2 5 2 2" xfId="16249" xr:uid="{00000000-0005-0000-0000-00005D3F0000}"/>
    <cellStyle name="표준 24 3 2 3 2 2 5 3" xfId="16250" xr:uid="{00000000-0005-0000-0000-00005E3F0000}"/>
    <cellStyle name="표준 24 3 2 3 2 2 6" xfId="16251" xr:uid="{00000000-0005-0000-0000-00005F3F0000}"/>
    <cellStyle name="표준 24 3 2 3 2 2 6 2" xfId="16252" xr:uid="{00000000-0005-0000-0000-0000603F0000}"/>
    <cellStyle name="표준 24 3 2 3 2 2 7" xfId="16253" xr:uid="{00000000-0005-0000-0000-0000613F0000}"/>
    <cellStyle name="표준 24 3 2 3 2 2 8" xfId="16254" xr:uid="{00000000-0005-0000-0000-0000623F0000}"/>
    <cellStyle name="표준 24 3 2 3 2 3" xfId="16255" xr:uid="{00000000-0005-0000-0000-0000633F0000}"/>
    <cellStyle name="표준 24 3 2 3 2 3 2" xfId="16256" xr:uid="{00000000-0005-0000-0000-0000643F0000}"/>
    <cellStyle name="표준 24 3 2 3 2 3 2 2" xfId="16257" xr:uid="{00000000-0005-0000-0000-0000653F0000}"/>
    <cellStyle name="표준 24 3 2 3 2 3 2 2 2" xfId="16258" xr:uid="{00000000-0005-0000-0000-0000663F0000}"/>
    <cellStyle name="표준 24 3 2 3 2 3 2 2 2 2" xfId="16259" xr:uid="{00000000-0005-0000-0000-0000673F0000}"/>
    <cellStyle name="표준 24 3 2 3 2 3 2 2 2 2 2" xfId="16260" xr:uid="{00000000-0005-0000-0000-0000683F0000}"/>
    <cellStyle name="표준 24 3 2 3 2 3 2 2 2 3" xfId="16261" xr:uid="{00000000-0005-0000-0000-0000693F0000}"/>
    <cellStyle name="표준 24 3 2 3 2 3 2 2 3" xfId="16262" xr:uid="{00000000-0005-0000-0000-00006A3F0000}"/>
    <cellStyle name="표준 24 3 2 3 2 3 2 2 3 2" xfId="16263" xr:uid="{00000000-0005-0000-0000-00006B3F0000}"/>
    <cellStyle name="표준 24 3 2 3 2 3 2 2 4" xfId="16264" xr:uid="{00000000-0005-0000-0000-00006C3F0000}"/>
    <cellStyle name="표준 24 3 2 3 2 3 2 3" xfId="16265" xr:uid="{00000000-0005-0000-0000-00006D3F0000}"/>
    <cellStyle name="표준 24 3 2 3 2 3 2 3 2" xfId="16266" xr:uid="{00000000-0005-0000-0000-00006E3F0000}"/>
    <cellStyle name="표준 24 3 2 3 2 3 2 3 2 2" xfId="16267" xr:uid="{00000000-0005-0000-0000-00006F3F0000}"/>
    <cellStyle name="표준 24 3 2 3 2 3 2 3 3" xfId="16268" xr:uid="{00000000-0005-0000-0000-0000703F0000}"/>
    <cellStyle name="표준 24 3 2 3 2 3 2 4" xfId="16269" xr:uid="{00000000-0005-0000-0000-0000713F0000}"/>
    <cellStyle name="표준 24 3 2 3 2 3 2 4 2" xfId="16270" xr:uid="{00000000-0005-0000-0000-0000723F0000}"/>
    <cellStyle name="표준 24 3 2 3 2 3 2 5" xfId="16271" xr:uid="{00000000-0005-0000-0000-0000733F0000}"/>
    <cellStyle name="표준 24 3 2 3 2 3 3" xfId="16272" xr:uid="{00000000-0005-0000-0000-0000743F0000}"/>
    <cellStyle name="표준 24 3 2 3 2 3 3 2" xfId="16273" xr:uid="{00000000-0005-0000-0000-0000753F0000}"/>
    <cellStyle name="표준 24 3 2 3 2 3 3 2 2" xfId="16274" xr:uid="{00000000-0005-0000-0000-0000763F0000}"/>
    <cellStyle name="표준 24 3 2 3 2 3 3 2 2 2" xfId="16275" xr:uid="{00000000-0005-0000-0000-0000773F0000}"/>
    <cellStyle name="표준 24 3 2 3 2 3 3 2 3" xfId="16276" xr:uid="{00000000-0005-0000-0000-0000783F0000}"/>
    <cellStyle name="표준 24 3 2 3 2 3 3 3" xfId="16277" xr:uid="{00000000-0005-0000-0000-0000793F0000}"/>
    <cellStyle name="표준 24 3 2 3 2 3 3 3 2" xfId="16278" xr:uid="{00000000-0005-0000-0000-00007A3F0000}"/>
    <cellStyle name="표준 24 3 2 3 2 3 3 4" xfId="16279" xr:uid="{00000000-0005-0000-0000-00007B3F0000}"/>
    <cellStyle name="표준 24 3 2 3 2 3 4" xfId="16280" xr:uid="{00000000-0005-0000-0000-00007C3F0000}"/>
    <cellStyle name="표준 24 3 2 3 2 3 4 2" xfId="16281" xr:uid="{00000000-0005-0000-0000-00007D3F0000}"/>
    <cellStyle name="표준 24 3 2 3 2 3 4 2 2" xfId="16282" xr:uid="{00000000-0005-0000-0000-00007E3F0000}"/>
    <cellStyle name="표준 24 3 2 3 2 3 4 3" xfId="16283" xr:uid="{00000000-0005-0000-0000-00007F3F0000}"/>
    <cellStyle name="표준 24 3 2 3 2 3 5" xfId="16284" xr:uid="{00000000-0005-0000-0000-0000803F0000}"/>
    <cellStyle name="표준 24 3 2 3 2 3 5 2" xfId="16285" xr:uid="{00000000-0005-0000-0000-0000813F0000}"/>
    <cellStyle name="표준 24 3 2 3 2 3 6" xfId="16286" xr:uid="{00000000-0005-0000-0000-0000823F0000}"/>
    <cellStyle name="표준 24 3 2 3 2 4" xfId="16287" xr:uid="{00000000-0005-0000-0000-0000833F0000}"/>
    <cellStyle name="표준 24 3 2 3 2 4 2" xfId="16288" xr:uid="{00000000-0005-0000-0000-0000843F0000}"/>
    <cellStyle name="표준 24 3 2 3 2 4 2 2" xfId="16289" xr:uid="{00000000-0005-0000-0000-0000853F0000}"/>
    <cellStyle name="표준 24 3 2 3 2 4 2 2 2" xfId="16290" xr:uid="{00000000-0005-0000-0000-0000863F0000}"/>
    <cellStyle name="표준 24 3 2 3 2 4 2 2 2 2" xfId="16291" xr:uid="{00000000-0005-0000-0000-0000873F0000}"/>
    <cellStyle name="표준 24 3 2 3 2 4 2 2 3" xfId="16292" xr:uid="{00000000-0005-0000-0000-0000883F0000}"/>
    <cellStyle name="표준 24 3 2 3 2 4 2 3" xfId="16293" xr:uid="{00000000-0005-0000-0000-0000893F0000}"/>
    <cellStyle name="표준 24 3 2 3 2 4 2 3 2" xfId="16294" xr:uid="{00000000-0005-0000-0000-00008A3F0000}"/>
    <cellStyle name="표준 24 3 2 3 2 4 2 4" xfId="16295" xr:uid="{00000000-0005-0000-0000-00008B3F0000}"/>
    <cellStyle name="표준 24 3 2 3 2 4 3" xfId="16296" xr:uid="{00000000-0005-0000-0000-00008C3F0000}"/>
    <cellStyle name="표준 24 3 2 3 2 4 3 2" xfId="16297" xr:uid="{00000000-0005-0000-0000-00008D3F0000}"/>
    <cellStyle name="표준 24 3 2 3 2 4 3 2 2" xfId="16298" xr:uid="{00000000-0005-0000-0000-00008E3F0000}"/>
    <cellStyle name="표준 24 3 2 3 2 4 3 3" xfId="16299" xr:uid="{00000000-0005-0000-0000-00008F3F0000}"/>
    <cellStyle name="표준 24 3 2 3 2 4 4" xfId="16300" xr:uid="{00000000-0005-0000-0000-0000903F0000}"/>
    <cellStyle name="표준 24 3 2 3 2 4 4 2" xfId="16301" xr:uid="{00000000-0005-0000-0000-0000913F0000}"/>
    <cellStyle name="표준 24 3 2 3 2 4 5" xfId="16302" xr:uid="{00000000-0005-0000-0000-0000923F0000}"/>
    <cellStyle name="표준 24 3 2 3 2 5" xfId="16303" xr:uid="{00000000-0005-0000-0000-0000933F0000}"/>
    <cellStyle name="표준 24 3 2 3 2 5 2" xfId="16304" xr:uid="{00000000-0005-0000-0000-0000943F0000}"/>
    <cellStyle name="표준 24 3 2 3 2 5 2 2" xfId="16305" xr:uid="{00000000-0005-0000-0000-0000953F0000}"/>
    <cellStyle name="표준 24 3 2 3 2 5 2 2 2" xfId="16306" xr:uid="{00000000-0005-0000-0000-0000963F0000}"/>
    <cellStyle name="표준 24 3 2 3 2 5 2 3" xfId="16307" xr:uid="{00000000-0005-0000-0000-0000973F0000}"/>
    <cellStyle name="표준 24 3 2 3 2 5 3" xfId="16308" xr:uid="{00000000-0005-0000-0000-0000983F0000}"/>
    <cellStyle name="표준 24 3 2 3 2 5 3 2" xfId="16309" xr:uid="{00000000-0005-0000-0000-0000993F0000}"/>
    <cellStyle name="표준 24 3 2 3 2 5 4" xfId="16310" xr:uid="{00000000-0005-0000-0000-00009A3F0000}"/>
    <cellStyle name="표준 24 3 2 3 2 6" xfId="16311" xr:uid="{00000000-0005-0000-0000-00009B3F0000}"/>
    <cellStyle name="표준 24 3 2 3 2 6 2" xfId="16312" xr:uid="{00000000-0005-0000-0000-00009C3F0000}"/>
    <cellStyle name="표준 24 3 2 3 2 6 2 2" xfId="16313" xr:uid="{00000000-0005-0000-0000-00009D3F0000}"/>
    <cellStyle name="표준 24 3 2 3 2 6 3" xfId="16314" xr:uid="{00000000-0005-0000-0000-00009E3F0000}"/>
    <cellStyle name="표준 24 3 2 3 2 7" xfId="16315" xr:uid="{00000000-0005-0000-0000-00009F3F0000}"/>
    <cellStyle name="표준 24 3 2 3 2 7 2" xfId="16316" xr:uid="{00000000-0005-0000-0000-0000A03F0000}"/>
    <cellStyle name="표준 24 3 2 3 2 8" xfId="16317" xr:uid="{00000000-0005-0000-0000-0000A13F0000}"/>
    <cellStyle name="표준 24 3 2 3 2 9" xfId="16318" xr:uid="{00000000-0005-0000-0000-0000A23F0000}"/>
    <cellStyle name="표준 24 3 2 3 3" xfId="16319" xr:uid="{00000000-0005-0000-0000-0000A33F0000}"/>
    <cellStyle name="표준 24 3 2 3 3 2" xfId="16320" xr:uid="{00000000-0005-0000-0000-0000A43F0000}"/>
    <cellStyle name="표준 24 3 2 3 3 2 2" xfId="16321" xr:uid="{00000000-0005-0000-0000-0000A53F0000}"/>
    <cellStyle name="표준 24 3 2 3 3 2 2 2" xfId="16322" xr:uid="{00000000-0005-0000-0000-0000A63F0000}"/>
    <cellStyle name="표준 24 3 2 3 3 2 2 2 2" xfId="16323" xr:uid="{00000000-0005-0000-0000-0000A73F0000}"/>
    <cellStyle name="표준 24 3 2 3 3 2 2 2 2 2" xfId="16324" xr:uid="{00000000-0005-0000-0000-0000A83F0000}"/>
    <cellStyle name="표준 24 3 2 3 3 2 2 2 2 2 2" xfId="16325" xr:uid="{00000000-0005-0000-0000-0000A93F0000}"/>
    <cellStyle name="표준 24 3 2 3 3 2 2 2 2 3" xfId="16326" xr:uid="{00000000-0005-0000-0000-0000AA3F0000}"/>
    <cellStyle name="표준 24 3 2 3 3 2 2 2 3" xfId="16327" xr:uid="{00000000-0005-0000-0000-0000AB3F0000}"/>
    <cellStyle name="표준 24 3 2 3 3 2 2 2 3 2" xfId="16328" xr:uid="{00000000-0005-0000-0000-0000AC3F0000}"/>
    <cellStyle name="표준 24 3 2 3 3 2 2 2 4" xfId="16329" xr:uid="{00000000-0005-0000-0000-0000AD3F0000}"/>
    <cellStyle name="표준 24 3 2 3 3 2 2 3" xfId="16330" xr:uid="{00000000-0005-0000-0000-0000AE3F0000}"/>
    <cellStyle name="표준 24 3 2 3 3 2 2 3 2" xfId="16331" xr:uid="{00000000-0005-0000-0000-0000AF3F0000}"/>
    <cellStyle name="표준 24 3 2 3 3 2 2 3 2 2" xfId="16332" xr:uid="{00000000-0005-0000-0000-0000B03F0000}"/>
    <cellStyle name="표준 24 3 2 3 3 2 2 3 3" xfId="16333" xr:uid="{00000000-0005-0000-0000-0000B13F0000}"/>
    <cellStyle name="표준 24 3 2 3 3 2 2 4" xfId="16334" xr:uid="{00000000-0005-0000-0000-0000B23F0000}"/>
    <cellStyle name="표준 24 3 2 3 3 2 2 4 2" xfId="16335" xr:uid="{00000000-0005-0000-0000-0000B33F0000}"/>
    <cellStyle name="표준 24 3 2 3 3 2 2 5" xfId="16336" xr:uid="{00000000-0005-0000-0000-0000B43F0000}"/>
    <cellStyle name="표준 24 3 2 3 3 2 3" xfId="16337" xr:uid="{00000000-0005-0000-0000-0000B53F0000}"/>
    <cellStyle name="표준 24 3 2 3 3 2 3 2" xfId="16338" xr:uid="{00000000-0005-0000-0000-0000B63F0000}"/>
    <cellStyle name="표준 24 3 2 3 3 2 3 2 2" xfId="16339" xr:uid="{00000000-0005-0000-0000-0000B73F0000}"/>
    <cellStyle name="표준 24 3 2 3 3 2 3 2 2 2" xfId="16340" xr:uid="{00000000-0005-0000-0000-0000B83F0000}"/>
    <cellStyle name="표준 24 3 2 3 3 2 3 2 3" xfId="16341" xr:uid="{00000000-0005-0000-0000-0000B93F0000}"/>
    <cellStyle name="표준 24 3 2 3 3 2 3 3" xfId="16342" xr:uid="{00000000-0005-0000-0000-0000BA3F0000}"/>
    <cellStyle name="표준 24 3 2 3 3 2 3 3 2" xfId="16343" xr:uid="{00000000-0005-0000-0000-0000BB3F0000}"/>
    <cellStyle name="표준 24 3 2 3 3 2 3 4" xfId="16344" xr:uid="{00000000-0005-0000-0000-0000BC3F0000}"/>
    <cellStyle name="표준 24 3 2 3 3 2 4" xfId="16345" xr:uid="{00000000-0005-0000-0000-0000BD3F0000}"/>
    <cellStyle name="표준 24 3 2 3 3 2 4 2" xfId="16346" xr:uid="{00000000-0005-0000-0000-0000BE3F0000}"/>
    <cellStyle name="표준 24 3 2 3 3 2 4 2 2" xfId="16347" xr:uid="{00000000-0005-0000-0000-0000BF3F0000}"/>
    <cellStyle name="표준 24 3 2 3 3 2 4 3" xfId="16348" xr:uid="{00000000-0005-0000-0000-0000C03F0000}"/>
    <cellStyle name="표준 24 3 2 3 3 2 5" xfId="16349" xr:uid="{00000000-0005-0000-0000-0000C13F0000}"/>
    <cellStyle name="표준 24 3 2 3 3 2 5 2" xfId="16350" xr:uid="{00000000-0005-0000-0000-0000C23F0000}"/>
    <cellStyle name="표준 24 3 2 3 3 2 6" xfId="16351" xr:uid="{00000000-0005-0000-0000-0000C33F0000}"/>
    <cellStyle name="표준 24 3 2 3 3 3" xfId="16352" xr:uid="{00000000-0005-0000-0000-0000C43F0000}"/>
    <cellStyle name="표준 24 3 2 3 3 3 2" xfId="16353" xr:uid="{00000000-0005-0000-0000-0000C53F0000}"/>
    <cellStyle name="표준 24 3 2 3 3 3 2 2" xfId="16354" xr:uid="{00000000-0005-0000-0000-0000C63F0000}"/>
    <cellStyle name="표준 24 3 2 3 3 3 2 2 2" xfId="16355" xr:uid="{00000000-0005-0000-0000-0000C73F0000}"/>
    <cellStyle name="표준 24 3 2 3 3 3 2 2 2 2" xfId="16356" xr:uid="{00000000-0005-0000-0000-0000C83F0000}"/>
    <cellStyle name="표준 24 3 2 3 3 3 2 2 3" xfId="16357" xr:uid="{00000000-0005-0000-0000-0000C93F0000}"/>
    <cellStyle name="표준 24 3 2 3 3 3 2 3" xfId="16358" xr:uid="{00000000-0005-0000-0000-0000CA3F0000}"/>
    <cellStyle name="표준 24 3 2 3 3 3 2 3 2" xfId="16359" xr:uid="{00000000-0005-0000-0000-0000CB3F0000}"/>
    <cellStyle name="표준 24 3 2 3 3 3 2 4" xfId="16360" xr:uid="{00000000-0005-0000-0000-0000CC3F0000}"/>
    <cellStyle name="표준 24 3 2 3 3 3 3" xfId="16361" xr:uid="{00000000-0005-0000-0000-0000CD3F0000}"/>
    <cellStyle name="표준 24 3 2 3 3 3 3 2" xfId="16362" xr:uid="{00000000-0005-0000-0000-0000CE3F0000}"/>
    <cellStyle name="표준 24 3 2 3 3 3 3 2 2" xfId="16363" xr:uid="{00000000-0005-0000-0000-0000CF3F0000}"/>
    <cellStyle name="표준 24 3 2 3 3 3 3 3" xfId="16364" xr:uid="{00000000-0005-0000-0000-0000D03F0000}"/>
    <cellStyle name="표준 24 3 2 3 3 3 4" xfId="16365" xr:uid="{00000000-0005-0000-0000-0000D13F0000}"/>
    <cellStyle name="표준 24 3 2 3 3 3 4 2" xfId="16366" xr:uid="{00000000-0005-0000-0000-0000D23F0000}"/>
    <cellStyle name="표준 24 3 2 3 3 3 5" xfId="16367" xr:uid="{00000000-0005-0000-0000-0000D33F0000}"/>
    <cellStyle name="표준 24 3 2 3 3 4" xfId="16368" xr:uid="{00000000-0005-0000-0000-0000D43F0000}"/>
    <cellStyle name="표준 24 3 2 3 3 4 2" xfId="16369" xr:uid="{00000000-0005-0000-0000-0000D53F0000}"/>
    <cellStyle name="표준 24 3 2 3 3 4 2 2" xfId="16370" xr:uid="{00000000-0005-0000-0000-0000D63F0000}"/>
    <cellStyle name="표준 24 3 2 3 3 4 2 2 2" xfId="16371" xr:uid="{00000000-0005-0000-0000-0000D73F0000}"/>
    <cellStyle name="표준 24 3 2 3 3 4 2 3" xfId="16372" xr:uid="{00000000-0005-0000-0000-0000D83F0000}"/>
    <cellStyle name="표준 24 3 2 3 3 4 3" xfId="16373" xr:uid="{00000000-0005-0000-0000-0000D93F0000}"/>
    <cellStyle name="표준 24 3 2 3 3 4 3 2" xfId="16374" xr:uid="{00000000-0005-0000-0000-0000DA3F0000}"/>
    <cellStyle name="표준 24 3 2 3 3 4 4" xfId="16375" xr:uid="{00000000-0005-0000-0000-0000DB3F0000}"/>
    <cellStyle name="표준 24 3 2 3 3 5" xfId="16376" xr:uid="{00000000-0005-0000-0000-0000DC3F0000}"/>
    <cellStyle name="표준 24 3 2 3 3 5 2" xfId="16377" xr:uid="{00000000-0005-0000-0000-0000DD3F0000}"/>
    <cellStyle name="표준 24 3 2 3 3 5 2 2" xfId="16378" xr:uid="{00000000-0005-0000-0000-0000DE3F0000}"/>
    <cellStyle name="표준 24 3 2 3 3 5 3" xfId="16379" xr:uid="{00000000-0005-0000-0000-0000DF3F0000}"/>
    <cellStyle name="표준 24 3 2 3 3 6" xfId="16380" xr:uid="{00000000-0005-0000-0000-0000E03F0000}"/>
    <cellStyle name="표준 24 3 2 3 3 6 2" xfId="16381" xr:uid="{00000000-0005-0000-0000-0000E13F0000}"/>
    <cellStyle name="표준 24 3 2 3 3 7" xfId="16382" xr:uid="{00000000-0005-0000-0000-0000E23F0000}"/>
    <cellStyle name="표준 24 3 2 3 3 8" xfId="16383" xr:uid="{00000000-0005-0000-0000-0000E33F0000}"/>
    <cellStyle name="표준 24 3 2 3 4" xfId="16384" xr:uid="{00000000-0005-0000-0000-0000E43F0000}"/>
    <cellStyle name="표준 24 3 2 3 4 2" xfId="16385" xr:uid="{00000000-0005-0000-0000-0000E53F0000}"/>
    <cellStyle name="표준 24 3 2 3 4 2 2" xfId="16386" xr:uid="{00000000-0005-0000-0000-0000E63F0000}"/>
    <cellStyle name="표준 24 3 2 3 4 2 2 2" xfId="16387" xr:uid="{00000000-0005-0000-0000-0000E73F0000}"/>
    <cellStyle name="표준 24 3 2 3 4 2 2 2 2" xfId="16388" xr:uid="{00000000-0005-0000-0000-0000E83F0000}"/>
    <cellStyle name="표준 24 3 2 3 4 2 2 2 2 2" xfId="16389" xr:uid="{00000000-0005-0000-0000-0000E93F0000}"/>
    <cellStyle name="표준 24 3 2 3 4 2 2 2 3" xfId="16390" xr:uid="{00000000-0005-0000-0000-0000EA3F0000}"/>
    <cellStyle name="표준 24 3 2 3 4 2 2 3" xfId="16391" xr:uid="{00000000-0005-0000-0000-0000EB3F0000}"/>
    <cellStyle name="표준 24 3 2 3 4 2 2 3 2" xfId="16392" xr:uid="{00000000-0005-0000-0000-0000EC3F0000}"/>
    <cellStyle name="표준 24 3 2 3 4 2 2 4" xfId="16393" xr:uid="{00000000-0005-0000-0000-0000ED3F0000}"/>
    <cellStyle name="표준 24 3 2 3 4 2 3" xfId="16394" xr:uid="{00000000-0005-0000-0000-0000EE3F0000}"/>
    <cellStyle name="표준 24 3 2 3 4 2 3 2" xfId="16395" xr:uid="{00000000-0005-0000-0000-0000EF3F0000}"/>
    <cellStyle name="표준 24 3 2 3 4 2 3 2 2" xfId="16396" xr:uid="{00000000-0005-0000-0000-0000F03F0000}"/>
    <cellStyle name="표준 24 3 2 3 4 2 3 3" xfId="16397" xr:uid="{00000000-0005-0000-0000-0000F13F0000}"/>
    <cellStyle name="표준 24 3 2 3 4 2 4" xfId="16398" xr:uid="{00000000-0005-0000-0000-0000F23F0000}"/>
    <cellStyle name="표준 24 3 2 3 4 2 4 2" xfId="16399" xr:uid="{00000000-0005-0000-0000-0000F33F0000}"/>
    <cellStyle name="표준 24 3 2 3 4 2 5" xfId="16400" xr:uid="{00000000-0005-0000-0000-0000F43F0000}"/>
    <cellStyle name="표준 24 3 2 3 4 3" xfId="16401" xr:uid="{00000000-0005-0000-0000-0000F53F0000}"/>
    <cellStyle name="표준 24 3 2 3 4 3 2" xfId="16402" xr:uid="{00000000-0005-0000-0000-0000F63F0000}"/>
    <cellStyle name="표준 24 3 2 3 4 3 2 2" xfId="16403" xr:uid="{00000000-0005-0000-0000-0000F73F0000}"/>
    <cellStyle name="표준 24 3 2 3 4 3 2 2 2" xfId="16404" xr:uid="{00000000-0005-0000-0000-0000F83F0000}"/>
    <cellStyle name="표준 24 3 2 3 4 3 2 3" xfId="16405" xr:uid="{00000000-0005-0000-0000-0000F93F0000}"/>
    <cellStyle name="표준 24 3 2 3 4 3 3" xfId="16406" xr:uid="{00000000-0005-0000-0000-0000FA3F0000}"/>
    <cellStyle name="표준 24 3 2 3 4 3 3 2" xfId="16407" xr:uid="{00000000-0005-0000-0000-0000FB3F0000}"/>
    <cellStyle name="표준 24 3 2 3 4 3 4" xfId="16408" xr:uid="{00000000-0005-0000-0000-0000FC3F0000}"/>
    <cellStyle name="표준 24 3 2 3 4 4" xfId="16409" xr:uid="{00000000-0005-0000-0000-0000FD3F0000}"/>
    <cellStyle name="표준 24 3 2 3 4 4 2" xfId="16410" xr:uid="{00000000-0005-0000-0000-0000FE3F0000}"/>
    <cellStyle name="표준 24 3 2 3 4 4 2 2" xfId="16411" xr:uid="{00000000-0005-0000-0000-0000FF3F0000}"/>
    <cellStyle name="표준 24 3 2 3 4 4 3" xfId="16412" xr:uid="{00000000-0005-0000-0000-000000400000}"/>
    <cellStyle name="표준 24 3 2 3 4 5" xfId="16413" xr:uid="{00000000-0005-0000-0000-000001400000}"/>
    <cellStyle name="표준 24 3 2 3 4 5 2" xfId="16414" xr:uid="{00000000-0005-0000-0000-000002400000}"/>
    <cellStyle name="표준 24 3 2 3 4 6" xfId="16415" xr:uid="{00000000-0005-0000-0000-000003400000}"/>
    <cellStyle name="표준 24 3 2 3 5" xfId="16416" xr:uid="{00000000-0005-0000-0000-000004400000}"/>
    <cellStyle name="표준 24 3 2 3 5 2" xfId="16417" xr:uid="{00000000-0005-0000-0000-000005400000}"/>
    <cellStyle name="표준 24 3 2 3 5 2 2" xfId="16418" xr:uid="{00000000-0005-0000-0000-000006400000}"/>
    <cellStyle name="표준 24 3 2 3 5 2 2 2" xfId="16419" xr:uid="{00000000-0005-0000-0000-000007400000}"/>
    <cellStyle name="표준 24 3 2 3 5 2 2 2 2" xfId="16420" xr:uid="{00000000-0005-0000-0000-000008400000}"/>
    <cellStyle name="표준 24 3 2 3 5 2 2 3" xfId="16421" xr:uid="{00000000-0005-0000-0000-000009400000}"/>
    <cellStyle name="표준 24 3 2 3 5 2 3" xfId="16422" xr:uid="{00000000-0005-0000-0000-00000A400000}"/>
    <cellStyle name="표준 24 3 2 3 5 2 3 2" xfId="16423" xr:uid="{00000000-0005-0000-0000-00000B400000}"/>
    <cellStyle name="표준 24 3 2 3 5 2 4" xfId="16424" xr:uid="{00000000-0005-0000-0000-00000C400000}"/>
    <cellStyle name="표준 24 3 2 3 5 3" xfId="16425" xr:uid="{00000000-0005-0000-0000-00000D400000}"/>
    <cellStyle name="표준 24 3 2 3 5 3 2" xfId="16426" xr:uid="{00000000-0005-0000-0000-00000E400000}"/>
    <cellStyle name="표준 24 3 2 3 5 3 2 2" xfId="16427" xr:uid="{00000000-0005-0000-0000-00000F400000}"/>
    <cellStyle name="표준 24 3 2 3 5 3 3" xfId="16428" xr:uid="{00000000-0005-0000-0000-000010400000}"/>
    <cellStyle name="표준 24 3 2 3 5 4" xfId="16429" xr:uid="{00000000-0005-0000-0000-000011400000}"/>
    <cellStyle name="표준 24 3 2 3 5 4 2" xfId="16430" xr:uid="{00000000-0005-0000-0000-000012400000}"/>
    <cellStyle name="표준 24 3 2 3 5 5" xfId="16431" xr:uid="{00000000-0005-0000-0000-000013400000}"/>
    <cellStyle name="표준 24 3 2 3 6" xfId="16432" xr:uid="{00000000-0005-0000-0000-000014400000}"/>
    <cellStyle name="표준 24 3 2 3 6 2" xfId="16433" xr:uid="{00000000-0005-0000-0000-000015400000}"/>
    <cellStyle name="표준 24 3 2 3 6 2 2" xfId="16434" xr:uid="{00000000-0005-0000-0000-000016400000}"/>
    <cellStyle name="표준 24 3 2 3 6 2 2 2" xfId="16435" xr:uid="{00000000-0005-0000-0000-000017400000}"/>
    <cellStyle name="표준 24 3 2 3 6 2 3" xfId="16436" xr:uid="{00000000-0005-0000-0000-000018400000}"/>
    <cellStyle name="표준 24 3 2 3 6 3" xfId="16437" xr:uid="{00000000-0005-0000-0000-000019400000}"/>
    <cellStyle name="표준 24 3 2 3 6 3 2" xfId="16438" xr:uid="{00000000-0005-0000-0000-00001A400000}"/>
    <cellStyle name="표준 24 3 2 3 6 4" xfId="16439" xr:uid="{00000000-0005-0000-0000-00001B400000}"/>
    <cellStyle name="표준 24 3 2 3 7" xfId="16440" xr:uid="{00000000-0005-0000-0000-00001C400000}"/>
    <cellStyle name="표준 24 3 2 3 7 2" xfId="16441" xr:uid="{00000000-0005-0000-0000-00001D400000}"/>
    <cellStyle name="표준 24 3 2 3 7 2 2" xfId="16442" xr:uid="{00000000-0005-0000-0000-00001E400000}"/>
    <cellStyle name="표준 24 3 2 3 7 3" xfId="16443" xr:uid="{00000000-0005-0000-0000-00001F400000}"/>
    <cellStyle name="표준 24 3 2 3 8" xfId="16444" xr:uid="{00000000-0005-0000-0000-000020400000}"/>
    <cellStyle name="표준 24 3 2 3 8 2" xfId="16445" xr:uid="{00000000-0005-0000-0000-000021400000}"/>
    <cellStyle name="표준 24 3 2 3 9" xfId="16446" xr:uid="{00000000-0005-0000-0000-000022400000}"/>
    <cellStyle name="표준 24 3 2 4" xfId="16447" xr:uid="{00000000-0005-0000-0000-000023400000}"/>
    <cellStyle name="표준 24 3 2 4 2" xfId="16448" xr:uid="{00000000-0005-0000-0000-000024400000}"/>
    <cellStyle name="표준 24 3 2 4 2 2" xfId="16449" xr:uid="{00000000-0005-0000-0000-000025400000}"/>
    <cellStyle name="표준 24 3 2 4 2 2 2" xfId="16450" xr:uid="{00000000-0005-0000-0000-000026400000}"/>
    <cellStyle name="표준 24 3 2 4 2 2 2 2" xfId="16451" xr:uid="{00000000-0005-0000-0000-000027400000}"/>
    <cellStyle name="표준 24 3 2 4 2 2 2 2 2" xfId="16452" xr:uid="{00000000-0005-0000-0000-000028400000}"/>
    <cellStyle name="표준 24 3 2 4 2 2 2 2 2 2" xfId="16453" xr:uid="{00000000-0005-0000-0000-000029400000}"/>
    <cellStyle name="표준 24 3 2 4 2 2 2 2 2 2 2" xfId="16454" xr:uid="{00000000-0005-0000-0000-00002A400000}"/>
    <cellStyle name="표준 24 3 2 4 2 2 2 2 2 3" xfId="16455" xr:uid="{00000000-0005-0000-0000-00002B400000}"/>
    <cellStyle name="표준 24 3 2 4 2 2 2 2 3" xfId="16456" xr:uid="{00000000-0005-0000-0000-00002C400000}"/>
    <cellStyle name="표준 24 3 2 4 2 2 2 2 3 2" xfId="16457" xr:uid="{00000000-0005-0000-0000-00002D400000}"/>
    <cellStyle name="표준 24 3 2 4 2 2 2 2 4" xfId="16458" xr:uid="{00000000-0005-0000-0000-00002E400000}"/>
    <cellStyle name="표준 24 3 2 4 2 2 2 3" xfId="16459" xr:uid="{00000000-0005-0000-0000-00002F400000}"/>
    <cellStyle name="표준 24 3 2 4 2 2 2 3 2" xfId="16460" xr:uid="{00000000-0005-0000-0000-000030400000}"/>
    <cellStyle name="표준 24 3 2 4 2 2 2 3 2 2" xfId="16461" xr:uid="{00000000-0005-0000-0000-000031400000}"/>
    <cellStyle name="표준 24 3 2 4 2 2 2 3 3" xfId="16462" xr:uid="{00000000-0005-0000-0000-000032400000}"/>
    <cellStyle name="표준 24 3 2 4 2 2 2 4" xfId="16463" xr:uid="{00000000-0005-0000-0000-000033400000}"/>
    <cellStyle name="표준 24 3 2 4 2 2 2 4 2" xfId="16464" xr:uid="{00000000-0005-0000-0000-000034400000}"/>
    <cellStyle name="표준 24 3 2 4 2 2 2 5" xfId="16465" xr:uid="{00000000-0005-0000-0000-000035400000}"/>
    <cellStyle name="표준 24 3 2 4 2 2 3" xfId="16466" xr:uid="{00000000-0005-0000-0000-000036400000}"/>
    <cellStyle name="표준 24 3 2 4 2 2 3 2" xfId="16467" xr:uid="{00000000-0005-0000-0000-000037400000}"/>
    <cellStyle name="표준 24 3 2 4 2 2 3 2 2" xfId="16468" xr:uid="{00000000-0005-0000-0000-000038400000}"/>
    <cellStyle name="표준 24 3 2 4 2 2 3 2 2 2" xfId="16469" xr:uid="{00000000-0005-0000-0000-000039400000}"/>
    <cellStyle name="표준 24 3 2 4 2 2 3 2 3" xfId="16470" xr:uid="{00000000-0005-0000-0000-00003A400000}"/>
    <cellStyle name="표준 24 3 2 4 2 2 3 3" xfId="16471" xr:uid="{00000000-0005-0000-0000-00003B400000}"/>
    <cellStyle name="표준 24 3 2 4 2 2 3 3 2" xfId="16472" xr:uid="{00000000-0005-0000-0000-00003C400000}"/>
    <cellStyle name="표준 24 3 2 4 2 2 3 4" xfId="16473" xr:uid="{00000000-0005-0000-0000-00003D400000}"/>
    <cellStyle name="표준 24 3 2 4 2 2 4" xfId="16474" xr:uid="{00000000-0005-0000-0000-00003E400000}"/>
    <cellStyle name="표준 24 3 2 4 2 2 4 2" xfId="16475" xr:uid="{00000000-0005-0000-0000-00003F400000}"/>
    <cellStyle name="표준 24 3 2 4 2 2 4 2 2" xfId="16476" xr:uid="{00000000-0005-0000-0000-000040400000}"/>
    <cellStyle name="표준 24 3 2 4 2 2 4 3" xfId="16477" xr:uid="{00000000-0005-0000-0000-000041400000}"/>
    <cellStyle name="표준 24 3 2 4 2 2 5" xfId="16478" xr:uid="{00000000-0005-0000-0000-000042400000}"/>
    <cellStyle name="표준 24 3 2 4 2 2 5 2" xfId="16479" xr:uid="{00000000-0005-0000-0000-000043400000}"/>
    <cellStyle name="표준 24 3 2 4 2 2 6" xfId="16480" xr:uid="{00000000-0005-0000-0000-000044400000}"/>
    <cellStyle name="표준 24 3 2 4 2 3" xfId="16481" xr:uid="{00000000-0005-0000-0000-000045400000}"/>
    <cellStyle name="표준 24 3 2 4 2 3 2" xfId="16482" xr:uid="{00000000-0005-0000-0000-000046400000}"/>
    <cellStyle name="표준 24 3 2 4 2 3 2 2" xfId="16483" xr:uid="{00000000-0005-0000-0000-000047400000}"/>
    <cellStyle name="표준 24 3 2 4 2 3 2 2 2" xfId="16484" xr:uid="{00000000-0005-0000-0000-000048400000}"/>
    <cellStyle name="표준 24 3 2 4 2 3 2 2 2 2" xfId="16485" xr:uid="{00000000-0005-0000-0000-000049400000}"/>
    <cellStyle name="표준 24 3 2 4 2 3 2 2 3" xfId="16486" xr:uid="{00000000-0005-0000-0000-00004A400000}"/>
    <cellStyle name="표준 24 3 2 4 2 3 2 3" xfId="16487" xr:uid="{00000000-0005-0000-0000-00004B400000}"/>
    <cellStyle name="표준 24 3 2 4 2 3 2 3 2" xfId="16488" xr:uid="{00000000-0005-0000-0000-00004C400000}"/>
    <cellStyle name="표준 24 3 2 4 2 3 2 4" xfId="16489" xr:uid="{00000000-0005-0000-0000-00004D400000}"/>
    <cellStyle name="표준 24 3 2 4 2 3 3" xfId="16490" xr:uid="{00000000-0005-0000-0000-00004E400000}"/>
    <cellStyle name="표준 24 3 2 4 2 3 3 2" xfId="16491" xr:uid="{00000000-0005-0000-0000-00004F400000}"/>
    <cellStyle name="표준 24 3 2 4 2 3 3 2 2" xfId="16492" xr:uid="{00000000-0005-0000-0000-000050400000}"/>
    <cellStyle name="표준 24 3 2 4 2 3 3 3" xfId="16493" xr:uid="{00000000-0005-0000-0000-000051400000}"/>
    <cellStyle name="표준 24 3 2 4 2 3 4" xfId="16494" xr:uid="{00000000-0005-0000-0000-000052400000}"/>
    <cellStyle name="표준 24 3 2 4 2 3 4 2" xfId="16495" xr:uid="{00000000-0005-0000-0000-000053400000}"/>
    <cellStyle name="표준 24 3 2 4 2 3 5" xfId="16496" xr:uid="{00000000-0005-0000-0000-000054400000}"/>
    <cellStyle name="표준 24 3 2 4 2 4" xfId="16497" xr:uid="{00000000-0005-0000-0000-000055400000}"/>
    <cellStyle name="표준 24 3 2 4 2 4 2" xfId="16498" xr:uid="{00000000-0005-0000-0000-000056400000}"/>
    <cellStyle name="표준 24 3 2 4 2 4 2 2" xfId="16499" xr:uid="{00000000-0005-0000-0000-000057400000}"/>
    <cellStyle name="표준 24 3 2 4 2 4 2 2 2" xfId="16500" xr:uid="{00000000-0005-0000-0000-000058400000}"/>
    <cellStyle name="표준 24 3 2 4 2 4 2 3" xfId="16501" xr:uid="{00000000-0005-0000-0000-000059400000}"/>
    <cellStyle name="표준 24 3 2 4 2 4 3" xfId="16502" xr:uid="{00000000-0005-0000-0000-00005A400000}"/>
    <cellStyle name="표준 24 3 2 4 2 4 3 2" xfId="16503" xr:uid="{00000000-0005-0000-0000-00005B400000}"/>
    <cellStyle name="표준 24 3 2 4 2 4 4" xfId="16504" xr:uid="{00000000-0005-0000-0000-00005C400000}"/>
    <cellStyle name="표준 24 3 2 4 2 5" xfId="16505" xr:uid="{00000000-0005-0000-0000-00005D400000}"/>
    <cellStyle name="표준 24 3 2 4 2 5 2" xfId="16506" xr:uid="{00000000-0005-0000-0000-00005E400000}"/>
    <cellStyle name="표준 24 3 2 4 2 5 2 2" xfId="16507" xr:uid="{00000000-0005-0000-0000-00005F400000}"/>
    <cellStyle name="표준 24 3 2 4 2 5 3" xfId="16508" xr:uid="{00000000-0005-0000-0000-000060400000}"/>
    <cellStyle name="표준 24 3 2 4 2 6" xfId="16509" xr:uid="{00000000-0005-0000-0000-000061400000}"/>
    <cellStyle name="표준 24 3 2 4 2 6 2" xfId="16510" xr:uid="{00000000-0005-0000-0000-000062400000}"/>
    <cellStyle name="표준 24 3 2 4 2 7" xfId="16511" xr:uid="{00000000-0005-0000-0000-000063400000}"/>
    <cellStyle name="표준 24 3 2 4 2 8" xfId="16512" xr:uid="{00000000-0005-0000-0000-000064400000}"/>
    <cellStyle name="표준 24 3 2 4 3" xfId="16513" xr:uid="{00000000-0005-0000-0000-000065400000}"/>
    <cellStyle name="표준 24 3 2 4 3 2" xfId="16514" xr:uid="{00000000-0005-0000-0000-000066400000}"/>
    <cellStyle name="표준 24 3 2 4 3 2 2" xfId="16515" xr:uid="{00000000-0005-0000-0000-000067400000}"/>
    <cellStyle name="표준 24 3 2 4 3 2 2 2" xfId="16516" xr:uid="{00000000-0005-0000-0000-000068400000}"/>
    <cellStyle name="표준 24 3 2 4 3 2 2 2 2" xfId="16517" xr:uid="{00000000-0005-0000-0000-000069400000}"/>
    <cellStyle name="표준 24 3 2 4 3 2 2 2 2 2" xfId="16518" xr:uid="{00000000-0005-0000-0000-00006A400000}"/>
    <cellStyle name="표준 24 3 2 4 3 2 2 2 3" xfId="16519" xr:uid="{00000000-0005-0000-0000-00006B400000}"/>
    <cellStyle name="표준 24 3 2 4 3 2 2 3" xfId="16520" xr:uid="{00000000-0005-0000-0000-00006C400000}"/>
    <cellStyle name="표준 24 3 2 4 3 2 2 3 2" xfId="16521" xr:uid="{00000000-0005-0000-0000-00006D400000}"/>
    <cellStyle name="표준 24 3 2 4 3 2 2 4" xfId="16522" xr:uid="{00000000-0005-0000-0000-00006E400000}"/>
    <cellStyle name="표준 24 3 2 4 3 2 3" xfId="16523" xr:uid="{00000000-0005-0000-0000-00006F400000}"/>
    <cellStyle name="표준 24 3 2 4 3 2 3 2" xfId="16524" xr:uid="{00000000-0005-0000-0000-000070400000}"/>
    <cellStyle name="표준 24 3 2 4 3 2 3 2 2" xfId="16525" xr:uid="{00000000-0005-0000-0000-000071400000}"/>
    <cellStyle name="표준 24 3 2 4 3 2 3 3" xfId="16526" xr:uid="{00000000-0005-0000-0000-000072400000}"/>
    <cellStyle name="표준 24 3 2 4 3 2 4" xfId="16527" xr:uid="{00000000-0005-0000-0000-000073400000}"/>
    <cellStyle name="표준 24 3 2 4 3 2 4 2" xfId="16528" xr:uid="{00000000-0005-0000-0000-000074400000}"/>
    <cellStyle name="표준 24 3 2 4 3 2 5" xfId="16529" xr:uid="{00000000-0005-0000-0000-000075400000}"/>
    <cellStyle name="표준 24 3 2 4 3 3" xfId="16530" xr:uid="{00000000-0005-0000-0000-000076400000}"/>
    <cellStyle name="표준 24 3 2 4 3 3 2" xfId="16531" xr:uid="{00000000-0005-0000-0000-000077400000}"/>
    <cellStyle name="표준 24 3 2 4 3 3 2 2" xfId="16532" xr:uid="{00000000-0005-0000-0000-000078400000}"/>
    <cellStyle name="표준 24 3 2 4 3 3 2 2 2" xfId="16533" xr:uid="{00000000-0005-0000-0000-000079400000}"/>
    <cellStyle name="표준 24 3 2 4 3 3 2 3" xfId="16534" xr:uid="{00000000-0005-0000-0000-00007A400000}"/>
    <cellStyle name="표준 24 3 2 4 3 3 3" xfId="16535" xr:uid="{00000000-0005-0000-0000-00007B400000}"/>
    <cellStyle name="표준 24 3 2 4 3 3 3 2" xfId="16536" xr:uid="{00000000-0005-0000-0000-00007C400000}"/>
    <cellStyle name="표준 24 3 2 4 3 3 4" xfId="16537" xr:uid="{00000000-0005-0000-0000-00007D400000}"/>
    <cellStyle name="표준 24 3 2 4 3 4" xfId="16538" xr:uid="{00000000-0005-0000-0000-00007E400000}"/>
    <cellStyle name="표준 24 3 2 4 3 4 2" xfId="16539" xr:uid="{00000000-0005-0000-0000-00007F400000}"/>
    <cellStyle name="표준 24 3 2 4 3 4 2 2" xfId="16540" xr:uid="{00000000-0005-0000-0000-000080400000}"/>
    <cellStyle name="표준 24 3 2 4 3 4 3" xfId="16541" xr:uid="{00000000-0005-0000-0000-000081400000}"/>
    <cellStyle name="표준 24 3 2 4 3 5" xfId="16542" xr:uid="{00000000-0005-0000-0000-000082400000}"/>
    <cellStyle name="표준 24 3 2 4 3 5 2" xfId="16543" xr:uid="{00000000-0005-0000-0000-000083400000}"/>
    <cellStyle name="표준 24 3 2 4 3 6" xfId="16544" xr:uid="{00000000-0005-0000-0000-000084400000}"/>
    <cellStyle name="표준 24 3 2 4 4" xfId="16545" xr:uid="{00000000-0005-0000-0000-000085400000}"/>
    <cellStyle name="표준 24 3 2 4 4 2" xfId="16546" xr:uid="{00000000-0005-0000-0000-000086400000}"/>
    <cellStyle name="표준 24 3 2 4 4 2 2" xfId="16547" xr:uid="{00000000-0005-0000-0000-000087400000}"/>
    <cellStyle name="표준 24 3 2 4 4 2 2 2" xfId="16548" xr:uid="{00000000-0005-0000-0000-000088400000}"/>
    <cellStyle name="표준 24 3 2 4 4 2 2 2 2" xfId="16549" xr:uid="{00000000-0005-0000-0000-000089400000}"/>
    <cellStyle name="표준 24 3 2 4 4 2 2 3" xfId="16550" xr:uid="{00000000-0005-0000-0000-00008A400000}"/>
    <cellStyle name="표준 24 3 2 4 4 2 3" xfId="16551" xr:uid="{00000000-0005-0000-0000-00008B400000}"/>
    <cellStyle name="표준 24 3 2 4 4 2 3 2" xfId="16552" xr:uid="{00000000-0005-0000-0000-00008C400000}"/>
    <cellStyle name="표준 24 3 2 4 4 2 4" xfId="16553" xr:uid="{00000000-0005-0000-0000-00008D400000}"/>
    <cellStyle name="표준 24 3 2 4 4 3" xfId="16554" xr:uid="{00000000-0005-0000-0000-00008E400000}"/>
    <cellStyle name="표준 24 3 2 4 4 3 2" xfId="16555" xr:uid="{00000000-0005-0000-0000-00008F400000}"/>
    <cellStyle name="표준 24 3 2 4 4 3 2 2" xfId="16556" xr:uid="{00000000-0005-0000-0000-000090400000}"/>
    <cellStyle name="표준 24 3 2 4 4 3 3" xfId="16557" xr:uid="{00000000-0005-0000-0000-000091400000}"/>
    <cellStyle name="표준 24 3 2 4 4 4" xfId="16558" xr:uid="{00000000-0005-0000-0000-000092400000}"/>
    <cellStyle name="표준 24 3 2 4 4 4 2" xfId="16559" xr:uid="{00000000-0005-0000-0000-000093400000}"/>
    <cellStyle name="표준 24 3 2 4 4 5" xfId="16560" xr:uid="{00000000-0005-0000-0000-000094400000}"/>
    <cellStyle name="표준 24 3 2 4 5" xfId="16561" xr:uid="{00000000-0005-0000-0000-000095400000}"/>
    <cellStyle name="표준 24 3 2 4 5 2" xfId="16562" xr:uid="{00000000-0005-0000-0000-000096400000}"/>
    <cellStyle name="표준 24 3 2 4 5 2 2" xfId="16563" xr:uid="{00000000-0005-0000-0000-000097400000}"/>
    <cellStyle name="표준 24 3 2 4 5 2 2 2" xfId="16564" xr:uid="{00000000-0005-0000-0000-000098400000}"/>
    <cellStyle name="표준 24 3 2 4 5 2 3" xfId="16565" xr:uid="{00000000-0005-0000-0000-000099400000}"/>
    <cellStyle name="표준 24 3 2 4 5 3" xfId="16566" xr:uid="{00000000-0005-0000-0000-00009A400000}"/>
    <cellStyle name="표준 24 3 2 4 5 3 2" xfId="16567" xr:uid="{00000000-0005-0000-0000-00009B400000}"/>
    <cellStyle name="표준 24 3 2 4 5 4" xfId="16568" xr:uid="{00000000-0005-0000-0000-00009C400000}"/>
    <cellStyle name="표준 24 3 2 4 6" xfId="16569" xr:uid="{00000000-0005-0000-0000-00009D400000}"/>
    <cellStyle name="표준 24 3 2 4 6 2" xfId="16570" xr:uid="{00000000-0005-0000-0000-00009E400000}"/>
    <cellStyle name="표준 24 3 2 4 6 2 2" xfId="16571" xr:uid="{00000000-0005-0000-0000-00009F400000}"/>
    <cellStyle name="표준 24 3 2 4 6 3" xfId="16572" xr:uid="{00000000-0005-0000-0000-0000A0400000}"/>
    <cellStyle name="표준 24 3 2 4 7" xfId="16573" xr:uid="{00000000-0005-0000-0000-0000A1400000}"/>
    <cellStyle name="표준 24 3 2 4 7 2" xfId="16574" xr:uid="{00000000-0005-0000-0000-0000A2400000}"/>
    <cellStyle name="표준 24 3 2 4 8" xfId="16575" xr:uid="{00000000-0005-0000-0000-0000A3400000}"/>
    <cellStyle name="표준 24 3 2 4 9" xfId="16576" xr:uid="{00000000-0005-0000-0000-0000A4400000}"/>
    <cellStyle name="표준 24 3 2 5" xfId="16577" xr:uid="{00000000-0005-0000-0000-0000A5400000}"/>
    <cellStyle name="표준 24 3 2 5 2" xfId="16578" xr:uid="{00000000-0005-0000-0000-0000A6400000}"/>
    <cellStyle name="표준 24 3 2 5 2 2" xfId="16579" xr:uid="{00000000-0005-0000-0000-0000A7400000}"/>
    <cellStyle name="표준 24 3 2 5 2 2 2" xfId="16580" xr:uid="{00000000-0005-0000-0000-0000A8400000}"/>
    <cellStyle name="표준 24 3 2 5 2 2 2 2" xfId="16581" xr:uid="{00000000-0005-0000-0000-0000A9400000}"/>
    <cellStyle name="표준 24 3 2 5 2 2 2 2 2" xfId="16582" xr:uid="{00000000-0005-0000-0000-0000AA400000}"/>
    <cellStyle name="표준 24 3 2 5 2 2 2 2 2 2" xfId="16583" xr:uid="{00000000-0005-0000-0000-0000AB400000}"/>
    <cellStyle name="표준 24 3 2 5 2 2 2 2 3" xfId="16584" xr:uid="{00000000-0005-0000-0000-0000AC400000}"/>
    <cellStyle name="표준 24 3 2 5 2 2 2 3" xfId="16585" xr:uid="{00000000-0005-0000-0000-0000AD400000}"/>
    <cellStyle name="표준 24 3 2 5 2 2 2 3 2" xfId="16586" xr:uid="{00000000-0005-0000-0000-0000AE400000}"/>
    <cellStyle name="표준 24 3 2 5 2 2 2 4" xfId="16587" xr:uid="{00000000-0005-0000-0000-0000AF400000}"/>
    <cellStyle name="표준 24 3 2 5 2 2 3" xfId="16588" xr:uid="{00000000-0005-0000-0000-0000B0400000}"/>
    <cellStyle name="표준 24 3 2 5 2 2 3 2" xfId="16589" xr:uid="{00000000-0005-0000-0000-0000B1400000}"/>
    <cellStyle name="표준 24 3 2 5 2 2 3 2 2" xfId="16590" xr:uid="{00000000-0005-0000-0000-0000B2400000}"/>
    <cellStyle name="표준 24 3 2 5 2 2 3 3" xfId="16591" xr:uid="{00000000-0005-0000-0000-0000B3400000}"/>
    <cellStyle name="표준 24 3 2 5 2 2 4" xfId="16592" xr:uid="{00000000-0005-0000-0000-0000B4400000}"/>
    <cellStyle name="표준 24 3 2 5 2 2 4 2" xfId="16593" xr:uid="{00000000-0005-0000-0000-0000B5400000}"/>
    <cellStyle name="표준 24 3 2 5 2 2 5" xfId="16594" xr:uid="{00000000-0005-0000-0000-0000B6400000}"/>
    <cellStyle name="표준 24 3 2 5 2 3" xfId="16595" xr:uid="{00000000-0005-0000-0000-0000B7400000}"/>
    <cellStyle name="표준 24 3 2 5 2 3 2" xfId="16596" xr:uid="{00000000-0005-0000-0000-0000B8400000}"/>
    <cellStyle name="표준 24 3 2 5 2 3 2 2" xfId="16597" xr:uid="{00000000-0005-0000-0000-0000B9400000}"/>
    <cellStyle name="표준 24 3 2 5 2 3 2 2 2" xfId="16598" xr:uid="{00000000-0005-0000-0000-0000BA400000}"/>
    <cellStyle name="표준 24 3 2 5 2 3 2 3" xfId="16599" xr:uid="{00000000-0005-0000-0000-0000BB400000}"/>
    <cellStyle name="표준 24 3 2 5 2 3 3" xfId="16600" xr:uid="{00000000-0005-0000-0000-0000BC400000}"/>
    <cellStyle name="표준 24 3 2 5 2 3 3 2" xfId="16601" xr:uid="{00000000-0005-0000-0000-0000BD400000}"/>
    <cellStyle name="표준 24 3 2 5 2 3 4" xfId="16602" xr:uid="{00000000-0005-0000-0000-0000BE400000}"/>
    <cellStyle name="표준 24 3 2 5 2 4" xfId="16603" xr:uid="{00000000-0005-0000-0000-0000BF400000}"/>
    <cellStyle name="표준 24 3 2 5 2 4 2" xfId="16604" xr:uid="{00000000-0005-0000-0000-0000C0400000}"/>
    <cellStyle name="표준 24 3 2 5 2 4 2 2" xfId="16605" xr:uid="{00000000-0005-0000-0000-0000C1400000}"/>
    <cellStyle name="표준 24 3 2 5 2 4 3" xfId="16606" xr:uid="{00000000-0005-0000-0000-0000C2400000}"/>
    <cellStyle name="표준 24 3 2 5 2 5" xfId="16607" xr:uid="{00000000-0005-0000-0000-0000C3400000}"/>
    <cellStyle name="표준 24 3 2 5 2 5 2" xfId="16608" xr:uid="{00000000-0005-0000-0000-0000C4400000}"/>
    <cellStyle name="표준 24 3 2 5 2 6" xfId="16609" xr:uid="{00000000-0005-0000-0000-0000C5400000}"/>
    <cellStyle name="표준 24 3 2 5 3" xfId="16610" xr:uid="{00000000-0005-0000-0000-0000C6400000}"/>
    <cellStyle name="표준 24 3 2 5 3 2" xfId="16611" xr:uid="{00000000-0005-0000-0000-0000C7400000}"/>
    <cellStyle name="표준 24 3 2 5 3 2 2" xfId="16612" xr:uid="{00000000-0005-0000-0000-0000C8400000}"/>
    <cellStyle name="표준 24 3 2 5 3 2 2 2" xfId="16613" xr:uid="{00000000-0005-0000-0000-0000C9400000}"/>
    <cellStyle name="표준 24 3 2 5 3 2 2 2 2" xfId="16614" xr:uid="{00000000-0005-0000-0000-0000CA400000}"/>
    <cellStyle name="표준 24 3 2 5 3 2 2 3" xfId="16615" xr:uid="{00000000-0005-0000-0000-0000CB400000}"/>
    <cellStyle name="표준 24 3 2 5 3 2 3" xfId="16616" xr:uid="{00000000-0005-0000-0000-0000CC400000}"/>
    <cellStyle name="표준 24 3 2 5 3 2 3 2" xfId="16617" xr:uid="{00000000-0005-0000-0000-0000CD400000}"/>
    <cellStyle name="표준 24 3 2 5 3 2 4" xfId="16618" xr:uid="{00000000-0005-0000-0000-0000CE400000}"/>
    <cellStyle name="표준 24 3 2 5 3 3" xfId="16619" xr:uid="{00000000-0005-0000-0000-0000CF400000}"/>
    <cellStyle name="표준 24 3 2 5 3 3 2" xfId="16620" xr:uid="{00000000-0005-0000-0000-0000D0400000}"/>
    <cellStyle name="표준 24 3 2 5 3 3 2 2" xfId="16621" xr:uid="{00000000-0005-0000-0000-0000D1400000}"/>
    <cellStyle name="표준 24 3 2 5 3 3 3" xfId="16622" xr:uid="{00000000-0005-0000-0000-0000D2400000}"/>
    <cellStyle name="표준 24 3 2 5 3 4" xfId="16623" xr:uid="{00000000-0005-0000-0000-0000D3400000}"/>
    <cellStyle name="표준 24 3 2 5 3 4 2" xfId="16624" xr:uid="{00000000-0005-0000-0000-0000D4400000}"/>
    <cellStyle name="표준 24 3 2 5 3 5" xfId="16625" xr:uid="{00000000-0005-0000-0000-0000D5400000}"/>
    <cellStyle name="표준 24 3 2 5 4" xfId="16626" xr:uid="{00000000-0005-0000-0000-0000D6400000}"/>
    <cellStyle name="표준 24 3 2 5 4 2" xfId="16627" xr:uid="{00000000-0005-0000-0000-0000D7400000}"/>
    <cellStyle name="표준 24 3 2 5 4 2 2" xfId="16628" xr:uid="{00000000-0005-0000-0000-0000D8400000}"/>
    <cellStyle name="표준 24 3 2 5 4 2 2 2" xfId="16629" xr:uid="{00000000-0005-0000-0000-0000D9400000}"/>
    <cellStyle name="표준 24 3 2 5 4 2 3" xfId="16630" xr:uid="{00000000-0005-0000-0000-0000DA400000}"/>
    <cellStyle name="표준 24 3 2 5 4 3" xfId="16631" xr:uid="{00000000-0005-0000-0000-0000DB400000}"/>
    <cellStyle name="표준 24 3 2 5 4 3 2" xfId="16632" xr:uid="{00000000-0005-0000-0000-0000DC400000}"/>
    <cellStyle name="표준 24 3 2 5 4 4" xfId="16633" xr:uid="{00000000-0005-0000-0000-0000DD400000}"/>
    <cellStyle name="표준 24 3 2 5 5" xfId="16634" xr:uid="{00000000-0005-0000-0000-0000DE400000}"/>
    <cellStyle name="표준 24 3 2 5 5 2" xfId="16635" xr:uid="{00000000-0005-0000-0000-0000DF400000}"/>
    <cellStyle name="표준 24 3 2 5 5 2 2" xfId="16636" xr:uid="{00000000-0005-0000-0000-0000E0400000}"/>
    <cellStyle name="표준 24 3 2 5 5 3" xfId="16637" xr:uid="{00000000-0005-0000-0000-0000E1400000}"/>
    <cellStyle name="표준 24 3 2 5 6" xfId="16638" xr:uid="{00000000-0005-0000-0000-0000E2400000}"/>
    <cellStyle name="표준 24 3 2 5 6 2" xfId="16639" xr:uid="{00000000-0005-0000-0000-0000E3400000}"/>
    <cellStyle name="표준 24 3 2 5 7" xfId="16640" xr:uid="{00000000-0005-0000-0000-0000E4400000}"/>
    <cellStyle name="표준 24 3 2 5 8" xfId="16641" xr:uid="{00000000-0005-0000-0000-0000E5400000}"/>
    <cellStyle name="표준 24 3 2 6" xfId="16642" xr:uid="{00000000-0005-0000-0000-0000E6400000}"/>
    <cellStyle name="표준 24 3 2 6 2" xfId="16643" xr:uid="{00000000-0005-0000-0000-0000E7400000}"/>
    <cellStyle name="표준 24 3 2 6 2 2" xfId="16644" xr:uid="{00000000-0005-0000-0000-0000E8400000}"/>
    <cellStyle name="표준 24 3 2 6 2 2 2" xfId="16645" xr:uid="{00000000-0005-0000-0000-0000E9400000}"/>
    <cellStyle name="표준 24 3 2 6 2 2 2 2" xfId="16646" xr:uid="{00000000-0005-0000-0000-0000EA400000}"/>
    <cellStyle name="표준 24 3 2 6 2 2 2 2 2" xfId="16647" xr:uid="{00000000-0005-0000-0000-0000EB400000}"/>
    <cellStyle name="표준 24 3 2 6 2 2 2 3" xfId="16648" xr:uid="{00000000-0005-0000-0000-0000EC400000}"/>
    <cellStyle name="표준 24 3 2 6 2 2 3" xfId="16649" xr:uid="{00000000-0005-0000-0000-0000ED400000}"/>
    <cellStyle name="표준 24 3 2 6 2 2 3 2" xfId="16650" xr:uid="{00000000-0005-0000-0000-0000EE400000}"/>
    <cellStyle name="표준 24 3 2 6 2 2 4" xfId="16651" xr:uid="{00000000-0005-0000-0000-0000EF400000}"/>
    <cellStyle name="표준 24 3 2 6 2 3" xfId="16652" xr:uid="{00000000-0005-0000-0000-0000F0400000}"/>
    <cellStyle name="표준 24 3 2 6 2 3 2" xfId="16653" xr:uid="{00000000-0005-0000-0000-0000F1400000}"/>
    <cellStyle name="표준 24 3 2 6 2 3 2 2" xfId="16654" xr:uid="{00000000-0005-0000-0000-0000F2400000}"/>
    <cellStyle name="표준 24 3 2 6 2 3 3" xfId="16655" xr:uid="{00000000-0005-0000-0000-0000F3400000}"/>
    <cellStyle name="표준 24 3 2 6 2 4" xfId="16656" xr:uid="{00000000-0005-0000-0000-0000F4400000}"/>
    <cellStyle name="표준 24 3 2 6 2 4 2" xfId="16657" xr:uid="{00000000-0005-0000-0000-0000F5400000}"/>
    <cellStyle name="표준 24 3 2 6 2 5" xfId="16658" xr:uid="{00000000-0005-0000-0000-0000F6400000}"/>
    <cellStyle name="표준 24 3 2 6 3" xfId="16659" xr:uid="{00000000-0005-0000-0000-0000F7400000}"/>
    <cellStyle name="표준 24 3 2 6 3 2" xfId="16660" xr:uid="{00000000-0005-0000-0000-0000F8400000}"/>
    <cellStyle name="표준 24 3 2 6 3 2 2" xfId="16661" xr:uid="{00000000-0005-0000-0000-0000F9400000}"/>
    <cellStyle name="표준 24 3 2 6 3 2 2 2" xfId="16662" xr:uid="{00000000-0005-0000-0000-0000FA400000}"/>
    <cellStyle name="표준 24 3 2 6 3 2 3" xfId="16663" xr:uid="{00000000-0005-0000-0000-0000FB400000}"/>
    <cellStyle name="표준 24 3 2 6 3 3" xfId="16664" xr:uid="{00000000-0005-0000-0000-0000FC400000}"/>
    <cellStyle name="표준 24 3 2 6 3 3 2" xfId="16665" xr:uid="{00000000-0005-0000-0000-0000FD400000}"/>
    <cellStyle name="표준 24 3 2 6 3 4" xfId="16666" xr:uid="{00000000-0005-0000-0000-0000FE400000}"/>
    <cellStyle name="표준 24 3 2 6 4" xfId="16667" xr:uid="{00000000-0005-0000-0000-0000FF400000}"/>
    <cellStyle name="표준 24 3 2 6 4 2" xfId="16668" xr:uid="{00000000-0005-0000-0000-000000410000}"/>
    <cellStyle name="표준 24 3 2 6 4 2 2" xfId="16669" xr:uid="{00000000-0005-0000-0000-000001410000}"/>
    <cellStyle name="표준 24 3 2 6 4 3" xfId="16670" xr:uid="{00000000-0005-0000-0000-000002410000}"/>
    <cellStyle name="표준 24 3 2 6 5" xfId="16671" xr:uid="{00000000-0005-0000-0000-000003410000}"/>
    <cellStyle name="표준 24 3 2 6 5 2" xfId="16672" xr:uid="{00000000-0005-0000-0000-000004410000}"/>
    <cellStyle name="표준 24 3 2 6 6" xfId="16673" xr:uid="{00000000-0005-0000-0000-000005410000}"/>
    <cellStyle name="표준 24 3 2 7" xfId="16674" xr:uid="{00000000-0005-0000-0000-000006410000}"/>
    <cellStyle name="표준 24 3 2 7 2" xfId="16675" xr:uid="{00000000-0005-0000-0000-000007410000}"/>
    <cellStyle name="표준 24 3 2 7 2 2" xfId="16676" xr:uid="{00000000-0005-0000-0000-000008410000}"/>
    <cellStyle name="표준 24 3 2 7 2 2 2" xfId="16677" xr:uid="{00000000-0005-0000-0000-000009410000}"/>
    <cellStyle name="표준 24 3 2 7 2 2 2 2" xfId="16678" xr:uid="{00000000-0005-0000-0000-00000A410000}"/>
    <cellStyle name="표준 24 3 2 7 2 2 3" xfId="16679" xr:uid="{00000000-0005-0000-0000-00000B410000}"/>
    <cellStyle name="표준 24 3 2 7 2 3" xfId="16680" xr:uid="{00000000-0005-0000-0000-00000C410000}"/>
    <cellStyle name="표준 24 3 2 7 2 3 2" xfId="16681" xr:uid="{00000000-0005-0000-0000-00000D410000}"/>
    <cellStyle name="표준 24 3 2 7 2 4" xfId="16682" xr:uid="{00000000-0005-0000-0000-00000E410000}"/>
    <cellStyle name="표준 24 3 2 7 3" xfId="16683" xr:uid="{00000000-0005-0000-0000-00000F410000}"/>
    <cellStyle name="표준 24 3 2 7 3 2" xfId="16684" xr:uid="{00000000-0005-0000-0000-000010410000}"/>
    <cellStyle name="표준 24 3 2 7 3 2 2" xfId="16685" xr:uid="{00000000-0005-0000-0000-000011410000}"/>
    <cellStyle name="표준 24 3 2 7 3 3" xfId="16686" xr:uid="{00000000-0005-0000-0000-000012410000}"/>
    <cellStyle name="표준 24 3 2 7 4" xfId="16687" xr:uid="{00000000-0005-0000-0000-000013410000}"/>
    <cellStyle name="표준 24 3 2 7 4 2" xfId="16688" xr:uid="{00000000-0005-0000-0000-000014410000}"/>
    <cellStyle name="표준 24 3 2 7 5" xfId="16689" xr:uid="{00000000-0005-0000-0000-000015410000}"/>
    <cellStyle name="표준 24 3 2 8" xfId="16690" xr:uid="{00000000-0005-0000-0000-000016410000}"/>
    <cellStyle name="표준 24 3 2 8 2" xfId="16691" xr:uid="{00000000-0005-0000-0000-000017410000}"/>
    <cellStyle name="표준 24 3 2 8 2 2" xfId="16692" xr:uid="{00000000-0005-0000-0000-000018410000}"/>
    <cellStyle name="표준 24 3 2 8 2 2 2" xfId="16693" xr:uid="{00000000-0005-0000-0000-000019410000}"/>
    <cellStyle name="표준 24 3 2 8 2 3" xfId="16694" xr:uid="{00000000-0005-0000-0000-00001A410000}"/>
    <cellStyle name="표준 24 3 2 8 3" xfId="16695" xr:uid="{00000000-0005-0000-0000-00001B410000}"/>
    <cellStyle name="표준 24 3 2 8 3 2" xfId="16696" xr:uid="{00000000-0005-0000-0000-00001C410000}"/>
    <cellStyle name="표준 24 3 2 8 4" xfId="16697" xr:uid="{00000000-0005-0000-0000-00001D410000}"/>
    <cellStyle name="표준 24 3 2 9" xfId="16698" xr:uid="{00000000-0005-0000-0000-00001E410000}"/>
    <cellStyle name="표준 24 3 2 9 2" xfId="16699" xr:uid="{00000000-0005-0000-0000-00001F410000}"/>
    <cellStyle name="표준 24 3 2 9 2 2" xfId="16700" xr:uid="{00000000-0005-0000-0000-000020410000}"/>
    <cellStyle name="표준 24 3 2 9 3" xfId="16701" xr:uid="{00000000-0005-0000-0000-000021410000}"/>
    <cellStyle name="표준 24 3 3" xfId="16702" xr:uid="{00000000-0005-0000-0000-000022410000}"/>
    <cellStyle name="표준 24 3 3 10" xfId="16703" xr:uid="{00000000-0005-0000-0000-000023410000}"/>
    <cellStyle name="표준 24 3 3 11" xfId="16704" xr:uid="{00000000-0005-0000-0000-000024410000}"/>
    <cellStyle name="표준 24 3 3 2" xfId="16705" xr:uid="{00000000-0005-0000-0000-000025410000}"/>
    <cellStyle name="표준 24 3 3 2 10" xfId="16706" xr:uid="{00000000-0005-0000-0000-000026410000}"/>
    <cellStyle name="표준 24 3 3 2 2" xfId="16707" xr:uid="{00000000-0005-0000-0000-000027410000}"/>
    <cellStyle name="표준 24 3 3 2 2 2" xfId="16708" xr:uid="{00000000-0005-0000-0000-000028410000}"/>
    <cellStyle name="표준 24 3 3 2 2 2 2" xfId="16709" xr:uid="{00000000-0005-0000-0000-000029410000}"/>
    <cellStyle name="표준 24 3 3 2 2 2 2 2" xfId="16710" xr:uid="{00000000-0005-0000-0000-00002A410000}"/>
    <cellStyle name="표준 24 3 3 2 2 2 2 2 2" xfId="16711" xr:uid="{00000000-0005-0000-0000-00002B410000}"/>
    <cellStyle name="표준 24 3 3 2 2 2 2 2 2 2" xfId="16712" xr:uid="{00000000-0005-0000-0000-00002C410000}"/>
    <cellStyle name="표준 24 3 3 2 2 2 2 2 2 2 2" xfId="16713" xr:uid="{00000000-0005-0000-0000-00002D410000}"/>
    <cellStyle name="표준 24 3 3 2 2 2 2 2 2 2 2 2" xfId="16714" xr:uid="{00000000-0005-0000-0000-00002E410000}"/>
    <cellStyle name="표준 24 3 3 2 2 2 2 2 2 2 3" xfId="16715" xr:uid="{00000000-0005-0000-0000-00002F410000}"/>
    <cellStyle name="표준 24 3 3 2 2 2 2 2 2 3" xfId="16716" xr:uid="{00000000-0005-0000-0000-000030410000}"/>
    <cellStyle name="표준 24 3 3 2 2 2 2 2 2 3 2" xfId="16717" xr:uid="{00000000-0005-0000-0000-000031410000}"/>
    <cellStyle name="표준 24 3 3 2 2 2 2 2 2 4" xfId="16718" xr:uid="{00000000-0005-0000-0000-000032410000}"/>
    <cellStyle name="표준 24 3 3 2 2 2 2 2 3" xfId="16719" xr:uid="{00000000-0005-0000-0000-000033410000}"/>
    <cellStyle name="표준 24 3 3 2 2 2 2 2 3 2" xfId="16720" xr:uid="{00000000-0005-0000-0000-000034410000}"/>
    <cellStyle name="표준 24 3 3 2 2 2 2 2 3 2 2" xfId="16721" xr:uid="{00000000-0005-0000-0000-000035410000}"/>
    <cellStyle name="표준 24 3 3 2 2 2 2 2 3 3" xfId="16722" xr:uid="{00000000-0005-0000-0000-000036410000}"/>
    <cellStyle name="표준 24 3 3 2 2 2 2 2 4" xfId="16723" xr:uid="{00000000-0005-0000-0000-000037410000}"/>
    <cellStyle name="표준 24 3 3 2 2 2 2 2 4 2" xfId="16724" xr:uid="{00000000-0005-0000-0000-000038410000}"/>
    <cellStyle name="표준 24 3 3 2 2 2 2 2 5" xfId="16725" xr:uid="{00000000-0005-0000-0000-000039410000}"/>
    <cellStyle name="표준 24 3 3 2 2 2 2 3" xfId="16726" xr:uid="{00000000-0005-0000-0000-00003A410000}"/>
    <cellStyle name="표준 24 3 3 2 2 2 2 3 2" xfId="16727" xr:uid="{00000000-0005-0000-0000-00003B410000}"/>
    <cellStyle name="표준 24 3 3 2 2 2 2 3 2 2" xfId="16728" xr:uid="{00000000-0005-0000-0000-00003C410000}"/>
    <cellStyle name="표준 24 3 3 2 2 2 2 3 2 2 2" xfId="16729" xr:uid="{00000000-0005-0000-0000-00003D410000}"/>
    <cellStyle name="표준 24 3 3 2 2 2 2 3 2 3" xfId="16730" xr:uid="{00000000-0005-0000-0000-00003E410000}"/>
    <cellStyle name="표준 24 3 3 2 2 2 2 3 3" xfId="16731" xr:uid="{00000000-0005-0000-0000-00003F410000}"/>
    <cellStyle name="표준 24 3 3 2 2 2 2 3 3 2" xfId="16732" xr:uid="{00000000-0005-0000-0000-000040410000}"/>
    <cellStyle name="표준 24 3 3 2 2 2 2 3 4" xfId="16733" xr:uid="{00000000-0005-0000-0000-000041410000}"/>
    <cellStyle name="표준 24 3 3 2 2 2 2 4" xfId="16734" xr:uid="{00000000-0005-0000-0000-000042410000}"/>
    <cellStyle name="표준 24 3 3 2 2 2 2 4 2" xfId="16735" xr:uid="{00000000-0005-0000-0000-000043410000}"/>
    <cellStyle name="표준 24 3 3 2 2 2 2 4 2 2" xfId="16736" xr:uid="{00000000-0005-0000-0000-000044410000}"/>
    <cellStyle name="표준 24 3 3 2 2 2 2 4 3" xfId="16737" xr:uid="{00000000-0005-0000-0000-000045410000}"/>
    <cellStyle name="표준 24 3 3 2 2 2 2 5" xfId="16738" xr:uid="{00000000-0005-0000-0000-000046410000}"/>
    <cellStyle name="표준 24 3 3 2 2 2 2 5 2" xfId="16739" xr:uid="{00000000-0005-0000-0000-000047410000}"/>
    <cellStyle name="표준 24 3 3 2 2 2 2 6" xfId="16740" xr:uid="{00000000-0005-0000-0000-000048410000}"/>
    <cellStyle name="표준 24 3 3 2 2 2 3" xfId="16741" xr:uid="{00000000-0005-0000-0000-000049410000}"/>
    <cellStyle name="표준 24 3 3 2 2 2 3 2" xfId="16742" xr:uid="{00000000-0005-0000-0000-00004A410000}"/>
    <cellStyle name="표준 24 3 3 2 2 2 3 2 2" xfId="16743" xr:uid="{00000000-0005-0000-0000-00004B410000}"/>
    <cellStyle name="표준 24 3 3 2 2 2 3 2 2 2" xfId="16744" xr:uid="{00000000-0005-0000-0000-00004C410000}"/>
    <cellStyle name="표준 24 3 3 2 2 2 3 2 2 2 2" xfId="16745" xr:uid="{00000000-0005-0000-0000-00004D410000}"/>
    <cellStyle name="표준 24 3 3 2 2 2 3 2 2 3" xfId="16746" xr:uid="{00000000-0005-0000-0000-00004E410000}"/>
    <cellStyle name="표준 24 3 3 2 2 2 3 2 3" xfId="16747" xr:uid="{00000000-0005-0000-0000-00004F410000}"/>
    <cellStyle name="표준 24 3 3 2 2 2 3 2 3 2" xfId="16748" xr:uid="{00000000-0005-0000-0000-000050410000}"/>
    <cellStyle name="표준 24 3 3 2 2 2 3 2 4" xfId="16749" xr:uid="{00000000-0005-0000-0000-000051410000}"/>
    <cellStyle name="표준 24 3 3 2 2 2 3 3" xfId="16750" xr:uid="{00000000-0005-0000-0000-000052410000}"/>
    <cellStyle name="표준 24 3 3 2 2 2 3 3 2" xfId="16751" xr:uid="{00000000-0005-0000-0000-000053410000}"/>
    <cellStyle name="표준 24 3 3 2 2 2 3 3 2 2" xfId="16752" xr:uid="{00000000-0005-0000-0000-000054410000}"/>
    <cellStyle name="표준 24 3 3 2 2 2 3 3 3" xfId="16753" xr:uid="{00000000-0005-0000-0000-000055410000}"/>
    <cellStyle name="표준 24 3 3 2 2 2 3 4" xfId="16754" xr:uid="{00000000-0005-0000-0000-000056410000}"/>
    <cellStyle name="표준 24 3 3 2 2 2 3 4 2" xfId="16755" xr:uid="{00000000-0005-0000-0000-000057410000}"/>
    <cellStyle name="표준 24 3 3 2 2 2 3 5" xfId="16756" xr:uid="{00000000-0005-0000-0000-000058410000}"/>
    <cellStyle name="표준 24 3 3 2 2 2 4" xfId="16757" xr:uid="{00000000-0005-0000-0000-000059410000}"/>
    <cellStyle name="표준 24 3 3 2 2 2 4 2" xfId="16758" xr:uid="{00000000-0005-0000-0000-00005A410000}"/>
    <cellStyle name="표준 24 3 3 2 2 2 4 2 2" xfId="16759" xr:uid="{00000000-0005-0000-0000-00005B410000}"/>
    <cellStyle name="표준 24 3 3 2 2 2 4 2 2 2" xfId="16760" xr:uid="{00000000-0005-0000-0000-00005C410000}"/>
    <cellStyle name="표준 24 3 3 2 2 2 4 2 3" xfId="16761" xr:uid="{00000000-0005-0000-0000-00005D410000}"/>
    <cellStyle name="표준 24 3 3 2 2 2 4 3" xfId="16762" xr:uid="{00000000-0005-0000-0000-00005E410000}"/>
    <cellStyle name="표준 24 3 3 2 2 2 4 3 2" xfId="16763" xr:uid="{00000000-0005-0000-0000-00005F410000}"/>
    <cellStyle name="표준 24 3 3 2 2 2 4 4" xfId="16764" xr:uid="{00000000-0005-0000-0000-000060410000}"/>
    <cellStyle name="표준 24 3 3 2 2 2 5" xfId="16765" xr:uid="{00000000-0005-0000-0000-000061410000}"/>
    <cellStyle name="표준 24 3 3 2 2 2 5 2" xfId="16766" xr:uid="{00000000-0005-0000-0000-000062410000}"/>
    <cellStyle name="표준 24 3 3 2 2 2 5 2 2" xfId="16767" xr:uid="{00000000-0005-0000-0000-000063410000}"/>
    <cellStyle name="표준 24 3 3 2 2 2 5 3" xfId="16768" xr:uid="{00000000-0005-0000-0000-000064410000}"/>
    <cellStyle name="표준 24 3 3 2 2 2 6" xfId="16769" xr:uid="{00000000-0005-0000-0000-000065410000}"/>
    <cellStyle name="표준 24 3 3 2 2 2 6 2" xfId="16770" xr:uid="{00000000-0005-0000-0000-000066410000}"/>
    <cellStyle name="표준 24 3 3 2 2 2 7" xfId="16771" xr:uid="{00000000-0005-0000-0000-000067410000}"/>
    <cellStyle name="표준 24 3 3 2 2 2 8" xfId="16772" xr:uid="{00000000-0005-0000-0000-000068410000}"/>
    <cellStyle name="표준 24 3 3 2 2 3" xfId="16773" xr:uid="{00000000-0005-0000-0000-000069410000}"/>
    <cellStyle name="표준 24 3 3 2 2 3 2" xfId="16774" xr:uid="{00000000-0005-0000-0000-00006A410000}"/>
    <cellStyle name="표준 24 3 3 2 2 3 2 2" xfId="16775" xr:uid="{00000000-0005-0000-0000-00006B410000}"/>
    <cellStyle name="표준 24 3 3 2 2 3 2 2 2" xfId="16776" xr:uid="{00000000-0005-0000-0000-00006C410000}"/>
    <cellStyle name="표준 24 3 3 2 2 3 2 2 2 2" xfId="16777" xr:uid="{00000000-0005-0000-0000-00006D410000}"/>
    <cellStyle name="표준 24 3 3 2 2 3 2 2 2 2 2" xfId="16778" xr:uid="{00000000-0005-0000-0000-00006E410000}"/>
    <cellStyle name="표준 24 3 3 2 2 3 2 2 2 3" xfId="16779" xr:uid="{00000000-0005-0000-0000-00006F410000}"/>
    <cellStyle name="표준 24 3 3 2 2 3 2 2 3" xfId="16780" xr:uid="{00000000-0005-0000-0000-000070410000}"/>
    <cellStyle name="표준 24 3 3 2 2 3 2 2 3 2" xfId="16781" xr:uid="{00000000-0005-0000-0000-000071410000}"/>
    <cellStyle name="표준 24 3 3 2 2 3 2 2 4" xfId="16782" xr:uid="{00000000-0005-0000-0000-000072410000}"/>
    <cellStyle name="표준 24 3 3 2 2 3 2 3" xfId="16783" xr:uid="{00000000-0005-0000-0000-000073410000}"/>
    <cellStyle name="표준 24 3 3 2 2 3 2 3 2" xfId="16784" xr:uid="{00000000-0005-0000-0000-000074410000}"/>
    <cellStyle name="표준 24 3 3 2 2 3 2 3 2 2" xfId="16785" xr:uid="{00000000-0005-0000-0000-000075410000}"/>
    <cellStyle name="표준 24 3 3 2 2 3 2 3 3" xfId="16786" xr:uid="{00000000-0005-0000-0000-000076410000}"/>
    <cellStyle name="표준 24 3 3 2 2 3 2 4" xfId="16787" xr:uid="{00000000-0005-0000-0000-000077410000}"/>
    <cellStyle name="표준 24 3 3 2 2 3 2 4 2" xfId="16788" xr:uid="{00000000-0005-0000-0000-000078410000}"/>
    <cellStyle name="표준 24 3 3 2 2 3 2 5" xfId="16789" xr:uid="{00000000-0005-0000-0000-000079410000}"/>
    <cellStyle name="표준 24 3 3 2 2 3 3" xfId="16790" xr:uid="{00000000-0005-0000-0000-00007A410000}"/>
    <cellStyle name="표준 24 3 3 2 2 3 3 2" xfId="16791" xr:uid="{00000000-0005-0000-0000-00007B410000}"/>
    <cellStyle name="표준 24 3 3 2 2 3 3 2 2" xfId="16792" xr:uid="{00000000-0005-0000-0000-00007C410000}"/>
    <cellStyle name="표준 24 3 3 2 2 3 3 2 2 2" xfId="16793" xr:uid="{00000000-0005-0000-0000-00007D410000}"/>
    <cellStyle name="표준 24 3 3 2 2 3 3 2 3" xfId="16794" xr:uid="{00000000-0005-0000-0000-00007E410000}"/>
    <cellStyle name="표준 24 3 3 2 2 3 3 3" xfId="16795" xr:uid="{00000000-0005-0000-0000-00007F410000}"/>
    <cellStyle name="표준 24 3 3 2 2 3 3 3 2" xfId="16796" xr:uid="{00000000-0005-0000-0000-000080410000}"/>
    <cellStyle name="표준 24 3 3 2 2 3 3 4" xfId="16797" xr:uid="{00000000-0005-0000-0000-000081410000}"/>
    <cellStyle name="표준 24 3 3 2 2 3 4" xfId="16798" xr:uid="{00000000-0005-0000-0000-000082410000}"/>
    <cellStyle name="표준 24 3 3 2 2 3 4 2" xfId="16799" xr:uid="{00000000-0005-0000-0000-000083410000}"/>
    <cellStyle name="표준 24 3 3 2 2 3 4 2 2" xfId="16800" xr:uid="{00000000-0005-0000-0000-000084410000}"/>
    <cellStyle name="표준 24 3 3 2 2 3 4 3" xfId="16801" xr:uid="{00000000-0005-0000-0000-000085410000}"/>
    <cellStyle name="표준 24 3 3 2 2 3 5" xfId="16802" xr:uid="{00000000-0005-0000-0000-000086410000}"/>
    <cellStyle name="표준 24 3 3 2 2 3 5 2" xfId="16803" xr:uid="{00000000-0005-0000-0000-000087410000}"/>
    <cellStyle name="표준 24 3 3 2 2 3 6" xfId="16804" xr:uid="{00000000-0005-0000-0000-000088410000}"/>
    <cellStyle name="표준 24 3 3 2 2 4" xfId="16805" xr:uid="{00000000-0005-0000-0000-000089410000}"/>
    <cellStyle name="표준 24 3 3 2 2 4 2" xfId="16806" xr:uid="{00000000-0005-0000-0000-00008A410000}"/>
    <cellStyle name="표준 24 3 3 2 2 4 2 2" xfId="16807" xr:uid="{00000000-0005-0000-0000-00008B410000}"/>
    <cellStyle name="표준 24 3 3 2 2 4 2 2 2" xfId="16808" xr:uid="{00000000-0005-0000-0000-00008C410000}"/>
    <cellStyle name="표준 24 3 3 2 2 4 2 2 2 2" xfId="16809" xr:uid="{00000000-0005-0000-0000-00008D410000}"/>
    <cellStyle name="표준 24 3 3 2 2 4 2 2 3" xfId="16810" xr:uid="{00000000-0005-0000-0000-00008E410000}"/>
    <cellStyle name="표준 24 3 3 2 2 4 2 3" xfId="16811" xr:uid="{00000000-0005-0000-0000-00008F410000}"/>
    <cellStyle name="표준 24 3 3 2 2 4 2 3 2" xfId="16812" xr:uid="{00000000-0005-0000-0000-000090410000}"/>
    <cellStyle name="표준 24 3 3 2 2 4 2 4" xfId="16813" xr:uid="{00000000-0005-0000-0000-000091410000}"/>
    <cellStyle name="표준 24 3 3 2 2 4 3" xfId="16814" xr:uid="{00000000-0005-0000-0000-000092410000}"/>
    <cellStyle name="표준 24 3 3 2 2 4 3 2" xfId="16815" xr:uid="{00000000-0005-0000-0000-000093410000}"/>
    <cellStyle name="표준 24 3 3 2 2 4 3 2 2" xfId="16816" xr:uid="{00000000-0005-0000-0000-000094410000}"/>
    <cellStyle name="표준 24 3 3 2 2 4 3 3" xfId="16817" xr:uid="{00000000-0005-0000-0000-000095410000}"/>
    <cellStyle name="표준 24 3 3 2 2 4 4" xfId="16818" xr:uid="{00000000-0005-0000-0000-000096410000}"/>
    <cellStyle name="표준 24 3 3 2 2 4 4 2" xfId="16819" xr:uid="{00000000-0005-0000-0000-000097410000}"/>
    <cellStyle name="표준 24 3 3 2 2 4 5" xfId="16820" xr:uid="{00000000-0005-0000-0000-000098410000}"/>
    <cellStyle name="표준 24 3 3 2 2 5" xfId="16821" xr:uid="{00000000-0005-0000-0000-000099410000}"/>
    <cellStyle name="표준 24 3 3 2 2 5 2" xfId="16822" xr:uid="{00000000-0005-0000-0000-00009A410000}"/>
    <cellStyle name="표준 24 3 3 2 2 5 2 2" xfId="16823" xr:uid="{00000000-0005-0000-0000-00009B410000}"/>
    <cellStyle name="표준 24 3 3 2 2 5 2 2 2" xfId="16824" xr:uid="{00000000-0005-0000-0000-00009C410000}"/>
    <cellStyle name="표준 24 3 3 2 2 5 2 3" xfId="16825" xr:uid="{00000000-0005-0000-0000-00009D410000}"/>
    <cellStyle name="표준 24 3 3 2 2 5 3" xfId="16826" xr:uid="{00000000-0005-0000-0000-00009E410000}"/>
    <cellStyle name="표준 24 3 3 2 2 5 3 2" xfId="16827" xr:uid="{00000000-0005-0000-0000-00009F410000}"/>
    <cellStyle name="표준 24 3 3 2 2 5 4" xfId="16828" xr:uid="{00000000-0005-0000-0000-0000A0410000}"/>
    <cellStyle name="표준 24 3 3 2 2 6" xfId="16829" xr:uid="{00000000-0005-0000-0000-0000A1410000}"/>
    <cellStyle name="표준 24 3 3 2 2 6 2" xfId="16830" xr:uid="{00000000-0005-0000-0000-0000A2410000}"/>
    <cellStyle name="표준 24 3 3 2 2 6 2 2" xfId="16831" xr:uid="{00000000-0005-0000-0000-0000A3410000}"/>
    <cellStyle name="표준 24 3 3 2 2 6 3" xfId="16832" xr:uid="{00000000-0005-0000-0000-0000A4410000}"/>
    <cellStyle name="표준 24 3 3 2 2 7" xfId="16833" xr:uid="{00000000-0005-0000-0000-0000A5410000}"/>
    <cellStyle name="표준 24 3 3 2 2 7 2" xfId="16834" xr:uid="{00000000-0005-0000-0000-0000A6410000}"/>
    <cellStyle name="표준 24 3 3 2 2 8" xfId="16835" xr:uid="{00000000-0005-0000-0000-0000A7410000}"/>
    <cellStyle name="표준 24 3 3 2 2 9" xfId="16836" xr:uid="{00000000-0005-0000-0000-0000A8410000}"/>
    <cellStyle name="표준 24 3 3 2 3" xfId="16837" xr:uid="{00000000-0005-0000-0000-0000A9410000}"/>
    <cellStyle name="표준 24 3 3 2 3 2" xfId="16838" xr:uid="{00000000-0005-0000-0000-0000AA410000}"/>
    <cellStyle name="표준 24 3 3 2 3 2 2" xfId="16839" xr:uid="{00000000-0005-0000-0000-0000AB410000}"/>
    <cellStyle name="표준 24 3 3 2 3 2 2 2" xfId="16840" xr:uid="{00000000-0005-0000-0000-0000AC410000}"/>
    <cellStyle name="표준 24 3 3 2 3 2 2 2 2" xfId="16841" xr:uid="{00000000-0005-0000-0000-0000AD410000}"/>
    <cellStyle name="표준 24 3 3 2 3 2 2 2 2 2" xfId="16842" xr:uid="{00000000-0005-0000-0000-0000AE410000}"/>
    <cellStyle name="표준 24 3 3 2 3 2 2 2 2 2 2" xfId="16843" xr:uid="{00000000-0005-0000-0000-0000AF410000}"/>
    <cellStyle name="표준 24 3 3 2 3 2 2 2 2 3" xfId="16844" xr:uid="{00000000-0005-0000-0000-0000B0410000}"/>
    <cellStyle name="표준 24 3 3 2 3 2 2 2 3" xfId="16845" xr:uid="{00000000-0005-0000-0000-0000B1410000}"/>
    <cellStyle name="표준 24 3 3 2 3 2 2 2 3 2" xfId="16846" xr:uid="{00000000-0005-0000-0000-0000B2410000}"/>
    <cellStyle name="표준 24 3 3 2 3 2 2 2 4" xfId="16847" xr:uid="{00000000-0005-0000-0000-0000B3410000}"/>
    <cellStyle name="표준 24 3 3 2 3 2 2 3" xfId="16848" xr:uid="{00000000-0005-0000-0000-0000B4410000}"/>
    <cellStyle name="표준 24 3 3 2 3 2 2 3 2" xfId="16849" xr:uid="{00000000-0005-0000-0000-0000B5410000}"/>
    <cellStyle name="표준 24 3 3 2 3 2 2 3 2 2" xfId="16850" xr:uid="{00000000-0005-0000-0000-0000B6410000}"/>
    <cellStyle name="표준 24 3 3 2 3 2 2 3 3" xfId="16851" xr:uid="{00000000-0005-0000-0000-0000B7410000}"/>
    <cellStyle name="표준 24 3 3 2 3 2 2 4" xfId="16852" xr:uid="{00000000-0005-0000-0000-0000B8410000}"/>
    <cellStyle name="표준 24 3 3 2 3 2 2 4 2" xfId="16853" xr:uid="{00000000-0005-0000-0000-0000B9410000}"/>
    <cellStyle name="표준 24 3 3 2 3 2 2 5" xfId="16854" xr:uid="{00000000-0005-0000-0000-0000BA410000}"/>
    <cellStyle name="표준 24 3 3 2 3 2 3" xfId="16855" xr:uid="{00000000-0005-0000-0000-0000BB410000}"/>
    <cellStyle name="표준 24 3 3 2 3 2 3 2" xfId="16856" xr:uid="{00000000-0005-0000-0000-0000BC410000}"/>
    <cellStyle name="표준 24 3 3 2 3 2 3 2 2" xfId="16857" xr:uid="{00000000-0005-0000-0000-0000BD410000}"/>
    <cellStyle name="표준 24 3 3 2 3 2 3 2 2 2" xfId="16858" xr:uid="{00000000-0005-0000-0000-0000BE410000}"/>
    <cellStyle name="표준 24 3 3 2 3 2 3 2 3" xfId="16859" xr:uid="{00000000-0005-0000-0000-0000BF410000}"/>
    <cellStyle name="표준 24 3 3 2 3 2 3 3" xfId="16860" xr:uid="{00000000-0005-0000-0000-0000C0410000}"/>
    <cellStyle name="표준 24 3 3 2 3 2 3 3 2" xfId="16861" xr:uid="{00000000-0005-0000-0000-0000C1410000}"/>
    <cellStyle name="표준 24 3 3 2 3 2 3 4" xfId="16862" xr:uid="{00000000-0005-0000-0000-0000C2410000}"/>
    <cellStyle name="표준 24 3 3 2 3 2 4" xfId="16863" xr:uid="{00000000-0005-0000-0000-0000C3410000}"/>
    <cellStyle name="표준 24 3 3 2 3 2 4 2" xfId="16864" xr:uid="{00000000-0005-0000-0000-0000C4410000}"/>
    <cellStyle name="표준 24 3 3 2 3 2 4 2 2" xfId="16865" xr:uid="{00000000-0005-0000-0000-0000C5410000}"/>
    <cellStyle name="표준 24 3 3 2 3 2 4 3" xfId="16866" xr:uid="{00000000-0005-0000-0000-0000C6410000}"/>
    <cellStyle name="표준 24 3 3 2 3 2 5" xfId="16867" xr:uid="{00000000-0005-0000-0000-0000C7410000}"/>
    <cellStyle name="표준 24 3 3 2 3 2 5 2" xfId="16868" xr:uid="{00000000-0005-0000-0000-0000C8410000}"/>
    <cellStyle name="표준 24 3 3 2 3 2 6" xfId="16869" xr:uid="{00000000-0005-0000-0000-0000C9410000}"/>
    <cellStyle name="표준 24 3 3 2 3 3" xfId="16870" xr:uid="{00000000-0005-0000-0000-0000CA410000}"/>
    <cellStyle name="표준 24 3 3 2 3 3 2" xfId="16871" xr:uid="{00000000-0005-0000-0000-0000CB410000}"/>
    <cellStyle name="표준 24 3 3 2 3 3 2 2" xfId="16872" xr:uid="{00000000-0005-0000-0000-0000CC410000}"/>
    <cellStyle name="표준 24 3 3 2 3 3 2 2 2" xfId="16873" xr:uid="{00000000-0005-0000-0000-0000CD410000}"/>
    <cellStyle name="표준 24 3 3 2 3 3 2 2 2 2" xfId="16874" xr:uid="{00000000-0005-0000-0000-0000CE410000}"/>
    <cellStyle name="표준 24 3 3 2 3 3 2 2 3" xfId="16875" xr:uid="{00000000-0005-0000-0000-0000CF410000}"/>
    <cellStyle name="표준 24 3 3 2 3 3 2 3" xfId="16876" xr:uid="{00000000-0005-0000-0000-0000D0410000}"/>
    <cellStyle name="표준 24 3 3 2 3 3 2 3 2" xfId="16877" xr:uid="{00000000-0005-0000-0000-0000D1410000}"/>
    <cellStyle name="표준 24 3 3 2 3 3 2 4" xfId="16878" xr:uid="{00000000-0005-0000-0000-0000D2410000}"/>
    <cellStyle name="표준 24 3 3 2 3 3 3" xfId="16879" xr:uid="{00000000-0005-0000-0000-0000D3410000}"/>
    <cellStyle name="표준 24 3 3 2 3 3 3 2" xfId="16880" xr:uid="{00000000-0005-0000-0000-0000D4410000}"/>
    <cellStyle name="표준 24 3 3 2 3 3 3 2 2" xfId="16881" xr:uid="{00000000-0005-0000-0000-0000D5410000}"/>
    <cellStyle name="표준 24 3 3 2 3 3 3 3" xfId="16882" xr:uid="{00000000-0005-0000-0000-0000D6410000}"/>
    <cellStyle name="표준 24 3 3 2 3 3 4" xfId="16883" xr:uid="{00000000-0005-0000-0000-0000D7410000}"/>
    <cellStyle name="표준 24 3 3 2 3 3 4 2" xfId="16884" xr:uid="{00000000-0005-0000-0000-0000D8410000}"/>
    <cellStyle name="표준 24 3 3 2 3 3 5" xfId="16885" xr:uid="{00000000-0005-0000-0000-0000D9410000}"/>
    <cellStyle name="표준 24 3 3 2 3 4" xfId="16886" xr:uid="{00000000-0005-0000-0000-0000DA410000}"/>
    <cellStyle name="표준 24 3 3 2 3 4 2" xfId="16887" xr:uid="{00000000-0005-0000-0000-0000DB410000}"/>
    <cellStyle name="표준 24 3 3 2 3 4 2 2" xfId="16888" xr:uid="{00000000-0005-0000-0000-0000DC410000}"/>
    <cellStyle name="표준 24 3 3 2 3 4 2 2 2" xfId="16889" xr:uid="{00000000-0005-0000-0000-0000DD410000}"/>
    <cellStyle name="표준 24 3 3 2 3 4 2 3" xfId="16890" xr:uid="{00000000-0005-0000-0000-0000DE410000}"/>
    <cellStyle name="표준 24 3 3 2 3 4 3" xfId="16891" xr:uid="{00000000-0005-0000-0000-0000DF410000}"/>
    <cellStyle name="표준 24 3 3 2 3 4 3 2" xfId="16892" xr:uid="{00000000-0005-0000-0000-0000E0410000}"/>
    <cellStyle name="표준 24 3 3 2 3 4 4" xfId="16893" xr:uid="{00000000-0005-0000-0000-0000E1410000}"/>
    <cellStyle name="표준 24 3 3 2 3 5" xfId="16894" xr:uid="{00000000-0005-0000-0000-0000E2410000}"/>
    <cellStyle name="표준 24 3 3 2 3 5 2" xfId="16895" xr:uid="{00000000-0005-0000-0000-0000E3410000}"/>
    <cellStyle name="표준 24 3 3 2 3 5 2 2" xfId="16896" xr:uid="{00000000-0005-0000-0000-0000E4410000}"/>
    <cellStyle name="표준 24 3 3 2 3 5 3" xfId="16897" xr:uid="{00000000-0005-0000-0000-0000E5410000}"/>
    <cellStyle name="표준 24 3 3 2 3 6" xfId="16898" xr:uid="{00000000-0005-0000-0000-0000E6410000}"/>
    <cellStyle name="표준 24 3 3 2 3 6 2" xfId="16899" xr:uid="{00000000-0005-0000-0000-0000E7410000}"/>
    <cellStyle name="표준 24 3 3 2 3 7" xfId="16900" xr:uid="{00000000-0005-0000-0000-0000E8410000}"/>
    <cellStyle name="표준 24 3 3 2 3 8" xfId="16901" xr:uid="{00000000-0005-0000-0000-0000E9410000}"/>
    <cellStyle name="표준 24 3 3 2 4" xfId="16902" xr:uid="{00000000-0005-0000-0000-0000EA410000}"/>
    <cellStyle name="표준 24 3 3 2 4 2" xfId="16903" xr:uid="{00000000-0005-0000-0000-0000EB410000}"/>
    <cellStyle name="표준 24 3 3 2 4 2 2" xfId="16904" xr:uid="{00000000-0005-0000-0000-0000EC410000}"/>
    <cellStyle name="표준 24 3 3 2 4 2 2 2" xfId="16905" xr:uid="{00000000-0005-0000-0000-0000ED410000}"/>
    <cellStyle name="표준 24 3 3 2 4 2 2 2 2" xfId="16906" xr:uid="{00000000-0005-0000-0000-0000EE410000}"/>
    <cellStyle name="표준 24 3 3 2 4 2 2 2 2 2" xfId="16907" xr:uid="{00000000-0005-0000-0000-0000EF410000}"/>
    <cellStyle name="표준 24 3 3 2 4 2 2 2 3" xfId="16908" xr:uid="{00000000-0005-0000-0000-0000F0410000}"/>
    <cellStyle name="표준 24 3 3 2 4 2 2 3" xfId="16909" xr:uid="{00000000-0005-0000-0000-0000F1410000}"/>
    <cellStyle name="표준 24 3 3 2 4 2 2 3 2" xfId="16910" xr:uid="{00000000-0005-0000-0000-0000F2410000}"/>
    <cellStyle name="표준 24 3 3 2 4 2 2 4" xfId="16911" xr:uid="{00000000-0005-0000-0000-0000F3410000}"/>
    <cellStyle name="표준 24 3 3 2 4 2 3" xfId="16912" xr:uid="{00000000-0005-0000-0000-0000F4410000}"/>
    <cellStyle name="표준 24 3 3 2 4 2 3 2" xfId="16913" xr:uid="{00000000-0005-0000-0000-0000F5410000}"/>
    <cellStyle name="표준 24 3 3 2 4 2 3 2 2" xfId="16914" xr:uid="{00000000-0005-0000-0000-0000F6410000}"/>
    <cellStyle name="표준 24 3 3 2 4 2 3 3" xfId="16915" xr:uid="{00000000-0005-0000-0000-0000F7410000}"/>
    <cellStyle name="표준 24 3 3 2 4 2 4" xfId="16916" xr:uid="{00000000-0005-0000-0000-0000F8410000}"/>
    <cellStyle name="표준 24 3 3 2 4 2 4 2" xfId="16917" xr:uid="{00000000-0005-0000-0000-0000F9410000}"/>
    <cellStyle name="표준 24 3 3 2 4 2 5" xfId="16918" xr:uid="{00000000-0005-0000-0000-0000FA410000}"/>
    <cellStyle name="표준 24 3 3 2 4 3" xfId="16919" xr:uid="{00000000-0005-0000-0000-0000FB410000}"/>
    <cellStyle name="표준 24 3 3 2 4 3 2" xfId="16920" xr:uid="{00000000-0005-0000-0000-0000FC410000}"/>
    <cellStyle name="표준 24 3 3 2 4 3 2 2" xfId="16921" xr:uid="{00000000-0005-0000-0000-0000FD410000}"/>
    <cellStyle name="표준 24 3 3 2 4 3 2 2 2" xfId="16922" xr:uid="{00000000-0005-0000-0000-0000FE410000}"/>
    <cellStyle name="표준 24 3 3 2 4 3 2 3" xfId="16923" xr:uid="{00000000-0005-0000-0000-0000FF410000}"/>
    <cellStyle name="표준 24 3 3 2 4 3 3" xfId="16924" xr:uid="{00000000-0005-0000-0000-000000420000}"/>
    <cellStyle name="표준 24 3 3 2 4 3 3 2" xfId="16925" xr:uid="{00000000-0005-0000-0000-000001420000}"/>
    <cellStyle name="표준 24 3 3 2 4 3 4" xfId="16926" xr:uid="{00000000-0005-0000-0000-000002420000}"/>
    <cellStyle name="표준 24 3 3 2 4 4" xfId="16927" xr:uid="{00000000-0005-0000-0000-000003420000}"/>
    <cellStyle name="표준 24 3 3 2 4 4 2" xfId="16928" xr:uid="{00000000-0005-0000-0000-000004420000}"/>
    <cellStyle name="표준 24 3 3 2 4 4 2 2" xfId="16929" xr:uid="{00000000-0005-0000-0000-000005420000}"/>
    <cellStyle name="표준 24 3 3 2 4 4 3" xfId="16930" xr:uid="{00000000-0005-0000-0000-000006420000}"/>
    <cellStyle name="표준 24 3 3 2 4 5" xfId="16931" xr:uid="{00000000-0005-0000-0000-000007420000}"/>
    <cellStyle name="표준 24 3 3 2 4 5 2" xfId="16932" xr:uid="{00000000-0005-0000-0000-000008420000}"/>
    <cellStyle name="표준 24 3 3 2 4 6" xfId="16933" xr:uid="{00000000-0005-0000-0000-000009420000}"/>
    <cellStyle name="표준 24 3 3 2 5" xfId="16934" xr:uid="{00000000-0005-0000-0000-00000A420000}"/>
    <cellStyle name="표준 24 3 3 2 5 2" xfId="16935" xr:uid="{00000000-0005-0000-0000-00000B420000}"/>
    <cellStyle name="표준 24 3 3 2 5 2 2" xfId="16936" xr:uid="{00000000-0005-0000-0000-00000C420000}"/>
    <cellStyle name="표준 24 3 3 2 5 2 2 2" xfId="16937" xr:uid="{00000000-0005-0000-0000-00000D420000}"/>
    <cellStyle name="표준 24 3 3 2 5 2 2 2 2" xfId="16938" xr:uid="{00000000-0005-0000-0000-00000E420000}"/>
    <cellStyle name="표준 24 3 3 2 5 2 2 3" xfId="16939" xr:uid="{00000000-0005-0000-0000-00000F420000}"/>
    <cellStyle name="표준 24 3 3 2 5 2 3" xfId="16940" xr:uid="{00000000-0005-0000-0000-000010420000}"/>
    <cellStyle name="표준 24 3 3 2 5 2 3 2" xfId="16941" xr:uid="{00000000-0005-0000-0000-000011420000}"/>
    <cellStyle name="표준 24 3 3 2 5 2 4" xfId="16942" xr:uid="{00000000-0005-0000-0000-000012420000}"/>
    <cellStyle name="표준 24 3 3 2 5 3" xfId="16943" xr:uid="{00000000-0005-0000-0000-000013420000}"/>
    <cellStyle name="표준 24 3 3 2 5 3 2" xfId="16944" xr:uid="{00000000-0005-0000-0000-000014420000}"/>
    <cellStyle name="표준 24 3 3 2 5 3 2 2" xfId="16945" xr:uid="{00000000-0005-0000-0000-000015420000}"/>
    <cellStyle name="표준 24 3 3 2 5 3 3" xfId="16946" xr:uid="{00000000-0005-0000-0000-000016420000}"/>
    <cellStyle name="표준 24 3 3 2 5 4" xfId="16947" xr:uid="{00000000-0005-0000-0000-000017420000}"/>
    <cellStyle name="표준 24 3 3 2 5 4 2" xfId="16948" xr:uid="{00000000-0005-0000-0000-000018420000}"/>
    <cellStyle name="표준 24 3 3 2 5 5" xfId="16949" xr:uid="{00000000-0005-0000-0000-000019420000}"/>
    <cellStyle name="표준 24 3 3 2 6" xfId="16950" xr:uid="{00000000-0005-0000-0000-00001A420000}"/>
    <cellStyle name="표준 24 3 3 2 6 2" xfId="16951" xr:uid="{00000000-0005-0000-0000-00001B420000}"/>
    <cellStyle name="표준 24 3 3 2 6 2 2" xfId="16952" xr:uid="{00000000-0005-0000-0000-00001C420000}"/>
    <cellStyle name="표준 24 3 3 2 6 2 2 2" xfId="16953" xr:uid="{00000000-0005-0000-0000-00001D420000}"/>
    <cellStyle name="표준 24 3 3 2 6 2 3" xfId="16954" xr:uid="{00000000-0005-0000-0000-00001E420000}"/>
    <cellStyle name="표준 24 3 3 2 6 3" xfId="16955" xr:uid="{00000000-0005-0000-0000-00001F420000}"/>
    <cellStyle name="표준 24 3 3 2 6 3 2" xfId="16956" xr:uid="{00000000-0005-0000-0000-000020420000}"/>
    <cellStyle name="표준 24 3 3 2 6 4" xfId="16957" xr:uid="{00000000-0005-0000-0000-000021420000}"/>
    <cellStyle name="표준 24 3 3 2 7" xfId="16958" xr:uid="{00000000-0005-0000-0000-000022420000}"/>
    <cellStyle name="표준 24 3 3 2 7 2" xfId="16959" xr:uid="{00000000-0005-0000-0000-000023420000}"/>
    <cellStyle name="표준 24 3 3 2 7 2 2" xfId="16960" xr:uid="{00000000-0005-0000-0000-000024420000}"/>
    <cellStyle name="표준 24 3 3 2 7 3" xfId="16961" xr:uid="{00000000-0005-0000-0000-000025420000}"/>
    <cellStyle name="표준 24 3 3 2 8" xfId="16962" xr:uid="{00000000-0005-0000-0000-000026420000}"/>
    <cellStyle name="표준 24 3 3 2 8 2" xfId="16963" xr:uid="{00000000-0005-0000-0000-000027420000}"/>
    <cellStyle name="표준 24 3 3 2 9" xfId="16964" xr:uid="{00000000-0005-0000-0000-000028420000}"/>
    <cellStyle name="표준 24 3 3 3" xfId="16965" xr:uid="{00000000-0005-0000-0000-000029420000}"/>
    <cellStyle name="표준 24 3 3 3 2" xfId="16966" xr:uid="{00000000-0005-0000-0000-00002A420000}"/>
    <cellStyle name="표준 24 3 3 3 2 2" xfId="16967" xr:uid="{00000000-0005-0000-0000-00002B420000}"/>
    <cellStyle name="표준 24 3 3 3 2 2 2" xfId="16968" xr:uid="{00000000-0005-0000-0000-00002C420000}"/>
    <cellStyle name="표준 24 3 3 3 2 2 2 2" xfId="16969" xr:uid="{00000000-0005-0000-0000-00002D420000}"/>
    <cellStyle name="표준 24 3 3 3 2 2 2 2 2" xfId="16970" xr:uid="{00000000-0005-0000-0000-00002E420000}"/>
    <cellStyle name="표준 24 3 3 3 2 2 2 2 2 2" xfId="16971" xr:uid="{00000000-0005-0000-0000-00002F420000}"/>
    <cellStyle name="표준 24 3 3 3 2 2 2 2 2 2 2" xfId="16972" xr:uid="{00000000-0005-0000-0000-000030420000}"/>
    <cellStyle name="표준 24 3 3 3 2 2 2 2 2 3" xfId="16973" xr:uid="{00000000-0005-0000-0000-000031420000}"/>
    <cellStyle name="표준 24 3 3 3 2 2 2 2 3" xfId="16974" xr:uid="{00000000-0005-0000-0000-000032420000}"/>
    <cellStyle name="표준 24 3 3 3 2 2 2 2 3 2" xfId="16975" xr:uid="{00000000-0005-0000-0000-000033420000}"/>
    <cellStyle name="표준 24 3 3 3 2 2 2 2 4" xfId="16976" xr:uid="{00000000-0005-0000-0000-000034420000}"/>
    <cellStyle name="표준 24 3 3 3 2 2 2 3" xfId="16977" xr:uid="{00000000-0005-0000-0000-000035420000}"/>
    <cellStyle name="표준 24 3 3 3 2 2 2 3 2" xfId="16978" xr:uid="{00000000-0005-0000-0000-000036420000}"/>
    <cellStyle name="표준 24 3 3 3 2 2 2 3 2 2" xfId="16979" xr:uid="{00000000-0005-0000-0000-000037420000}"/>
    <cellStyle name="표준 24 3 3 3 2 2 2 3 3" xfId="16980" xr:uid="{00000000-0005-0000-0000-000038420000}"/>
    <cellStyle name="표준 24 3 3 3 2 2 2 4" xfId="16981" xr:uid="{00000000-0005-0000-0000-000039420000}"/>
    <cellStyle name="표준 24 3 3 3 2 2 2 4 2" xfId="16982" xr:uid="{00000000-0005-0000-0000-00003A420000}"/>
    <cellStyle name="표준 24 3 3 3 2 2 2 5" xfId="16983" xr:uid="{00000000-0005-0000-0000-00003B420000}"/>
    <cellStyle name="표준 24 3 3 3 2 2 3" xfId="16984" xr:uid="{00000000-0005-0000-0000-00003C420000}"/>
    <cellStyle name="표준 24 3 3 3 2 2 3 2" xfId="16985" xr:uid="{00000000-0005-0000-0000-00003D420000}"/>
    <cellStyle name="표준 24 3 3 3 2 2 3 2 2" xfId="16986" xr:uid="{00000000-0005-0000-0000-00003E420000}"/>
    <cellStyle name="표준 24 3 3 3 2 2 3 2 2 2" xfId="16987" xr:uid="{00000000-0005-0000-0000-00003F420000}"/>
    <cellStyle name="표준 24 3 3 3 2 2 3 2 3" xfId="16988" xr:uid="{00000000-0005-0000-0000-000040420000}"/>
    <cellStyle name="표준 24 3 3 3 2 2 3 3" xfId="16989" xr:uid="{00000000-0005-0000-0000-000041420000}"/>
    <cellStyle name="표준 24 3 3 3 2 2 3 3 2" xfId="16990" xr:uid="{00000000-0005-0000-0000-000042420000}"/>
    <cellStyle name="표준 24 3 3 3 2 2 3 4" xfId="16991" xr:uid="{00000000-0005-0000-0000-000043420000}"/>
    <cellStyle name="표준 24 3 3 3 2 2 4" xfId="16992" xr:uid="{00000000-0005-0000-0000-000044420000}"/>
    <cellStyle name="표준 24 3 3 3 2 2 4 2" xfId="16993" xr:uid="{00000000-0005-0000-0000-000045420000}"/>
    <cellStyle name="표준 24 3 3 3 2 2 4 2 2" xfId="16994" xr:uid="{00000000-0005-0000-0000-000046420000}"/>
    <cellStyle name="표준 24 3 3 3 2 2 4 3" xfId="16995" xr:uid="{00000000-0005-0000-0000-000047420000}"/>
    <cellStyle name="표준 24 3 3 3 2 2 5" xfId="16996" xr:uid="{00000000-0005-0000-0000-000048420000}"/>
    <cellStyle name="표준 24 3 3 3 2 2 5 2" xfId="16997" xr:uid="{00000000-0005-0000-0000-000049420000}"/>
    <cellStyle name="표준 24 3 3 3 2 2 6" xfId="16998" xr:uid="{00000000-0005-0000-0000-00004A420000}"/>
    <cellStyle name="표준 24 3 3 3 2 3" xfId="16999" xr:uid="{00000000-0005-0000-0000-00004B420000}"/>
    <cellStyle name="표준 24 3 3 3 2 3 2" xfId="17000" xr:uid="{00000000-0005-0000-0000-00004C420000}"/>
    <cellStyle name="표준 24 3 3 3 2 3 2 2" xfId="17001" xr:uid="{00000000-0005-0000-0000-00004D420000}"/>
    <cellStyle name="표준 24 3 3 3 2 3 2 2 2" xfId="17002" xr:uid="{00000000-0005-0000-0000-00004E420000}"/>
    <cellStyle name="표준 24 3 3 3 2 3 2 2 2 2" xfId="17003" xr:uid="{00000000-0005-0000-0000-00004F420000}"/>
    <cellStyle name="표준 24 3 3 3 2 3 2 2 3" xfId="17004" xr:uid="{00000000-0005-0000-0000-000050420000}"/>
    <cellStyle name="표준 24 3 3 3 2 3 2 3" xfId="17005" xr:uid="{00000000-0005-0000-0000-000051420000}"/>
    <cellStyle name="표준 24 3 3 3 2 3 2 3 2" xfId="17006" xr:uid="{00000000-0005-0000-0000-000052420000}"/>
    <cellStyle name="표준 24 3 3 3 2 3 2 4" xfId="17007" xr:uid="{00000000-0005-0000-0000-000053420000}"/>
    <cellStyle name="표준 24 3 3 3 2 3 3" xfId="17008" xr:uid="{00000000-0005-0000-0000-000054420000}"/>
    <cellStyle name="표준 24 3 3 3 2 3 3 2" xfId="17009" xr:uid="{00000000-0005-0000-0000-000055420000}"/>
    <cellStyle name="표준 24 3 3 3 2 3 3 2 2" xfId="17010" xr:uid="{00000000-0005-0000-0000-000056420000}"/>
    <cellStyle name="표준 24 3 3 3 2 3 3 3" xfId="17011" xr:uid="{00000000-0005-0000-0000-000057420000}"/>
    <cellStyle name="표준 24 3 3 3 2 3 4" xfId="17012" xr:uid="{00000000-0005-0000-0000-000058420000}"/>
    <cellStyle name="표준 24 3 3 3 2 3 4 2" xfId="17013" xr:uid="{00000000-0005-0000-0000-000059420000}"/>
    <cellStyle name="표준 24 3 3 3 2 3 5" xfId="17014" xr:uid="{00000000-0005-0000-0000-00005A420000}"/>
    <cellStyle name="표준 24 3 3 3 2 4" xfId="17015" xr:uid="{00000000-0005-0000-0000-00005B420000}"/>
    <cellStyle name="표준 24 3 3 3 2 4 2" xfId="17016" xr:uid="{00000000-0005-0000-0000-00005C420000}"/>
    <cellStyle name="표준 24 3 3 3 2 4 2 2" xfId="17017" xr:uid="{00000000-0005-0000-0000-00005D420000}"/>
    <cellStyle name="표준 24 3 3 3 2 4 2 2 2" xfId="17018" xr:uid="{00000000-0005-0000-0000-00005E420000}"/>
    <cellStyle name="표준 24 3 3 3 2 4 2 3" xfId="17019" xr:uid="{00000000-0005-0000-0000-00005F420000}"/>
    <cellStyle name="표준 24 3 3 3 2 4 3" xfId="17020" xr:uid="{00000000-0005-0000-0000-000060420000}"/>
    <cellStyle name="표준 24 3 3 3 2 4 3 2" xfId="17021" xr:uid="{00000000-0005-0000-0000-000061420000}"/>
    <cellStyle name="표준 24 3 3 3 2 4 4" xfId="17022" xr:uid="{00000000-0005-0000-0000-000062420000}"/>
    <cellStyle name="표준 24 3 3 3 2 5" xfId="17023" xr:uid="{00000000-0005-0000-0000-000063420000}"/>
    <cellStyle name="표준 24 3 3 3 2 5 2" xfId="17024" xr:uid="{00000000-0005-0000-0000-000064420000}"/>
    <cellStyle name="표준 24 3 3 3 2 5 2 2" xfId="17025" xr:uid="{00000000-0005-0000-0000-000065420000}"/>
    <cellStyle name="표준 24 3 3 3 2 5 3" xfId="17026" xr:uid="{00000000-0005-0000-0000-000066420000}"/>
    <cellStyle name="표준 24 3 3 3 2 6" xfId="17027" xr:uid="{00000000-0005-0000-0000-000067420000}"/>
    <cellStyle name="표준 24 3 3 3 2 6 2" xfId="17028" xr:uid="{00000000-0005-0000-0000-000068420000}"/>
    <cellStyle name="표준 24 3 3 3 2 7" xfId="17029" xr:uid="{00000000-0005-0000-0000-000069420000}"/>
    <cellStyle name="표준 24 3 3 3 2 8" xfId="17030" xr:uid="{00000000-0005-0000-0000-00006A420000}"/>
    <cellStyle name="표준 24 3 3 3 3" xfId="17031" xr:uid="{00000000-0005-0000-0000-00006B420000}"/>
    <cellStyle name="표준 24 3 3 3 3 2" xfId="17032" xr:uid="{00000000-0005-0000-0000-00006C420000}"/>
    <cellStyle name="표준 24 3 3 3 3 2 2" xfId="17033" xr:uid="{00000000-0005-0000-0000-00006D420000}"/>
    <cellStyle name="표준 24 3 3 3 3 2 2 2" xfId="17034" xr:uid="{00000000-0005-0000-0000-00006E420000}"/>
    <cellStyle name="표준 24 3 3 3 3 2 2 2 2" xfId="17035" xr:uid="{00000000-0005-0000-0000-00006F420000}"/>
    <cellStyle name="표준 24 3 3 3 3 2 2 2 2 2" xfId="17036" xr:uid="{00000000-0005-0000-0000-000070420000}"/>
    <cellStyle name="표준 24 3 3 3 3 2 2 2 3" xfId="17037" xr:uid="{00000000-0005-0000-0000-000071420000}"/>
    <cellStyle name="표준 24 3 3 3 3 2 2 3" xfId="17038" xr:uid="{00000000-0005-0000-0000-000072420000}"/>
    <cellStyle name="표준 24 3 3 3 3 2 2 3 2" xfId="17039" xr:uid="{00000000-0005-0000-0000-000073420000}"/>
    <cellStyle name="표준 24 3 3 3 3 2 2 4" xfId="17040" xr:uid="{00000000-0005-0000-0000-000074420000}"/>
    <cellStyle name="표준 24 3 3 3 3 2 3" xfId="17041" xr:uid="{00000000-0005-0000-0000-000075420000}"/>
    <cellStyle name="표준 24 3 3 3 3 2 3 2" xfId="17042" xr:uid="{00000000-0005-0000-0000-000076420000}"/>
    <cellStyle name="표준 24 3 3 3 3 2 3 2 2" xfId="17043" xr:uid="{00000000-0005-0000-0000-000077420000}"/>
    <cellStyle name="표준 24 3 3 3 3 2 3 3" xfId="17044" xr:uid="{00000000-0005-0000-0000-000078420000}"/>
    <cellStyle name="표준 24 3 3 3 3 2 4" xfId="17045" xr:uid="{00000000-0005-0000-0000-000079420000}"/>
    <cellStyle name="표준 24 3 3 3 3 2 4 2" xfId="17046" xr:uid="{00000000-0005-0000-0000-00007A420000}"/>
    <cellStyle name="표준 24 3 3 3 3 2 5" xfId="17047" xr:uid="{00000000-0005-0000-0000-00007B420000}"/>
    <cellStyle name="표준 24 3 3 3 3 3" xfId="17048" xr:uid="{00000000-0005-0000-0000-00007C420000}"/>
    <cellStyle name="표준 24 3 3 3 3 3 2" xfId="17049" xr:uid="{00000000-0005-0000-0000-00007D420000}"/>
    <cellStyle name="표준 24 3 3 3 3 3 2 2" xfId="17050" xr:uid="{00000000-0005-0000-0000-00007E420000}"/>
    <cellStyle name="표준 24 3 3 3 3 3 2 2 2" xfId="17051" xr:uid="{00000000-0005-0000-0000-00007F420000}"/>
    <cellStyle name="표준 24 3 3 3 3 3 2 3" xfId="17052" xr:uid="{00000000-0005-0000-0000-000080420000}"/>
    <cellStyle name="표준 24 3 3 3 3 3 3" xfId="17053" xr:uid="{00000000-0005-0000-0000-000081420000}"/>
    <cellStyle name="표준 24 3 3 3 3 3 3 2" xfId="17054" xr:uid="{00000000-0005-0000-0000-000082420000}"/>
    <cellStyle name="표준 24 3 3 3 3 3 4" xfId="17055" xr:uid="{00000000-0005-0000-0000-000083420000}"/>
    <cellStyle name="표준 24 3 3 3 3 4" xfId="17056" xr:uid="{00000000-0005-0000-0000-000084420000}"/>
    <cellStyle name="표준 24 3 3 3 3 4 2" xfId="17057" xr:uid="{00000000-0005-0000-0000-000085420000}"/>
    <cellStyle name="표준 24 3 3 3 3 4 2 2" xfId="17058" xr:uid="{00000000-0005-0000-0000-000086420000}"/>
    <cellStyle name="표준 24 3 3 3 3 4 3" xfId="17059" xr:uid="{00000000-0005-0000-0000-000087420000}"/>
    <cellStyle name="표준 24 3 3 3 3 5" xfId="17060" xr:uid="{00000000-0005-0000-0000-000088420000}"/>
    <cellStyle name="표준 24 3 3 3 3 5 2" xfId="17061" xr:uid="{00000000-0005-0000-0000-000089420000}"/>
    <cellStyle name="표준 24 3 3 3 3 6" xfId="17062" xr:uid="{00000000-0005-0000-0000-00008A420000}"/>
    <cellStyle name="표준 24 3 3 3 4" xfId="17063" xr:uid="{00000000-0005-0000-0000-00008B420000}"/>
    <cellStyle name="표준 24 3 3 3 4 2" xfId="17064" xr:uid="{00000000-0005-0000-0000-00008C420000}"/>
    <cellStyle name="표준 24 3 3 3 4 2 2" xfId="17065" xr:uid="{00000000-0005-0000-0000-00008D420000}"/>
    <cellStyle name="표준 24 3 3 3 4 2 2 2" xfId="17066" xr:uid="{00000000-0005-0000-0000-00008E420000}"/>
    <cellStyle name="표준 24 3 3 3 4 2 2 2 2" xfId="17067" xr:uid="{00000000-0005-0000-0000-00008F420000}"/>
    <cellStyle name="표준 24 3 3 3 4 2 2 3" xfId="17068" xr:uid="{00000000-0005-0000-0000-000090420000}"/>
    <cellStyle name="표준 24 3 3 3 4 2 3" xfId="17069" xr:uid="{00000000-0005-0000-0000-000091420000}"/>
    <cellStyle name="표준 24 3 3 3 4 2 3 2" xfId="17070" xr:uid="{00000000-0005-0000-0000-000092420000}"/>
    <cellStyle name="표준 24 3 3 3 4 2 4" xfId="17071" xr:uid="{00000000-0005-0000-0000-000093420000}"/>
    <cellStyle name="표준 24 3 3 3 4 3" xfId="17072" xr:uid="{00000000-0005-0000-0000-000094420000}"/>
    <cellStyle name="표준 24 3 3 3 4 3 2" xfId="17073" xr:uid="{00000000-0005-0000-0000-000095420000}"/>
    <cellStyle name="표준 24 3 3 3 4 3 2 2" xfId="17074" xr:uid="{00000000-0005-0000-0000-000096420000}"/>
    <cellStyle name="표준 24 3 3 3 4 3 3" xfId="17075" xr:uid="{00000000-0005-0000-0000-000097420000}"/>
    <cellStyle name="표준 24 3 3 3 4 4" xfId="17076" xr:uid="{00000000-0005-0000-0000-000098420000}"/>
    <cellStyle name="표준 24 3 3 3 4 4 2" xfId="17077" xr:uid="{00000000-0005-0000-0000-000099420000}"/>
    <cellStyle name="표준 24 3 3 3 4 5" xfId="17078" xr:uid="{00000000-0005-0000-0000-00009A420000}"/>
    <cellStyle name="표준 24 3 3 3 5" xfId="17079" xr:uid="{00000000-0005-0000-0000-00009B420000}"/>
    <cellStyle name="표준 24 3 3 3 5 2" xfId="17080" xr:uid="{00000000-0005-0000-0000-00009C420000}"/>
    <cellStyle name="표준 24 3 3 3 5 2 2" xfId="17081" xr:uid="{00000000-0005-0000-0000-00009D420000}"/>
    <cellStyle name="표준 24 3 3 3 5 2 2 2" xfId="17082" xr:uid="{00000000-0005-0000-0000-00009E420000}"/>
    <cellStyle name="표준 24 3 3 3 5 2 3" xfId="17083" xr:uid="{00000000-0005-0000-0000-00009F420000}"/>
    <cellStyle name="표준 24 3 3 3 5 3" xfId="17084" xr:uid="{00000000-0005-0000-0000-0000A0420000}"/>
    <cellStyle name="표준 24 3 3 3 5 3 2" xfId="17085" xr:uid="{00000000-0005-0000-0000-0000A1420000}"/>
    <cellStyle name="표준 24 3 3 3 5 4" xfId="17086" xr:uid="{00000000-0005-0000-0000-0000A2420000}"/>
    <cellStyle name="표준 24 3 3 3 6" xfId="17087" xr:uid="{00000000-0005-0000-0000-0000A3420000}"/>
    <cellStyle name="표준 24 3 3 3 6 2" xfId="17088" xr:uid="{00000000-0005-0000-0000-0000A4420000}"/>
    <cellStyle name="표준 24 3 3 3 6 2 2" xfId="17089" xr:uid="{00000000-0005-0000-0000-0000A5420000}"/>
    <cellStyle name="표준 24 3 3 3 6 3" xfId="17090" xr:uid="{00000000-0005-0000-0000-0000A6420000}"/>
    <cellStyle name="표준 24 3 3 3 7" xfId="17091" xr:uid="{00000000-0005-0000-0000-0000A7420000}"/>
    <cellStyle name="표준 24 3 3 3 7 2" xfId="17092" xr:uid="{00000000-0005-0000-0000-0000A8420000}"/>
    <cellStyle name="표준 24 3 3 3 8" xfId="17093" xr:uid="{00000000-0005-0000-0000-0000A9420000}"/>
    <cellStyle name="표준 24 3 3 3 9" xfId="17094" xr:uid="{00000000-0005-0000-0000-0000AA420000}"/>
    <cellStyle name="표준 24 3 3 4" xfId="17095" xr:uid="{00000000-0005-0000-0000-0000AB420000}"/>
    <cellStyle name="표준 24 3 3 4 2" xfId="17096" xr:uid="{00000000-0005-0000-0000-0000AC420000}"/>
    <cellStyle name="표준 24 3 3 4 2 2" xfId="17097" xr:uid="{00000000-0005-0000-0000-0000AD420000}"/>
    <cellStyle name="표준 24 3 3 4 2 2 2" xfId="17098" xr:uid="{00000000-0005-0000-0000-0000AE420000}"/>
    <cellStyle name="표준 24 3 3 4 2 2 2 2" xfId="17099" xr:uid="{00000000-0005-0000-0000-0000AF420000}"/>
    <cellStyle name="표준 24 3 3 4 2 2 2 2 2" xfId="17100" xr:uid="{00000000-0005-0000-0000-0000B0420000}"/>
    <cellStyle name="표준 24 3 3 4 2 2 2 2 2 2" xfId="17101" xr:uid="{00000000-0005-0000-0000-0000B1420000}"/>
    <cellStyle name="표준 24 3 3 4 2 2 2 2 3" xfId="17102" xr:uid="{00000000-0005-0000-0000-0000B2420000}"/>
    <cellStyle name="표준 24 3 3 4 2 2 2 3" xfId="17103" xr:uid="{00000000-0005-0000-0000-0000B3420000}"/>
    <cellStyle name="표준 24 3 3 4 2 2 2 3 2" xfId="17104" xr:uid="{00000000-0005-0000-0000-0000B4420000}"/>
    <cellStyle name="표준 24 3 3 4 2 2 2 4" xfId="17105" xr:uid="{00000000-0005-0000-0000-0000B5420000}"/>
    <cellStyle name="표준 24 3 3 4 2 2 3" xfId="17106" xr:uid="{00000000-0005-0000-0000-0000B6420000}"/>
    <cellStyle name="표준 24 3 3 4 2 2 3 2" xfId="17107" xr:uid="{00000000-0005-0000-0000-0000B7420000}"/>
    <cellStyle name="표준 24 3 3 4 2 2 3 2 2" xfId="17108" xr:uid="{00000000-0005-0000-0000-0000B8420000}"/>
    <cellStyle name="표준 24 3 3 4 2 2 3 3" xfId="17109" xr:uid="{00000000-0005-0000-0000-0000B9420000}"/>
    <cellStyle name="표준 24 3 3 4 2 2 4" xfId="17110" xr:uid="{00000000-0005-0000-0000-0000BA420000}"/>
    <cellStyle name="표준 24 3 3 4 2 2 4 2" xfId="17111" xr:uid="{00000000-0005-0000-0000-0000BB420000}"/>
    <cellStyle name="표준 24 3 3 4 2 2 5" xfId="17112" xr:uid="{00000000-0005-0000-0000-0000BC420000}"/>
    <cellStyle name="표준 24 3 3 4 2 3" xfId="17113" xr:uid="{00000000-0005-0000-0000-0000BD420000}"/>
    <cellStyle name="표준 24 3 3 4 2 3 2" xfId="17114" xr:uid="{00000000-0005-0000-0000-0000BE420000}"/>
    <cellStyle name="표준 24 3 3 4 2 3 2 2" xfId="17115" xr:uid="{00000000-0005-0000-0000-0000BF420000}"/>
    <cellStyle name="표준 24 3 3 4 2 3 2 2 2" xfId="17116" xr:uid="{00000000-0005-0000-0000-0000C0420000}"/>
    <cellStyle name="표준 24 3 3 4 2 3 2 3" xfId="17117" xr:uid="{00000000-0005-0000-0000-0000C1420000}"/>
    <cellStyle name="표준 24 3 3 4 2 3 3" xfId="17118" xr:uid="{00000000-0005-0000-0000-0000C2420000}"/>
    <cellStyle name="표준 24 3 3 4 2 3 3 2" xfId="17119" xr:uid="{00000000-0005-0000-0000-0000C3420000}"/>
    <cellStyle name="표준 24 3 3 4 2 3 4" xfId="17120" xr:uid="{00000000-0005-0000-0000-0000C4420000}"/>
    <cellStyle name="표준 24 3 3 4 2 4" xfId="17121" xr:uid="{00000000-0005-0000-0000-0000C5420000}"/>
    <cellStyle name="표준 24 3 3 4 2 4 2" xfId="17122" xr:uid="{00000000-0005-0000-0000-0000C6420000}"/>
    <cellStyle name="표준 24 3 3 4 2 4 2 2" xfId="17123" xr:uid="{00000000-0005-0000-0000-0000C7420000}"/>
    <cellStyle name="표준 24 3 3 4 2 4 3" xfId="17124" xr:uid="{00000000-0005-0000-0000-0000C8420000}"/>
    <cellStyle name="표준 24 3 3 4 2 5" xfId="17125" xr:uid="{00000000-0005-0000-0000-0000C9420000}"/>
    <cellStyle name="표준 24 3 3 4 2 5 2" xfId="17126" xr:uid="{00000000-0005-0000-0000-0000CA420000}"/>
    <cellStyle name="표준 24 3 3 4 2 6" xfId="17127" xr:uid="{00000000-0005-0000-0000-0000CB420000}"/>
    <cellStyle name="표준 24 3 3 4 3" xfId="17128" xr:uid="{00000000-0005-0000-0000-0000CC420000}"/>
    <cellStyle name="표준 24 3 3 4 3 2" xfId="17129" xr:uid="{00000000-0005-0000-0000-0000CD420000}"/>
    <cellStyle name="표준 24 3 3 4 3 2 2" xfId="17130" xr:uid="{00000000-0005-0000-0000-0000CE420000}"/>
    <cellStyle name="표준 24 3 3 4 3 2 2 2" xfId="17131" xr:uid="{00000000-0005-0000-0000-0000CF420000}"/>
    <cellStyle name="표준 24 3 3 4 3 2 2 2 2" xfId="17132" xr:uid="{00000000-0005-0000-0000-0000D0420000}"/>
    <cellStyle name="표준 24 3 3 4 3 2 2 3" xfId="17133" xr:uid="{00000000-0005-0000-0000-0000D1420000}"/>
    <cellStyle name="표준 24 3 3 4 3 2 3" xfId="17134" xr:uid="{00000000-0005-0000-0000-0000D2420000}"/>
    <cellStyle name="표준 24 3 3 4 3 2 3 2" xfId="17135" xr:uid="{00000000-0005-0000-0000-0000D3420000}"/>
    <cellStyle name="표준 24 3 3 4 3 2 4" xfId="17136" xr:uid="{00000000-0005-0000-0000-0000D4420000}"/>
    <cellStyle name="표준 24 3 3 4 3 3" xfId="17137" xr:uid="{00000000-0005-0000-0000-0000D5420000}"/>
    <cellStyle name="표준 24 3 3 4 3 3 2" xfId="17138" xr:uid="{00000000-0005-0000-0000-0000D6420000}"/>
    <cellStyle name="표준 24 3 3 4 3 3 2 2" xfId="17139" xr:uid="{00000000-0005-0000-0000-0000D7420000}"/>
    <cellStyle name="표준 24 3 3 4 3 3 3" xfId="17140" xr:uid="{00000000-0005-0000-0000-0000D8420000}"/>
    <cellStyle name="표준 24 3 3 4 3 4" xfId="17141" xr:uid="{00000000-0005-0000-0000-0000D9420000}"/>
    <cellStyle name="표준 24 3 3 4 3 4 2" xfId="17142" xr:uid="{00000000-0005-0000-0000-0000DA420000}"/>
    <cellStyle name="표준 24 3 3 4 3 5" xfId="17143" xr:uid="{00000000-0005-0000-0000-0000DB420000}"/>
    <cellStyle name="표준 24 3 3 4 4" xfId="17144" xr:uid="{00000000-0005-0000-0000-0000DC420000}"/>
    <cellStyle name="표준 24 3 3 4 4 2" xfId="17145" xr:uid="{00000000-0005-0000-0000-0000DD420000}"/>
    <cellStyle name="표준 24 3 3 4 4 2 2" xfId="17146" xr:uid="{00000000-0005-0000-0000-0000DE420000}"/>
    <cellStyle name="표준 24 3 3 4 4 2 2 2" xfId="17147" xr:uid="{00000000-0005-0000-0000-0000DF420000}"/>
    <cellStyle name="표준 24 3 3 4 4 2 3" xfId="17148" xr:uid="{00000000-0005-0000-0000-0000E0420000}"/>
    <cellStyle name="표준 24 3 3 4 4 3" xfId="17149" xr:uid="{00000000-0005-0000-0000-0000E1420000}"/>
    <cellStyle name="표준 24 3 3 4 4 3 2" xfId="17150" xr:uid="{00000000-0005-0000-0000-0000E2420000}"/>
    <cellStyle name="표준 24 3 3 4 4 4" xfId="17151" xr:uid="{00000000-0005-0000-0000-0000E3420000}"/>
    <cellStyle name="표준 24 3 3 4 5" xfId="17152" xr:uid="{00000000-0005-0000-0000-0000E4420000}"/>
    <cellStyle name="표준 24 3 3 4 5 2" xfId="17153" xr:uid="{00000000-0005-0000-0000-0000E5420000}"/>
    <cellStyle name="표준 24 3 3 4 5 2 2" xfId="17154" xr:uid="{00000000-0005-0000-0000-0000E6420000}"/>
    <cellStyle name="표준 24 3 3 4 5 3" xfId="17155" xr:uid="{00000000-0005-0000-0000-0000E7420000}"/>
    <cellStyle name="표준 24 3 3 4 6" xfId="17156" xr:uid="{00000000-0005-0000-0000-0000E8420000}"/>
    <cellStyle name="표준 24 3 3 4 6 2" xfId="17157" xr:uid="{00000000-0005-0000-0000-0000E9420000}"/>
    <cellStyle name="표준 24 3 3 4 7" xfId="17158" xr:uid="{00000000-0005-0000-0000-0000EA420000}"/>
    <cellStyle name="표준 24 3 3 4 8" xfId="17159" xr:uid="{00000000-0005-0000-0000-0000EB420000}"/>
    <cellStyle name="표준 24 3 3 5" xfId="17160" xr:uid="{00000000-0005-0000-0000-0000EC420000}"/>
    <cellStyle name="표준 24 3 3 5 2" xfId="17161" xr:uid="{00000000-0005-0000-0000-0000ED420000}"/>
    <cellStyle name="표준 24 3 3 5 2 2" xfId="17162" xr:uid="{00000000-0005-0000-0000-0000EE420000}"/>
    <cellStyle name="표준 24 3 3 5 2 2 2" xfId="17163" xr:uid="{00000000-0005-0000-0000-0000EF420000}"/>
    <cellStyle name="표준 24 3 3 5 2 2 2 2" xfId="17164" xr:uid="{00000000-0005-0000-0000-0000F0420000}"/>
    <cellStyle name="표준 24 3 3 5 2 2 2 2 2" xfId="17165" xr:uid="{00000000-0005-0000-0000-0000F1420000}"/>
    <cellStyle name="표준 24 3 3 5 2 2 2 3" xfId="17166" xr:uid="{00000000-0005-0000-0000-0000F2420000}"/>
    <cellStyle name="표준 24 3 3 5 2 2 3" xfId="17167" xr:uid="{00000000-0005-0000-0000-0000F3420000}"/>
    <cellStyle name="표준 24 3 3 5 2 2 3 2" xfId="17168" xr:uid="{00000000-0005-0000-0000-0000F4420000}"/>
    <cellStyle name="표준 24 3 3 5 2 2 4" xfId="17169" xr:uid="{00000000-0005-0000-0000-0000F5420000}"/>
    <cellStyle name="표준 24 3 3 5 2 3" xfId="17170" xr:uid="{00000000-0005-0000-0000-0000F6420000}"/>
    <cellStyle name="표준 24 3 3 5 2 3 2" xfId="17171" xr:uid="{00000000-0005-0000-0000-0000F7420000}"/>
    <cellStyle name="표준 24 3 3 5 2 3 2 2" xfId="17172" xr:uid="{00000000-0005-0000-0000-0000F8420000}"/>
    <cellStyle name="표준 24 3 3 5 2 3 3" xfId="17173" xr:uid="{00000000-0005-0000-0000-0000F9420000}"/>
    <cellStyle name="표준 24 3 3 5 2 4" xfId="17174" xr:uid="{00000000-0005-0000-0000-0000FA420000}"/>
    <cellStyle name="표준 24 3 3 5 2 4 2" xfId="17175" xr:uid="{00000000-0005-0000-0000-0000FB420000}"/>
    <cellStyle name="표준 24 3 3 5 2 5" xfId="17176" xr:uid="{00000000-0005-0000-0000-0000FC420000}"/>
    <cellStyle name="표준 24 3 3 5 3" xfId="17177" xr:uid="{00000000-0005-0000-0000-0000FD420000}"/>
    <cellStyle name="표준 24 3 3 5 3 2" xfId="17178" xr:uid="{00000000-0005-0000-0000-0000FE420000}"/>
    <cellStyle name="표준 24 3 3 5 3 2 2" xfId="17179" xr:uid="{00000000-0005-0000-0000-0000FF420000}"/>
    <cellStyle name="표준 24 3 3 5 3 2 2 2" xfId="17180" xr:uid="{00000000-0005-0000-0000-000000430000}"/>
    <cellStyle name="표준 24 3 3 5 3 2 3" xfId="17181" xr:uid="{00000000-0005-0000-0000-000001430000}"/>
    <cellStyle name="표준 24 3 3 5 3 3" xfId="17182" xr:uid="{00000000-0005-0000-0000-000002430000}"/>
    <cellStyle name="표준 24 3 3 5 3 3 2" xfId="17183" xr:uid="{00000000-0005-0000-0000-000003430000}"/>
    <cellStyle name="표준 24 3 3 5 3 4" xfId="17184" xr:uid="{00000000-0005-0000-0000-000004430000}"/>
    <cellStyle name="표준 24 3 3 5 4" xfId="17185" xr:uid="{00000000-0005-0000-0000-000005430000}"/>
    <cellStyle name="표준 24 3 3 5 4 2" xfId="17186" xr:uid="{00000000-0005-0000-0000-000006430000}"/>
    <cellStyle name="표준 24 3 3 5 4 2 2" xfId="17187" xr:uid="{00000000-0005-0000-0000-000007430000}"/>
    <cellStyle name="표준 24 3 3 5 4 3" xfId="17188" xr:uid="{00000000-0005-0000-0000-000008430000}"/>
    <cellStyle name="표준 24 3 3 5 5" xfId="17189" xr:uid="{00000000-0005-0000-0000-000009430000}"/>
    <cellStyle name="표준 24 3 3 5 5 2" xfId="17190" xr:uid="{00000000-0005-0000-0000-00000A430000}"/>
    <cellStyle name="표준 24 3 3 5 6" xfId="17191" xr:uid="{00000000-0005-0000-0000-00000B430000}"/>
    <cellStyle name="표준 24 3 3 6" xfId="17192" xr:uid="{00000000-0005-0000-0000-00000C430000}"/>
    <cellStyle name="표준 24 3 3 6 2" xfId="17193" xr:uid="{00000000-0005-0000-0000-00000D430000}"/>
    <cellStyle name="표준 24 3 3 6 2 2" xfId="17194" xr:uid="{00000000-0005-0000-0000-00000E430000}"/>
    <cellStyle name="표준 24 3 3 6 2 2 2" xfId="17195" xr:uid="{00000000-0005-0000-0000-00000F430000}"/>
    <cellStyle name="표준 24 3 3 6 2 2 2 2" xfId="17196" xr:uid="{00000000-0005-0000-0000-000010430000}"/>
    <cellStyle name="표준 24 3 3 6 2 2 3" xfId="17197" xr:uid="{00000000-0005-0000-0000-000011430000}"/>
    <cellStyle name="표준 24 3 3 6 2 3" xfId="17198" xr:uid="{00000000-0005-0000-0000-000012430000}"/>
    <cellStyle name="표준 24 3 3 6 2 3 2" xfId="17199" xr:uid="{00000000-0005-0000-0000-000013430000}"/>
    <cellStyle name="표준 24 3 3 6 2 4" xfId="17200" xr:uid="{00000000-0005-0000-0000-000014430000}"/>
    <cellStyle name="표준 24 3 3 6 3" xfId="17201" xr:uid="{00000000-0005-0000-0000-000015430000}"/>
    <cellStyle name="표준 24 3 3 6 3 2" xfId="17202" xr:uid="{00000000-0005-0000-0000-000016430000}"/>
    <cellStyle name="표준 24 3 3 6 3 2 2" xfId="17203" xr:uid="{00000000-0005-0000-0000-000017430000}"/>
    <cellStyle name="표준 24 3 3 6 3 3" xfId="17204" xr:uid="{00000000-0005-0000-0000-000018430000}"/>
    <cellStyle name="표준 24 3 3 6 4" xfId="17205" xr:uid="{00000000-0005-0000-0000-000019430000}"/>
    <cellStyle name="표준 24 3 3 6 4 2" xfId="17206" xr:uid="{00000000-0005-0000-0000-00001A430000}"/>
    <cellStyle name="표준 24 3 3 6 5" xfId="17207" xr:uid="{00000000-0005-0000-0000-00001B430000}"/>
    <cellStyle name="표준 24 3 3 7" xfId="17208" xr:uid="{00000000-0005-0000-0000-00001C430000}"/>
    <cellStyle name="표준 24 3 3 7 2" xfId="17209" xr:uid="{00000000-0005-0000-0000-00001D430000}"/>
    <cellStyle name="표준 24 3 3 7 2 2" xfId="17210" xr:uid="{00000000-0005-0000-0000-00001E430000}"/>
    <cellStyle name="표준 24 3 3 7 2 2 2" xfId="17211" xr:uid="{00000000-0005-0000-0000-00001F430000}"/>
    <cellStyle name="표준 24 3 3 7 2 3" xfId="17212" xr:uid="{00000000-0005-0000-0000-000020430000}"/>
    <cellStyle name="표준 24 3 3 7 3" xfId="17213" xr:uid="{00000000-0005-0000-0000-000021430000}"/>
    <cellStyle name="표준 24 3 3 7 3 2" xfId="17214" xr:uid="{00000000-0005-0000-0000-000022430000}"/>
    <cellStyle name="표준 24 3 3 7 4" xfId="17215" xr:uid="{00000000-0005-0000-0000-000023430000}"/>
    <cellStyle name="표준 24 3 3 8" xfId="17216" xr:uid="{00000000-0005-0000-0000-000024430000}"/>
    <cellStyle name="표준 24 3 3 8 2" xfId="17217" xr:uid="{00000000-0005-0000-0000-000025430000}"/>
    <cellStyle name="표준 24 3 3 8 2 2" xfId="17218" xr:uid="{00000000-0005-0000-0000-000026430000}"/>
    <cellStyle name="표준 24 3 3 8 3" xfId="17219" xr:uid="{00000000-0005-0000-0000-000027430000}"/>
    <cellStyle name="표준 24 3 3 9" xfId="17220" xr:uid="{00000000-0005-0000-0000-000028430000}"/>
    <cellStyle name="표준 24 3 3 9 2" xfId="17221" xr:uid="{00000000-0005-0000-0000-000029430000}"/>
    <cellStyle name="표준 24 3 4" xfId="17222" xr:uid="{00000000-0005-0000-0000-00002A430000}"/>
    <cellStyle name="표준 24 3 4 10" xfId="17223" xr:uid="{00000000-0005-0000-0000-00002B430000}"/>
    <cellStyle name="표준 24 3 4 11" xfId="17224" xr:uid="{00000000-0005-0000-0000-00002C430000}"/>
    <cellStyle name="표준 24 3 4 2" xfId="17225" xr:uid="{00000000-0005-0000-0000-00002D430000}"/>
    <cellStyle name="표준 24 3 4 2 10" xfId="17226" xr:uid="{00000000-0005-0000-0000-00002E430000}"/>
    <cellStyle name="표준 24 3 4 2 2" xfId="17227" xr:uid="{00000000-0005-0000-0000-00002F430000}"/>
    <cellStyle name="표준 24 3 4 2 2 2" xfId="17228" xr:uid="{00000000-0005-0000-0000-000030430000}"/>
    <cellStyle name="표준 24 3 4 2 2 2 2" xfId="17229" xr:uid="{00000000-0005-0000-0000-000031430000}"/>
    <cellStyle name="표준 24 3 4 2 2 2 2 2" xfId="17230" xr:uid="{00000000-0005-0000-0000-000032430000}"/>
    <cellStyle name="표준 24 3 4 2 2 2 2 2 2" xfId="17231" xr:uid="{00000000-0005-0000-0000-000033430000}"/>
    <cellStyle name="표준 24 3 4 2 2 2 2 2 2 2" xfId="17232" xr:uid="{00000000-0005-0000-0000-000034430000}"/>
    <cellStyle name="표준 24 3 4 2 2 2 2 2 2 2 2" xfId="17233" xr:uid="{00000000-0005-0000-0000-000035430000}"/>
    <cellStyle name="표준 24 3 4 2 2 2 2 2 2 2 2 2" xfId="17234" xr:uid="{00000000-0005-0000-0000-000036430000}"/>
    <cellStyle name="표준 24 3 4 2 2 2 2 2 2 2 3" xfId="17235" xr:uid="{00000000-0005-0000-0000-000037430000}"/>
    <cellStyle name="표준 24 3 4 2 2 2 2 2 2 3" xfId="17236" xr:uid="{00000000-0005-0000-0000-000038430000}"/>
    <cellStyle name="표준 24 3 4 2 2 2 2 2 2 3 2" xfId="17237" xr:uid="{00000000-0005-0000-0000-000039430000}"/>
    <cellStyle name="표준 24 3 4 2 2 2 2 2 2 4" xfId="17238" xr:uid="{00000000-0005-0000-0000-00003A430000}"/>
    <cellStyle name="표준 24 3 4 2 2 2 2 2 3" xfId="17239" xr:uid="{00000000-0005-0000-0000-00003B430000}"/>
    <cellStyle name="표준 24 3 4 2 2 2 2 2 3 2" xfId="17240" xr:uid="{00000000-0005-0000-0000-00003C430000}"/>
    <cellStyle name="표준 24 3 4 2 2 2 2 2 3 2 2" xfId="17241" xr:uid="{00000000-0005-0000-0000-00003D430000}"/>
    <cellStyle name="표준 24 3 4 2 2 2 2 2 3 3" xfId="17242" xr:uid="{00000000-0005-0000-0000-00003E430000}"/>
    <cellStyle name="표준 24 3 4 2 2 2 2 2 4" xfId="17243" xr:uid="{00000000-0005-0000-0000-00003F430000}"/>
    <cellStyle name="표준 24 3 4 2 2 2 2 2 4 2" xfId="17244" xr:uid="{00000000-0005-0000-0000-000040430000}"/>
    <cellStyle name="표준 24 3 4 2 2 2 2 2 5" xfId="17245" xr:uid="{00000000-0005-0000-0000-000041430000}"/>
    <cellStyle name="표준 24 3 4 2 2 2 2 3" xfId="17246" xr:uid="{00000000-0005-0000-0000-000042430000}"/>
    <cellStyle name="표준 24 3 4 2 2 2 2 3 2" xfId="17247" xr:uid="{00000000-0005-0000-0000-000043430000}"/>
    <cellStyle name="표준 24 3 4 2 2 2 2 3 2 2" xfId="17248" xr:uid="{00000000-0005-0000-0000-000044430000}"/>
    <cellStyle name="표준 24 3 4 2 2 2 2 3 2 2 2" xfId="17249" xr:uid="{00000000-0005-0000-0000-000045430000}"/>
    <cellStyle name="표준 24 3 4 2 2 2 2 3 2 3" xfId="17250" xr:uid="{00000000-0005-0000-0000-000046430000}"/>
    <cellStyle name="표준 24 3 4 2 2 2 2 3 3" xfId="17251" xr:uid="{00000000-0005-0000-0000-000047430000}"/>
    <cellStyle name="표준 24 3 4 2 2 2 2 3 3 2" xfId="17252" xr:uid="{00000000-0005-0000-0000-000048430000}"/>
    <cellStyle name="표준 24 3 4 2 2 2 2 3 4" xfId="17253" xr:uid="{00000000-0005-0000-0000-000049430000}"/>
    <cellStyle name="표준 24 3 4 2 2 2 2 4" xfId="17254" xr:uid="{00000000-0005-0000-0000-00004A430000}"/>
    <cellStyle name="표준 24 3 4 2 2 2 2 4 2" xfId="17255" xr:uid="{00000000-0005-0000-0000-00004B430000}"/>
    <cellStyle name="표준 24 3 4 2 2 2 2 4 2 2" xfId="17256" xr:uid="{00000000-0005-0000-0000-00004C430000}"/>
    <cellStyle name="표준 24 3 4 2 2 2 2 4 3" xfId="17257" xr:uid="{00000000-0005-0000-0000-00004D430000}"/>
    <cellStyle name="표준 24 3 4 2 2 2 2 5" xfId="17258" xr:uid="{00000000-0005-0000-0000-00004E430000}"/>
    <cellStyle name="표준 24 3 4 2 2 2 2 5 2" xfId="17259" xr:uid="{00000000-0005-0000-0000-00004F430000}"/>
    <cellStyle name="표준 24 3 4 2 2 2 2 6" xfId="17260" xr:uid="{00000000-0005-0000-0000-000050430000}"/>
    <cellStyle name="표준 24 3 4 2 2 2 3" xfId="17261" xr:uid="{00000000-0005-0000-0000-000051430000}"/>
    <cellStyle name="표준 24 3 4 2 2 2 3 2" xfId="17262" xr:uid="{00000000-0005-0000-0000-000052430000}"/>
    <cellStyle name="표준 24 3 4 2 2 2 3 2 2" xfId="17263" xr:uid="{00000000-0005-0000-0000-000053430000}"/>
    <cellStyle name="표준 24 3 4 2 2 2 3 2 2 2" xfId="17264" xr:uid="{00000000-0005-0000-0000-000054430000}"/>
    <cellStyle name="표준 24 3 4 2 2 2 3 2 2 2 2" xfId="17265" xr:uid="{00000000-0005-0000-0000-000055430000}"/>
    <cellStyle name="표준 24 3 4 2 2 2 3 2 2 3" xfId="17266" xr:uid="{00000000-0005-0000-0000-000056430000}"/>
    <cellStyle name="표준 24 3 4 2 2 2 3 2 3" xfId="17267" xr:uid="{00000000-0005-0000-0000-000057430000}"/>
    <cellStyle name="표준 24 3 4 2 2 2 3 2 3 2" xfId="17268" xr:uid="{00000000-0005-0000-0000-000058430000}"/>
    <cellStyle name="표준 24 3 4 2 2 2 3 2 4" xfId="17269" xr:uid="{00000000-0005-0000-0000-000059430000}"/>
    <cellStyle name="표준 24 3 4 2 2 2 3 3" xfId="17270" xr:uid="{00000000-0005-0000-0000-00005A430000}"/>
    <cellStyle name="표준 24 3 4 2 2 2 3 3 2" xfId="17271" xr:uid="{00000000-0005-0000-0000-00005B430000}"/>
    <cellStyle name="표준 24 3 4 2 2 2 3 3 2 2" xfId="17272" xr:uid="{00000000-0005-0000-0000-00005C430000}"/>
    <cellStyle name="표준 24 3 4 2 2 2 3 3 3" xfId="17273" xr:uid="{00000000-0005-0000-0000-00005D430000}"/>
    <cellStyle name="표준 24 3 4 2 2 2 3 4" xfId="17274" xr:uid="{00000000-0005-0000-0000-00005E430000}"/>
    <cellStyle name="표준 24 3 4 2 2 2 3 4 2" xfId="17275" xr:uid="{00000000-0005-0000-0000-00005F430000}"/>
    <cellStyle name="표준 24 3 4 2 2 2 3 5" xfId="17276" xr:uid="{00000000-0005-0000-0000-000060430000}"/>
    <cellStyle name="표준 24 3 4 2 2 2 4" xfId="17277" xr:uid="{00000000-0005-0000-0000-000061430000}"/>
    <cellStyle name="표준 24 3 4 2 2 2 4 2" xfId="17278" xr:uid="{00000000-0005-0000-0000-000062430000}"/>
    <cellStyle name="표준 24 3 4 2 2 2 4 2 2" xfId="17279" xr:uid="{00000000-0005-0000-0000-000063430000}"/>
    <cellStyle name="표준 24 3 4 2 2 2 4 2 2 2" xfId="17280" xr:uid="{00000000-0005-0000-0000-000064430000}"/>
    <cellStyle name="표준 24 3 4 2 2 2 4 2 3" xfId="17281" xr:uid="{00000000-0005-0000-0000-000065430000}"/>
    <cellStyle name="표준 24 3 4 2 2 2 4 3" xfId="17282" xr:uid="{00000000-0005-0000-0000-000066430000}"/>
    <cellStyle name="표준 24 3 4 2 2 2 4 3 2" xfId="17283" xr:uid="{00000000-0005-0000-0000-000067430000}"/>
    <cellStyle name="표준 24 3 4 2 2 2 4 4" xfId="17284" xr:uid="{00000000-0005-0000-0000-000068430000}"/>
    <cellStyle name="표준 24 3 4 2 2 2 5" xfId="17285" xr:uid="{00000000-0005-0000-0000-000069430000}"/>
    <cellStyle name="표준 24 3 4 2 2 2 5 2" xfId="17286" xr:uid="{00000000-0005-0000-0000-00006A430000}"/>
    <cellStyle name="표준 24 3 4 2 2 2 5 2 2" xfId="17287" xr:uid="{00000000-0005-0000-0000-00006B430000}"/>
    <cellStyle name="표준 24 3 4 2 2 2 5 3" xfId="17288" xr:uid="{00000000-0005-0000-0000-00006C430000}"/>
    <cellStyle name="표준 24 3 4 2 2 2 6" xfId="17289" xr:uid="{00000000-0005-0000-0000-00006D430000}"/>
    <cellStyle name="표준 24 3 4 2 2 2 6 2" xfId="17290" xr:uid="{00000000-0005-0000-0000-00006E430000}"/>
    <cellStyle name="표준 24 3 4 2 2 2 7" xfId="17291" xr:uid="{00000000-0005-0000-0000-00006F430000}"/>
    <cellStyle name="표준 24 3 4 2 2 2 8" xfId="17292" xr:uid="{00000000-0005-0000-0000-000070430000}"/>
    <cellStyle name="표준 24 3 4 2 2 3" xfId="17293" xr:uid="{00000000-0005-0000-0000-000071430000}"/>
    <cellStyle name="표준 24 3 4 2 2 3 2" xfId="17294" xr:uid="{00000000-0005-0000-0000-000072430000}"/>
    <cellStyle name="표준 24 3 4 2 2 3 2 2" xfId="17295" xr:uid="{00000000-0005-0000-0000-000073430000}"/>
    <cellStyle name="표준 24 3 4 2 2 3 2 2 2" xfId="17296" xr:uid="{00000000-0005-0000-0000-000074430000}"/>
    <cellStyle name="표준 24 3 4 2 2 3 2 2 2 2" xfId="17297" xr:uid="{00000000-0005-0000-0000-000075430000}"/>
    <cellStyle name="표준 24 3 4 2 2 3 2 2 2 2 2" xfId="17298" xr:uid="{00000000-0005-0000-0000-000076430000}"/>
    <cellStyle name="표준 24 3 4 2 2 3 2 2 2 3" xfId="17299" xr:uid="{00000000-0005-0000-0000-000077430000}"/>
    <cellStyle name="표준 24 3 4 2 2 3 2 2 3" xfId="17300" xr:uid="{00000000-0005-0000-0000-000078430000}"/>
    <cellStyle name="표준 24 3 4 2 2 3 2 2 3 2" xfId="17301" xr:uid="{00000000-0005-0000-0000-000079430000}"/>
    <cellStyle name="표준 24 3 4 2 2 3 2 2 4" xfId="17302" xr:uid="{00000000-0005-0000-0000-00007A430000}"/>
    <cellStyle name="표준 24 3 4 2 2 3 2 3" xfId="17303" xr:uid="{00000000-0005-0000-0000-00007B430000}"/>
    <cellStyle name="표준 24 3 4 2 2 3 2 3 2" xfId="17304" xr:uid="{00000000-0005-0000-0000-00007C430000}"/>
    <cellStyle name="표준 24 3 4 2 2 3 2 3 2 2" xfId="17305" xr:uid="{00000000-0005-0000-0000-00007D430000}"/>
    <cellStyle name="표준 24 3 4 2 2 3 2 3 3" xfId="17306" xr:uid="{00000000-0005-0000-0000-00007E430000}"/>
    <cellStyle name="표준 24 3 4 2 2 3 2 4" xfId="17307" xr:uid="{00000000-0005-0000-0000-00007F430000}"/>
    <cellStyle name="표준 24 3 4 2 2 3 2 4 2" xfId="17308" xr:uid="{00000000-0005-0000-0000-000080430000}"/>
    <cellStyle name="표준 24 3 4 2 2 3 2 5" xfId="17309" xr:uid="{00000000-0005-0000-0000-000081430000}"/>
    <cellStyle name="표준 24 3 4 2 2 3 3" xfId="17310" xr:uid="{00000000-0005-0000-0000-000082430000}"/>
    <cellStyle name="표준 24 3 4 2 2 3 3 2" xfId="17311" xr:uid="{00000000-0005-0000-0000-000083430000}"/>
    <cellStyle name="표준 24 3 4 2 2 3 3 2 2" xfId="17312" xr:uid="{00000000-0005-0000-0000-000084430000}"/>
    <cellStyle name="표준 24 3 4 2 2 3 3 2 2 2" xfId="17313" xr:uid="{00000000-0005-0000-0000-000085430000}"/>
    <cellStyle name="표준 24 3 4 2 2 3 3 2 3" xfId="17314" xr:uid="{00000000-0005-0000-0000-000086430000}"/>
    <cellStyle name="표준 24 3 4 2 2 3 3 3" xfId="17315" xr:uid="{00000000-0005-0000-0000-000087430000}"/>
    <cellStyle name="표준 24 3 4 2 2 3 3 3 2" xfId="17316" xr:uid="{00000000-0005-0000-0000-000088430000}"/>
    <cellStyle name="표준 24 3 4 2 2 3 3 4" xfId="17317" xr:uid="{00000000-0005-0000-0000-000089430000}"/>
    <cellStyle name="표준 24 3 4 2 2 3 4" xfId="17318" xr:uid="{00000000-0005-0000-0000-00008A430000}"/>
    <cellStyle name="표준 24 3 4 2 2 3 4 2" xfId="17319" xr:uid="{00000000-0005-0000-0000-00008B430000}"/>
    <cellStyle name="표준 24 3 4 2 2 3 4 2 2" xfId="17320" xr:uid="{00000000-0005-0000-0000-00008C430000}"/>
    <cellStyle name="표준 24 3 4 2 2 3 4 3" xfId="17321" xr:uid="{00000000-0005-0000-0000-00008D430000}"/>
    <cellStyle name="표준 24 3 4 2 2 3 5" xfId="17322" xr:uid="{00000000-0005-0000-0000-00008E430000}"/>
    <cellStyle name="표준 24 3 4 2 2 3 5 2" xfId="17323" xr:uid="{00000000-0005-0000-0000-00008F430000}"/>
    <cellStyle name="표준 24 3 4 2 2 3 6" xfId="17324" xr:uid="{00000000-0005-0000-0000-000090430000}"/>
    <cellStyle name="표준 24 3 4 2 2 4" xfId="17325" xr:uid="{00000000-0005-0000-0000-000091430000}"/>
    <cellStyle name="표준 24 3 4 2 2 4 2" xfId="17326" xr:uid="{00000000-0005-0000-0000-000092430000}"/>
    <cellStyle name="표준 24 3 4 2 2 4 2 2" xfId="17327" xr:uid="{00000000-0005-0000-0000-000093430000}"/>
    <cellStyle name="표준 24 3 4 2 2 4 2 2 2" xfId="17328" xr:uid="{00000000-0005-0000-0000-000094430000}"/>
    <cellStyle name="표준 24 3 4 2 2 4 2 2 2 2" xfId="17329" xr:uid="{00000000-0005-0000-0000-000095430000}"/>
    <cellStyle name="표준 24 3 4 2 2 4 2 2 3" xfId="17330" xr:uid="{00000000-0005-0000-0000-000096430000}"/>
    <cellStyle name="표준 24 3 4 2 2 4 2 3" xfId="17331" xr:uid="{00000000-0005-0000-0000-000097430000}"/>
    <cellStyle name="표준 24 3 4 2 2 4 2 3 2" xfId="17332" xr:uid="{00000000-0005-0000-0000-000098430000}"/>
    <cellStyle name="표준 24 3 4 2 2 4 2 4" xfId="17333" xr:uid="{00000000-0005-0000-0000-000099430000}"/>
    <cellStyle name="표준 24 3 4 2 2 4 3" xfId="17334" xr:uid="{00000000-0005-0000-0000-00009A430000}"/>
    <cellStyle name="표준 24 3 4 2 2 4 3 2" xfId="17335" xr:uid="{00000000-0005-0000-0000-00009B430000}"/>
    <cellStyle name="표준 24 3 4 2 2 4 3 2 2" xfId="17336" xr:uid="{00000000-0005-0000-0000-00009C430000}"/>
    <cellStyle name="표준 24 3 4 2 2 4 3 3" xfId="17337" xr:uid="{00000000-0005-0000-0000-00009D430000}"/>
    <cellStyle name="표준 24 3 4 2 2 4 4" xfId="17338" xr:uid="{00000000-0005-0000-0000-00009E430000}"/>
    <cellStyle name="표준 24 3 4 2 2 4 4 2" xfId="17339" xr:uid="{00000000-0005-0000-0000-00009F430000}"/>
    <cellStyle name="표준 24 3 4 2 2 4 5" xfId="17340" xr:uid="{00000000-0005-0000-0000-0000A0430000}"/>
    <cellStyle name="표준 24 3 4 2 2 5" xfId="17341" xr:uid="{00000000-0005-0000-0000-0000A1430000}"/>
    <cellStyle name="표준 24 3 4 2 2 5 2" xfId="17342" xr:uid="{00000000-0005-0000-0000-0000A2430000}"/>
    <cellStyle name="표준 24 3 4 2 2 5 2 2" xfId="17343" xr:uid="{00000000-0005-0000-0000-0000A3430000}"/>
    <cellStyle name="표준 24 3 4 2 2 5 2 2 2" xfId="17344" xr:uid="{00000000-0005-0000-0000-0000A4430000}"/>
    <cellStyle name="표준 24 3 4 2 2 5 2 3" xfId="17345" xr:uid="{00000000-0005-0000-0000-0000A5430000}"/>
    <cellStyle name="표준 24 3 4 2 2 5 3" xfId="17346" xr:uid="{00000000-0005-0000-0000-0000A6430000}"/>
    <cellStyle name="표준 24 3 4 2 2 5 3 2" xfId="17347" xr:uid="{00000000-0005-0000-0000-0000A7430000}"/>
    <cellStyle name="표준 24 3 4 2 2 5 4" xfId="17348" xr:uid="{00000000-0005-0000-0000-0000A8430000}"/>
    <cellStyle name="표준 24 3 4 2 2 6" xfId="17349" xr:uid="{00000000-0005-0000-0000-0000A9430000}"/>
    <cellStyle name="표준 24 3 4 2 2 6 2" xfId="17350" xr:uid="{00000000-0005-0000-0000-0000AA430000}"/>
    <cellStyle name="표준 24 3 4 2 2 6 2 2" xfId="17351" xr:uid="{00000000-0005-0000-0000-0000AB430000}"/>
    <cellStyle name="표준 24 3 4 2 2 6 3" xfId="17352" xr:uid="{00000000-0005-0000-0000-0000AC430000}"/>
    <cellStyle name="표준 24 3 4 2 2 7" xfId="17353" xr:uid="{00000000-0005-0000-0000-0000AD430000}"/>
    <cellStyle name="표준 24 3 4 2 2 7 2" xfId="17354" xr:uid="{00000000-0005-0000-0000-0000AE430000}"/>
    <cellStyle name="표준 24 3 4 2 2 8" xfId="17355" xr:uid="{00000000-0005-0000-0000-0000AF430000}"/>
    <cellStyle name="표준 24 3 4 2 2 9" xfId="17356" xr:uid="{00000000-0005-0000-0000-0000B0430000}"/>
    <cellStyle name="표준 24 3 4 2 3" xfId="17357" xr:uid="{00000000-0005-0000-0000-0000B1430000}"/>
    <cellStyle name="표준 24 3 4 2 3 2" xfId="17358" xr:uid="{00000000-0005-0000-0000-0000B2430000}"/>
    <cellStyle name="표준 24 3 4 2 3 2 2" xfId="17359" xr:uid="{00000000-0005-0000-0000-0000B3430000}"/>
    <cellStyle name="표준 24 3 4 2 3 2 2 2" xfId="17360" xr:uid="{00000000-0005-0000-0000-0000B4430000}"/>
    <cellStyle name="표준 24 3 4 2 3 2 2 2 2" xfId="17361" xr:uid="{00000000-0005-0000-0000-0000B5430000}"/>
    <cellStyle name="표준 24 3 4 2 3 2 2 2 2 2" xfId="17362" xr:uid="{00000000-0005-0000-0000-0000B6430000}"/>
    <cellStyle name="표준 24 3 4 2 3 2 2 2 2 2 2" xfId="17363" xr:uid="{00000000-0005-0000-0000-0000B7430000}"/>
    <cellStyle name="표준 24 3 4 2 3 2 2 2 2 3" xfId="17364" xr:uid="{00000000-0005-0000-0000-0000B8430000}"/>
    <cellStyle name="표준 24 3 4 2 3 2 2 2 3" xfId="17365" xr:uid="{00000000-0005-0000-0000-0000B9430000}"/>
    <cellStyle name="표준 24 3 4 2 3 2 2 2 3 2" xfId="17366" xr:uid="{00000000-0005-0000-0000-0000BA430000}"/>
    <cellStyle name="표준 24 3 4 2 3 2 2 2 4" xfId="17367" xr:uid="{00000000-0005-0000-0000-0000BB430000}"/>
    <cellStyle name="표준 24 3 4 2 3 2 2 3" xfId="17368" xr:uid="{00000000-0005-0000-0000-0000BC430000}"/>
    <cellStyle name="표준 24 3 4 2 3 2 2 3 2" xfId="17369" xr:uid="{00000000-0005-0000-0000-0000BD430000}"/>
    <cellStyle name="표준 24 3 4 2 3 2 2 3 2 2" xfId="17370" xr:uid="{00000000-0005-0000-0000-0000BE430000}"/>
    <cellStyle name="표준 24 3 4 2 3 2 2 3 3" xfId="17371" xr:uid="{00000000-0005-0000-0000-0000BF430000}"/>
    <cellStyle name="표준 24 3 4 2 3 2 2 4" xfId="17372" xr:uid="{00000000-0005-0000-0000-0000C0430000}"/>
    <cellStyle name="표준 24 3 4 2 3 2 2 4 2" xfId="17373" xr:uid="{00000000-0005-0000-0000-0000C1430000}"/>
    <cellStyle name="표준 24 3 4 2 3 2 2 5" xfId="17374" xr:uid="{00000000-0005-0000-0000-0000C2430000}"/>
    <cellStyle name="표준 24 3 4 2 3 2 3" xfId="17375" xr:uid="{00000000-0005-0000-0000-0000C3430000}"/>
    <cellStyle name="표준 24 3 4 2 3 2 3 2" xfId="17376" xr:uid="{00000000-0005-0000-0000-0000C4430000}"/>
    <cellStyle name="표준 24 3 4 2 3 2 3 2 2" xfId="17377" xr:uid="{00000000-0005-0000-0000-0000C5430000}"/>
    <cellStyle name="표준 24 3 4 2 3 2 3 2 2 2" xfId="17378" xr:uid="{00000000-0005-0000-0000-0000C6430000}"/>
    <cellStyle name="표준 24 3 4 2 3 2 3 2 3" xfId="17379" xr:uid="{00000000-0005-0000-0000-0000C7430000}"/>
    <cellStyle name="표준 24 3 4 2 3 2 3 3" xfId="17380" xr:uid="{00000000-0005-0000-0000-0000C8430000}"/>
    <cellStyle name="표준 24 3 4 2 3 2 3 3 2" xfId="17381" xr:uid="{00000000-0005-0000-0000-0000C9430000}"/>
    <cellStyle name="표준 24 3 4 2 3 2 3 4" xfId="17382" xr:uid="{00000000-0005-0000-0000-0000CA430000}"/>
    <cellStyle name="표준 24 3 4 2 3 2 4" xfId="17383" xr:uid="{00000000-0005-0000-0000-0000CB430000}"/>
    <cellStyle name="표준 24 3 4 2 3 2 4 2" xfId="17384" xr:uid="{00000000-0005-0000-0000-0000CC430000}"/>
    <cellStyle name="표준 24 3 4 2 3 2 4 2 2" xfId="17385" xr:uid="{00000000-0005-0000-0000-0000CD430000}"/>
    <cellStyle name="표준 24 3 4 2 3 2 4 3" xfId="17386" xr:uid="{00000000-0005-0000-0000-0000CE430000}"/>
    <cellStyle name="표준 24 3 4 2 3 2 5" xfId="17387" xr:uid="{00000000-0005-0000-0000-0000CF430000}"/>
    <cellStyle name="표준 24 3 4 2 3 2 5 2" xfId="17388" xr:uid="{00000000-0005-0000-0000-0000D0430000}"/>
    <cellStyle name="표준 24 3 4 2 3 2 6" xfId="17389" xr:uid="{00000000-0005-0000-0000-0000D1430000}"/>
    <cellStyle name="표준 24 3 4 2 3 3" xfId="17390" xr:uid="{00000000-0005-0000-0000-0000D2430000}"/>
    <cellStyle name="표준 24 3 4 2 3 3 2" xfId="17391" xr:uid="{00000000-0005-0000-0000-0000D3430000}"/>
    <cellStyle name="표준 24 3 4 2 3 3 2 2" xfId="17392" xr:uid="{00000000-0005-0000-0000-0000D4430000}"/>
    <cellStyle name="표준 24 3 4 2 3 3 2 2 2" xfId="17393" xr:uid="{00000000-0005-0000-0000-0000D5430000}"/>
    <cellStyle name="표준 24 3 4 2 3 3 2 2 2 2" xfId="17394" xr:uid="{00000000-0005-0000-0000-0000D6430000}"/>
    <cellStyle name="표준 24 3 4 2 3 3 2 2 3" xfId="17395" xr:uid="{00000000-0005-0000-0000-0000D7430000}"/>
    <cellStyle name="표준 24 3 4 2 3 3 2 3" xfId="17396" xr:uid="{00000000-0005-0000-0000-0000D8430000}"/>
    <cellStyle name="표준 24 3 4 2 3 3 2 3 2" xfId="17397" xr:uid="{00000000-0005-0000-0000-0000D9430000}"/>
    <cellStyle name="표준 24 3 4 2 3 3 2 4" xfId="17398" xr:uid="{00000000-0005-0000-0000-0000DA430000}"/>
    <cellStyle name="표준 24 3 4 2 3 3 3" xfId="17399" xr:uid="{00000000-0005-0000-0000-0000DB430000}"/>
    <cellStyle name="표준 24 3 4 2 3 3 3 2" xfId="17400" xr:uid="{00000000-0005-0000-0000-0000DC430000}"/>
    <cellStyle name="표준 24 3 4 2 3 3 3 2 2" xfId="17401" xr:uid="{00000000-0005-0000-0000-0000DD430000}"/>
    <cellStyle name="표준 24 3 4 2 3 3 3 3" xfId="17402" xr:uid="{00000000-0005-0000-0000-0000DE430000}"/>
    <cellStyle name="표준 24 3 4 2 3 3 4" xfId="17403" xr:uid="{00000000-0005-0000-0000-0000DF430000}"/>
    <cellStyle name="표준 24 3 4 2 3 3 4 2" xfId="17404" xr:uid="{00000000-0005-0000-0000-0000E0430000}"/>
    <cellStyle name="표준 24 3 4 2 3 3 5" xfId="17405" xr:uid="{00000000-0005-0000-0000-0000E1430000}"/>
    <cellStyle name="표준 24 3 4 2 3 4" xfId="17406" xr:uid="{00000000-0005-0000-0000-0000E2430000}"/>
    <cellStyle name="표준 24 3 4 2 3 4 2" xfId="17407" xr:uid="{00000000-0005-0000-0000-0000E3430000}"/>
    <cellStyle name="표준 24 3 4 2 3 4 2 2" xfId="17408" xr:uid="{00000000-0005-0000-0000-0000E4430000}"/>
    <cellStyle name="표준 24 3 4 2 3 4 2 2 2" xfId="17409" xr:uid="{00000000-0005-0000-0000-0000E5430000}"/>
    <cellStyle name="표준 24 3 4 2 3 4 2 3" xfId="17410" xr:uid="{00000000-0005-0000-0000-0000E6430000}"/>
    <cellStyle name="표준 24 3 4 2 3 4 3" xfId="17411" xr:uid="{00000000-0005-0000-0000-0000E7430000}"/>
    <cellStyle name="표준 24 3 4 2 3 4 3 2" xfId="17412" xr:uid="{00000000-0005-0000-0000-0000E8430000}"/>
    <cellStyle name="표준 24 3 4 2 3 4 4" xfId="17413" xr:uid="{00000000-0005-0000-0000-0000E9430000}"/>
    <cellStyle name="표준 24 3 4 2 3 5" xfId="17414" xr:uid="{00000000-0005-0000-0000-0000EA430000}"/>
    <cellStyle name="표준 24 3 4 2 3 5 2" xfId="17415" xr:uid="{00000000-0005-0000-0000-0000EB430000}"/>
    <cellStyle name="표준 24 3 4 2 3 5 2 2" xfId="17416" xr:uid="{00000000-0005-0000-0000-0000EC430000}"/>
    <cellStyle name="표준 24 3 4 2 3 5 3" xfId="17417" xr:uid="{00000000-0005-0000-0000-0000ED430000}"/>
    <cellStyle name="표준 24 3 4 2 3 6" xfId="17418" xr:uid="{00000000-0005-0000-0000-0000EE430000}"/>
    <cellStyle name="표준 24 3 4 2 3 6 2" xfId="17419" xr:uid="{00000000-0005-0000-0000-0000EF430000}"/>
    <cellStyle name="표준 24 3 4 2 3 7" xfId="17420" xr:uid="{00000000-0005-0000-0000-0000F0430000}"/>
    <cellStyle name="표준 24 3 4 2 3 8" xfId="17421" xr:uid="{00000000-0005-0000-0000-0000F1430000}"/>
    <cellStyle name="표준 24 3 4 2 4" xfId="17422" xr:uid="{00000000-0005-0000-0000-0000F2430000}"/>
    <cellStyle name="표준 24 3 4 2 4 2" xfId="17423" xr:uid="{00000000-0005-0000-0000-0000F3430000}"/>
    <cellStyle name="표준 24 3 4 2 4 2 2" xfId="17424" xr:uid="{00000000-0005-0000-0000-0000F4430000}"/>
    <cellStyle name="표준 24 3 4 2 4 2 2 2" xfId="17425" xr:uid="{00000000-0005-0000-0000-0000F5430000}"/>
    <cellStyle name="표준 24 3 4 2 4 2 2 2 2" xfId="17426" xr:uid="{00000000-0005-0000-0000-0000F6430000}"/>
    <cellStyle name="표준 24 3 4 2 4 2 2 2 2 2" xfId="17427" xr:uid="{00000000-0005-0000-0000-0000F7430000}"/>
    <cellStyle name="표준 24 3 4 2 4 2 2 2 3" xfId="17428" xr:uid="{00000000-0005-0000-0000-0000F8430000}"/>
    <cellStyle name="표준 24 3 4 2 4 2 2 3" xfId="17429" xr:uid="{00000000-0005-0000-0000-0000F9430000}"/>
    <cellStyle name="표준 24 3 4 2 4 2 2 3 2" xfId="17430" xr:uid="{00000000-0005-0000-0000-0000FA430000}"/>
    <cellStyle name="표준 24 3 4 2 4 2 2 4" xfId="17431" xr:uid="{00000000-0005-0000-0000-0000FB430000}"/>
    <cellStyle name="표준 24 3 4 2 4 2 3" xfId="17432" xr:uid="{00000000-0005-0000-0000-0000FC430000}"/>
    <cellStyle name="표준 24 3 4 2 4 2 3 2" xfId="17433" xr:uid="{00000000-0005-0000-0000-0000FD430000}"/>
    <cellStyle name="표준 24 3 4 2 4 2 3 2 2" xfId="17434" xr:uid="{00000000-0005-0000-0000-0000FE430000}"/>
    <cellStyle name="표준 24 3 4 2 4 2 3 3" xfId="17435" xr:uid="{00000000-0005-0000-0000-0000FF430000}"/>
    <cellStyle name="표준 24 3 4 2 4 2 4" xfId="17436" xr:uid="{00000000-0005-0000-0000-000000440000}"/>
    <cellStyle name="표준 24 3 4 2 4 2 4 2" xfId="17437" xr:uid="{00000000-0005-0000-0000-000001440000}"/>
    <cellStyle name="표준 24 3 4 2 4 2 5" xfId="17438" xr:uid="{00000000-0005-0000-0000-000002440000}"/>
    <cellStyle name="표준 24 3 4 2 4 3" xfId="17439" xr:uid="{00000000-0005-0000-0000-000003440000}"/>
    <cellStyle name="표준 24 3 4 2 4 3 2" xfId="17440" xr:uid="{00000000-0005-0000-0000-000004440000}"/>
    <cellStyle name="표준 24 3 4 2 4 3 2 2" xfId="17441" xr:uid="{00000000-0005-0000-0000-000005440000}"/>
    <cellStyle name="표준 24 3 4 2 4 3 2 2 2" xfId="17442" xr:uid="{00000000-0005-0000-0000-000006440000}"/>
    <cellStyle name="표준 24 3 4 2 4 3 2 3" xfId="17443" xr:uid="{00000000-0005-0000-0000-000007440000}"/>
    <cellStyle name="표준 24 3 4 2 4 3 3" xfId="17444" xr:uid="{00000000-0005-0000-0000-000008440000}"/>
    <cellStyle name="표준 24 3 4 2 4 3 3 2" xfId="17445" xr:uid="{00000000-0005-0000-0000-000009440000}"/>
    <cellStyle name="표준 24 3 4 2 4 3 4" xfId="17446" xr:uid="{00000000-0005-0000-0000-00000A440000}"/>
    <cellStyle name="표준 24 3 4 2 4 4" xfId="17447" xr:uid="{00000000-0005-0000-0000-00000B440000}"/>
    <cellStyle name="표준 24 3 4 2 4 4 2" xfId="17448" xr:uid="{00000000-0005-0000-0000-00000C440000}"/>
    <cellStyle name="표준 24 3 4 2 4 4 2 2" xfId="17449" xr:uid="{00000000-0005-0000-0000-00000D440000}"/>
    <cellStyle name="표준 24 3 4 2 4 4 3" xfId="17450" xr:uid="{00000000-0005-0000-0000-00000E440000}"/>
    <cellStyle name="표준 24 3 4 2 4 5" xfId="17451" xr:uid="{00000000-0005-0000-0000-00000F440000}"/>
    <cellStyle name="표준 24 3 4 2 4 5 2" xfId="17452" xr:uid="{00000000-0005-0000-0000-000010440000}"/>
    <cellStyle name="표준 24 3 4 2 4 6" xfId="17453" xr:uid="{00000000-0005-0000-0000-000011440000}"/>
    <cellStyle name="표준 24 3 4 2 5" xfId="17454" xr:uid="{00000000-0005-0000-0000-000012440000}"/>
    <cellStyle name="표준 24 3 4 2 5 2" xfId="17455" xr:uid="{00000000-0005-0000-0000-000013440000}"/>
    <cellStyle name="표준 24 3 4 2 5 2 2" xfId="17456" xr:uid="{00000000-0005-0000-0000-000014440000}"/>
    <cellStyle name="표준 24 3 4 2 5 2 2 2" xfId="17457" xr:uid="{00000000-0005-0000-0000-000015440000}"/>
    <cellStyle name="표준 24 3 4 2 5 2 2 2 2" xfId="17458" xr:uid="{00000000-0005-0000-0000-000016440000}"/>
    <cellStyle name="표준 24 3 4 2 5 2 2 3" xfId="17459" xr:uid="{00000000-0005-0000-0000-000017440000}"/>
    <cellStyle name="표준 24 3 4 2 5 2 3" xfId="17460" xr:uid="{00000000-0005-0000-0000-000018440000}"/>
    <cellStyle name="표준 24 3 4 2 5 2 3 2" xfId="17461" xr:uid="{00000000-0005-0000-0000-000019440000}"/>
    <cellStyle name="표준 24 3 4 2 5 2 4" xfId="17462" xr:uid="{00000000-0005-0000-0000-00001A440000}"/>
    <cellStyle name="표준 24 3 4 2 5 3" xfId="17463" xr:uid="{00000000-0005-0000-0000-00001B440000}"/>
    <cellStyle name="표준 24 3 4 2 5 3 2" xfId="17464" xr:uid="{00000000-0005-0000-0000-00001C440000}"/>
    <cellStyle name="표준 24 3 4 2 5 3 2 2" xfId="17465" xr:uid="{00000000-0005-0000-0000-00001D440000}"/>
    <cellStyle name="표준 24 3 4 2 5 3 3" xfId="17466" xr:uid="{00000000-0005-0000-0000-00001E440000}"/>
    <cellStyle name="표준 24 3 4 2 5 4" xfId="17467" xr:uid="{00000000-0005-0000-0000-00001F440000}"/>
    <cellStyle name="표준 24 3 4 2 5 4 2" xfId="17468" xr:uid="{00000000-0005-0000-0000-000020440000}"/>
    <cellStyle name="표준 24 3 4 2 5 5" xfId="17469" xr:uid="{00000000-0005-0000-0000-000021440000}"/>
    <cellStyle name="표준 24 3 4 2 6" xfId="17470" xr:uid="{00000000-0005-0000-0000-000022440000}"/>
    <cellStyle name="표준 24 3 4 2 6 2" xfId="17471" xr:uid="{00000000-0005-0000-0000-000023440000}"/>
    <cellStyle name="표준 24 3 4 2 6 2 2" xfId="17472" xr:uid="{00000000-0005-0000-0000-000024440000}"/>
    <cellStyle name="표준 24 3 4 2 6 2 2 2" xfId="17473" xr:uid="{00000000-0005-0000-0000-000025440000}"/>
    <cellStyle name="표준 24 3 4 2 6 2 3" xfId="17474" xr:uid="{00000000-0005-0000-0000-000026440000}"/>
    <cellStyle name="표준 24 3 4 2 6 3" xfId="17475" xr:uid="{00000000-0005-0000-0000-000027440000}"/>
    <cellStyle name="표준 24 3 4 2 6 3 2" xfId="17476" xr:uid="{00000000-0005-0000-0000-000028440000}"/>
    <cellStyle name="표준 24 3 4 2 6 4" xfId="17477" xr:uid="{00000000-0005-0000-0000-000029440000}"/>
    <cellStyle name="표준 24 3 4 2 7" xfId="17478" xr:uid="{00000000-0005-0000-0000-00002A440000}"/>
    <cellStyle name="표준 24 3 4 2 7 2" xfId="17479" xr:uid="{00000000-0005-0000-0000-00002B440000}"/>
    <cellStyle name="표준 24 3 4 2 7 2 2" xfId="17480" xr:uid="{00000000-0005-0000-0000-00002C440000}"/>
    <cellStyle name="표준 24 3 4 2 7 3" xfId="17481" xr:uid="{00000000-0005-0000-0000-00002D440000}"/>
    <cellStyle name="표준 24 3 4 2 8" xfId="17482" xr:uid="{00000000-0005-0000-0000-00002E440000}"/>
    <cellStyle name="표준 24 3 4 2 8 2" xfId="17483" xr:uid="{00000000-0005-0000-0000-00002F440000}"/>
    <cellStyle name="표준 24 3 4 2 9" xfId="17484" xr:uid="{00000000-0005-0000-0000-000030440000}"/>
    <cellStyle name="표준 24 3 4 3" xfId="17485" xr:uid="{00000000-0005-0000-0000-000031440000}"/>
    <cellStyle name="표준 24 3 4 3 2" xfId="17486" xr:uid="{00000000-0005-0000-0000-000032440000}"/>
    <cellStyle name="표준 24 3 4 3 2 2" xfId="17487" xr:uid="{00000000-0005-0000-0000-000033440000}"/>
    <cellStyle name="표준 24 3 4 3 2 2 2" xfId="17488" xr:uid="{00000000-0005-0000-0000-000034440000}"/>
    <cellStyle name="표준 24 3 4 3 2 2 2 2" xfId="17489" xr:uid="{00000000-0005-0000-0000-000035440000}"/>
    <cellStyle name="표준 24 3 4 3 2 2 2 2 2" xfId="17490" xr:uid="{00000000-0005-0000-0000-000036440000}"/>
    <cellStyle name="표준 24 3 4 3 2 2 2 2 2 2" xfId="17491" xr:uid="{00000000-0005-0000-0000-000037440000}"/>
    <cellStyle name="표준 24 3 4 3 2 2 2 2 2 2 2" xfId="17492" xr:uid="{00000000-0005-0000-0000-000038440000}"/>
    <cellStyle name="표준 24 3 4 3 2 2 2 2 2 3" xfId="17493" xr:uid="{00000000-0005-0000-0000-000039440000}"/>
    <cellStyle name="표준 24 3 4 3 2 2 2 2 3" xfId="17494" xr:uid="{00000000-0005-0000-0000-00003A440000}"/>
    <cellStyle name="표준 24 3 4 3 2 2 2 2 3 2" xfId="17495" xr:uid="{00000000-0005-0000-0000-00003B440000}"/>
    <cellStyle name="표준 24 3 4 3 2 2 2 2 4" xfId="17496" xr:uid="{00000000-0005-0000-0000-00003C440000}"/>
    <cellStyle name="표준 24 3 4 3 2 2 2 3" xfId="17497" xr:uid="{00000000-0005-0000-0000-00003D440000}"/>
    <cellStyle name="표준 24 3 4 3 2 2 2 3 2" xfId="17498" xr:uid="{00000000-0005-0000-0000-00003E440000}"/>
    <cellStyle name="표준 24 3 4 3 2 2 2 3 2 2" xfId="17499" xr:uid="{00000000-0005-0000-0000-00003F440000}"/>
    <cellStyle name="표준 24 3 4 3 2 2 2 3 3" xfId="17500" xr:uid="{00000000-0005-0000-0000-000040440000}"/>
    <cellStyle name="표준 24 3 4 3 2 2 2 4" xfId="17501" xr:uid="{00000000-0005-0000-0000-000041440000}"/>
    <cellStyle name="표준 24 3 4 3 2 2 2 4 2" xfId="17502" xr:uid="{00000000-0005-0000-0000-000042440000}"/>
    <cellStyle name="표준 24 3 4 3 2 2 2 5" xfId="17503" xr:uid="{00000000-0005-0000-0000-000043440000}"/>
    <cellStyle name="표준 24 3 4 3 2 2 3" xfId="17504" xr:uid="{00000000-0005-0000-0000-000044440000}"/>
    <cellStyle name="표준 24 3 4 3 2 2 3 2" xfId="17505" xr:uid="{00000000-0005-0000-0000-000045440000}"/>
    <cellStyle name="표준 24 3 4 3 2 2 3 2 2" xfId="17506" xr:uid="{00000000-0005-0000-0000-000046440000}"/>
    <cellStyle name="표준 24 3 4 3 2 2 3 2 2 2" xfId="17507" xr:uid="{00000000-0005-0000-0000-000047440000}"/>
    <cellStyle name="표준 24 3 4 3 2 2 3 2 3" xfId="17508" xr:uid="{00000000-0005-0000-0000-000048440000}"/>
    <cellStyle name="표준 24 3 4 3 2 2 3 3" xfId="17509" xr:uid="{00000000-0005-0000-0000-000049440000}"/>
    <cellStyle name="표준 24 3 4 3 2 2 3 3 2" xfId="17510" xr:uid="{00000000-0005-0000-0000-00004A440000}"/>
    <cellStyle name="표준 24 3 4 3 2 2 3 4" xfId="17511" xr:uid="{00000000-0005-0000-0000-00004B440000}"/>
    <cellStyle name="표준 24 3 4 3 2 2 4" xfId="17512" xr:uid="{00000000-0005-0000-0000-00004C440000}"/>
    <cellStyle name="표준 24 3 4 3 2 2 4 2" xfId="17513" xr:uid="{00000000-0005-0000-0000-00004D440000}"/>
    <cellStyle name="표준 24 3 4 3 2 2 4 2 2" xfId="17514" xr:uid="{00000000-0005-0000-0000-00004E440000}"/>
    <cellStyle name="표준 24 3 4 3 2 2 4 3" xfId="17515" xr:uid="{00000000-0005-0000-0000-00004F440000}"/>
    <cellStyle name="표준 24 3 4 3 2 2 5" xfId="17516" xr:uid="{00000000-0005-0000-0000-000050440000}"/>
    <cellStyle name="표준 24 3 4 3 2 2 5 2" xfId="17517" xr:uid="{00000000-0005-0000-0000-000051440000}"/>
    <cellStyle name="표준 24 3 4 3 2 2 6" xfId="17518" xr:uid="{00000000-0005-0000-0000-000052440000}"/>
    <cellStyle name="표준 24 3 4 3 2 3" xfId="17519" xr:uid="{00000000-0005-0000-0000-000053440000}"/>
    <cellStyle name="표준 24 3 4 3 2 3 2" xfId="17520" xr:uid="{00000000-0005-0000-0000-000054440000}"/>
    <cellStyle name="표준 24 3 4 3 2 3 2 2" xfId="17521" xr:uid="{00000000-0005-0000-0000-000055440000}"/>
    <cellStyle name="표준 24 3 4 3 2 3 2 2 2" xfId="17522" xr:uid="{00000000-0005-0000-0000-000056440000}"/>
    <cellStyle name="표준 24 3 4 3 2 3 2 2 2 2" xfId="17523" xr:uid="{00000000-0005-0000-0000-000057440000}"/>
    <cellStyle name="표준 24 3 4 3 2 3 2 2 3" xfId="17524" xr:uid="{00000000-0005-0000-0000-000058440000}"/>
    <cellStyle name="표준 24 3 4 3 2 3 2 3" xfId="17525" xr:uid="{00000000-0005-0000-0000-000059440000}"/>
    <cellStyle name="표준 24 3 4 3 2 3 2 3 2" xfId="17526" xr:uid="{00000000-0005-0000-0000-00005A440000}"/>
    <cellStyle name="표준 24 3 4 3 2 3 2 4" xfId="17527" xr:uid="{00000000-0005-0000-0000-00005B440000}"/>
    <cellStyle name="표준 24 3 4 3 2 3 3" xfId="17528" xr:uid="{00000000-0005-0000-0000-00005C440000}"/>
    <cellStyle name="표준 24 3 4 3 2 3 3 2" xfId="17529" xr:uid="{00000000-0005-0000-0000-00005D440000}"/>
    <cellStyle name="표준 24 3 4 3 2 3 3 2 2" xfId="17530" xr:uid="{00000000-0005-0000-0000-00005E440000}"/>
    <cellStyle name="표준 24 3 4 3 2 3 3 3" xfId="17531" xr:uid="{00000000-0005-0000-0000-00005F440000}"/>
    <cellStyle name="표준 24 3 4 3 2 3 4" xfId="17532" xr:uid="{00000000-0005-0000-0000-000060440000}"/>
    <cellStyle name="표준 24 3 4 3 2 3 4 2" xfId="17533" xr:uid="{00000000-0005-0000-0000-000061440000}"/>
    <cellStyle name="표준 24 3 4 3 2 3 5" xfId="17534" xr:uid="{00000000-0005-0000-0000-000062440000}"/>
    <cellStyle name="표준 24 3 4 3 2 4" xfId="17535" xr:uid="{00000000-0005-0000-0000-000063440000}"/>
    <cellStyle name="표준 24 3 4 3 2 4 2" xfId="17536" xr:uid="{00000000-0005-0000-0000-000064440000}"/>
    <cellStyle name="표준 24 3 4 3 2 4 2 2" xfId="17537" xr:uid="{00000000-0005-0000-0000-000065440000}"/>
    <cellStyle name="표준 24 3 4 3 2 4 2 2 2" xfId="17538" xr:uid="{00000000-0005-0000-0000-000066440000}"/>
    <cellStyle name="표준 24 3 4 3 2 4 2 3" xfId="17539" xr:uid="{00000000-0005-0000-0000-000067440000}"/>
    <cellStyle name="표준 24 3 4 3 2 4 3" xfId="17540" xr:uid="{00000000-0005-0000-0000-000068440000}"/>
    <cellStyle name="표준 24 3 4 3 2 4 3 2" xfId="17541" xr:uid="{00000000-0005-0000-0000-000069440000}"/>
    <cellStyle name="표준 24 3 4 3 2 4 4" xfId="17542" xr:uid="{00000000-0005-0000-0000-00006A440000}"/>
    <cellStyle name="표준 24 3 4 3 2 5" xfId="17543" xr:uid="{00000000-0005-0000-0000-00006B440000}"/>
    <cellStyle name="표준 24 3 4 3 2 5 2" xfId="17544" xr:uid="{00000000-0005-0000-0000-00006C440000}"/>
    <cellStyle name="표준 24 3 4 3 2 5 2 2" xfId="17545" xr:uid="{00000000-0005-0000-0000-00006D440000}"/>
    <cellStyle name="표준 24 3 4 3 2 5 3" xfId="17546" xr:uid="{00000000-0005-0000-0000-00006E440000}"/>
    <cellStyle name="표준 24 3 4 3 2 6" xfId="17547" xr:uid="{00000000-0005-0000-0000-00006F440000}"/>
    <cellStyle name="표준 24 3 4 3 2 6 2" xfId="17548" xr:uid="{00000000-0005-0000-0000-000070440000}"/>
    <cellStyle name="표준 24 3 4 3 2 7" xfId="17549" xr:uid="{00000000-0005-0000-0000-000071440000}"/>
    <cellStyle name="표준 24 3 4 3 2 8" xfId="17550" xr:uid="{00000000-0005-0000-0000-000072440000}"/>
    <cellStyle name="표준 24 3 4 3 3" xfId="17551" xr:uid="{00000000-0005-0000-0000-000073440000}"/>
    <cellStyle name="표준 24 3 4 3 3 2" xfId="17552" xr:uid="{00000000-0005-0000-0000-000074440000}"/>
    <cellStyle name="표준 24 3 4 3 3 2 2" xfId="17553" xr:uid="{00000000-0005-0000-0000-000075440000}"/>
    <cellStyle name="표준 24 3 4 3 3 2 2 2" xfId="17554" xr:uid="{00000000-0005-0000-0000-000076440000}"/>
    <cellStyle name="표준 24 3 4 3 3 2 2 2 2" xfId="17555" xr:uid="{00000000-0005-0000-0000-000077440000}"/>
    <cellStyle name="표준 24 3 4 3 3 2 2 2 2 2" xfId="17556" xr:uid="{00000000-0005-0000-0000-000078440000}"/>
    <cellStyle name="표준 24 3 4 3 3 2 2 2 3" xfId="17557" xr:uid="{00000000-0005-0000-0000-000079440000}"/>
    <cellStyle name="표준 24 3 4 3 3 2 2 3" xfId="17558" xr:uid="{00000000-0005-0000-0000-00007A440000}"/>
    <cellStyle name="표준 24 3 4 3 3 2 2 3 2" xfId="17559" xr:uid="{00000000-0005-0000-0000-00007B440000}"/>
    <cellStyle name="표준 24 3 4 3 3 2 2 4" xfId="17560" xr:uid="{00000000-0005-0000-0000-00007C440000}"/>
    <cellStyle name="표준 24 3 4 3 3 2 3" xfId="17561" xr:uid="{00000000-0005-0000-0000-00007D440000}"/>
    <cellStyle name="표준 24 3 4 3 3 2 3 2" xfId="17562" xr:uid="{00000000-0005-0000-0000-00007E440000}"/>
    <cellStyle name="표준 24 3 4 3 3 2 3 2 2" xfId="17563" xr:uid="{00000000-0005-0000-0000-00007F440000}"/>
    <cellStyle name="표준 24 3 4 3 3 2 3 3" xfId="17564" xr:uid="{00000000-0005-0000-0000-000080440000}"/>
    <cellStyle name="표준 24 3 4 3 3 2 4" xfId="17565" xr:uid="{00000000-0005-0000-0000-000081440000}"/>
    <cellStyle name="표준 24 3 4 3 3 2 4 2" xfId="17566" xr:uid="{00000000-0005-0000-0000-000082440000}"/>
    <cellStyle name="표준 24 3 4 3 3 2 5" xfId="17567" xr:uid="{00000000-0005-0000-0000-000083440000}"/>
    <cellStyle name="표준 24 3 4 3 3 3" xfId="17568" xr:uid="{00000000-0005-0000-0000-000084440000}"/>
    <cellStyle name="표준 24 3 4 3 3 3 2" xfId="17569" xr:uid="{00000000-0005-0000-0000-000085440000}"/>
    <cellStyle name="표준 24 3 4 3 3 3 2 2" xfId="17570" xr:uid="{00000000-0005-0000-0000-000086440000}"/>
    <cellStyle name="표준 24 3 4 3 3 3 2 2 2" xfId="17571" xr:uid="{00000000-0005-0000-0000-000087440000}"/>
    <cellStyle name="표준 24 3 4 3 3 3 2 3" xfId="17572" xr:uid="{00000000-0005-0000-0000-000088440000}"/>
    <cellStyle name="표준 24 3 4 3 3 3 3" xfId="17573" xr:uid="{00000000-0005-0000-0000-000089440000}"/>
    <cellStyle name="표준 24 3 4 3 3 3 3 2" xfId="17574" xr:uid="{00000000-0005-0000-0000-00008A440000}"/>
    <cellStyle name="표준 24 3 4 3 3 3 4" xfId="17575" xr:uid="{00000000-0005-0000-0000-00008B440000}"/>
    <cellStyle name="표준 24 3 4 3 3 4" xfId="17576" xr:uid="{00000000-0005-0000-0000-00008C440000}"/>
    <cellStyle name="표준 24 3 4 3 3 4 2" xfId="17577" xr:uid="{00000000-0005-0000-0000-00008D440000}"/>
    <cellStyle name="표준 24 3 4 3 3 4 2 2" xfId="17578" xr:uid="{00000000-0005-0000-0000-00008E440000}"/>
    <cellStyle name="표준 24 3 4 3 3 4 3" xfId="17579" xr:uid="{00000000-0005-0000-0000-00008F440000}"/>
    <cellStyle name="표준 24 3 4 3 3 5" xfId="17580" xr:uid="{00000000-0005-0000-0000-000090440000}"/>
    <cellStyle name="표준 24 3 4 3 3 5 2" xfId="17581" xr:uid="{00000000-0005-0000-0000-000091440000}"/>
    <cellStyle name="표준 24 3 4 3 3 6" xfId="17582" xr:uid="{00000000-0005-0000-0000-000092440000}"/>
    <cellStyle name="표준 24 3 4 3 4" xfId="17583" xr:uid="{00000000-0005-0000-0000-000093440000}"/>
    <cellStyle name="표준 24 3 4 3 4 2" xfId="17584" xr:uid="{00000000-0005-0000-0000-000094440000}"/>
    <cellStyle name="표준 24 3 4 3 4 2 2" xfId="17585" xr:uid="{00000000-0005-0000-0000-000095440000}"/>
    <cellStyle name="표준 24 3 4 3 4 2 2 2" xfId="17586" xr:uid="{00000000-0005-0000-0000-000096440000}"/>
    <cellStyle name="표준 24 3 4 3 4 2 2 2 2" xfId="17587" xr:uid="{00000000-0005-0000-0000-000097440000}"/>
    <cellStyle name="표준 24 3 4 3 4 2 2 3" xfId="17588" xr:uid="{00000000-0005-0000-0000-000098440000}"/>
    <cellStyle name="표준 24 3 4 3 4 2 3" xfId="17589" xr:uid="{00000000-0005-0000-0000-000099440000}"/>
    <cellStyle name="표준 24 3 4 3 4 2 3 2" xfId="17590" xr:uid="{00000000-0005-0000-0000-00009A440000}"/>
    <cellStyle name="표준 24 3 4 3 4 2 4" xfId="17591" xr:uid="{00000000-0005-0000-0000-00009B440000}"/>
    <cellStyle name="표준 24 3 4 3 4 3" xfId="17592" xr:uid="{00000000-0005-0000-0000-00009C440000}"/>
    <cellStyle name="표준 24 3 4 3 4 3 2" xfId="17593" xr:uid="{00000000-0005-0000-0000-00009D440000}"/>
    <cellStyle name="표준 24 3 4 3 4 3 2 2" xfId="17594" xr:uid="{00000000-0005-0000-0000-00009E440000}"/>
    <cellStyle name="표준 24 3 4 3 4 3 3" xfId="17595" xr:uid="{00000000-0005-0000-0000-00009F440000}"/>
    <cellStyle name="표준 24 3 4 3 4 4" xfId="17596" xr:uid="{00000000-0005-0000-0000-0000A0440000}"/>
    <cellStyle name="표준 24 3 4 3 4 4 2" xfId="17597" xr:uid="{00000000-0005-0000-0000-0000A1440000}"/>
    <cellStyle name="표준 24 3 4 3 4 5" xfId="17598" xr:uid="{00000000-0005-0000-0000-0000A2440000}"/>
    <cellStyle name="표준 24 3 4 3 5" xfId="17599" xr:uid="{00000000-0005-0000-0000-0000A3440000}"/>
    <cellStyle name="표준 24 3 4 3 5 2" xfId="17600" xr:uid="{00000000-0005-0000-0000-0000A4440000}"/>
    <cellStyle name="표준 24 3 4 3 5 2 2" xfId="17601" xr:uid="{00000000-0005-0000-0000-0000A5440000}"/>
    <cellStyle name="표준 24 3 4 3 5 2 2 2" xfId="17602" xr:uid="{00000000-0005-0000-0000-0000A6440000}"/>
    <cellStyle name="표준 24 3 4 3 5 2 3" xfId="17603" xr:uid="{00000000-0005-0000-0000-0000A7440000}"/>
    <cellStyle name="표준 24 3 4 3 5 3" xfId="17604" xr:uid="{00000000-0005-0000-0000-0000A8440000}"/>
    <cellStyle name="표준 24 3 4 3 5 3 2" xfId="17605" xr:uid="{00000000-0005-0000-0000-0000A9440000}"/>
    <cellStyle name="표준 24 3 4 3 5 4" xfId="17606" xr:uid="{00000000-0005-0000-0000-0000AA440000}"/>
    <cellStyle name="표준 24 3 4 3 6" xfId="17607" xr:uid="{00000000-0005-0000-0000-0000AB440000}"/>
    <cellStyle name="표준 24 3 4 3 6 2" xfId="17608" xr:uid="{00000000-0005-0000-0000-0000AC440000}"/>
    <cellStyle name="표준 24 3 4 3 6 2 2" xfId="17609" xr:uid="{00000000-0005-0000-0000-0000AD440000}"/>
    <cellStyle name="표준 24 3 4 3 6 3" xfId="17610" xr:uid="{00000000-0005-0000-0000-0000AE440000}"/>
    <cellStyle name="표준 24 3 4 3 7" xfId="17611" xr:uid="{00000000-0005-0000-0000-0000AF440000}"/>
    <cellStyle name="표준 24 3 4 3 7 2" xfId="17612" xr:uid="{00000000-0005-0000-0000-0000B0440000}"/>
    <cellStyle name="표준 24 3 4 3 8" xfId="17613" xr:uid="{00000000-0005-0000-0000-0000B1440000}"/>
    <cellStyle name="표준 24 3 4 3 9" xfId="17614" xr:uid="{00000000-0005-0000-0000-0000B2440000}"/>
    <cellStyle name="표준 24 3 4 4" xfId="17615" xr:uid="{00000000-0005-0000-0000-0000B3440000}"/>
    <cellStyle name="표준 24 3 4 4 2" xfId="17616" xr:uid="{00000000-0005-0000-0000-0000B4440000}"/>
    <cellStyle name="표준 24 3 4 4 2 2" xfId="17617" xr:uid="{00000000-0005-0000-0000-0000B5440000}"/>
    <cellStyle name="표준 24 3 4 4 2 2 2" xfId="17618" xr:uid="{00000000-0005-0000-0000-0000B6440000}"/>
    <cellStyle name="표준 24 3 4 4 2 2 2 2" xfId="17619" xr:uid="{00000000-0005-0000-0000-0000B7440000}"/>
    <cellStyle name="표준 24 3 4 4 2 2 2 2 2" xfId="17620" xr:uid="{00000000-0005-0000-0000-0000B8440000}"/>
    <cellStyle name="표준 24 3 4 4 2 2 2 2 2 2" xfId="17621" xr:uid="{00000000-0005-0000-0000-0000B9440000}"/>
    <cellStyle name="표준 24 3 4 4 2 2 2 2 3" xfId="17622" xr:uid="{00000000-0005-0000-0000-0000BA440000}"/>
    <cellStyle name="표준 24 3 4 4 2 2 2 3" xfId="17623" xr:uid="{00000000-0005-0000-0000-0000BB440000}"/>
    <cellStyle name="표준 24 3 4 4 2 2 2 3 2" xfId="17624" xr:uid="{00000000-0005-0000-0000-0000BC440000}"/>
    <cellStyle name="표준 24 3 4 4 2 2 2 4" xfId="17625" xr:uid="{00000000-0005-0000-0000-0000BD440000}"/>
    <cellStyle name="표준 24 3 4 4 2 2 3" xfId="17626" xr:uid="{00000000-0005-0000-0000-0000BE440000}"/>
    <cellStyle name="표준 24 3 4 4 2 2 3 2" xfId="17627" xr:uid="{00000000-0005-0000-0000-0000BF440000}"/>
    <cellStyle name="표준 24 3 4 4 2 2 3 2 2" xfId="17628" xr:uid="{00000000-0005-0000-0000-0000C0440000}"/>
    <cellStyle name="표준 24 3 4 4 2 2 3 3" xfId="17629" xr:uid="{00000000-0005-0000-0000-0000C1440000}"/>
    <cellStyle name="표준 24 3 4 4 2 2 4" xfId="17630" xr:uid="{00000000-0005-0000-0000-0000C2440000}"/>
    <cellStyle name="표준 24 3 4 4 2 2 4 2" xfId="17631" xr:uid="{00000000-0005-0000-0000-0000C3440000}"/>
    <cellStyle name="표준 24 3 4 4 2 2 5" xfId="17632" xr:uid="{00000000-0005-0000-0000-0000C4440000}"/>
    <cellStyle name="표준 24 3 4 4 2 3" xfId="17633" xr:uid="{00000000-0005-0000-0000-0000C5440000}"/>
    <cellStyle name="표준 24 3 4 4 2 3 2" xfId="17634" xr:uid="{00000000-0005-0000-0000-0000C6440000}"/>
    <cellStyle name="표준 24 3 4 4 2 3 2 2" xfId="17635" xr:uid="{00000000-0005-0000-0000-0000C7440000}"/>
    <cellStyle name="표준 24 3 4 4 2 3 2 2 2" xfId="17636" xr:uid="{00000000-0005-0000-0000-0000C8440000}"/>
    <cellStyle name="표준 24 3 4 4 2 3 2 3" xfId="17637" xr:uid="{00000000-0005-0000-0000-0000C9440000}"/>
    <cellStyle name="표준 24 3 4 4 2 3 3" xfId="17638" xr:uid="{00000000-0005-0000-0000-0000CA440000}"/>
    <cellStyle name="표준 24 3 4 4 2 3 3 2" xfId="17639" xr:uid="{00000000-0005-0000-0000-0000CB440000}"/>
    <cellStyle name="표준 24 3 4 4 2 3 4" xfId="17640" xr:uid="{00000000-0005-0000-0000-0000CC440000}"/>
    <cellStyle name="표준 24 3 4 4 2 4" xfId="17641" xr:uid="{00000000-0005-0000-0000-0000CD440000}"/>
    <cellStyle name="표준 24 3 4 4 2 4 2" xfId="17642" xr:uid="{00000000-0005-0000-0000-0000CE440000}"/>
    <cellStyle name="표준 24 3 4 4 2 4 2 2" xfId="17643" xr:uid="{00000000-0005-0000-0000-0000CF440000}"/>
    <cellStyle name="표준 24 3 4 4 2 4 3" xfId="17644" xr:uid="{00000000-0005-0000-0000-0000D0440000}"/>
    <cellStyle name="표준 24 3 4 4 2 5" xfId="17645" xr:uid="{00000000-0005-0000-0000-0000D1440000}"/>
    <cellStyle name="표준 24 3 4 4 2 5 2" xfId="17646" xr:uid="{00000000-0005-0000-0000-0000D2440000}"/>
    <cellStyle name="표준 24 3 4 4 2 6" xfId="17647" xr:uid="{00000000-0005-0000-0000-0000D3440000}"/>
    <cellStyle name="표준 24 3 4 4 3" xfId="17648" xr:uid="{00000000-0005-0000-0000-0000D4440000}"/>
    <cellStyle name="표준 24 3 4 4 3 2" xfId="17649" xr:uid="{00000000-0005-0000-0000-0000D5440000}"/>
    <cellStyle name="표준 24 3 4 4 3 2 2" xfId="17650" xr:uid="{00000000-0005-0000-0000-0000D6440000}"/>
    <cellStyle name="표준 24 3 4 4 3 2 2 2" xfId="17651" xr:uid="{00000000-0005-0000-0000-0000D7440000}"/>
    <cellStyle name="표준 24 3 4 4 3 2 2 2 2" xfId="17652" xr:uid="{00000000-0005-0000-0000-0000D8440000}"/>
    <cellStyle name="표준 24 3 4 4 3 2 2 3" xfId="17653" xr:uid="{00000000-0005-0000-0000-0000D9440000}"/>
    <cellStyle name="표준 24 3 4 4 3 2 3" xfId="17654" xr:uid="{00000000-0005-0000-0000-0000DA440000}"/>
    <cellStyle name="표준 24 3 4 4 3 2 3 2" xfId="17655" xr:uid="{00000000-0005-0000-0000-0000DB440000}"/>
    <cellStyle name="표준 24 3 4 4 3 2 4" xfId="17656" xr:uid="{00000000-0005-0000-0000-0000DC440000}"/>
    <cellStyle name="표준 24 3 4 4 3 3" xfId="17657" xr:uid="{00000000-0005-0000-0000-0000DD440000}"/>
    <cellStyle name="표준 24 3 4 4 3 3 2" xfId="17658" xr:uid="{00000000-0005-0000-0000-0000DE440000}"/>
    <cellStyle name="표준 24 3 4 4 3 3 2 2" xfId="17659" xr:uid="{00000000-0005-0000-0000-0000DF440000}"/>
    <cellStyle name="표준 24 3 4 4 3 3 3" xfId="17660" xr:uid="{00000000-0005-0000-0000-0000E0440000}"/>
    <cellStyle name="표준 24 3 4 4 3 4" xfId="17661" xr:uid="{00000000-0005-0000-0000-0000E1440000}"/>
    <cellStyle name="표준 24 3 4 4 3 4 2" xfId="17662" xr:uid="{00000000-0005-0000-0000-0000E2440000}"/>
    <cellStyle name="표준 24 3 4 4 3 5" xfId="17663" xr:uid="{00000000-0005-0000-0000-0000E3440000}"/>
    <cellStyle name="표준 24 3 4 4 4" xfId="17664" xr:uid="{00000000-0005-0000-0000-0000E4440000}"/>
    <cellStyle name="표준 24 3 4 4 4 2" xfId="17665" xr:uid="{00000000-0005-0000-0000-0000E5440000}"/>
    <cellStyle name="표준 24 3 4 4 4 2 2" xfId="17666" xr:uid="{00000000-0005-0000-0000-0000E6440000}"/>
    <cellStyle name="표준 24 3 4 4 4 2 2 2" xfId="17667" xr:uid="{00000000-0005-0000-0000-0000E7440000}"/>
    <cellStyle name="표준 24 3 4 4 4 2 3" xfId="17668" xr:uid="{00000000-0005-0000-0000-0000E8440000}"/>
    <cellStyle name="표준 24 3 4 4 4 3" xfId="17669" xr:uid="{00000000-0005-0000-0000-0000E9440000}"/>
    <cellStyle name="표준 24 3 4 4 4 3 2" xfId="17670" xr:uid="{00000000-0005-0000-0000-0000EA440000}"/>
    <cellStyle name="표준 24 3 4 4 4 4" xfId="17671" xr:uid="{00000000-0005-0000-0000-0000EB440000}"/>
    <cellStyle name="표준 24 3 4 4 5" xfId="17672" xr:uid="{00000000-0005-0000-0000-0000EC440000}"/>
    <cellStyle name="표준 24 3 4 4 5 2" xfId="17673" xr:uid="{00000000-0005-0000-0000-0000ED440000}"/>
    <cellStyle name="표준 24 3 4 4 5 2 2" xfId="17674" xr:uid="{00000000-0005-0000-0000-0000EE440000}"/>
    <cellStyle name="표준 24 3 4 4 5 3" xfId="17675" xr:uid="{00000000-0005-0000-0000-0000EF440000}"/>
    <cellStyle name="표준 24 3 4 4 6" xfId="17676" xr:uid="{00000000-0005-0000-0000-0000F0440000}"/>
    <cellStyle name="표준 24 3 4 4 6 2" xfId="17677" xr:uid="{00000000-0005-0000-0000-0000F1440000}"/>
    <cellStyle name="표준 24 3 4 4 7" xfId="17678" xr:uid="{00000000-0005-0000-0000-0000F2440000}"/>
    <cellStyle name="표준 24 3 4 4 8" xfId="17679" xr:uid="{00000000-0005-0000-0000-0000F3440000}"/>
    <cellStyle name="표준 24 3 4 5" xfId="17680" xr:uid="{00000000-0005-0000-0000-0000F4440000}"/>
    <cellStyle name="표준 24 3 4 5 2" xfId="17681" xr:uid="{00000000-0005-0000-0000-0000F5440000}"/>
    <cellStyle name="표준 24 3 4 5 2 2" xfId="17682" xr:uid="{00000000-0005-0000-0000-0000F6440000}"/>
    <cellStyle name="표준 24 3 4 5 2 2 2" xfId="17683" xr:uid="{00000000-0005-0000-0000-0000F7440000}"/>
    <cellStyle name="표준 24 3 4 5 2 2 2 2" xfId="17684" xr:uid="{00000000-0005-0000-0000-0000F8440000}"/>
    <cellStyle name="표준 24 3 4 5 2 2 2 2 2" xfId="17685" xr:uid="{00000000-0005-0000-0000-0000F9440000}"/>
    <cellStyle name="표준 24 3 4 5 2 2 2 3" xfId="17686" xr:uid="{00000000-0005-0000-0000-0000FA440000}"/>
    <cellStyle name="표준 24 3 4 5 2 2 3" xfId="17687" xr:uid="{00000000-0005-0000-0000-0000FB440000}"/>
    <cellStyle name="표준 24 3 4 5 2 2 3 2" xfId="17688" xr:uid="{00000000-0005-0000-0000-0000FC440000}"/>
    <cellStyle name="표준 24 3 4 5 2 2 4" xfId="17689" xr:uid="{00000000-0005-0000-0000-0000FD440000}"/>
    <cellStyle name="표준 24 3 4 5 2 3" xfId="17690" xr:uid="{00000000-0005-0000-0000-0000FE440000}"/>
    <cellStyle name="표준 24 3 4 5 2 3 2" xfId="17691" xr:uid="{00000000-0005-0000-0000-0000FF440000}"/>
    <cellStyle name="표준 24 3 4 5 2 3 2 2" xfId="17692" xr:uid="{00000000-0005-0000-0000-000000450000}"/>
    <cellStyle name="표준 24 3 4 5 2 3 3" xfId="17693" xr:uid="{00000000-0005-0000-0000-000001450000}"/>
    <cellStyle name="표준 24 3 4 5 2 4" xfId="17694" xr:uid="{00000000-0005-0000-0000-000002450000}"/>
    <cellStyle name="표준 24 3 4 5 2 4 2" xfId="17695" xr:uid="{00000000-0005-0000-0000-000003450000}"/>
    <cellStyle name="표준 24 3 4 5 2 5" xfId="17696" xr:uid="{00000000-0005-0000-0000-000004450000}"/>
    <cellStyle name="표준 24 3 4 5 3" xfId="17697" xr:uid="{00000000-0005-0000-0000-000005450000}"/>
    <cellStyle name="표준 24 3 4 5 3 2" xfId="17698" xr:uid="{00000000-0005-0000-0000-000006450000}"/>
    <cellStyle name="표준 24 3 4 5 3 2 2" xfId="17699" xr:uid="{00000000-0005-0000-0000-000007450000}"/>
    <cellStyle name="표준 24 3 4 5 3 2 2 2" xfId="17700" xr:uid="{00000000-0005-0000-0000-000008450000}"/>
    <cellStyle name="표준 24 3 4 5 3 2 3" xfId="17701" xr:uid="{00000000-0005-0000-0000-000009450000}"/>
    <cellStyle name="표준 24 3 4 5 3 3" xfId="17702" xr:uid="{00000000-0005-0000-0000-00000A450000}"/>
    <cellStyle name="표준 24 3 4 5 3 3 2" xfId="17703" xr:uid="{00000000-0005-0000-0000-00000B450000}"/>
    <cellStyle name="표준 24 3 4 5 3 4" xfId="17704" xr:uid="{00000000-0005-0000-0000-00000C450000}"/>
    <cellStyle name="표준 24 3 4 5 4" xfId="17705" xr:uid="{00000000-0005-0000-0000-00000D450000}"/>
    <cellStyle name="표준 24 3 4 5 4 2" xfId="17706" xr:uid="{00000000-0005-0000-0000-00000E450000}"/>
    <cellStyle name="표준 24 3 4 5 4 2 2" xfId="17707" xr:uid="{00000000-0005-0000-0000-00000F450000}"/>
    <cellStyle name="표준 24 3 4 5 4 3" xfId="17708" xr:uid="{00000000-0005-0000-0000-000010450000}"/>
    <cellStyle name="표준 24 3 4 5 5" xfId="17709" xr:uid="{00000000-0005-0000-0000-000011450000}"/>
    <cellStyle name="표준 24 3 4 5 5 2" xfId="17710" xr:uid="{00000000-0005-0000-0000-000012450000}"/>
    <cellStyle name="표준 24 3 4 5 6" xfId="17711" xr:uid="{00000000-0005-0000-0000-000013450000}"/>
    <cellStyle name="표준 24 3 4 6" xfId="17712" xr:uid="{00000000-0005-0000-0000-000014450000}"/>
    <cellStyle name="표준 24 3 4 6 2" xfId="17713" xr:uid="{00000000-0005-0000-0000-000015450000}"/>
    <cellStyle name="표준 24 3 4 6 2 2" xfId="17714" xr:uid="{00000000-0005-0000-0000-000016450000}"/>
    <cellStyle name="표준 24 3 4 6 2 2 2" xfId="17715" xr:uid="{00000000-0005-0000-0000-000017450000}"/>
    <cellStyle name="표준 24 3 4 6 2 2 2 2" xfId="17716" xr:uid="{00000000-0005-0000-0000-000018450000}"/>
    <cellStyle name="표준 24 3 4 6 2 2 3" xfId="17717" xr:uid="{00000000-0005-0000-0000-000019450000}"/>
    <cellStyle name="표준 24 3 4 6 2 3" xfId="17718" xr:uid="{00000000-0005-0000-0000-00001A450000}"/>
    <cellStyle name="표준 24 3 4 6 2 3 2" xfId="17719" xr:uid="{00000000-0005-0000-0000-00001B450000}"/>
    <cellStyle name="표준 24 3 4 6 2 4" xfId="17720" xr:uid="{00000000-0005-0000-0000-00001C450000}"/>
    <cellStyle name="표준 24 3 4 6 3" xfId="17721" xr:uid="{00000000-0005-0000-0000-00001D450000}"/>
    <cellStyle name="표준 24 3 4 6 3 2" xfId="17722" xr:uid="{00000000-0005-0000-0000-00001E450000}"/>
    <cellStyle name="표준 24 3 4 6 3 2 2" xfId="17723" xr:uid="{00000000-0005-0000-0000-00001F450000}"/>
    <cellStyle name="표준 24 3 4 6 3 3" xfId="17724" xr:uid="{00000000-0005-0000-0000-000020450000}"/>
    <cellStyle name="표준 24 3 4 6 4" xfId="17725" xr:uid="{00000000-0005-0000-0000-000021450000}"/>
    <cellStyle name="표준 24 3 4 6 4 2" xfId="17726" xr:uid="{00000000-0005-0000-0000-000022450000}"/>
    <cellStyle name="표준 24 3 4 6 5" xfId="17727" xr:uid="{00000000-0005-0000-0000-000023450000}"/>
    <cellStyle name="표준 24 3 4 7" xfId="17728" xr:uid="{00000000-0005-0000-0000-000024450000}"/>
    <cellStyle name="표준 24 3 4 7 2" xfId="17729" xr:uid="{00000000-0005-0000-0000-000025450000}"/>
    <cellStyle name="표준 24 3 4 7 2 2" xfId="17730" xr:uid="{00000000-0005-0000-0000-000026450000}"/>
    <cellStyle name="표준 24 3 4 7 2 2 2" xfId="17731" xr:uid="{00000000-0005-0000-0000-000027450000}"/>
    <cellStyle name="표준 24 3 4 7 2 3" xfId="17732" xr:uid="{00000000-0005-0000-0000-000028450000}"/>
    <cellStyle name="표준 24 3 4 7 3" xfId="17733" xr:uid="{00000000-0005-0000-0000-000029450000}"/>
    <cellStyle name="표준 24 3 4 7 3 2" xfId="17734" xr:uid="{00000000-0005-0000-0000-00002A450000}"/>
    <cellStyle name="표준 24 3 4 7 4" xfId="17735" xr:uid="{00000000-0005-0000-0000-00002B450000}"/>
    <cellStyle name="표준 24 3 4 8" xfId="17736" xr:uid="{00000000-0005-0000-0000-00002C450000}"/>
    <cellStyle name="표준 24 3 4 8 2" xfId="17737" xr:uid="{00000000-0005-0000-0000-00002D450000}"/>
    <cellStyle name="표준 24 3 4 8 2 2" xfId="17738" xr:uid="{00000000-0005-0000-0000-00002E450000}"/>
    <cellStyle name="표준 24 3 4 8 3" xfId="17739" xr:uid="{00000000-0005-0000-0000-00002F450000}"/>
    <cellStyle name="표준 24 3 4 9" xfId="17740" xr:uid="{00000000-0005-0000-0000-000030450000}"/>
    <cellStyle name="표준 24 3 4 9 2" xfId="17741" xr:uid="{00000000-0005-0000-0000-000031450000}"/>
    <cellStyle name="표준 24 3 5" xfId="17742" xr:uid="{00000000-0005-0000-0000-000032450000}"/>
    <cellStyle name="표준 24 3 5 10" xfId="17743" xr:uid="{00000000-0005-0000-0000-000033450000}"/>
    <cellStyle name="표준 24 3 5 11" xfId="17744" xr:uid="{00000000-0005-0000-0000-000034450000}"/>
    <cellStyle name="표준 24 3 5 2" xfId="17745" xr:uid="{00000000-0005-0000-0000-000035450000}"/>
    <cellStyle name="표준 24 3 5 2 10" xfId="17746" xr:uid="{00000000-0005-0000-0000-000036450000}"/>
    <cellStyle name="표준 24 3 5 2 2" xfId="17747" xr:uid="{00000000-0005-0000-0000-000037450000}"/>
    <cellStyle name="표준 24 3 5 2 2 2" xfId="17748" xr:uid="{00000000-0005-0000-0000-000038450000}"/>
    <cellStyle name="표준 24 3 5 2 2 2 2" xfId="17749" xr:uid="{00000000-0005-0000-0000-000039450000}"/>
    <cellStyle name="표준 24 3 5 2 2 2 2 2" xfId="17750" xr:uid="{00000000-0005-0000-0000-00003A450000}"/>
    <cellStyle name="표준 24 3 5 2 2 2 2 2 2" xfId="17751" xr:uid="{00000000-0005-0000-0000-00003B450000}"/>
    <cellStyle name="표준 24 3 5 2 2 2 2 2 2 2" xfId="17752" xr:uid="{00000000-0005-0000-0000-00003C450000}"/>
    <cellStyle name="표준 24 3 5 2 2 2 2 2 2 2 2" xfId="17753" xr:uid="{00000000-0005-0000-0000-00003D450000}"/>
    <cellStyle name="표준 24 3 5 2 2 2 2 2 2 2 2 2" xfId="17754" xr:uid="{00000000-0005-0000-0000-00003E450000}"/>
    <cellStyle name="표준 24 3 5 2 2 2 2 2 2 2 3" xfId="17755" xr:uid="{00000000-0005-0000-0000-00003F450000}"/>
    <cellStyle name="표준 24 3 5 2 2 2 2 2 2 3" xfId="17756" xr:uid="{00000000-0005-0000-0000-000040450000}"/>
    <cellStyle name="표준 24 3 5 2 2 2 2 2 2 3 2" xfId="17757" xr:uid="{00000000-0005-0000-0000-000041450000}"/>
    <cellStyle name="표준 24 3 5 2 2 2 2 2 2 4" xfId="17758" xr:uid="{00000000-0005-0000-0000-000042450000}"/>
    <cellStyle name="표준 24 3 5 2 2 2 2 2 3" xfId="17759" xr:uid="{00000000-0005-0000-0000-000043450000}"/>
    <cellStyle name="표준 24 3 5 2 2 2 2 2 3 2" xfId="17760" xr:uid="{00000000-0005-0000-0000-000044450000}"/>
    <cellStyle name="표준 24 3 5 2 2 2 2 2 3 2 2" xfId="17761" xr:uid="{00000000-0005-0000-0000-000045450000}"/>
    <cellStyle name="표준 24 3 5 2 2 2 2 2 3 3" xfId="17762" xr:uid="{00000000-0005-0000-0000-000046450000}"/>
    <cellStyle name="표준 24 3 5 2 2 2 2 2 4" xfId="17763" xr:uid="{00000000-0005-0000-0000-000047450000}"/>
    <cellStyle name="표준 24 3 5 2 2 2 2 2 4 2" xfId="17764" xr:uid="{00000000-0005-0000-0000-000048450000}"/>
    <cellStyle name="표준 24 3 5 2 2 2 2 2 5" xfId="17765" xr:uid="{00000000-0005-0000-0000-000049450000}"/>
    <cellStyle name="표준 24 3 5 2 2 2 2 3" xfId="17766" xr:uid="{00000000-0005-0000-0000-00004A450000}"/>
    <cellStyle name="표준 24 3 5 2 2 2 2 3 2" xfId="17767" xr:uid="{00000000-0005-0000-0000-00004B450000}"/>
    <cellStyle name="표준 24 3 5 2 2 2 2 3 2 2" xfId="17768" xr:uid="{00000000-0005-0000-0000-00004C450000}"/>
    <cellStyle name="표준 24 3 5 2 2 2 2 3 2 2 2" xfId="17769" xr:uid="{00000000-0005-0000-0000-00004D450000}"/>
    <cellStyle name="표준 24 3 5 2 2 2 2 3 2 3" xfId="17770" xr:uid="{00000000-0005-0000-0000-00004E450000}"/>
    <cellStyle name="표준 24 3 5 2 2 2 2 3 3" xfId="17771" xr:uid="{00000000-0005-0000-0000-00004F450000}"/>
    <cellStyle name="표준 24 3 5 2 2 2 2 3 3 2" xfId="17772" xr:uid="{00000000-0005-0000-0000-000050450000}"/>
    <cellStyle name="표준 24 3 5 2 2 2 2 3 4" xfId="17773" xr:uid="{00000000-0005-0000-0000-000051450000}"/>
    <cellStyle name="표준 24 3 5 2 2 2 2 4" xfId="17774" xr:uid="{00000000-0005-0000-0000-000052450000}"/>
    <cellStyle name="표준 24 3 5 2 2 2 2 4 2" xfId="17775" xr:uid="{00000000-0005-0000-0000-000053450000}"/>
    <cellStyle name="표준 24 3 5 2 2 2 2 4 2 2" xfId="17776" xr:uid="{00000000-0005-0000-0000-000054450000}"/>
    <cellStyle name="표준 24 3 5 2 2 2 2 4 3" xfId="17777" xr:uid="{00000000-0005-0000-0000-000055450000}"/>
    <cellStyle name="표준 24 3 5 2 2 2 2 5" xfId="17778" xr:uid="{00000000-0005-0000-0000-000056450000}"/>
    <cellStyle name="표준 24 3 5 2 2 2 2 5 2" xfId="17779" xr:uid="{00000000-0005-0000-0000-000057450000}"/>
    <cellStyle name="표준 24 3 5 2 2 2 2 6" xfId="17780" xr:uid="{00000000-0005-0000-0000-000058450000}"/>
    <cellStyle name="표준 24 3 5 2 2 2 3" xfId="17781" xr:uid="{00000000-0005-0000-0000-000059450000}"/>
    <cellStyle name="표준 24 3 5 2 2 2 3 2" xfId="17782" xr:uid="{00000000-0005-0000-0000-00005A450000}"/>
    <cellStyle name="표준 24 3 5 2 2 2 3 2 2" xfId="17783" xr:uid="{00000000-0005-0000-0000-00005B450000}"/>
    <cellStyle name="표준 24 3 5 2 2 2 3 2 2 2" xfId="17784" xr:uid="{00000000-0005-0000-0000-00005C450000}"/>
    <cellStyle name="표준 24 3 5 2 2 2 3 2 2 2 2" xfId="17785" xr:uid="{00000000-0005-0000-0000-00005D450000}"/>
    <cellStyle name="표준 24 3 5 2 2 2 3 2 2 3" xfId="17786" xr:uid="{00000000-0005-0000-0000-00005E450000}"/>
    <cellStyle name="표준 24 3 5 2 2 2 3 2 3" xfId="17787" xr:uid="{00000000-0005-0000-0000-00005F450000}"/>
    <cellStyle name="표준 24 3 5 2 2 2 3 2 3 2" xfId="17788" xr:uid="{00000000-0005-0000-0000-000060450000}"/>
    <cellStyle name="표준 24 3 5 2 2 2 3 2 4" xfId="17789" xr:uid="{00000000-0005-0000-0000-000061450000}"/>
    <cellStyle name="표준 24 3 5 2 2 2 3 3" xfId="17790" xr:uid="{00000000-0005-0000-0000-000062450000}"/>
    <cellStyle name="표준 24 3 5 2 2 2 3 3 2" xfId="17791" xr:uid="{00000000-0005-0000-0000-000063450000}"/>
    <cellStyle name="표준 24 3 5 2 2 2 3 3 2 2" xfId="17792" xr:uid="{00000000-0005-0000-0000-000064450000}"/>
    <cellStyle name="표준 24 3 5 2 2 2 3 3 3" xfId="17793" xr:uid="{00000000-0005-0000-0000-000065450000}"/>
    <cellStyle name="표준 24 3 5 2 2 2 3 4" xfId="17794" xr:uid="{00000000-0005-0000-0000-000066450000}"/>
    <cellStyle name="표준 24 3 5 2 2 2 3 4 2" xfId="17795" xr:uid="{00000000-0005-0000-0000-000067450000}"/>
    <cellStyle name="표준 24 3 5 2 2 2 3 5" xfId="17796" xr:uid="{00000000-0005-0000-0000-000068450000}"/>
    <cellStyle name="표준 24 3 5 2 2 2 4" xfId="17797" xr:uid="{00000000-0005-0000-0000-000069450000}"/>
    <cellStyle name="표준 24 3 5 2 2 2 4 2" xfId="17798" xr:uid="{00000000-0005-0000-0000-00006A450000}"/>
    <cellStyle name="표준 24 3 5 2 2 2 4 2 2" xfId="17799" xr:uid="{00000000-0005-0000-0000-00006B450000}"/>
    <cellStyle name="표준 24 3 5 2 2 2 4 2 2 2" xfId="17800" xr:uid="{00000000-0005-0000-0000-00006C450000}"/>
    <cellStyle name="표준 24 3 5 2 2 2 4 2 3" xfId="17801" xr:uid="{00000000-0005-0000-0000-00006D450000}"/>
    <cellStyle name="표준 24 3 5 2 2 2 4 3" xfId="17802" xr:uid="{00000000-0005-0000-0000-00006E450000}"/>
    <cellStyle name="표준 24 3 5 2 2 2 4 3 2" xfId="17803" xr:uid="{00000000-0005-0000-0000-00006F450000}"/>
    <cellStyle name="표준 24 3 5 2 2 2 4 4" xfId="17804" xr:uid="{00000000-0005-0000-0000-000070450000}"/>
    <cellStyle name="표준 24 3 5 2 2 2 5" xfId="17805" xr:uid="{00000000-0005-0000-0000-000071450000}"/>
    <cellStyle name="표준 24 3 5 2 2 2 5 2" xfId="17806" xr:uid="{00000000-0005-0000-0000-000072450000}"/>
    <cellStyle name="표준 24 3 5 2 2 2 5 2 2" xfId="17807" xr:uid="{00000000-0005-0000-0000-000073450000}"/>
    <cellStyle name="표준 24 3 5 2 2 2 5 3" xfId="17808" xr:uid="{00000000-0005-0000-0000-000074450000}"/>
    <cellStyle name="표준 24 3 5 2 2 2 6" xfId="17809" xr:uid="{00000000-0005-0000-0000-000075450000}"/>
    <cellStyle name="표준 24 3 5 2 2 2 6 2" xfId="17810" xr:uid="{00000000-0005-0000-0000-000076450000}"/>
    <cellStyle name="표준 24 3 5 2 2 2 7" xfId="17811" xr:uid="{00000000-0005-0000-0000-000077450000}"/>
    <cellStyle name="표준 24 3 5 2 2 2 8" xfId="17812" xr:uid="{00000000-0005-0000-0000-000078450000}"/>
    <cellStyle name="표준 24 3 5 2 2 3" xfId="17813" xr:uid="{00000000-0005-0000-0000-000079450000}"/>
    <cellStyle name="표준 24 3 5 2 2 3 2" xfId="17814" xr:uid="{00000000-0005-0000-0000-00007A450000}"/>
    <cellStyle name="표준 24 3 5 2 2 3 2 2" xfId="17815" xr:uid="{00000000-0005-0000-0000-00007B450000}"/>
    <cellStyle name="표준 24 3 5 2 2 3 2 2 2" xfId="17816" xr:uid="{00000000-0005-0000-0000-00007C450000}"/>
    <cellStyle name="표준 24 3 5 2 2 3 2 2 2 2" xfId="17817" xr:uid="{00000000-0005-0000-0000-00007D450000}"/>
    <cellStyle name="표준 24 3 5 2 2 3 2 2 2 2 2" xfId="17818" xr:uid="{00000000-0005-0000-0000-00007E450000}"/>
    <cellStyle name="표준 24 3 5 2 2 3 2 2 2 3" xfId="17819" xr:uid="{00000000-0005-0000-0000-00007F450000}"/>
    <cellStyle name="표준 24 3 5 2 2 3 2 2 3" xfId="17820" xr:uid="{00000000-0005-0000-0000-000080450000}"/>
    <cellStyle name="표준 24 3 5 2 2 3 2 2 3 2" xfId="17821" xr:uid="{00000000-0005-0000-0000-000081450000}"/>
    <cellStyle name="표준 24 3 5 2 2 3 2 2 4" xfId="17822" xr:uid="{00000000-0005-0000-0000-000082450000}"/>
    <cellStyle name="표준 24 3 5 2 2 3 2 3" xfId="17823" xr:uid="{00000000-0005-0000-0000-000083450000}"/>
    <cellStyle name="표준 24 3 5 2 2 3 2 3 2" xfId="17824" xr:uid="{00000000-0005-0000-0000-000084450000}"/>
    <cellStyle name="표준 24 3 5 2 2 3 2 3 2 2" xfId="17825" xr:uid="{00000000-0005-0000-0000-000085450000}"/>
    <cellStyle name="표준 24 3 5 2 2 3 2 3 3" xfId="17826" xr:uid="{00000000-0005-0000-0000-000086450000}"/>
    <cellStyle name="표준 24 3 5 2 2 3 2 4" xfId="17827" xr:uid="{00000000-0005-0000-0000-000087450000}"/>
    <cellStyle name="표준 24 3 5 2 2 3 2 4 2" xfId="17828" xr:uid="{00000000-0005-0000-0000-000088450000}"/>
    <cellStyle name="표준 24 3 5 2 2 3 2 5" xfId="17829" xr:uid="{00000000-0005-0000-0000-000089450000}"/>
    <cellStyle name="표준 24 3 5 2 2 3 3" xfId="17830" xr:uid="{00000000-0005-0000-0000-00008A450000}"/>
    <cellStyle name="표준 24 3 5 2 2 3 3 2" xfId="17831" xr:uid="{00000000-0005-0000-0000-00008B450000}"/>
    <cellStyle name="표준 24 3 5 2 2 3 3 2 2" xfId="17832" xr:uid="{00000000-0005-0000-0000-00008C450000}"/>
    <cellStyle name="표준 24 3 5 2 2 3 3 2 2 2" xfId="17833" xr:uid="{00000000-0005-0000-0000-00008D450000}"/>
    <cellStyle name="표준 24 3 5 2 2 3 3 2 3" xfId="17834" xr:uid="{00000000-0005-0000-0000-00008E450000}"/>
    <cellStyle name="표준 24 3 5 2 2 3 3 3" xfId="17835" xr:uid="{00000000-0005-0000-0000-00008F450000}"/>
    <cellStyle name="표준 24 3 5 2 2 3 3 3 2" xfId="17836" xr:uid="{00000000-0005-0000-0000-000090450000}"/>
    <cellStyle name="표준 24 3 5 2 2 3 3 4" xfId="17837" xr:uid="{00000000-0005-0000-0000-000091450000}"/>
    <cellStyle name="표준 24 3 5 2 2 3 4" xfId="17838" xr:uid="{00000000-0005-0000-0000-000092450000}"/>
    <cellStyle name="표준 24 3 5 2 2 3 4 2" xfId="17839" xr:uid="{00000000-0005-0000-0000-000093450000}"/>
    <cellStyle name="표준 24 3 5 2 2 3 4 2 2" xfId="17840" xr:uid="{00000000-0005-0000-0000-000094450000}"/>
    <cellStyle name="표준 24 3 5 2 2 3 4 3" xfId="17841" xr:uid="{00000000-0005-0000-0000-000095450000}"/>
    <cellStyle name="표준 24 3 5 2 2 3 5" xfId="17842" xr:uid="{00000000-0005-0000-0000-000096450000}"/>
    <cellStyle name="표준 24 3 5 2 2 3 5 2" xfId="17843" xr:uid="{00000000-0005-0000-0000-000097450000}"/>
    <cellStyle name="표준 24 3 5 2 2 3 6" xfId="17844" xr:uid="{00000000-0005-0000-0000-000098450000}"/>
    <cellStyle name="표준 24 3 5 2 2 4" xfId="17845" xr:uid="{00000000-0005-0000-0000-000099450000}"/>
    <cellStyle name="표준 24 3 5 2 2 4 2" xfId="17846" xr:uid="{00000000-0005-0000-0000-00009A450000}"/>
    <cellStyle name="표준 24 3 5 2 2 4 2 2" xfId="17847" xr:uid="{00000000-0005-0000-0000-00009B450000}"/>
    <cellStyle name="표준 24 3 5 2 2 4 2 2 2" xfId="17848" xr:uid="{00000000-0005-0000-0000-00009C450000}"/>
    <cellStyle name="표준 24 3 5 2 2 4 2 2 2 2" xfId="17849" xr:uid="{00000000-0005-0000-0000-00009D450000}"/>
    <cellStyle name="표준 24 3 5 2 2 4 2 2 3" xfId="17850" xr:uid="{00000000-0005-0000-0000-00009E450000}"/>
    <cellStyle name="표준 24 3 5 2 2 4 2 3" xfId="17851" xr:uid="{00000000-0005-0000-0000-00009F450000}"/>
    <cellStyle name="표준 24 3 5 2 2 4 2 3 2" xfId="17852" xr:uid="{00000000-0005-0000-0000-0000A0450000}"/>
    <cellStyle name="표준 24 3 5 2 2 4 2 4" xfId="17853" xr:uid="{00000000-0005-0000-0000-0000A1450000}"/>
    <cellStyle name="표준 24 3 5 2 2 4 3" xfId="17854" xr:uid="{00000000-0005-0000-0000-0000A2450000}"/>
    <cellStyle name="표준 24 3 5 2 2 4 3 2" xfId="17855" xr:uid="{00000000-0005-0000-0000-0000A3450000}"/>
    <cellStyle name="표준 24 3 5 2 2 4 3 2 2" xfId="17856" xr:uid="{00000000-0005-0000-0000-0000A4450000}"/>
    <cellStyle name="표준 24 3 5 2 2 4 3 3" xfId="17857" xr:uid="{00000000-0005-0000-0000-0000A5450000}"/>
    <cellStyle name="표준 24 3 5 2 2 4 4" xfId="17858" xr:uid="{00000000-0005-0000-0000-0000A6450000}"/>
    <cellStyle name="표준 24 3 5 2 2 4 4 2" xfId="17859" xr:uid="{00000000-0005-0000-0000-0000A7450000}"/>
    <cellStyle name="표준 24 3 5 2 2 4 5" xfId="17860" xr:uid="{00000000-0005-0000-0000-0000A8450000}"/>
    <cellStyle name="표준 24 3 5 2 2 5" xfId="17861" xr:uid="{00000000-0005-0000-0000-0000A9450000}"/>
    <cellStyle name="표준 24 3 5 2 2 5 2" xfId="17862" xr:uid="{00000000-0005-0000-0000-0000AA450000}"/>
    <cellStyle name="표준 24 3 5 2 2 5 2 2" xfId="17863" xr:uid="{00000000-0005-0000-0000-0000AB450000}"/>
    <cellStyle name="표준 24 3 5 2 2 5 2 2 2" xfId="17864" xr:uid="{00000000-0005-0000-0000-0000AC450000}"/>
    <cellStyle name="표준 24 3 5 2 2 5 2 3" xfId="17865" xr:uid="{00000000-0005-0000-0000-0000AD450000}"/>
    <cellStyle name="표준 24 3 5 2 2 5 3" xfId="17866" xr:uid="{00000000-0005-0000-0000-0000AE450000}"/>
    <cellStyle name="표준 24 3 5 2 2 5 3 2" xfId="17867" xr:uid="{00000000-0005-0000-0000-0000AF450000}"/>
    <cellStyle name="표준 24 3 5 2 2 5 4" xfId="17868" xr:uid="{00000000-0005-0000-0000-0000B0450000}"/>
    <cellStyle name="표준 24 3 5 2 2 6" xfId="17869" xr:uid="{00000000-0005-0000-0000-0000B1450000}"/>
    <cellStyle name="표준 24 3 5 2 2 6 2" xfId="17870" xr:uid="{00000000-0005-0000-0000-0000B2450000}"/>
    <cellStyle name="표준 24 3 5 2 2 6 2 2" xfId="17871" xr:uid="{00000000-0005-0000-0000-0000B3450000}"/>
    <cellStyle name="표준 24 3 5 2 2 6 3" xfId="17872" xr:uid="{00000000-0005-0000-0000-0000B4450000}"/>
    <cellStyle name="표준 24 3 5 2 2 7" xfId="17873" xr:uid="{00000000-0005-0000-0000-0000B5450000}"/>
    <cellStyle name="표준 24 3 5 2 2 7 2" xfId="17874" xr:uid="{00000000-0005-0000-0000-0000B6450000}"/>
    <cellStyle name="표준 24 3 5 2 2 8" xfId="17875" xr:uid="{00000000-0005-0000-0000-0000B7450000}"/>
    <cellStyle name="표준 24 3 5 2 2 9" xfId="17876" xr:uid="{00000000-0005-0000-0000-0000B8450000}"/>
    <cellStyle name="표준 24 3 5 2 3" xfId="17877" xr:uid="{00000000-0005-0000-0000-0000B9450000}"/>
    <cellStyle name="표준 24 3 5 2 3 2" xfId="17878" xr:uid="{00000000-0005-0000-0000-0000BA450000}"/>
    <cellStyle name="표준 24 3 5 2 3 2 2" xfId="17879" xr:uid="{00000000-0005-0000-0000-0000BB450000}"/>
    <cellStyle name="표준 24 3 5 2 3 2 2 2" xfId="17880" xr:uid="{00000000-0005-0000-0000-0000BC450000}"/>
    <cellStyle name="표준 24 3 5 2 3 2 2 2 2" xfId="17881" xr:uid="{00000000-0005-0000-0000-0000BD450000}"/>
    <cellStyle name="표준 24 3 5 2 3 2 2 2 2 2" xfId="17882" xr:uid="{00000000-0005-0000-0000-0000BE450000}"/>
    <cellStyle name="표준 24 3 5 2 3 2 2 2 2 2 2" xfId="17883" xr:uid="{00000000-0005-0000-0000-0000BF450000}"/>
    <cellStyle name="표준 24 3 5 2 3 2 2 2 2 3" xfId="17884" xr:uid="{00000000-0005-0000-0000-0000C0450000}"/>
    <cellStyle name="표준 24 3 5 2 3 2 2 2 3" xfId="17885" xr:uid="{00000000-0005-0000-0000-0000C1450000}"/>
    <cellStyle name="표준 24 3 5 2 3 2 2 2 3 2" xfId="17886" xr:uid="{00000000-0005-0000-0000-0000C2450000}"/>
    <cellStyle name="표준 24 3 5 2 3 2 2 2 4" xfId="17887" xr:uid="{00000000-0005-0000-0000-0000C3450000}"/>
    <cellStyle name="표준 24 3 5 2 3 2 2 3" xfId="17888" xr:uid="{00000000-0005-0000-0000-0000C4450000}"/>
    <cellStyle name="표준 24 3 5 2 3 2 2 3 2" xfId="17889" xr:uid="{00000000-0005-0000-0000-0000C5450000}"/>
    <cellStyle name="표준 24 3 5 2 3 2 2 3 2 2" xfId="17890" xr:uid="{00000000-0005-0000-0000-0000C6450000}"/>
    <cellStyle name="표준 24 3 5 2 3 2 2 3 3" xfId="17891" xr:uid="{00000000-0005-0000-0000-0000C7450000}"/>
    <cellStyle name="표준 24 3 5 2 3 2 2 4" xfId="17892" xr:uid="{00000000-0005-0000-0000-0000C8450000}"/>
    <cellStyle name="표준 24 3 5 2 3 2 2 4 2" xfId="17893" xr:uid="{00000000-0005-0000-0000-0000C9450000}"/>
    <cellStyle name="표준 24 3 5 2 3 2 2 5" xfId="17894" xr:uid="{00000000-0005-0000-0000-0000CA450000}"/>
    <cellStyle name="표준 24 3 5 2 3 2 3" xfId="17895" xr:uid="{00000000-0005-0000-0000-0000CB450000}"/>
    <cellStyle name="표준 24 3 5 2 3 2 3 2" xfId="17896" xr:uid="{00000000-0005-0000-0000-0000CC450000}"/>
    <cellStyle name="표준 24 3 5 2 3 2 3 2 2" xfId="17897" xr:uid="{00000000-0005-0000-0000-0000CD450000}"/>
    <cellStyle name="표준 24 3 5 2 3 2 3 2 2 2" xfId="17898" xr:uid="{00000000-0005-0000-0000-0000CE450000}"/>
    <cellStyle name="표준 24 3 5 2 3 2 3 2 3" xfId="17899" xr:uid="{00000000-0005-0000-0000-0000CF450000}"/>
    <cellStyle name="표준 24 3 5 2 3 2 3 3" xfId="17900" xr:uid="{00000000-0005-0000-0000-0000D0450000}"/>
    <cellStyle name="표준 24 3 5 2 3 2 3 3 2" xfId="17901" xr:uid="{00000000-0005-0000-0000-0000D1450000}"/>
    <cellStyle name="표준 24 3 5 2 3 2 3 4" xfId="17902" xr:uid="{00000000-0005-0000-0000-0000D2450000}"/>
    <cellStyle name="표준 24 3 5 2 3 2 4" xfId="17903" xr:uid="{00000000-0005-0000-0000-0000D3450000}"/>
    <cellStyle name="표준 24 3 5 2 3 2 4 2" xfId="17904" xr:uid="{00000000-0005-0000-0000-0000D4450000}"/>
    <cellStyle name="표준 24 3 5 2 3 2 4 2 2" xfId="17905" xr:uid="{00000000-0005-0000-0000-0000D5450000}"/>
    <cellStyle name="표준 24 3 5 2 3 2 4 3" xfId="17906" xr:uid="{00000000-0005-0000-0000-0000D6450000}"/>
    <cellStyle name="표준 24 3 5 2 3 2 5" xfId="17907" xr:uid="{00000000-0005-0000-0000-0000D7450000}"/>
    <cellStyle name="표준 24 3 5 2 3 2 5 2" xfId="17908" xr:uid="{00000000-0005-0000-0000-0000D8450000}"/>
    <cellStyle name="표준 24 3 5 2 3 2 6" xfId="17909" xr:uid="{00000000-0005-0000-0000-0000D9450000}"/>
    <cellStyle name="표준 24 3 5 2 3 3" xfId="17910" xr:uid="{00000000-0005-0000-0000-0000DA450000}"/>
    <cellStyle name="표준 24 3 5 2 3 3 2" xfId="17911" xr:uid="{00000000-0005-0000-0000-0000DB450000}"/>
    <cellStyle name="표준 24 3 5 2 3 3 2 2" xfId="17912" xr:uid="{00000000-0005-0000-0000-0000DC450000}"/>
    <cellStyle name="표준 24 3 5 2 3 3 2 2 2" xfId="17913" xr:uid="{00000000-0005-0000-0000-0000DD450000}"/>
    <cellStyle name="표준 24 3 5 2 3 3 2 2 2 2" xfId="17914" xr:uid="{00000000-0005-0000-0000-0000DE450000}"/>
    <cellStyle name="표준 24 3 5 2 3 3 2 2 3" xfId="17915" xr:uid="{00000000-0005-0000-0000-0000DF450000}"/>
    <cellStyle name="표준 24 3 5 2 3 3 2 3" xfId="17916" xr:uid="{00000000-0005-0000-0000-0000E0450000}"/>
    <cellStyle name="표준 24 3 5 2 3 3 2 3 2" xfId="17917" xr:uid="{00000000-0005-0000-0000-0000E1450000}"/>
    <cellStyle name="표준 24 3 5 2 3 3 2 4" xfId="17918" xr:uid="{00000000-0005-0000-0000-0000E2450000}"/>
    <cellStyle name="표준 24 3 5 2 3 3 3" xfId="17919" xr:uid="{00000000-0005-0000-0000-0000E3450000}"/>
    <cellStyle name="표준 24 3 5 2 3 3 3 2" xfId="17920" xr:uid="{00000000-0005-0000-0000-0000E4450000}"/>
    <cellStyle name="표준 24 3 5 2 3 3 3 2 2" xfId="17921" xr:uid="{00000000-0005-0000-0000-0000E5450000}"/>
    <cellStyle name="표준 24 3 5 2 3 3 3 3" xfId="17922" xr:uid="{00000000-0005-0000-0000-0000E6450000}"/>
    <cellStyle name="표준 24 3 5 2 3 3 4" xfId="17923" xr:uid="{00000000-0005-0000-0000-0000E7450000}"/>
    <cellStyle name="표준 24 3 5 2 3 3 4 2" xfId="17924" xr:uid="{00000000-0005-0000-0000-0000E8450000}"/>
    <cellStyle name="표준 24 3 5 2 3 3 5" xfId="17925" xr:uid="{00000000-0005-0000-0000-0000E9450000}"/>
    <cellStyle name="표준 24 3 5 2 3 4" xfId="17926" xr:uid="{00000000-0005-0000-0000-0000EA450000}"/>
    <cellStyle name="표준 24 3 5 2 3 4 2" xfId="17927" xr:uid="{00000000-0005-0000-0000-0000EB450000}"/>
    <cellStyle name="표준 24 3 5 2 3 4 2 2" xfId="17928" xr:uid="{00000000-0005-0000-0000-0000EC450000}"/>
    <cellStyle name="표준 24 3 5 2 3 4 2 2 2" xfId="17929" xr:uid="{00000000-0005-0000-0000-0000ED450000}"/>
    <cellStyle name="표준 24 3 5 2 3 4 2 3" xfId="17930" xr:uid="{00000000-0005-0000-0000-0000EE450000}"/>
    <cellStyle name="표준 24 3 5 2 3 4 3" xfId="17931" xr:uid="{00000000-0005-0000-0000-0000EF450000}"/>
    <cellStyle name="표준 24 3 5 2 3 4 3 2" xfId="17932" xr:uid="{00000000-0005-0000-0000-0000F0450000}"/>
    <cellStyle name="표준 24 3 5 2 3 4 4" xfId="17933" xr:uid="{00000000-0005-0000-0000-0000F1450000}"/>
    <cellStyle name="표준 24 3 5 2 3 5" xfId="17934" xr:uid="{00000000-0005-0000-0000-0000F2450000}"/>
    <cellStyle name="표준 24 3 5 2 3 5 2" xfId="17935" xr:uid="{00000000-0005-0000-0000-0000F3450000}"/>
    <cellStyle name="표준 24 3 5 2 3 5 2 2" xfId="17936" xr:uid="{00000000-0005-0000-0000-0000F4450000}"/>
    <cellStyle name="표준 24 3 5 2 3 5 3" xfId="17937" xr:uid="{00000000-0005-0000-0000-0000F5450000}"/>
    <cellStyle name="표준 24 3 5 2 3 6" xfId="17938" xr:uid="{00000000-0005-0000-0000-0000F6450000}"/>
    <cellStyle name="표준 24 3 5 2 3 6 2" xfId="17939" xr:uid="{00000000-0005-0000-0000-0000F7450000}"/>
    <cellStyle name="표준 24 3 5 2 3 7" xfId="17940" xr:uid="{00000000-0005-0000-0000-0000F8450000}"/>
    <cellStyle name="표준 24 3 5 2 3 8" xfId="17941" xr:uid="{00000000-0005-0000-0000-0000F9450000}"/>
    <cellStyle name="표준 24 3 5 2 4" xfId="17942" xr:uid="{00000000-0005-0000-0000-0000FA450000}"/>
    <cellStyle name="표준 24 3 5 2 4 2" xfId="17943" xr:uid="{00000000-0005-0000-0000-0000FB450000}"/>
    <cellStyle name="표준 24 3 5 2 4 2 2" xfId="17944" xr:uid="{00000000-0005-0000-0000-0000FC450000}"/>
    <cellStyle name="표준 24 3 5 2 4 2 2 2" xfId="17945" xr:uid="{00000000-0005-0000-0000-0000FD450000}"/>
    <cellStyle name="표준 24 3 5 2 4 2 2 2 2" xfId="17946" xr:uid="{00000000-0005-0000-0000-0000FE450000}"/>
    <cellStyle name="표준 24 3 5 2 4 2 2 2 2 2" xfId="17947" xr:uid="{00000000-0005-0000-0000-0000FF450000}"/>
    <cellStyle name="표준 24 3 5 2 4 2 2 2 3" xfId="17948" xr:uid="{00000000-0005-0000-0000-000000460000}"/>
    <cellStyle name="표준 24 3 5 2 4 2 2 3" xfId="17949" xr:uid="{00000000-0005-0000-0000-000001460000}"/>
    <cellStyle name="표준 24 3 5 2 4 2 2 3 2" xfId="17950" xr:uid="{00000000-0005-0000-0000-000002460000}"/>
    <cellStyle name="표준 24 3 5 2 4 2 2 4" xfId="17951" xr:uid="{00000000-0005-0000-0000-000003460000}"/>
    <cellStyle name="표준 24 3 5 2 4 2 3" xfId="17952" xr:uid="{00000000-0005-0000-0000-000004460000}"/>
    <cellStyle name="표준 24 3 5 2 4 2 3 2" xfId="17953" xr:uid="{00000000-0005-0000-0000-000005460000}"/>
    <cellStyle name="표준 24 3 5 2 4 2 3 2 2" xfId="17954" xr:uid="{00000000-0005-0000-0000-000006460000}"/>
    <cellStyle name="표준 24 3 5 2 4 2 3 3" xfId="17955" xr:uid="{00000000-0005-0000-0000-000007460000}"/>
    <cellStyle name="표준 24 3 5 2 4 2 4" xfId="17956" xr:uid="{00000000-0005-0000-0000-000008460000}"/>
    <cellStyle name="표준 24 3 5 2 4 2 4 2" xfId="17957" xr:uid="{00000000-0005-0000-0000-000009460000}"/>
    <cellStyle name="표준 24 3 5 2 4 2 5" xfId="17958" xr:uid="{00000000-0005-0000-0000-00000A460000}"/>
    <cellStyle name="표준 24 3 5 2 4 3" xfId="17959" xr:uid="{00000000-0005-0000-0000-00000B460000}"/>
    <cellStyle name="표준 24 3 5 2 4 3 2" xfId="17960" xr:uid="{00000000-0005-0000-0000-00000C460000}"/>
    <cellStyle name="표준 24 3 5 2 4 3 2 2" xfId="17961" xr:uid="{00000000-0005-0000-0000-00000D460000}"/>
    <cellStyle name="표준 24 3 5 2 4 3 2 2 2" xfId="17962" xr:uid="{00000000-0005-0000-0000-00000E460000}"/>
    <cellStyle name="표준 24 3 5 2 4 3 2 3" xfId="17963" xr:uid="{00000000-0005-0000-0000-00000F460000}"/>
    <cellStyle name="표준 24 3 5 2 4 3 3" xfId="17964" xr:uid="{00000000-0005-0000-0000-000010460000}"/>
    <cellStyle name="표준 24 3 5 2 4 3 3 2" xfId="17965" xr:uid="{00000000-0005-0000-0000-000011460000}"/>
    <cellStyle name="표준 24 3 5 2 4 3 4" xfId="17966" xr:uid="{00000000-0005-0000-0000-000012460000}"/>
    <cellStyle name="표준 24 3 5 2 4 4" xfId="17967" xr:uid="{00000000-0005-0000-0000-000013460000}"/>
    <cellStyle name="표준 24 3 5 2 4 4 2" xfId="17968" xr:uid="{00000000-0005-0000-0000-000014460000}"/>
    <cellStyle name="표준 24 3 5 2 4 4 2 2" xfId="17969" xr:uid="{00000000-0005-0000-0000-000015460000}"/>
    <cellStyle name="표준 24 3 5 2 4 4 3" xfId="17970" xr:uid="{00000000-0005-0000-0000-000016460000}"/>
    <cellStyle name="표준 24 3 5 2 4 5" xfId="17971" xr:uid="{00000000-0005-0000-0000-000017460000}"/>
    <cellStyle name="표준 24 3 5 2 4 5 2" xfId="17972" xr:uid="{00000000-0005-0000-0000-000018460000}"/>
    <cellStyle name="표준 24 3 5 2 4 6" xfId="17973" xr:uid="{00000000-0005-0000-0000-000019460000}"/>
    <cellStyle name="표준 24 3 5 2 5" xfId="17974" xr:uid="{00000000-0005-0000-0000-00001A460000}"/>
    <cellStyle name="표준 24 3 5 2 5 2" xfId="17975" xr:uid="{00000000-0005-0000-0000-00001B460000}"/>
    <cellStyle name="표준 24 3 5 2 5 2 2" xfId="17976" xr:uid="{00000000-0005-0000-0000-00001C460000}"/>
    <cellStyle name="표준 24 3 5 2 5 2 2 2" xfId="17977" xr:uid="{00000000-0005-0000-0000-00001D460000}"/>
    <cellStyle name="표준 24 3 5 2 5 2 2 2 2" xfId="17978" xr:uid="{00000000-0005-0000-0000-00001E460000}"/>
    <cellStyle name="표준 24 3 5 2 5 2 2 3" xfId="17979" xr:uid="{00000000-0005-0000-0000-00001F460000}"/>
    <cellStyle name="표준 24 3 5 2 5 2 3" xfId="17980" xr:uid="{00000000-0005-0000-0000-000020460000}"/>
    <cellStyle name="표준 24 3 5 2 5 2 3 2" xfId="17981" xr:uid="{00000000-0005-0000-0000-000021460000}"/>
    <cellStyle name="표준 24 3 5 2 5 2 4" xfId="17982" xr:uid="{00000000-0005-0000-0000-000022460000}"/>
    <cellStyle name="표준 24 3 5 2 5 3" xfId="17983" xr:uid="{00000000-0005-0000-0000-000023460000}"/>
    <cellStyle name="표준 24 3 5 2 5 3 2" xfId="17984" xr:uid="{00000000-0005-0000-0000-000024460000}"/>
    <cellStyle name="표준 24 3 5 2 5 3 2 2" xfId="17985" xr:uid="{00000000-0005-0000-0000-000025460000}"/>
    <cellStyle name="표준 24 3 5 2 5 3 3" xfId="17986" xr:uid="{00000000-0005-0000-0000-000026460000}"/>
    <cellStyle name="표준 24 3 5 2 5 4" xfId="17987" xr:uid="{00000000-0005-0000-0000-000027460000}"/>
    <cellStyle name="표준 24 3 5 2 5 4 2" xfId="17988" xr:uid="{00000000-0005-0000-0000-000028460000}"/>
    <cellStyle name="표준 24 3 5 2 5 5" xfId="17989" xr:uid="{00000000-0005-0000-0000-000029460000}"/>
    <cellStyle name="표준 24 3 5 2 6" xfId="17990" xr:uid="{00000000-0005-0000-0000-00002A460000}"/>
    <cellStyle name="표준 24 3 5 2 6 2" xfId="17991" xr:uid="{00000000-0005-0000-0000-00002B460000}"/>
    <cellStyle name="표준 24 3 5 2 6 2 2" xfId="17992" xr:uid="{00000000-0005-0000-0000-00002C460000}"/>
    <cellStyle name="표준 24 3 5 2 6 2 2 2" xfId="17993" xr:uid="{00000000-0005-0000-0000-00002D460000}"/>
    <cellStyle name="표준 24 3 5 2 6 2 3" xfId="17994" xr:uid="{00000000-0005-0000-0000-00002E460000}"/>
    <cellStyle name="표준 24 3 5 2 6 3" xfId="17995" xr:uid="{00000000-0005-0000-0000-00002F460000}"/>
    <cellStyle name="표준 24 3 5 2 6 3 2" xfId="17996" xr:uid="{00000000-0005-0000-0000-000030460000}"/>
    <cellStyle name="표준 24 3 5 2 6 4" xfId="17997" xr:uid="{00000000-0005-0000-0000-000031460000}"/>
    <cellStyle name="표준 24 3 5 2 7" xfId="17998" xr:uid="{00000000-0005-0000-0000-000032460000}"/>
    <cellStyle name="표준 24 3 5 2 7 2" xfId="17999" xr:uid="{00000000-0005-0000-0000-000033460000}"/>
    <cellStyle name="표준 24 3 5 2 7 2 2" xfId="18000" xr:uid="{00000000-0005-0000-0000-000034460000}"/>
    <cellStyle name="표준 24 3 5 2 7 3" xfId="18001" xr:uid="{00000000-0005-0000-0000-000035460000}"/>
    <cellStyle name="표준 24 3 5 2 8" xfId="18002" xr:uid="{00000000-0005-0000-0000-000036460000}"/>
    <cellStyle name="표준 24 3 5 2 8 2" xfId="18003" xr:uid="{00000000-0005-0000-0000-000037460000}"/>
    <cellStyle name="표준 24 3 5 2 9" xfId="18004" xr:uid="{00000000-0005-0000-0000-000038460000}"/>
    <cellStyle name="표준 24 3 5 3" xfId="18005" xr:uid="{00000000-0005-0000-0000-000039460000}"/>
    <cellStyle name="표준 24 3 5 3 2" xfId="18006" xr:uid="{00000000-0005-0000-0000-00003A460000}"/>
    <cellStyle name="표준 24 3 5 3 2 2" xfId="18007" xr:uid="{00000000-0005-0000-0000-00003B460000}"/>
    <cellStyle name="표준 24 3 5 3 2 2 2" xfId="18008" xr:uid="{00000000-0005-0000-0000-00003C460000}"/>
    <cellStyle name="표준 24 3 5 3 2 2 2 2" xfId="18009" xr:uid="{00000000-0005-0000-0000-00003D460000}"/>
    <cellStyle name="표준 24 3 5 3 2 2 2 2 2" xfId="18010" xr:uid="{00000000-0005-0000-0000-00003E460000}"/>
    <cellStyle name="표준 24 3 5 3 2 2 2 2 2 2" xfId="18011" xr:uid="{00000000-0005-0000-0000-00003F460000}"/>
    <cellStyle name="표준 24 3 5 3 2 2 2 2 2 2 2" xfId="18012" xr:uid="{00000000-0005-0000-0000-000040460000}"/>
    <cellStyle name="표준 24 3 5 3 2 2 2 2 2 3" xfId="18013" xr:uid="{00000000-0005-0000-0000-000041460000}"/>
    <cellStyle name="표준 24 3 5 3 2 2 2 2 3" xfId="18014" xr:uid="{00000000-0005-0000-0000-000042460000}"/>
    <cellStyle name="표준 24 3 5 3 2 2 2 2 3 2" xfId="18015" xr:uid="{00000000-0005-0000-0000-000043460000}"/>
    <cellStyle name="표준 24 3 5 3 2 2 2 2 4" xfId="18016" xr:uid="{00000000-0005-0000-0000-000044460000}"/>
    <cellStyle name="표준 24 3 5 3 2 2 2 3" xfId="18017" xr:uid="{00000000-0005-0000-0000-000045460000}"/>
    <cellStyle name="표준 24 3 5 3 2 2 2 3 2" xfId="18018" xr:uid="{00000000-0005-0000-0000-000046460000}"/>
    <cellStyle name="표준 24 3 5 3 2 2 2 3 2 2" xfId="18019" xr:uid="{00000000-0005-0000-0000-000047460000}"/>
    <cellStyle name="표준 24 3 5 3 2 2 2 3 3" xfId="18020" xr:uid="{00000000-0005-0000-0000-000048460000}"/>
    <cellStyle name="표준 24 3 5 3 2 2 2 4" xfId="18021" xr:uid="{00000000-0005-0000-0000-000049460000}"/>
    <cellStyle name="표준 24 3 5 3 2 2 2 4 2" xfId="18022" xr:uid="{00000000-0005-0000-0000-00004A460000}"/>
    <cellStyle name="표준 24 3 5 3 2 2 2 5" xfId="18023" xr:uid="{00000000-0005-0000-0000-00004B460000}"/>
    <cellStyle name="표준 24 3 5 3 2 2 3" xfId="18024" xr:uid="{00000000-0005-0000-0000-00004C460000}"/>
    <cellStyle name="표준 24 3 5 3 2 2 3 2" xfId="18025" xr:uid="{00000000-0005-0000-0000-00004D460000}"/>
    <cellStyle name="표준 24 3 5 3 2 2 3 2 2" xfId="18026" xr:uid="{00000000-0005-0000-0000-00004E460000}"/>
    <cellStyle name="표준 24 3 5 3 2 2 3 2 2 2" xfId="18027" xr:uid="{00000000-0005-0000-0000-00004F460000}"/>
    <cellStyle name="표준 24 3 5 3 2 2 3 2 3" xfId="18028" xr:uid="{00000000-0005-0000-0000-000050460000}"/>
    <cellStyle name="표준 24 3 5 3 2 2 3 3" xfId="18029" xr:uid="{00000000-0005-0000-0000-000051460000}"/>
    <cellStyle name="표준 24 3 5 3 2 2 3 3 2" xfId="18030" xr:uid="{00000000-0005-0000-0000-000052460000}"/>
    <cellStyle name="표준 24 3 5 3 2 2 3 4" xfId="18031" xr:uid="{00000000-0005-0000-0000-000053460000}"/>
    <cellStyle name="표준 24 3 5 3 2 2 4" xfId="18032" xr:uid="{00000000-0005-0000-0000-000054460000}"/>
    <cellStyle name="표준 24 3 5 3 2 2 4 2" xfId="18033" xr:uid="{00000000-0005-0000-0000-000055460000}"/>
    <cellStyle name="표준 24 3 5 3 2 2 4 2 2" xfId="18034" xr:uid="{00000000-0005-0000-0000-000056460000}"/>
    <cellStyle name="표준 24 3 5 3 2 2 4 3" xfId="18035" xr:uid="{00000000-0005-0000-0000-000057460000}"/>
    <cellStyle name="표준 24 3 5 3 2 2 5" xfId="18036" xr:uid="{00000000-0005-0000-0000-000058460000}"/>
    <cellStyle name="표준 24 3 5 3 2 2 5 2" xfId="18037" xr:uid="{00000000-0005-0000-0000-000059460000}"/>
    <cellStyle name="표준 24 3 5 3 2 2 6" xfId="18038" xr:uid="{00000000-0005-0000-0000-00005A460000}"/>
    <cellStyle name="표준 24 3 5 3 2 3" xfId="18039" xr:uid="{00000000-0005-0000-0000-00005B460000}"/>
    <cellStyle name="표준 24 3 5 3 2 3 2" xfId="18040" xr:uid="{00000000-0005-0000-0000-00005C460000}"/>
    <cellStyle name="표준 24 3 5 3 2 3 2 2" xfId="18041" xr:uid="{00000000-0005-0000-0000-00005D460000}"/>
    <cellStyle name="표준 24 3 5 3 2 3 2 2 2" xfId="18042" xr:uid="{00000000-0005-0000-0000-00005E460000}"/>
    <cellStyle name="표준 24 3 5 3 2 3 2 2 2 2" xfId="18043" xr:uid="{00000000-0005-0000-0000-00005F460000}"/>
    <cellStyle name="표준 24 3 5 3 2 3 2 2 3" xfId="18044" xr:uid="{00000000-0005-0000-0000-000060460000}"/>
    <cellStyle name="표준 24 3 5 3 2 3 2 3" xfId="18045" xr:uid="{00000000-0005-0000-0000-000061460000}"/>
    <cellStyle name="표준 24 3 5 3 2 3 2 3 2" xfId="18046" xr:uid="{00000000-0005-0000-0000-000062460000}"/>
    <cellStyle name="표준 24 3 5 3 2 3 2 4" xfId="18047" xr:uid="{00000000-0005-0000-0000-000063460000}"/>
    <cellStyle name="표준 24 3 5 3 2 3 3" xfId="18048" xr:uid="{00000000-0005-0000-0000-000064460000}"/>
    <cellStyle name="표준 24 3 5 3 2 3 3 2" xfId="18049" xr:uid="{00000000-0005-0000-0000-000065460000}"/>
    <cellStyle name="표준 24 3 5 3 2 3 3 2 2" xfId="18050" xr:uid="{00000000-0005-0000-0000-000066460000}"/>
    <cellStyle name="표준 24 3 5 3 2 3 3 3" xfId="18051" xr:uid="{00000000-0005-0000-0000-000067460000}"/>
    <cellStyle name="표준 24 3 5 3 2 3 4" xfId="18052" xr:uid="{00000000-0005-0000-0000-000068460000}"/>
    <cellStyle name="표준 24 3 5 3 2 3 4 2" xfId="18053" xr:uid="{00000000-0005-0000-0000-000069460000}"/>
    <cellStyle name="표준 24 3 5 3 2 3 5" xfId="18054" xr:uid="{00000000-0005-0000-0000-00006A460000}"/>
    <cellStyle name="표준 24 3 5 3 2 4" xfId="18055" xr:uid="{00000000-0005-0000-0000-00006B460000}"/>
    <cellStyle name="표준 24 3 5 3 2 4 2" xfId="18056" xr:uid="{00000000-0005-0000-0000-00006C460000}"/>
    <cellStyle name="표준 24 3 5 3 2 4 2 2" xfId="18057" xr:uid="{00000000-0005-0000-0000-00006D460000}"/>
    <cellStyle name="표준 24 3 5 3 2 4 2 2 2" xfId="18058" xr:uid="{00000000-0005-0000-0000-00006E460000}"/>
    <cellStyle name="표준 24 3 5 3 2 4 2 3" xfId="18059" xr:uid="{00000000-0005-0000-0000-00006F460000}"/>
    <cellStyle name="표준 24 3 5 3 2 4 3" xfId="18060" xr:uid="{00000000-0005-0000-0000-000070460000}"/>
    <cellStyle name="표준 24 3 5 3 2 4 3 2" xfId="18061" xr:uid="{00000000-0005-0000-0000-000071460000}"/>
    <cellStyle name="표준 24 3 5 3 2 4 4" xfId="18062" xr:uid="{00000000-0005-0000-0000-000072460000}"/>
    <cellStyle name="표준 24 3 5 3 2 5" xfId="18063" xr:uid="{00000000-0005-0000-0000-000073460000}"/>
    <cellStyle name="표준 24 3 5 3 2 5 2" xfId="18064" xr:uid="{00000000-0005-0000-0000-000074460000}"/>
    <cellStyle name="표준 24 3 5 3 2 5 2 2" xfId="18065" xr:uid="{00000000-0005-0000-0000-000075460000}"/>
    <cellStyle name="표준 24 3 5 3 2 5 3" xfId="18066" xr:uid="{00000000-0005-0000-0000-000076460000}"/>
    <cellStyle name="표준 24 3 5 3 2 6" xfId="18067" xr:uid="{00000000-0005-0000-0000-000077460000}"/>
    <cellStyle name="표준 24 3 5 3 2 6 2" xfId="18068" xr:uid="{00000000-0005-0000-0000-000078460000}"/>
    <cellStyle name="표준 24 3 5 3 2 7" xfId="18069" xr:uid="{00000000-0005-0000-0000-000079460000}"/>
    <cellStyle name="표준 24 3 5 3 2 8" xfId="18070" xr:uid="{00000000-0005-0000-0000-00007A460000}"/>
    <cellStyle name="표준 24 3 5 3 3" xfId="18071" xr:uid="{00000000-0005-0000-0000-00007B460000}"/>
    <cellStyle name="표준 24 3 5 3 3 2" xfId="18072" xr:uid="{00000000-0005-0000-0000-00007C460000}"/>
    <cellStyle name="표준 24 3 5 3 3 2 2" xfId="18073" xr:uid="{00000000-0005-0000-0000-00007D460000}"/>
    <cellStyle name="표준 24 3 5 3 3 2 2 2" xfId="18074" xr:uid="{00000000-0005-0000-0000-00007E460000}"/>
    <cellStyle name="표준 24 3 5 3 3 2 2 2 2" xfId="18075" xr:uid="{00000000-0005-0000-0000-00007F460000}"/>
    <cellStyle name="표준 24 3 5 3 3 2 2 2 2 2" xfId="18076" xr:uid="{00000000-0005-0000-0000-000080460000}"/>
    <cellStyle name="표준 24 3 5 3 3 2 2 2 3" xfId="18077" xr:uid="{00000000-0005-0000-0000-000081460000}"/>
    <cellStyle name="표준 24 3 5 3 3 2 2 3" xfId="18078" xr:uid="{00000000-0005-0000-0000-000082460000}"/>
    <cellStyle name="표준 24 3 5 3 3 2 2 3 2" xfId="18079" xr:uid="{00000000-0005-0000-0000-000083460000}"/>
    <cellStyle name="표준 24 3 5 3 3 2 2 4" xfId="18080" xr:uid="{00000000-0005-0000-0000-000084460000}"/>
    <cellStyle name="표준 24 3 5 3 3 2 3" xfId="18081" xr:uid="{00000000-0005-0000-0000-000085460000}"/>
    <cellStyle name="표준 24 3 5 3 3 2 3 2" xfId="18082" xr:uid="{00000000-0005-0000-0000-000086460000}"/>
    <cellStyle name="표준 24 3 5 3 3 2 3 2 2" xfId="18083" xr:uid="{00000000-0005-0000-0000-000087460000}"/>
    <cellStyle name="표준 24 3 5 3 3 2 3 3" xfId="18084" xr:uid="{00000000-0005-0000-0000-000088460000}"/>
    <cellStyle name="표준 24 3 5 3 3 2 4" xfId="18085" xr:uid="{00000000-0005-0000-0000-000089460000}"/>
    <cellStyle name="표준 24 3 5 3 3 2 4 2" xfId="18086" xr:uid="{00000000-0005-0000-0000-00008A460000}"/>
    <cellStyle name="표준 24 3 5 3 3 2 5" xfId="18087" xr:uid="{00000000-0005-0000-0000-00008B460000}"/>
    <cellStyle name="표준 24 3 5 3 3 3" xfId="18088" xr:uid="{00000000-0005-0000-0000-00008C460000}"/>
    <cellStyle name="표준 24 3 5 3 3 3 2" xfId="18089" xr:uid="{00000000-0005-0000-0000-00008D460000}"/>
    <cellStyle name="표준 24 3 5 3 3 3 2 2" xfId="18090" xr:uid="{00000000-0005-0000-0000-00008E460000}"/>
    <cellStyle name="표준 24 3 5 3 3 3 2 2 2" xfId="18091" xr:uid="{00000000-0005-0000-0000-00008F460000}"/>
    <cellStyle name="표준 24 3 5 3 3 3 2 3" xfId="18092" xr:uid="{00000000-0005-0000-0000-000090460000}"/>
    <cellStyle name="표준 24 3 5 3 3 3 3" xfId="18093" xr:uid="{00000000-0005-0000-0000-000091460000}"/>
    <cellStyle name="표준 24 3 5 3 3 3 3 2" xfId="18094" xr:uid="{00000000-0005-0000-0000-000092460000}"/>
    <cellStyle name="표준 24 3 5 3 3 3 4" xfId="18095" xr:uid="{00000000-0005-0000-0000-000093460000}"/>
    <cellStyle name="표준 24 3 5 3 3 4" xfId="18096" xr:uid="{00000000-0005-0000-0000-000094460000}"/>
    <cellStyle name="표준 24 3 5 3 3 4 2" xfId="18097" xr:uid="{00000000-0005-0000-0000-000095460000}"/>
    <cellStyle name="표준 24 3 5 3 3 4 2 2" xfId="18098" xr:uid="{00000000-0005-0000-0000-000096460000}"/>
    <cellStyle name="표준 24 3 5 3 3 4 3" xfId="18099" xr:uid="{00000000-0005-0000-0000-000097460000}"/>
    <cellStyle name="표준 24 3 5 3 3 5" xfId="18100" xr:uid="{00000000-0005-0000-0000-000098460000}"/>
    <cellStyle name="표준 24 3 5 3 3 5 2" xfId="18101" xr:uid="{00000000-0005-0000-0000-000099460000}"/>
    <cellStyle name="표준 24 3 5 3 3 6" xfId="18102" xr:uid="{00000000-0005-0000-0000-00009A460000}"/>
    <cellStyle name="표준 24 3 5 3 4" xfId="18103" xr:uid="{00000000-0005-0000-0000-00009B460000}"/>
    <cellStyle name="표준 24 3 5 3 4 2" xfId="18104" xr:uid="{00000000-0005-0000-0000-00009C460000}"/>
    <cellStyle name="표준 24 3 5 3 4 2 2" xfId="18105" xr:uid="{00000000-0005-0000-0000-00009D460000}"/>
    <cellStyle name="표준 24 3 5 3 4 2 2 2" xfId="18106" xr:uid="{00000000-0005-0000-0000-00009E460000}"/>
    <cellStyle name="표준 24 3 5 3 4 2 2 2 2" xfId="18107" xr:uid="{00000000-0005-0000-0000-00009F460000}"/>
    <cellStyle name="표준 24 3 5 3 4 2 2 3" xfId="18108" xr:uid="{00000000-0005-0000-0000-0000A0460000}"/>
    <cellStyle name="표준 24 3 5 3 4 2 3" xfId="18109" xr:uid="{00000000-0005-0000-0000-0000A1460000}"/>
    <cellStyle name="표준 24 3 5 3 4 2 3 2" xfId="18110" xr:uid="{00000000-0005-0000-0000-0000A2460000}"/>
    <cellStyle name="표준 24 3 5 3 4 2 4" xfId="18111" xr:uid="{00000000-0005-0000-0000-0000A3460000}"/>
    <cellStyle name="표준 24 3 5 3 4 3" xfId="18112" xr:uid="{00000000-0005-0000-0000-0000A4460000}"/>
    <cellStyle name="표준 24 3 5 3 4 3 2" xfId="18113" xr:uid="{00000000-0005-0000-0000-0000A5460000}"/>
    <cellStyle name="표준 24 3 5 3 4 3 2 2" xfId="18114" xr:uid="{00000000-0005-0000-0000-0000A6460000}"/>
    <cellStyle name="표준 24 3 5 3 4 3 3" xfId="18115" xr:uid="{00000000-0005-0000-0000-0000A7460000}"/>
    <cellStyle name="표준 24 3 5 3 4 4" xfId="18116" xr:uid="{00000000-0005-0000-0000-0000A8460000}"/>
    <cellStyle name="표준 24 3 5 3 4 4 2" xfId="18117" xr:uid="{00000000-0005-0000-0000-0000A9460000}"/>
    <cellStyle name="표준 24 3 5 3 4 5" xfId="18118" xr:uid="{00000000-0005-0000-0000-0000AA460000}"/>
    <cellStyle name="표준 24 3 5 3 5" xfId="18119" xr:uid="{00000000-0005-0000-0000-0000AB460000}"/>
    <cellStyle name="표준 24 3 5 3 5 2" xfId="18120" xr:uid="{00000000-0005-0000-0000-0000AC460000}"/>
    <cellStyle name="표준 24 3 5 3 5 2 2" xfId="18121" xr:uid="{00000000-0005-0000-0000-0000AD460000}"/>
    <cellStyle name="표준 24 3 5 3 5 2 2 2" xfId="18122" xr:uid="{00000000-0005-0000-0000-0000AE460000}"/>
    <cellStyle name="표준 24 3 5 3 5 2 3" xfId="18123" xr:uid="{00000000-0005-0000-0000-0000AF460000}"/>
    <cellStyle name="표준 24 3 5 3 5 3" xfId="18124" xr:uid="{00000000-0005-0000-0000-0000B0460000}"/>
    <cellStyle name="표준 24 3 5 3 5 3 2" xfId="18125" xr:uid="{00000000-0005-0000-0000-0000B1460000}"/>
    <cellStyle name="표준 24 3 5 3 5 4" xfId="18126" xr:uid="{00000000-0005-0000-0000-0000B2460000}"/>
    <cellStyle name="표준 24 3 5 3 6" xfId="18127" xr:uid="{00000000-0005-0000-0000-0000B3460000}"/>
    <cellStyle name="표준 24 3 5 3 6 2" xfId="18128" xr:uid="{00000000-0005-0000-0000-0000B4460000}"/>
    <cellStyle name="표준 24 3 5 3 6 2 2" xfId="18129" xr:uid="{00000000-0005-0000-0000-0000B5460000}"/>
    <cellStyle name="표준 24 3 5 3 6 3" xfId="18130" xr:uid="{00000000-0005-0000-0000-0000B6460000}"/>
    <cellStyle name="표준 24 3 5 3 7" xfId="18131" xr:uid="{00000000-0005-0000-0000-0000B7460000}"/>
    <cellStyle name="표준 24 3 5 3 7 2" xfId="18132" xr:uid="{00000000-0005-0000-0000-0000B8460000}"/>
    <cellStyle name="표준 24 3 5 3 8" xfId="18133" xr:uid="{00000000-0005-0000-0000-0000B9460000}"/>
    <cellStyle name="표준 24 3 5 3 9" xfId="18134" xr:uid="{00000000-0005-0000-0000-0000BA460000}"/>
    <cellStyle name="표준 24 3 5 4" xfId="18135" xr:uid="{00000000-0005-0000-0000-0000BB460000}"/>
    <cellStyle name="표준 24 3 5 4 2" xfId="18136" xr:uid="{00000000-0005-0000-0000-0000BC460000}"/>
    <cellStyle name="표준 24 3 5 4 2 2" xfId="18137" xr:uid="{00000000-0005-0000-0000-0000BD460000}"/>
    <cellStyle name="표준 24 3 5 4 2 2 2" xfId="18138" xr:uid="{00000000-0005-0000-0000-0000BE460000}"/>
    <cellStyle name="표준 24 3 5 4 2 2 2 2" xfId="18139" xr:uid="{00000000-0005-0000-0000-0000BF460000}"/>
    <cellStyle name="표준 24 3 5 4 2 2 2 2 2" xfId="18140" xr:uid="{00000000-0005-0000-0000-0000C0460000}"/>
    <cellStyle name="표준 24 3 5 4 2 2 2 2 2 2" xfId="18141" xr:uid="{00000000-0005-0000-0000-0000C1460000}"/>
    <cellStyle name="표준 24 3 5 4 2 2 2 2 3" xfId="18142" xr:uid="{00000000-0005-0000-0000-0000C2460000}"/>
    <cellStyle name="표준 24 3 5 4 2 2 2 3" xfId="18143" xr:uid="{00000000-0005-0000-0000-0000C3460000}"/>
    <cellStyle name="표준 24 3 5 4 2 2 2 3 2" xfId="18144" xr:uid="{00000000-0005-0000-0000-0000C4460000}"/>
    <cellStyle name="표준 24 3 5 4 2 2 2 4" xfId="18145" xr:uid="{00000000-0005-0000-0000-0000C5460000}"/>
    <cellStyle name="표준 24 3 5 4 2 2 3" xfId="18146" xr:uid="{00000000-0005-0000-0000-0000C6460000}"/>
    <cellStyle name="표준 24 3 5 4 2 2 3 2" xfId="18147" xr:uid="{00000000-0005-0000-0000-0000C7460000}"/>
    <cellStyle name="표준 24 3 5 4 2 2 3 2 2" xfId="18148" xr:uid="{00000000-0005-0000-0000-0000C8460000}"/>
    <cellStyle name="표준 24 3 5 4 2 2 3 3" xfId="18149" xr:uid="{00000000-0005-0000-0000-0000C9460000}"/>
    <cellStyle name="표준 24 3 5 4 2 2 4" xfId="18150" xr:uid="{00000000-0005-0000-0000-0000CA460000}"/>
    <cellStyle name="표준 24 3 5 4 2 2 4 2" xfId="18151" xr:uid="{00000000-0005-0000-0000-0000CB460000}"/>
    <cellStyle name="표준 24 3 5 4 2 2 5" xfId="18152" xr:uid="{00000000-0005-0000-0000-0000CC460000}"/>
    <cellStyle name="표준 24 3 5 4 2 3" xfId="18153" xr:uid="{00000000-0005-0000-0000-0000CD460000}"/>
    <cellStyle name="표준 24 3 5 4 2 3 2" xfId="18154" xr:uid="{00000000-0005-0000-0000-0000CE460000}"/>
    <cellStyle name="표준 24 3 5 4 2 3 2 2" xfId="18155" xr:uid="{00000000-0005-0000-0000-0000CF460000}"/>
    <cellStyle name="표준 24 3 5 4 2 3 2 2 2" xfId="18156" xr:uid="{00000000-0005-0000-0000-0000D0460000}"/>
    <cellStyle name="표준 24 3 5 4 2 3 2 3" xfId="18157" xr:uid="{00000000-0005-0000-0000-0000D1460000}"/>
    <cellStyle name="표준 24 3 5 4 2 3 3" xfId="18158" xr:uid="{00000000-0005-0000-0000-0000D2460000}"/>
    <cellStyle name="표준 24 3 5 4 2 3 3 2" xfId="18159" xr:uid="{00000000-0005-0000-0000-0000D3460000}"/>
    <cellStyle name="표준 24 3 5 4 2 3 4" xfId="18160" xr:uid="{00000000-0005-0000-0000-0000D4460000}"/>
    <cellStyle name="표준 24 3 5 4 2 4" xfId="18161" xr:uid="{00000000-0005-0000-0000-0000D5460000}"/>
    <cellStyle name="표준 24 3 5 4 2 4 2" xfId="18162" xr:uid="{00000000-0005-0000-0000-0000D6460000}"/>
    <cellStyle name="표준 24 3 5 4 2 4 2 2" xfId="18163" xr:uid="{00000000-0005-0000-0000-0000D7460000}"/>
    <cellStyle name="표준 24 3 5 4 2 4 3" xfId="18164" xr:uid="{00000000-0005-0000-0000-0000D8460000}"/>
    <cellStyle name="표준 24 3 5 4 2 5" xfId="18165" xr:uid="{00000000-0005-0000-0000-0000D9460000}"/>
    <cellStyle name="표준 24 3 5 4 2 5 2" xfId="18166" xr:uid="{00000000-0005-0000-0000-0000DA460000}"/>
    <cellStyle name="표준 24 3 5 4 2 6" xfId="18167" xr:uid="{00000000-0005-0000-0000-0000DB460000}"/>
    <cellStyle name="표준 24 3 5 4 3" xfId="18168" xr:uid="{00000000-0005-0000-0000-0000DC460000}"/>
    <cellStyle name="표준 24 3 5 4 3 2" xfId="18169" xr:uid="{00000000-0005-0000-0000-0000DD460000}"/>
    <cellStyle name="표준 24 3 5 4 3 2 2" xfId="18170" xr:uid="{00000000-0005-0000-0000-0000DE460000}"/>
    <cellStyle name="표준 24 3 5 4 3 2 2 2" xfId="18171" xr:uid="{00000000-0005-0000-0000-0000DF460000}"/>
    <cellStyle name="표준 24 3 5 4 3 2 2 2 2" xfId="18172" xr:uid="{00000000-0005-0000-0000-0000E0460000}"/>
    <cellStyle name="표준 24 3 5 4 3 2 2 3" xfId="18173" xr:uid="{00000000-0005-0000-0000-0000E1460000}"/>
    <cellStyle name="표준 24 3 5 4 3 2 3" xfId="18174" xr:uid="{00000000-0005-0000-0000-0000E2460000}"/>
    <cellStyle name="표준 24 3 5 4 3 2 3 2" xfId="18175" xr:uid="{00000000-0005-0000-0000-0000E3460000}"/>
    <cellStyle name="표준 24 3 5 4 3 2 4" xfId="18176" xr:uid="{00000000-0005-0000-0000-0000E4460000}"/>
    <cellStyle name="표준 24 3 5 4 3 3" xfId="18177" xr:uid="{00000000-0005-0000-0000-0000E5460000}"/>
    <cellStyle name="표준 24 3 5 4 3 3 2" xfId="18178" xr:uid="{00000000-0005-0000-0000-0000E6460000}"/>
    <cellStyle name="표준 24 3 5 4 3 3 2 2" xfId="18179" xr:uid="{00000000-0005-0000-0000-0000E7460000}"/>
    <cellStyle name="표준 24 3 5 4 3 3 3" xfId="18180" xr:uid="{00000000-0005-0000-0000-0000E8460000}"/>
    <cellStyle name="표준 24 3 5 4 3 4" xfId="18181" xr:uid="{00000000-0005-0000-0000-0000E9460000}"/>
    <cellStyle name="표준 24 3 5 4 3 4 2" xfId="18182" xr:uid="{00000000-0005-0000-0000-0000EA460000}"/>
    <cellStyle name="표준 24 3 5 4 3 5" xfId="18183" xr:uid="{00000000-0005-0000-0000-0000EB460000}"/>
    <cellStyle name="표준 24 3 5 4 4" xfId="18184" xr:uid="{00000000-0005-0000-0000-0000EC460000}"/>
    <cellStyle name="표준 24 3 5 4 4 2" xfId="18185" xr:uid="{00000000-0005-0000-0000-0000ED460000}"/>
    <cellStyle name="표준 24 3 5 4 4 2 2" xfId="18186" xr:uid="{00000000-0005-0000-0000-0000EE460000}"/>
    <cellStyle name="표준 24 3 5 4 4 2 2 2" xfId="18187" xr:uid="{00000000-0005-0000-0000-0000EF460000}"/>
    <cellStyle name="표준 24 3 5 4 4 2 3" xfId="18188" xr:uid="{00000000-0005-0000-0000-0000F0460000}"/>
    <cellStyle name="표준 24 3 5 4 4 3" xfId="18189" xr:uid="{00000000-0005-0000-0000-0000F1460000}"/>
    <cellStyle name="표준 24 3 5 4 4 3 2" xfId="18190" xr:uid="{00000000-0005-0000-0000-0000F2460000}"/>
    <cellStyle name="표준 24 3 5 4 4 4" xfId="18191" xr:uid="{00000000-0005-0000-0000-0000F3460000}"/>
    <cellStyle name="표준 24 3 5 4 5" xfId="18192" xr:uid="{00000000-0005-0000-0000-0000F4460000}"/>
    <cellStyle name="표준 24 3 5 4 5 2" xfId="18193" xr:uid="{00000000-0005-0000-0000-0000F5460000}"/>
    <cellStyle name="표준 24 3 5 4 5 2 2" xfId="18194" xr:uid="{00000000-0005-0000-0000-0000F6460000}"/>
    <cellStyle name="표준 24 3 5 4 5 3" xfId="18195" xr:uid="{00000000-0005-0000-0000-0000F7460000}"/>
    <cellStyle name="표준 24 3 5 4 6" xfId="18196" xr:uid="{00000000-0005-0000-0000-0000F8460000}"/>
    <cellStyle name="표준 24 3 5 4 6 2" xfId="18197" xr:uid="{00000000-0005-0000-0000-0000F9460000}"/>
    <cellStyle name="표준 24 3 5 4 7" xfId="18198" xr:uid="{00000000-0005-0000-0000-0000FA460000}"/>
    <cellStyle name="표준 24 3 5 4 8" xfId="18199" xr:uid="{00000000-0005-0000-0000-0000FB460000}"/>
    <cellStyle name="표준 24 3 5 5" xfId="18200" xr:uid="{00000000-0005-0000-0000-0000FC460000}"/>
    <cellStyle name="표준 24 3 5 5 2" xfId="18201" xr:uid="{00000000-0005-0000-0000-0000FD460000}"/>
    <cellStyle name="표준 24 3 5 5 2 2" xfId="18202" xr:uid="{00000000-0005-0000-0000-0000FE460000}"/>
    <cellStyle name="표준 24 3 5 5 2 2 2" xfId="18203" xr:uid="{00000000-0005-0000-0000-0000FF460000}"/>
    <cellStyle name="표준 24 3 5 5 2 2 2 2" xfId="18204" xr:uid="{00000000-0005-0000-0000-000000470000}"/>
    <cellStyle name="표준 24 3 5 5 2 2 2 2 2" xfId="18205" xr:uid="{00000000-0005-0000-0000-000001470000}"/>
    <cellStyle name="표준 24 3 5 5 2 2 2 3" xfId="18206" xr:uid="{00000000-0005-0000-0000-000002470000}"/>
    <cellStyle name="표준 24 3 5 5 2 2 3" xfId="18207" xr:uid="{00000000-0005-0000-0000-000003470000}"/>
    <cellStyle name="표준 24 3 5 5 2 2 3 2" xfId="18208" xr:uid="{00000000-0005-0000-0000-000004470000}"/>
    <cellStyle name="표준 24 3 5 5 2 2 4" xfId="18209" xr:uid="{00000000-0005-0000-0000-000005470000}"/>
    <cellStyle name="표준 24 3 5 5 2 3" xfId="18210" xr:uid="{00000000-0005-0000-0000-000006470000}"/>
    <cellStyle name="표준 24 3 5 5 2 3 2" xfId="18211" xr:uid="{00000000-0005-0000-0000-000007470000}"/>
    <cellStyle name="표준 24 3 5 5 2 3 2 2" xfId="18212" xr:uid="{00000000-0005-0000-0000-000008470000}"/>
    <cellStyle name="표준 24 3 5 5 2 3 3" xfId="18213" xr:uid="{00000000-0005-0000-0000-000009470000}"/>
    <cellStyle name="표준 24 3 5 5 2 4" xfId="18214" xr:uid="{00000000-0005-0000-0000-00000A470000}"/>
    <cellStyle name="표준 24 3 5 5 2 4 2" xfId="18215" xr:uid="{00000000-0005-0000-0000-00000B470000}"/>
    <cellStyle name="표준 24 3 5 5 2 5" xfId="18216" xr:uid="{00000000-0005-0000-0000-00000C470000}"/>
    <cellStyle name="표준 24 3 5 5 3" xfId="18217" xr:uid="{00000000-0005-0000-0000-00000D470000}"/>
    <cellStyle name="표준 24 3 5 5 3 2" xfId="18218" xr:uid="{00000000-0005-0000-0000-00000E470000}"/>
    <cellStyle name="표준 24 3 5 5 3 2 2" xfId="18219" xr:uid="{00000000-0005-0000-0000-00000F470000}"/>
    <cellStyle name="표준 24 3 5 5 3 2 2 2" xfId="18220" xr:uid="{00000000-0005-0000-0000-000010470000}"/>
    <cellStyle name="표준 24 3 5 5 3 2 3" xfId="18221" xr:uid="{00000000-0005-0000-0000-000011470000}"/>
    <cellStyle name="표준 24 3 5 5 3 3" xfId="18222" xr:uid="{00000000-0005-0000-0000-000012470000}"/>
    <cellStyle name="표준 24 3 5 5 3 3 2" xfId="18223" xr:uid="{00000000-0005-0000-0000-000013470000}"/>
    <cellStyle name="표준 24 3 5 5 3 4" xfId="18224" xr:uid="{00000000-0005-0000-0000-000014470000}"/>
    <cellStyle name="표준 24 3 5 5 4" xfId="18225" xr:uid="{00000000-0005-0000-0000-000015470000}"/>
    <cellStyle name="표준 24 3 5 5 4 2" xfId="18226" xr:uid="{00000000-0005-0000-0000-000016470000}"/>
    <cellStyle name="표준 24 3 5 5 4 2 2" xfId="18227" xr:uid="{00000000-0005-0000-0000-000017470000}"/>
    <cellStyle name="표준 24 3 5 5 4 3" xfId="18228" xr:uid="{00000000-0005-0000-0000-000018470000}"/>
    <cellStyle name="표준 24 3 5 5 5" xfId="18229" xr:uid="{00000000-0005-0000-0000-000019470000}"/>
    <cellStyle name="표준 24 3 5 5 5 2" xfId="18230" xr:uid="{00000000-0005-0000-0000-00001A470000}"/>
    <cellStyle name="표준 24 3 5 5 6" xfId="18231" xr:uid="{00000000-0005-0000-0000-00001B470000}"/>
    <cellStyle name="표준 24 3 5 6" xfId="18232" xr:uid="{00000000-0005-0000-0000-00001C470000}"/>
    <cellStyle name="표준 24 3 5 6 2" xfId="18233" xr:uid="{00000000-0005-0000-0000-00001D470000}"/>
    <cellStyle name="표준 24 3 5 6 2 2" xfId="18234" xr:uid="{00000000-0005-0000-0000-00001E470000}"/>
    <cellStyle name="표준 24 3 5 6 2 2 2" xfId="18235" xr:uid="{00000000-0005-0000-0000-00001F470000}"/>
    <cellStyle name="표준 24 3 5 6 2 2 2 2" xfId="18236" xr:uid="{00000000-0005-0000-0000-000020470000}"/>
    <cellStyle name="표준 24 3 5 6 2 2 3" xfId="18237" xr:uid="{00000000-0005-0000-0000-000021470000}"/>
    <cellStyle name="표준 24 3 5 6 2 3" xfId="18238" xr:uid="{00000000-0005-0000-0000-000022470000}"/>
    <cellStyle name="표준 24 3 5 6 2 3 2" xfId="18239" xr:uid="{00000000-0005-0000-0000-000023470000}"/>
    <cellStyle name="표준 24 3 5 6 2 4" xfId="18240" xr:uid="{00000000-0005-0000-0000-000024470000}"/>
    <cellStyle name="표준 24 3 5 6 3" xfId="18241" xr:uid="{00000000-0005-0000-0000-000025470000}"/>
    <cellStyle name="표준 24 3 5 6 3 2" xfId="18242" xr:uid="{00000000-0005-0000-0000-000026470000}"/>
    <cellStyle name="표준 24 3 5 6 3 2 2" xfId="18243" xr:uid="{00000000-0005-0000-0000-000027470000}"/>
    <cellStyle name="표준 24 3 5 6 3 3" xfId="18244" xr:uid="{00000000-0005-0000-0000-000028470000}"/>
    <cellStyle name="표준 24 3 5 6 4" xfId="18245" xr:uid="{00000000-0005-0000-0000-000029470000}"/>
    <cellStyle name="표준 24 3 5 6 4 2" xfId="18246" xr:uid="{00000000-0005-0000-0000-00002A470000}"/>
    <cellStyle name="표준 24 3 5 6 5" xfId="18247" xr:uid="{00000000-0005-0000-0000-00002B470000}"/>
    <cellStyle name="표준 24 3 5 7" xfId="18248" xr:uid="{00000000-0005-0000-0000-00002C470000}"/>
    <cellStyle name="표준 24 3 5 7 2" xfId="18249" xr:uid="{00000000-0005-0000-0000-00002D470000}"/>
    <cellStyle name="표준 24 3 5 7 2 2" xfId="18250" xr:uid="{00000000-0005-0000-0000-00002E470000}"/>
    <cellStyle name="표준 24 3 5 7 2 2 2" xfId="18251" xr:uid="{00000000-0005-0000-0000-00002F470000}"/>
    <cellStyle name="표준 24 3 5 7 2 3" xfId="18252" xr:uid="{00000000-0005-0000-0000-000030470000}"/>
    <cellStyle name="표준 24 3 5 7 3" xfId="18253" xr:uid="{00000000-0005-0000-0000-000031470000}"/>
    <cellStyle name="표준 24 3 5 7 3 2" xfId="18254" xr:uid="{00000000-0005-0000-0000-000032470000}"/>
    <cellStyle name="표준 24 3 5 7 4" xfId="18255" xr:uid="{00000000-0005-0000-0000-000033470000}"/>
    <cellStyle name="표준 24 3 5 8" xfId="18256" xr:uid="{00000000-0005-0000-0000-000034470000}"/>
    <cellStyle name="표준 24 3 5 8 2" xfId="18257" xr:uid="{00000000-0005-0000-0000-000035470000}"/>
    <cellStyle name="표준 24 3 5 8 2 2" xfId="18258" xr:uid="{00000000-0005-0000-0000-000036470000}"/>
    <cellStyle name="표준 24 3 5 8 3" xfId="18259" xr:uid="{00000000-0005-0000-0000-000037470000}"/>
    <cellStyle name="표준 24 3 5 9" xfId="18260" xr:uid="{00000000-0005-0000-0000-000038470000}"/>
    <cellStyle name="표준 24 3 5 9 2" xfId="18261" xr:uid="{00000000-0005-0000-0000-000039470000}"/>
    <cellStyle name="표준 24 3 6" xfId="18262" xr:uid="{00000000-0005-0000-0000-00003A470000}"/>
    <cellStyle name="표준 24 3 6 10" xfId="18263" xr:uid="{00000000-0005-0000-0000-00003B470000}"/>
    <cellStyle name="표준 24 3 6 2" xfId="18264" xr:uid="{00000000-0005-0000-0000-00003C470000}"/>
    <cellStyle name="표준 24 3 6 2 2" xfId="18265" xr:uid="{00000000-0005-0000-0000-00003D470000}"/>
    <cellStyle name="표준 24 3 6 2 2 2" xfId="18266" xr:uid="{00000000-0005-0000-0000-00003E470000}"/>
    <cellStyle name="표준 24 3 6 2 2 2 2" xfId="18267" xr:uid="{00000000-0005-0000-0000-00003F470000}"/>
    <cellStyle name="표준 24 3 6 2 2 2 2 2" xfId="18268" xr:uid="{00000000-0005-0000-0000-000040470000}"/>
    <cellStyle name="표준 24 3 6 2 2 2 2 2 2" xfId="18269" xr:uid="{00000000-0005-0000-0000-000041470000}"/>
    <cellStyle name="표준 24 3 6 2 2 2 2 2 2 2" xfId="18270" xr:uid="{00000000-0005-0000-0000-000042470000}"/>
    <cellStyle name="표준 24 3 6 2 2 2 2 2 2 2 2" xfId="18271" xr:uid="{00000000-0005-0000-0000-000043470000}"/>
    <cellStyle name="표준 24 3 6 2 2 2 2 2 2 3" xfId="18272" xr:uid="{00000000-0005-0000-0000-000044470000}"/>
    <cellStyle name="표준 24 3 6 2 2 2 2 2 3" xfId="18273" xr:uid="{00000000-0005-0000-0000-000045470000}"/>
    <cellStyle name="표준 24 3 6 2 2 2 2 2 3 2" xfId="18274" xr:uid="{00000000-0005-0000-0000-000046470000}"/>
    <cellStyle name="표준 24 3 6 2 2 2 2 2 4" xfId="18275" xr:uid="{00000000-0005-0000-0000-000047470000}"/>
    <cellStyle name="표준 24 3 6 2 2 2 2 3" xfId="18276" xr:uid="{00000000-0005-0000-0000-000048470000}"/>
    <cellStyle name="표준 24 3 6 2 2 2 2 3 2" xfId="18277" xr:uid="{00000000-0005-0000-0000-000049470000}"/>
    <cellStyle name="표준 24 3 6 2 2 2 2 3 2 2" xfId="18278" xr:uid="{00000000-0005-0000-0000-00004A470000}"/>
    <cellStyle name="표준 24 3 6 2 2 2 2 3 3" xfId="18279" xr:uid="{00000000-0005-0000-0000-00004B470000}"/>
    <cellStyle name="표준 24 3 6 2 2 2 2 4" xfId="18280" xr:uid="{00000000-0005-0000-0000-00004C470000}"/>
    <cellStyle name="표준 24 3 6 2 2 2 2 4 2" xfId="18281" xr:uid="{00000000-0005-0000-0000-00004D470000}"/>
    <cellStyle name="표준 24 3 6 2 2 2 2 5" xfId="18282" xr:uid="{00000000-0005-0000-0000-00004E470000}"/>
    <cellStyle name="표준 24 3 6 2 2 2 3" xfId="18283" xr:uid="{00000000-0005-0000-0000-00004F470000}"/>
    <cellStyle name="표준 24 3 6 2 2 2 3 2" xfId="18284" xr:uid="{00000000-0005-0000-0000-000050470000}"/>
    <cellStyle name="표준 24 3 6 2 2 2 3 2 2" xfId="18285" xr:uid="{00000000-0005-0000-0000-000051470000}"/>
    <cellStyle name="표준 24 3 6 2 2 2 3 2 2 2" xfId="18286" xr:uid="{00000000-0005-0000-0000-000052470000}"/>
    <cellStyle name="표준 24 3 6 2 2 2 3 2 3" xfId="18287" xr:uid="{00000000-0005-0000-0000-000053470000}"/>
    <cellStyle name="표준 24 3 6 2 2 2 3 3" xfId="18288" xr:uid="{00000000-0005-0000-0000-000054470000}"/>
    <cellStyle name="표준 24 3 6 2 2 2 3 3 2" xfId="18289" xr:uid="{00000000-0005-0000-0000-000055470000}"/>
    <cellStyle name="표준 24 3 6 2 2 2 3 4" xfId="18290" xr:uid="{00000000-0005-0000-0000-000056470000}"/>
    <cellStyle name="표준 24 3 6 2 2 2 4" xfId="18291" xr:uid="{00000000-0005-0000-0000-000057470000}"/>
    <cellStyle name="표준 24 3 6 2 2 2 4 2" xfId="18292" xr:uid="{00000000-0005-0000-0000-000058470000}"/>
    <cellStyle name="표준 24 3 6 2 2 2 4 2 2" xfId="18293" xr:uid="{00000000-0005-0000-0000-000059470000}"/>
    <cellStyle name="표준 24 3 6 2 2 2 4 3" xfId="18294" xr:uid="{00000000-0005-0000-0000-00005A470000}"/>
    <cellStyle name="표준 24 3 6 2 2 2 5" xfId="18295" xr:uid="{00000000-0005-0000-0000-00005B470000}"/>
    <cellStyle name="표준 24 3 6 2 2 2 5 2" xfId="18296" xr:uid="{00000000-0005-0000-0000-00005C470000}"/>
    <cellStyle name="표준 24 3 6 2 2 2 6" xfId="18297" xr:uid="{00000000-0005-0000-0000-00005D470000}"/>
    <cellStyle name="표준 24 3 6 2 2 3" xfId="18298" xr:uid="{00000000-0005-0000-0000-00005E470000}"/>
    <cellStyle name="표준 24 3 6 2 2 3 2" xfId="18299" xr:uid="{00000000-0005-0000-0000-00005F470000}"/>
    <cellStyle name="표준 24 3 6 2 2 3 2 2" xfId="18300" xr:uid="{00000000-0005-0000-0000-000060470000}"/>
    <cellStyle name="표준 24 3 6 2 2 3 2 2 2" xfId="18301" xr:uid="{00000000-0005-0000-0000-000061470000}"/>
    <cellStyle name="표준 24 3 6 2 2 3 2 2 2 2" xfId="18302" xr:uid="{00000000-0005-0000-0000-000062470000}"/>
    <cellStyle name="표준 24 3 6 2 2 3 2 2 3" xfId="18303" xr:uid="{00000000-0005-0000-0000-000063470000}"/>
    <cellStyle name="표준 24 3 6 2 2 3 2 3" xfId="18304" xr:uid="{00000000-0005-0000-0000-000064470000}"/>
    <cellStyle name="표준 24 3 6 2 2 3 2 3 2" xfId="18305" xr:uid="{00000000-0005-0000-0000-000065470000}"/>
    <cellStyle name="표준 24 3 6 2 2 3 2 4" xfId="18306" xr:uid="{00000000-0005-0000-0000-000066470000}"/>
    <cellStyle name="표준 24 3 6 2 2 3 3" xfId="18307" xr:uid="{00000000-0005-0000-0000-000067470000}"/>
    <cellStyle name="표준 24 3 6 2 2 3 3 2" xfId="18308" xr:uid="{00000000-0005-0000-0000-000068470000}"/>
    <cellStyle name="표준 24 3 6 2 2 3 3 2 2" xfId="18309" xr:uid="{00000000-0005-0000-0000-000069470000}"/>
    <cellStyle name="표준 24 3 6 2 2 3 3 3" xfId="18310" xr:uid="{00000000-0005-0000-0000-00006A470000}"/>
    <cellStyle name="표준 24 3 6 2 2 3 4" xfId="18311" xr:uid="{00000000-0005-0000-0000-00006B470000}"/>
    <cellStyle name="표준 24 3 6 2 2 3 4 2" xfId="18312" xr:uid="{00000000-0005-0000-0000-00006C470000}"/>
    <cellStyle name="표준 24 3 6 2 2 3 5" xfId="18313" xr:uid="{00000000-0005-0000-0000-00006D470000}"/>
    <cellStyle name="표준 24 3 6 2 2 4" xfId="18314" xr:uid="{00000000-0005-0000-0000-00006E470000}"/>
    <cellStyle name="표준 24 3 6 2 2 4 2" xfId="18315" xr:uid="{00000000-0005-0000-0000-00006F470000}"/>
    <cellStyle name="표준 24 3 6 2 2 4 2 2" xfId="18316" xr:uid="{00000000-0005-0000-0000-000070470000}"/>
    <cellStyle name="표준 24 3 6 2 2 4 2 2 2" xfId="18317" xr:uid="{00000000-0005-0000-0000-000071470000}"/>
    <cellStyle name="표준 24 3 6 2 2 4 2 3" xfId="18318" xr:uid="{00000000-0005-0000-0000-000072470000}"/>
    <cellStyle name="표준 24 3 6 2 2 4 3" xfId="18319" xr:uid="{00000000-0005-0000-0000-000073470000}"/>
    <cellStyle name="표준 24 3 6 2 2 4 3 2" xfId="18320" xr:uid="{00000000-0005-0000-0000-000074470000}"/>
    <cellStyle name="표준 24 3 6 2 2 4 4" xfId="18321" xr:uid="{00000000-0005-0000-0000-000075470000}"/>
    <cellStyle name="표준 24 3 6 2 2 5" xfId="18322" xr:uid="{00000000-0005-0000-0000-000076470000}"/>
    <cellStyle name="표준 24 3 6 2 2 5 2" xfId="18323" xr:uid="{00000000-0005-0000-0000-000077470000}"/>
    <cellStyle name="표준 24 3 6 2 2 5 2 2" xfId="18324" xr:uid="{00000000-0005-0000-0000-000078470000}"/>
    <cellStyle name="표준 24 3 6 2 2 5 3" xfId="18325" xr:uid="{00000000-0005-0000-0000-000079470000}"/>
    <cellStyle name="표준 24 3 6 2 2 6" xfId="18326" xr:uid="{00000000-0005-0000-0000-00007A470000}"/>
    <cellStyle name="표준 24 3 6 2 2 6 2" xfId="18327" xr:uid="{00000000-0005-0000-0000-00007B470000}"/>
    <cellStyle name="표준 24 3 6 2 2 7" xfId="18328" xr:uid="{00000000-0005-0000-0000-00007C470000}"/>
    <cellStyle name="표준 24 3 6 2 2 8" xfId="18329" xr:uid="{00000000-0005-0000-0000-00007D470000}"/>
    <cellStyle name="표준 24 3 6 2 3" xfId="18330" xr:uid="{00000000-0005-0000-0000-00007E470000}"/>
    <cellStyle name="표준 24 3 6 2 3 2" xfId="18331" xr:uid="{00000000-0005-0000-0000-00007F470000}"/>
    <cellStyle name="표준 24 3 6 2 3 2 2" xfId="18332" xr:uid="{00000000-0005-0000-0000-000080470000}"/>
    <cellStyle name="표준 24 3 6 2 3 2 2 2" xfId="18333" xr:uid="{00000000-0005-0000-0000-000081470000}"/>
    <cellStyle name="표준 24 3 6 2 3 2 2 2 2" xfId="18334" xr:uid="{00000000-0005-0000-0000-000082470000}"/>
    <cellStyle name="표준 24 3 6 2 3 2 2 2 2 2" xfId="18335" xr:uid="{00000000-0005-0000-0000-000083470000}"/>
    <cellStyle name="표준 24 3 6 2 3 2 2 2 3" xfId="18336" xr:uid="{00000000-0005-0000-0000-000084470000}"/>
    <cellStyle name="표준 24 3 6 2 3 2 2 3" xfId="18337" xr:uid="{00000000-0005-0000-0000-000085470000}"/>
    <cellStyle name="표준 24 3 6 2 3 2 2 3 2" xfId="18338" xr:uid="{00000000-0005-0000-0000-000086470000}"/>
    <cellStyle name="표준 24 3 6 2 3 2 2 4" xfId="18339" xr:uid="{00000000-0005-0000-0000-000087470000}"/>
    <cellStyle name="표준 24 3 6 2 3 2 3" xfId="18340" xr:uid="{00000000-0005-0000-0000-000088470000}"/>
    <cellStyle name="표준 24 3 6 2 3 2 3 2" xfId="18341" xr:uid="{00000000-0005-0000-0000-000089470000}"/>
    <cellStyle name="표준 24 3 6 2 3 2 3 2 2" xfId="18342" xr:uid="{00000000-0005-0000-0000-00008A470000}"/>
    <cellStyle name="표준 24 3 6 2 3 2 3 3" xfId="18343" xr:uid="{00000000-0005-0000-0000-00008B470000}"/>
    <cellStyle name="표준 24 3 6 2 3 2 4" xfId="18344" xr:uid="{00000000-0005-0000-0000-00008C470000}"/>
    <cellStyle name="표준 24 3 6 2 3 2 4 2" xfId="18345" xr:uid="{00000000-0005-0000-0000-00008D470000}"/>
    <cellStyle name="표준 24 3 6 2 3 2 5" xfId="18346" xr:uid="{00000000-0005-0000-0000-00008E470000}"/>
    <cellStyle name="표준 24 3 6 2 3 3" xfId="18347" xr:uid="{00000000-0005-0000-0000-00008F470000}"/>
    <cellStyle name="표준 24 3 6 2 3 3 2" xfId="18348" xr:uid="{00000000-0005-0000-0000-000090470000}"/>
    <cellStyle name="표준 24 3 6 2 3 3 2 2" xfId="18349" xr:uid="{00000000-0005-0000-0000-000091470000}"/>
    <cellStyle name="표준 24 3 6 2 3 3 2 2 2" xfId="18350" xr:uid="{00000000-0005-0000-0000-000092470000}"/>
    <cellStyle name="표준 24 3 6 2 3 3 2 3" xfId="18351" xr:uid="{00000000-0005-0000-0000-000093470000}"/>
    <cellStyle name="표준 24 3 6 2 3 3 3" xfId="18352" xr:uid="{00000000-0005-0000-0000-000094470000}"/>
    <cellStyle name="표준 24 3 6 2 3 3 3 2" xfId="18353" xr:uid="{00000000-0005-0000-0000-000095470000}"/>
    <cellStyle name="표준 24 3 6 2 3 3 4" xfId="18354" xr:uid="{00000000-0005-0000-0000-000096470000}"/>
    <cellStyle name="표준 24 3 6 2 3 4" xfId="18355" xr:uid="{00000000-0005-0000-0000-000097470000}"/>
    <cellStyle name="표준 24 3 6 2 3 4 2" xfId="18356" xr:uid="{00000000-0005-0000-0000-000098470000}"/>
    <cellStyle name="표준 24 3 6 2 3 4 2 2" xfId="18357" xr:uid="{00000000-0005-0000-0000-000099470000}"/>
    <cellStyle name="표준 24 3 6 2 3 4 3" xfId="18358" xr:uid="{00000000-0005-0000-0000-00009A470000}"/>
    <cellStyle name="표준 24 3 6 2 3 5" xfId="18359" xr:uid="{00000000-0005-0000-0000-00009B470000}"/>
    <cellStyle name="표준 24 3 6 2 3 5 2" xfId="18360" xr:uid="{00000000-0005-0000-0000-00009C470000}"/>
    <cellStyle name="표준 24 3 6 2 3 6" xfId="18361" xr:uid="{00000000-0005-0000-0000-00009D470000}"/>
    <cellStyle name="표준 24 3 6 2 4" xfId="18362" xr:uid="{00000000-0005-0000-0000-00009E470000}"/>
    <cellStyle name="표준 24 3 6 2 4 2" xfId="18363" xr:uid="{00000000-0005-0000-0000-00009F470000}"/>
    <cellStyle name="표준 24 3 6 2 4 2 2" xfId="18364" xr:uid="{00000000-0005-0000-0000-0000A0470000}"/>
    <cellStyle name="표준 24 3 6 2 4 2 2 2" xfId="18365" xr:uid="{00000000-0005-0000-0000-0000A1470000}"/>
    <cellStyle name="표준 24 3 6 2 4 2 2 2 2" xfId="18366" xr:uid="{00000000-0005-0000-0000-0000A2470000}"/>
    <cellStyle name="표준 24 3 6 2 4 2 2 3" xfId="18367" xr:uid="{00000000-0005-0000-0000-0000A3470000}"/>
    <cellStyle name="표준 24 3 6 2 4 2 3" xfId="18368" xr:uid="{00000000-0005-0000-0000-0000A4470000}"/>
    <cellStyle name="표준 24 3 6 2 4 2 3 2" xfId="18369" xr:uid="{00000000-0005-0000-0000-0000A5470000}"/>
    <cellStyle name="표준 24 3 6 2 4 2 4" xfId="18370" xr:uid="{00000000-0005-0000-0000-0000A6470000}"/>
    <cellStyle name="표준 24 3 6 2 4 3" xfId="18371" xr:uid="{00000000-0005-0000-0000-0000A7470000}"/>
    <cellStyle name="표준 24 3 6 2 4 3 2" xfId="18372" xr:uid="{00000000-0005-0000-0000-0000A8470000}"/>
    <cellStyle name="표준 24 3 6 2 4 3 2 2" xfId="18373" xr:uid="{00000000-0005-0000-0000-0000A9470000}"/>
    <cellStyle name="표준 24 3 6 2 4 3 3" xfId="18374" xr:uid="{00000000-0005-0000-0000-0000AA470000}"/>
    <cellStyle name="표준 24 3 6 2 4 4" xfId="18375" xr:uid="{00000000-0005-0000-0000-0000AB470000}"/>
    <cellStyle name="표준 24 3 6 2 4 4 2" xfId="18376" xr:uid="{00000000-0005-0000-0000-0000AC470000}"/>
    <cellStyle name="표준 24 3 6 2 4 5" xfId="18377" xr:uid="{00000000-0005-0000-0000-0000AD470000}"/>
    <cellStyle name="표준 24 3 6 2 5" xfId="18378" xr:uid="{00000000-0005-0000-0000-0000AE470000}"/>
    <cellStyle name="표준 24 3 6 2 5 2" xfId="18379" xr:uid="{00000000-0005-0000-0000-0000AF470000}"/>
    <cellStyle name="표준 24 3 6 2 5 2 2" xfId="18380" xr:uid="{00000000-0005-0000-0000-0000B0470000}"/>
    <cellStyle name="표준 24 3 6 2 5 2 2 2" xfId="18381" xr:uid="{00000000-0005-0000-0000-0000B1470000}"/>
    <cellStyle name="표준 24 3 6 2 5 2 3" xfId="18382" xr:uid="{00000000-0005-0000-0000-0000B2470000}"/>
    <cellStyle name="표준 24 3 6 2 5 3" xfId="18383" xr:uid="{00000000-0005-0000-0000-0000B3470000}"/>
    <cellStyle name="표준 24 3 6 2 5 3 2" xfId="18384" xr:uid="{00000000-0005-0000-0000-0000B4470000}"/>
    <cellStyle name="표준 24 3 6 2 5 4" xfId="18385" xr:uid="{00000000-0005-0000-0000-0000B5470000}"/>
    <cellStyle name="표준 24 3 6 2 6" xfId="18386" xr:uid="{00000000-0005-0000-0000-0000B6470000}"/>
    <cellStyle name="표준 24 3 6 2 6 2" xfId="18387" xr:uid="{00000000-0005-0000-0000-0000B7470000}"/>
    <cellStyle name="표준 24 3 6 2 6 2 2" xfId="18388" xr:uid="{00000000-0005-0000-0000-0000B8470000}"/>
    <cellStyle name="표준 24 3 6 2 6 3" xfId="18389" xr:uid="{00000000-0005-0000-0000-0000B9470000}"/>
    <cellStyle name="표준 24 3 6 2 7" xfId="18390" xr:uid="{00000000-0005-0000-0000-0000BA470000}"/>
    <cellStyle name="표준 24 3 6 2 7 2" xfId="18391" xr:uid="{00000000-0005-0000-0000-0000BB470000}"/>
    <cellStyle name="표준 24 3 6 2 8" xfId="18392" xr:uid="{00000000-0005-0000-0000-0000BC470000}"/>
    <cellStyle name="표준 24 3 6 2 9" xfId="18393" xr:uid="{00000000-0005-0000-0000-0000BD470000}"/>
    <cellStyle name="표준 24 3 6 3" xfId="18394" xr:uid="{00000000-0005-0000-0000-0000BE470000}"/>
    <cellStyle name="표준 24 3 6 3 2" xfId="18395" xr:uid="{00000000-0005-0000-0000-0000BF470000}"/>
    <cellStyle name="표준 24 3 6 3 2 2" xfId="18396" xr:uid="{00000000-0005-0000-0000-0000C0470000}"/>
    <cellStyle name="표준 24 3 6 3 2 2 2" xfId="18397" xr:uid="{00000000-0005-0000-0000-0000C1470000}"/>
    <cellStyle name="표준 24 3 6 3 2 2 2 2" xfId="18398" xr:uid="{00000000-0005-0000-0000-0000C2470000}"/>
    <cellStyle name="표준 24 3 6 3 2 2 2 2 2" xfId="18399" xr:uid="{00000000-0005-0000-0000-0000C3470000}"/>
    <cellStyle name="표준 24 3 6 3 2 2 2 2 2 2" xfId="18400" xr:uid="{00000000-0005-0000-0000-0000C4470000}"/>
    <cellStyle name="표준 24 3 6 3 2 2 2 2 3" xfId="18401" xr:uid="{00000000-0005-0000-0000-0000C5470000}"/>
    <cellStyle name="표준 24 3 6 3 2 2 2 3" xfId="18402" xr:uid="{00000000-0005-0000-0000-0000C6470000}"/>
    <cellStyle name="표준 24 3 6 3 2 2 2 3 2" xfId="18403" xr:uid="{00000000-0005-0000-0000-0000C7470000}"/>
    <cellStyle name="표준 24 3 6 3 2 2 2 4" xfId="18404" xr:uid="{00000000-0005-0000-0000-0000C8470000}"/>
    <cellStyle name="표준 24 3 6 3 2 2 3" xfId="18405" xr:uid="{00000000-0005-0000-0000-0000C9470000}"/>
    <cellStyle name="표준 24 3 6 3 2 2 3 2" xfId="18406" xr:uid="{00000000-0005-0000-0000-0000CA470000}"/>
    <cellStyle name="표준 24 3 6 3 2 2 3 2 2" xfId="18407" xr:uid="{00000000-0005-0000-0000-0000CB470000}"/>
    <cellStyle name="표준 24 3 6 3 2 2 3 3" xfId="18408" xr:uid="{00000000-0005-0000-0000-0000CC470000}"/>
    <cellStyle name="표준 24 3 6 3 2 2 4" xfId="18409" xr:uid="{00000000-0005-0000-0000-0000CD470000}"/>
    <cellStyle name="표준 24 3 6 3 2 2 4 2" xfId="18410" xr:uid="{00000000-0005-0000-0000-0000CE470000}"/>
    <cellStyle name="표준 24 3 6 3 2 2 5" xfId="18411" xr:uid="{00000000-0005-0000-0000-0000CF470000}"/>
    <cellStyle name="표준 24 3 6 3 2 3" xfId="18412" xr:uid="{00000000-0005-0000-0000-0000D0470000}"/>
    <cellStyle name="표준 24 3 6 3 2 3 2" xfId="18413" xr:uid="{00000000-0005-0000-0000-0000D1470000}"/>
    <cellStyle name="표준 24 3 6 3 2 3 2 2" xfId="18414" xr:uid="{00000000-0005-0000-0000-0000D2470000}"/>
    <cellStyle name="표준 24 3 6 3 2 3 2 2 2" xfId="18415" xr:uid="{00000000-0005-0000-0000-0000D3470000}"/>
    <cellStyle name="표준 24 3 6 3 2 3 2 3" xfId="18416" xr:uid="{00000000-0005-0000-0000-0000D4470000}"/>
    <cellStyle name="표준 24 3 6 3 2 3 3" xfId="18417" xr:uid="{00000000-0005-0000-0000-0000D5470000}"/>
    <cellStyle name="표준 24 3 6 3 2 3 3 2" xfId="18418" xr:uid="{00000000-0005-0000-0000-0000D6470000}"/>
    <cellStyle name="표준 24 3 6 3 2 3 4" xfId="18419" xr:uid="{00000000-0005-0000-0000-0000D7470000}"/>
    <cellStyle name="표준 24 3 6 3 2 4" xfId="18420" xr:uid="{00000000-0005-0000-0000-0000D8470000}"/>
    <cellStyle name="표준 24 3 6 3 2 4 2" xfId="18421" xr:uid="{00000000-0005-0000-0000-0000D9470000}"/>
    <cellStyle name="표준 24 3 6 3 2 4 2 2" xfId="18422" xr:uid="{00000000-0005-0000-0000-0000DA470000}"/>
    <cellStyle name="표준 24 3 6 3 2 4 3" xfId="18423" xr:uid="{00000000-0005-0000-0000-0000DB470000}"/>
    <cellStyle name="표준 24 3 6 3 2 5" xfId="18424" xr:uid="{00000000-0005-0000-0000-0000DC470000}"/>
    <cellStyle name="표준 24 3 6 3 2 5 2" xfId="18425" xr:uid="{00000000-0005-0000-0000-0000DD470000}"/>
    <cellStyle name="표준 24 3 6 3 2 6" xfId="18426" xr:uid="{00000000-0005-0000-0000-0000DE470000}"/>
    <cellStyle name="표준 24 3 6 3 3" xfId="18427" xr:uid="{00000000-0005-0000-0000-0000DF470000}"/>
    <cellStyle name="표준 24 3 6 3 3 2" xfId="18428" xr:uid="{00000000-0005-0000-0000-0000E0470000}"/>
    <cellStyle name="표준 24 3 6 3 3 2 2" xfId="18429" xr:uid="{00000000-0005-0000-0000-0000E1470000}"/>
    <cellStyle name="표준 24 3 6 3 3 2 2 2" xfId="18430" xr:uid="{00000000-0005-0000-0000-0000E2470000}"/>
    <cellStyle name="표준 24 3 6 3 3 2 2 2 2" xfId="18431" xr:uid="{00000000-0005-0000-0000-0000E3470000}"/>
    <cellStyle name="표준 24 3 6 3 3 2 2 3" xfId="18432" xr:uid="{00000000-0005-0000-0000-0000E4470000}"/>
    <cellStyle name="표준 24 3 6 3 3 2 3" xfId="18433" xr:uid="{00000000-0005-0000-0000-0000E5470000}"/>
    <cellStyle name="표준 24 3 6 3 3 2 3 2" xfId="18434" xr:uid="{00000000-0005-0000-0000-0000E6470000}"/>
    <cellStyle name="표준 24 3 6 3 3 2 4" xfId="18435" xr:uid="{00000000-0005-0000-0000-0000E7470000}"/>
    <cellStyle name="표준 24 3 6 3 3 3" xfId="18436" xr:uid="{00000000-0005-0000-0000-0000E8470000}"/>
    <cellStyle name="표준 24 3 6 3 3 3 2" xfId="18437" xr:uid="{00000000-0005-0000-0000-0000E9470000}"/>
    <cellStyle name="표준 24 3 6 3 3 3 2 2" xfId="18438" xr:uid="{00000000-0005-0000-0000-0000EA470000}"/>
    <cellStyle name="표준 24 3 6 3 3 3 3" xfId="18439" xr:uid="{00000000-0005-0000-0000-0000EB470000}"/>
    <cellStyle name="표준 24 3 6 3 3 4" xfId="18440" xr:uid="{00000000-0005-0000-0000-0000EC470000}"/>
    <cellStyle name="표준 24 3 6 3 3 4 2" xfId="18441" xr:uid="{00000000-0005-0000-0000-0000ED470000}"/>
    <cellStyle name="표준 24 3 6 3 3 5" xfId="18442" xr:uid="{00000000-0005-0000-0000-0000EE470000}"/>
    <cellStyle name="표준 24 3 6 3 4" xfId="18443" xr:uid="{00000000-0005-0000-0000-0000EF470000}"/>
    <cellStyle name="표준 24 3 6 3 4 2" xfId="18444" xr:uid="{00000000-0005-0000-0000-0000F0470000}"/>
    <cellStyle name="표준 24 3 6 3 4 2 2" xfId="18445" xr:uid="{00000000-0005-0000-0000-0000F1470000}"/>
    <cellStyle name="표준 24 3 6 3 4 2 2 2" xfId="18446" xr:uid="{00000000-0005-0000-0000-0000F2470000}"/>
    <cellStyle name="표준 24 3 6 3 4 2 3" xfId="18447" xr:uid="{00000000-0005-0000-0000-0000F3470000}"/>
    <cellStyle name="표준 24 3 6 3 4 3" xfId="18448" xr:uid="{00000000-0005-0000-0000-0000F4470000}"/>
    <cellStyle name="표준 24 3 6 3 4 3 2" xfId="18449" xr:uid="{00000000-0005-0000-0000-0000F5470000}"/>
    <cellStyle name="표준 24 3 6 3 4 4" xfId="18450" xr:uid="{00000000-0005-0000-0000-0000F6470000}"/>
    <cellStyle name="표준 24 3 6 3 5" xfId="18451" xr:uid="{00000000-0005-0000-0000-0000F7470000}"/>
    <cellStyle name="표준 24 3 6 3 5 2" xfId="18452" xr:uid="{00000000-0005-0000-0000-0000F8470000}"/>
    <cellStyle name="표준 24 3 6 3 5 2 2" xfId="18453" xr:uid="{00000000-0005-0000-0000-0000F9470000}"/>
    <cellStyle name="표준 24 3 6 3 5 3" xfId="18454" xr:uid="{00000000-0005-0000-0000-0000FA470000}"/>
    <cellStyle name="표준 24 3 6 3 6" xfId="18455" xr:uid="{00000000-0005-0000-0000-0000FB470000}"/>
    <cellStyle name="표준 24 3 6 3 6 2" xfId="18456" xr:uid="{00000000-0005-0000-0000-0000FC470000}"/>
    <cellStyle name="표준 24 3 6 3 7" xfId="18457" xr:uid="{00000000-0005-0000-0000-0000FD470000}"/>
    <cellStyle name="표준 24 3 6 3 8" xfId="18458" xr:uid="{00000000-0005-0000-0000-0000FE470000}"/>
    <cellStyle name="표준 24 3 6 4" xfId="18459" xr:uid="{00000000-0005-0000-0000-0000FF470000}"/>
    <cellStyle name="표준 24 3 6 4 2" xfId="18460" xr:uid="{00000000-0005-0000-0000-000000480000}"/>
    <cellStyle name="표준 24 3 6 4 2 2" xfId="18461" xr:uid="{00000000-0005-0000-0000-000001480000}"/>
    <cellStyle name="표준 24 3 6 4 2 2 2" xfId="18462" xr:uid="{00000000-0005-0000-0000-000002480000}"/>
    <cellStyle name="표준 24 3 6 4 2 2 2 2" xfId="18463" xr:uid="{00000000-0005-0000-0000-000003480000}"/>
    <cellStyle name="표준 24 3 6 4 2 2 2 2 2" xfId="18464" xr:uid="{00000000-0005-0000-0000-000004480000}"/>
    <cellStyle name="표준 24 3 6 4 2 2 2 3" xfId="18465" xr:uid="{00000000-0005-0000-0000-000005480000}"/>
    <cellStyle name="표준 24 3 6 4 2 2 3" xfId="18466" xr:uid="{00000000-0005-0000-0000-000006480000}"/>
    <cellStyle name="표준 24 3 6 4 2 2 3 2" xfId="18467" xr:uid="{00000000-0005-0000-0000-000007480000}"/>
    <cellStyle name="표준 24 3 6 4 2 2 4" xfId="18468" xr:uid="{00000000-0005-0000-0000-000008480000}"/>
    <cellStyle name="표준 24 3 6 4 2 3" xfId="18469" xr:uid="{00000000-0005-0000-0000-000009480000}"/>
    <cellStyle name="표준 24 3 6 4 2 3 2" xfId="18470" xr:uid="{00000000-0005-0000-0000-00000A480000}"/>
    <cellStyle name="표준 24 3 6 4 2 3 2 2" xfId="18471" xr:uid="{00000000-0005-0000-0000-00000B480000}"/>
    <cellStyle name="표준 24 3 6 4 2 3 3" xfId="18472" xr:uid="{00000000-0005-0000-0000-00000C480000}"/>
    <cellStyle name="표준 24 3 6 4 2 4" xfId="18473" xr:uid="{00000000-0005-0000-0000-00000D480000}"/>
    <cellStyle name="표준 24 3 6 4 2 4 2" xfId="18474" xr:uid="{00000000-0005-0000-0000-00000E480000}"/>
    <cellStyle name="표준 24 3 6 4 2 5" xfId="18475" xr:uid="{00000000-0005-0000-0000-00000F480000}"/>
    <cellStyle name="표준 24 3 6 4 3" xfId="18476" xr:uid="{00000000-0005-0000-0000-000010480000}"/>
    <cellStyle name="표준 24 3 6 4 3 2" xfId="18477" xr:uid="{00000000-0005-0000-0000-000011480000}"/>
    <cellStyle name="표준 24 3 6 4 3 2 2" xfId="18478" xr:uid="{00000000-0005-0000-0000-000012480000}"/>
    <cellStyle name="표준 24 3 6 4 3 2 2 2" xfId="18479" xr:uid="{00000000-0005-0000-0000-000013480000}"/>
    <cellStyle name="표준 24 3 6 4 3 2 3" xfId="18480" xr:uid="{00000000-0005-0000-0000-000014480000}"/>
    <cellStyle name="표준 24 3 6 4 3 3" xfId="18481" xr:uid="{00000000-0005-0000-0000-000015480000}"/>
    <cellStyle name="표준 24 3 6 4 3 3 2" xfId="18482" xr:uid="{00000000-0005-0000-0000-000016480000}"/>
    <cellStyle name="표준 24 3 6 4 3 4" xfId="18483" xr:uid="{00000000-0005-0000-0000-000017480000}"/>
    <cellStyle name="표준 24 3 6 4 4" xfId="18484" xr:uid="{00000000-0005-0000-0000-000018480000}"/>
    <cellStyle name="표준 24 3 6 4 4 2" xfId="18485" xr:uid="{00000000-0005-0000-0000-000019480000}"/>
    <cellStyle name="표준 24 3 6 4 4 2 2" xfId="18486" xr:uid="{00000000-0005-0000-0000-00001A480000}"/>
    <cellStyle name="표준 24 3 6 4 4 3" xfId="18487" xr:uid="{00000000-0005-0000-0000-00001B480000}"/>
    <cellStyle name="표준 24 3 6 4 5" xfId="18488" xr:uid="{00000000-0005-0000-0000-00001C480000}"/>
    <cellStyle name="표준 24 3 6 4 5 2" xfId="18489" xr:uid="{00000000-0005-0000-0000-00001D480000}"/>
    <cellStyle name="표준 24 3 6 4 6" xfId="18490" xr:uid="{00000000-0005-0000-0000-00001E480000}"/>
    <cellStyle name="표준 24 3 6 5" xfId="18491" xr:uid="{00000000-0005-0000-0000-00001F480000}"/>
    <cellStyle name="표준 24 3 6 5 2" xfId="18492" xr:uid="{00000000-0005-0000-0000-000020480000}"/>
    <cellStyle name="표준 24 3 6 5 2 2" xfId="18493" xr:uid="{00000000-0005-0000-0000-000021480000}"/>
    <cellStyle name="표준 24 3 6 5 2 2 2" xfId="18494" xr:uid="{00000000-0005-0000-0000-000022480000}"/>
    <cellStyle name="표준 24 3 6 5 2 2 2 2" xfId="18495" xr:uid="{00000000-0005-0000-0000-000023480000}"/>
    <cellStyle name="표준 24 3 6 5 2 2 3" xfId="18496" xr:uid="{00000000-0005-0000-0000-000024480000}"/>
    <cellStyle name="표준 24 3 6 5 2 3" xfId="18497" xr:uid="{00000000-0005-0000-0000-000025480000}"/>
    <cellStyle name="표준 24 3 6 5 2 3 2" xfId="18498" xr:uid="{00000000-0005-0000-0000-000026480000}"/>
    <cellStyle name="표준 24 3 6 5 2 4" xfId="18499" xr:uid="{00000000-0005-0000-0000-000027480000}"/>
    <cellStyle name="표준 24 3 6 5 3" xfId="18500" xr:uid="{00000000-0005-0000-0000-000028480000}"/>
    <cellStyle name="표준 24 3 6 5 3 2" xfId="18501" xr:uid="{00000000-0005-0000-0000-000029480000}"/>
    <cellStyle name="표준 24 3 6 5 3 2 2" xfId="18502" xr:uid="{00000000-0005-0000-0000-00002A480000}"/>
    <cellStyle name="표준 24 3 6 5 3 3" xfId="18503" xr:uid="{00000000-0005-0000-0000-00002B480000}"/>
    <cellStyle name="표준 24 3 6 5 4" xfId="18504" xr:uid="{00000000-0005-0000-0000-00002C480000}"/>
    <cellStyle name="표준 24 3 6 5 4 2" xfId="18505" xr:uid="{00000000-0005-0000-0000-00002D480000}"/>
    <cellStyle name="표준 24 3 6 5 5" xfId="18506" xr:uid="{00000000-0005-0000-0000-00002E480000}"/>
    <cellStyle name="표준 24 3 6 6" xfId="18507" xr:uid="{00000000-0005-0000-0000-00002F480000}"/>
    <cellStyle name="표준 24 3 6 6 2" xfId="18508" xr:uid="{00000000-0005-0000-0000-000030480000}"/>
    <cellStyle name="표준 24 3 6 6 2 2" xfId="18509" xr:uid="{00000000-0005-0000-0000-000031480000}"/>
    <cellStyle name="표준 24 3 6 6 2 2 2" xfId="18510" xr:uid="{00000000-0005-0000-0000-000032480000}"/>
    <cellStyle name="표준 24 3 6 6 2 3" xfId="18511" xr:uid="{00000000-0005-0000-0000-000033480000}"/>
    <cellStyle name="표준 24 3 6 6 3" xfId="18512" xr:uid="{00000000-0005-0000-0000-000034480000}"/>
    <cellStyle name="표준 24 3 6 6 3 2" xfId="18513" xr:uid="{00000000-0005-0000-0000-000035480000}"/>
    <cellStyle name="표준 24 3 6 6 4" xfId="18514" xr:uid="{00000000-0005-0000-0000-000036480000}"/>
    <cellStyle name="표준 24 3 6 7" xfId="18515" xr:uid="{00000000-0005-0000-0000-000037480000}"/>
    <cellStyle name="표준 24 3 6 7 2" xfId="18516" xr:uid="{00000000-0005-0000-0000-000038480000}"/>
    <cellStyle name="표준 24 3 6 7 2 2" xfId="18517" xr:uid="{00000000-0005-0000-0000-000039480000}"/>
    <cellStyle name="표준 24 3 6 7 3" xfId="18518" xr:uid="{00000000-0005-0000-0000-00003A480000}"/>
    <cellStyle name="표준 24 3 6 8" xfId="18519" xr:uid="{00000000-0005-0000-0000-00003B480000}"/>
    <cellStyle name="표준 24 3 6 8 2" xfId="18520" xr:uid="{00000000-0005-0000-0000-00003C480000}"/>
    <cellStyle name="표준 24 3 6 9" xfId="18521" xr:uid="{00000000-0005-0000-0000-00003D480000}"/>
    <cellStyle name="표준 24 3 7" xfId="18522" xr:uid="{00000000-0005-0000-0000-00003E480000}"/>
    <cellStyle name="표준 24 3 7 2" xfId="18523" xr:uid="{00000000-0005-0000-0000-00003F480000}"/>
    <cellStyle name="표준 24 3 7 2 2" xfId="18524" xr:uid="{00000000-0005-0000-0000-000040480000}"/>
    <cellStyle name="표준 24 3 7 2 2 2" xfId="18525" xr:uid="{00000000-0005-0000-0000-000041480000}"/>
    <cellStyle name="표준 24 3 7 2 2 2 2" xfId="18526" xr:uid="{00000000-0005-0000-0000-000042480000}"/>
    <cellStyle name="표준 24 3 7 2 2 2 2 2" xfId="18527" xr:uid="{00000000-0005-0000-0000-000043480000}"/>
    <cellStyle name="표준 24 3 7 2 2 2 2 2 2" xfId="18528" xr:uid="{00000000-0005-0000-0000-000044480000}"/>
    <cellStyle name="표준 24 3 7 2 2 2 2 2 2 2" xfId="18529" xr:uid="{00000000-0005-0000-0000-000045480000}"/>
    <cellStyle name="표준 24 3 7 2 2 2 2 2 3" xfId="18530" xr:uid="{00000000-0005-0000-0000-000046480000}"/>
    <cellStyle name="표준 24 3 7 2 2 2 2 3" xfId="18531" xr:uid="{00000000-0005-0000-0000-000047480000}"/>
    <cellStyle name="표준 24 3 7 2 2 2 2 3 2" xfId="18532" xr:uid="{00000000-0005-0000-0000-000048480000}"/>
    <cellStyle name="표준 24 3 7 2 2 2 2 4" xfId="18533" xr:uid="{00000000-0005-0000-0000-000049480000}"/>
    <cellStyle name="표준 24 3 7 2 2 2 3" xfId="18534" xr:uid="{00000000-0005-0000-0000-00004A480000}"/>
    <cellStyle name="표준 24 3 7 2 2 2 3 2" xfId="18535" xr:uid="{00000000-0005-0000-0000-00004B480000}"/>
    <cellStyle name="표준 24 3 7 2 2 2 3 2 2" xfId="18536" xr:uid="{00000000-0005-0000-0000-00004C480000}"/>
    <cellStyle name="표준 24 3 7 2 2 2 3 3" xfId="18537" xr:uid="{00000000-0005-0000-0000-00004D480000}"/>
    <cellStyle name="표준 24 3 7 2 2 2 4" xfId="18538" xr:uid="{00000000-0005-0000-0000-00004E480000}"/>
    <cellStyle name="표준 24 3 7 2 2 2 4 2" xfId="18539" xr:uid="{00000000-0005-0000-0000-00004F480000}"/>
    <cellStyle name="표준 24 3 7 2 2 2 5" xfId="18540" xr:uid="{00000000-0005-0000-0000-000050480000}"/>
    <cellStyle name="표준 24 3 7 2 2 3" xfId="18541" xr:uid="{00000000-0005-0000-0000-000051480000}"/>
    <cellStyle name="표준 24 3 7 2 2 3 2" xfId="18542" xr:uid="{00000000-0005-0000-0000-000052480000}"/>
    <cellStyle name="표준 24 3 7 2 2 3 2 2" xfId="18543" xr:uid="{00000000-0005-0000-0000-000053480000}"/>
    <cellStyle name="표준 24 3 7 2 2 3 2 2 2" xfId="18544" xr:uid="{00000000-0005-0000-0000-000054480000}"/>
    <cellStyle name="표준 24 3 7 2 2 3 2 3" xfId="18545" xr:uid="{00000000-0005-0000-0000-000055480000}"/>
    <cellStyle name="표준 24 3 7 2 2 3 3" xfId="18546" xr:uid="{00000000-0005-0000-0000-000056480000}"/>
    <cellStyle name="표준 24 3 7 2 2 3 3 2" xfId="18547" xr:uid="{00000000-0005-0000-0000-000057480000}"/>
    <cellStyle name="표준 24 3 7 2 2 3 4" xfId="18548" xr:uid="{00000000-0005-0000-0000-000058480000}"/>
    <cellStyle name="표준 24 3 7 2 2 4" xfId="18549" xr:uid="{00000000-0005-0000-0000-000059480000}"/>
    <cellStyle name="표준 24 3 7 2 2 4 2" xfId="18550" xr:uid="{00000000-0005-0000-0000-00005A480000}"/>
    <cellStyle name="표준 24 3 7 2 2 4 2 2" xfId="18551" xr:uid="{00000000-0005-0000-0000-00005B480000}"/>
    <cellStyle name="표준 24 3 7 2 2 4 3" xfId="18552" xr:uid="{00000000-0005-0000-0000-00005C480000}"/>
    <cellStyle name="표준 24 3 7 2 2 5" xfId="18553" xr:uid="{00000000-0005-0000-0000-00005D480000}"/>
    <cellStyle name="표준 24 3 7 2 2 5 2" xfId="18554" xr:uid="{00000000-0005-0000-0000-00005E480000}"/>
    <cellStyle name="표준 24 3 7 2 2 6" xfId="18555" xr:uid="{00000000-0005-0000-0000-00005F480000}"/>
    <cellStyle name="표준 24 3 7 2 3" xfId="18556" xr:uid="{00000000-0005-0000-0000-000060480000}"/>
    <cellStyle name="표준 24 3 7 2 3 2" xfId="18557" xr:uid="{00000000-0005-0000-0000-000061480000}"/>
    <cellStyle name="표준 24 3 7 2 3 2 2" xfId="18558" xr:uid="{00000000-0005-0000-0000-000062480000}"/>
    <cellStyle name="표준 24 3 7 2 3 2 2 2" xfId="18559" xr:uid="{00000000-0005-0000-0000-000063480000}"/>
    <cellStyle name="표준 24 3 7 2 3 2 2 2 2" xfId="18560" xr:uid="{00000000-0005-0000-0000-000064480000}"/>
    <cellStyle name="표준 24 3 7 2 3 2 2 3" xfId="18561" xr:uid="{00000000-0005-0000-0000-000065480000}"/>
    <cellStyle name="표준 24 3 7 2 3 2 3" xfId="18562" xr:uid="{00000000-0005-0000-0000-000066480000}"/>
    <cellStyle name="표준 24 3 7 2 3 2 3 2" xfId="18563" xr:uid="{00000000-0005-0000-0000-000067480000}"/>
    <cellStyle name="표준 24 3 7 2 3 2 4" xfId="18564" xr:uid="{00000000-0005-0000-0000-000068480000}"/>
    <cellStyle name="표준 24 3 7 2 3 3" xfId="18565" xr:uid="{00000000-0005-0000-0000-000069480000}"/>
    <cellStyle name="표준 24 3 7 2 3 3 2" xfId="18566" xr:uid="{00000000-0005-0000-0000-00006A480000}"/>
    <cellStyle name="표준 24 3 7 2 3 3 2 2" xfId="18567" xr:uid="{00000000-0005-0000-0000-00006B480000}"/>
    <cellStyle name="표준 24 3 7 2 3 3 3" xfId="18568" xr:uid="{00000000-0005-0000-0000-00006C480000}"/>
    <cellStyle name="표준 24 3 7 2 3 4" xfId="18569" xr:uid="{00000000-0005-0000-0000-00006D480000}"/>
    <cellStyle name="표준 24 3 7 2 3 4 2" xfId="18570" xr:uid="{00000000-0005-0000-0000-00006E480000}"/>
    <cellStyle name="표준 24 3 7 2 3 5" xfId="18571" xr:uid="{00000000-0005-0000-0000-00006F480000}"/>
    <cellStyle name="표준 24 3 7 2 4" xfId="18572" xr:uid="{00000000-0005-0000-0000-000070480000}"/>
    <cellStyle name="표준 24 3 7 2 4 2" xfId="18573" xr:uid="{00000000-0005-0000-0000-000071480000}"/>
    <cellStyle name="표준 24 3 7 2 4 2 2" xfId="18574" xr:uid="{00000000-0005-0000-0000-000072480000}"/>
    <cellStyle name="표준 24 3 7 2 4 2 2 2" xfId="18575" xr:uid="{00000000-0005-0000-0000-000073480000}"/>
    <cellStyle name="표준 24 3 7 2 4 2 3" xfId="18576" xr:uid="{00000000-0005-0000-0000-000074480000}"/>
    <cellStyle name="표준 24 3 7 2 4 3" xfId="18577" xr:uid="{00000000-0005-0000-0000-000075480000}"/>
    <cellStyle name="표준 24 3 7 2 4 3 2" xfId="18578" xr:uid="{00000000-0005-0000-0000-000076480000}"/>
    <cellStyle name="표준 24 3 7 2 4 4" xfId="18579" xr:uid="{00000000-0005-0000-0000-000077480000}"/>
    <cellStyle name="표준 24 3 7 2 5" xfId="18580" xr:uid="{00000000-0005-0000-0000-000078480000}"/>
    <cellStyle name="표준 24 3 7 2 5 2" xfId="18581" xr:uid="{00000000-0005-0000-0000-000079480000}"/>
    <cellStyle name="표준 24 3 7 2 5 2 2" xfId="18582" xr:uid="{00000000-0005-0000-0000-00007A480000}"/>
    <cellStyle name="표준 24 3 7 2 5 3" xfId="18583" xr:uid="{00000000-0005-0000-0000-00007B480000}"/>
    <cellStyle name="표준 24 3 7 2 6" xfId="18584" xr:uid="{00000000-0005-0000-0000-00007C480000}"/>
    <cellStyle name="표준 24 3 7 2 6 2" xfId="18585" xr:uid="{00000000-0005-0000-0000-00007D480000}"/>
    <cellStyle name="표준 24 3 7 2 7" xfId="18586" xr:uid="{00000000-0005-0000-0000-00007E480000}"/>
    <cellStyle name="표준 24 3 7 2 8" xfId="18587" xr:uid="{00000000-0005-0000-0000-00007F480000}"/>
    <cellStyle name="표준 24 3 7 3" xfId="18588" xr:uid="{00000000-0005-0000-0000-000080480000}"/>
    <cellStyle name="표준 24 3 7 3 2" xfId="18589" xr:uid="{00000000-0005-0000-0000-000081480000}"/>
    <cellStyle name="표준 24 3 7 3 2 2" xfId="18590" xr:uid="{00000000-0005-0000-0000-000082480000}"/>
    <cellStyle name="표준 24 3 7 3 2 2 2" xfId="18591" xr:uid="{00000000-0005-0000-0000-000083480000}"/>
    <cellStyle name="표준 24 3 7 3 2 2 2 2" xfId="18592" xr:uid="{00000000-0005-0000-0000-000084480000}"/>
    <cellStyle name="표준 24 3 7 3 2 2 2 2 2" xfId="18593" xr:uid="{00000000-0005-0000-0000-000085480000}"/>
    <cellStyle name="표준 24 3 7 3 2 2 2 3" xfId="18594" xr:uid="{00000000-0005-0000-0000-000086480000}"/>
    <cellStyle name="표준 24 3 7 3 2 2 3" xfId="18595" xr:uid="{00000000-0005-0000-0000-000087480000}"/>
    <cellStyle name="표준 24 3 7 3 2 2 3 2" xfId="18596" xr:uid="{00000000-0005-0000-0000-000088480000}"/>
    <cellStyle name="표준 24 3 7 3 2 2 4" xfId="18597" xr:uid="{00000000-0005-0000-0000-000089480000}"/>
    <cellStyle name="표준 24 3 7 3 2 3" xfId="18598" xr:uid="{00000000-0005-0000-0000-00008A480000}"/>
    <cellStyle name="표준 24 3 7 3 2 3 2" xfId="18599" xr:uid="{00000000-0005-0000-0000-00008B480000}"/>
    <cellStyle name="표준 24 3 7 3 2 3 2 2" xfId="18600" xr:uid="{00000000-0005-0000-0000-00008C480000}"/>
    <cellStyle name="표준 24 3 7 3 2 3 3" xfId="18601" xr:uid="{00000000-0005-0000-0000-00008D480000}"/>
    <cellStyle name="표준 24 3 7 3 2 4" xfId="18602" xr:uid="{00000000-0005-0000-0000-00008E480000}"/>
    <cellStyle name="표준 24 3 7 3 2 4 2" xfId="18603" xr:uid="{00000000-0005-0000-0000-00008F480000}"/>
    <cellStyle name="표준 24 3 7 3 2 5" xfId="18604" xr:uid="{00000000-0005-0000-0000-000090480000}"/>
    <cellStyle name="표준 24 3 7 3 3" xfId="18605" xr:uid="{00000000-0005-0000-0000-000091480000}"/>
    <cellStyle name="표준 24 3 7 3 3 2" xfId="18606" xr:uid="{00000000-0005-0000-0000-000092480000}"/>
    <cellStyle name="표준 24 3 7 3 3 2 2" xfId="18607" xr:uid="{00000000-0005-0000-0000-000093480000}"/>
    <cellStyle name="표준 24 3 7 3 3 2 2 2" xfId="18608" xr:uid="{00000000-0005-0000-0000-000094480000}"/>
    <cellStyle name="표준 24 3 7 3 3 2 3" xfId="18609" xr:uid="{00000000-0005-0000-0000-000095480000}"/>
    <cellStyle name="표준 24 3 7 3 3 3" xfId="18610" xr:uid="{00000000-0005-0000-0000-000096480000}"/>
    <cellStyle name="표준 24 3 7 3 3 3 2" xfId="18611" xr:uid="{00000000-0005-0000-0000-000097480000}"/>
    <cellStyle name="표준 24 3 7 3 3 4" xfId="18612" xr:uid="{00000000-0005-0000-0000-000098480000}"/>
    <cellStyle name="표준 24 3 7 3 4" xfId="18613" xr:uid="{00000000-0005-0000-0000-000099480000}"/>
    <cellStyle name="표준 24 3 7 3 4 2" xfId="18614" xr:uid="{00000000-0005-0000-0000-00009A480000}"/>
    <cellStyle name="표준 24 3 7 3 4 2 2" xfId="18615" xr:uid="{00000000-0005-0000-0000-00009B480000}"/>
    <cellStyle name="표준 24 3 7 3 4 3" xfId="18616" xr:uid="{00000000-0005-0000-0000-00009C480000}"/>
    <cellStyle name="표준 24 3 7 3 5" xfId="18617" xr:uid="{00000000-0005-0000-0000-00009D480000}"/>
    <cellStyle name="표준 24 3 7 3 5 2" xfId="18618" xr:uid="{00000000-0005-0000-0000-00009E480000}"/>
    <cellStyle name="표준 24 3 7 3 6" xfId="18619" xr:uid="{00000000-0005-0000-0000-00009F480000}"/>
    <cellStyle name="표준 24 3 7 4" xfId="18620" xr:uid="{00000000-0005-0000-0000-0000A0480000}"/>
    <cellStyle name="표준 24 3 7 4 2" xfId="18621" xr:uid="{00000000-0005-0000-0000-0000A1480000}"/>
    <cellStyle name="표준 24 3 7 4 2 2" xfId="18622" xr:uid="{00000000-0005-0000-0000-0000A2480000}"/>
    <cellStyle name="표준 24 3 7 4 2 2 2" xfId="18623" xr:uid="{00000000-0005-0000-0000-0000A3480000}"/>
    <cellStyle name="표준 24 3 7 4 2 2 2 2" xfId="18624" xr:uid="{00000000-0005-0000-0000-0000A4480000}"/>
    <cellStyle name="표준 24 3 7 4 2 2 3" xfId="18625" xr:uid="{00000000-0005-0000-0000-0000A5480000}"/>
    <cellStyle name="표준 24 3 7 4 2 3" xfId="18626" xr:uid="{00000000-0005-0000-0000-0000A6480000}"/>
    <cellStyle name="표준 24 3 7 4 2 3 2" xfId="18627" xr:uid="{00000000-0005-0000-0000-0000A7480000}"/>
    <cellStyle name="표준 24 3 7 4 2 4" xfId="18628" xr:uid="{00000000-0005-0000-0000-0000A8480000}"/>
    <cellStyle name="표준 24 3 7 4 3" xfId="18629" xr:uid="{00000000-0005-0000-0000-0000A9480000}"/>
    <cellStyle name="표준 24 3 7 4 3 2" xfId="18630" xr:uid="{00000000-0005-0000-0000-0000AA480000}"/>
    <cellStyle name="표준 24 3 7 4 3 2 2" xfId="18631" xr:uid="{00000000-0005-0000-0000-0000AB480000}"/>
    <cellStyle name="표준 24 3 7 4 3 3" xfId="18632" xr:uid="{00000000-0005-0000-0000-0000AC480000}"/>
    <cellStyle name="표준 24 3 7 4 4" xfId="18633" xr:uid="{00000000-0005-0000-0000-0000AD480000}"/>
    <cellStyle name="표준 24 3 7 4 4 2" xfId="18634" xr:uid="{00000000-0005-0000-0000-0000AE480000}"/>
    <cellStyle name="표준 24 3 7 4 5" xfId="18635" xr:uid="{00000000-0005-0000-0000-0000AF480000}"/>
    <cellStyle name="표준 24 3 7 5" xfId="18636" xr:uid="{00000000-0005-0000-0000-0000B0480000}"/>
    <cellStyle name="표준 24 3 7 5 2" xfId="18637" xr:uid="{00000000-0005-0000-0000-0000B1480000}"/>
    <cellStyle name="표준 24 3 7 5 2 2" xfId="18638" xr:uid="{00000000-0005-0000-0000-0000B2480000}"/>
    <cellStyle name="표준 24 3 7 5 2 2 2" xfId="18639" xr:uid="{00000000-0005-0000-0000-0000B3480000}"/>
    <cellStyle name="표준 24 3 7 5 2 3" xfId="18640" xr:uid="{00000000-0005-0000-0000-0000B4480000}"/>
    <cellStyle name="표준 24 3 7 5 3" xfId="18641" xr:uid="{00000000-0005-0000-0000-0000B5480000}"/>
    <cellStyle name="표준 24 3 7 5 3 2" xfId="18642" xr:uid="{00000000-0005-0000-0000-0000B6480000}"/>
    <cellStyle name="표준 24 3 7 5 4" xfId="18643" xr:uid="{00000000-0005-0000-0000-0000B7480000}"/>
    <cellStyle name="표준 24 3 7 6" xfId="18644" xr:uid="{00000000-0005-0000-0000-0000B8480000}"/>
    <cellStyle name="표준 24 3 7 6 2" xfId="18645" xr:uid="{00000000-0005-0000-0000-0000B9480000}"/>
    <cellStyle name="표준 24 3 7 6 2 2" xfId="18646" xr:uid="{00000000-0005-0000-0000-0000BA480000}"/>
    <cellStyle name="표준 24 3 7 6 3" xfId="18647" xr:uid="{00000000-0005-0000-0000-0000BB480000}"/>
    <cellStyle name="표준 24 3 7 7" xfId="18648" xr:uid="{00000000-0005-0000-0000-0000BC480000}"/>
    <cellStyle name="표준 24 3 7 7 2" xfId="18649" xr:uid="{00000000-0005-0000-0000-0000BD480000}"/>
    <cellStyle name="표준 24 3 7 8" xfId="18650" xr:uid="{00000000-0005-0000-0000-0000BE480000}"/>
    <cellStyle name="표준 24 3 7 9" xfId="18651" xr:uid="{00000000-0005-0000-0000-0000BF480000}"/>
    <cellStyle name="표준 24 3 8" xfId="18652" xr:uid="{00000000-0005-0000-0000-0000C0480000}"/>
    <cellStyle name="표준 24 3 8 2" xfId="18653" xr:uid="{00000000-0005-0000-0000-0000C1480000}"/>
    <cellStyle name="표준 24 3 8 2 2" xfId="18654" xr:uid="{00000000-0005-0000-0000-0000C2480000}"/>
    <cellStyle name="표준 24 3 8 2 2 2" xfId="18655" xr:uid="{00000000-0005-0000-0000-0000C3480000}"/>
    <cellStyle name="표준 24 3 8 2 2 2 2" xfId="18656" xr:uid="{00000000-0005-0000-0000-0000C4480000}"/>
    <cellStyle name="표준 24 3 8 2 2 2 2 2" xfId="18657" xr:uid="{00000000-0005-0000-0000-0000C5480000}"/>
    <cellStyle name="표준 24 3 8 2 2 2 2 2 2" xfId="18658" xr:uid="{00000000-0005-0000-0000-0000C6480000}"/>
    <cellStyle name="표준 24 3 8 2 2 2 2 3" xfId="18659" xr:uid="{00000000-0005-0000-0000-0000C7480000}"/>
    <cellStyle name="표준 24 3 8 2 2 2 3" xfId="18660" xr:uid="{00000000-0005-0000-0000-0000C8480000}"/>
    <cellStyle name="표준 24 3 8 2 2 2 3 2" xfId="18661" xr:uid="{00000000-0005-0000-0000-0000C9480000}"/>
    <cellStyle name="표준 24 3 8 2 2 2 4" xfId="18662" xr:uid="{00000000-0005-0000-0000-0000CA480000}"/>
    <cellStyle name="표준 24 3 8 2 2 3" xfId="18663" xr:uid="{00000000-0005-0000-0000-0000CB480000}"/>
    <cellStyle name="표준 24 3 8 2 2 3 2" xfId="18664" xr:uid="{00000000-0005-0000-0000-0000CC480000}"/>
    <cellStyle name="표준 24 3 8 2 2 3 2 2" xfId="18665" xr:uid="{00000000-0005-0000-0000-0000CD480000}"/>
    <cellStyle name="표준 24 3 8 2 2 3 3" xfId="18666" xr:uid="{00000000-0005-0000-0000-0000CE480000}"/>
    <cellStyle name="표준 24 3 8 2 2 4" xfId="18667" xr:uid="{00000000-0005-0000-0000-0000CF480000}"/>
    <cellStyle name="표준 24 3 8 2 2 4 2" xfId="18668" xr:uid="{00000000-0005-0000-0000-0000D0480000}"/>
    <cellStyle name="표준 24 3 8 2 2 5" xfId="18669" xr:uid="{00000000-0005-0000-0000-0000D1480000}"/>
    <cellStyle name="표준 24 3 8 2 3" xfId="18670" xr:uid="{00000000-0005-0000-0000-0000D2480000}"/>
    <cellStyle name="표준 24 3 8 2 3 2" xfId="18671" xr:uid="{00000000-0005-0000-0000-0000D3480000}"/>
    <cellStyle name="표준 24 3 8 2 3 2 2" xfId="18672" xr:uid="{00000000-0005-0000-0000-0000D4480000}"/>
    <cellStyle name="표준 24 3 8 2 3 2 2 2" xfId="18673" xr:uid="{00000000-0005-0000-0000-0000D5480000}"/>
    <cellStyle name="표준 24 3 8 2 3 2 3" xfId="18674" xr:uid="{00000000-0005-0000-0000-0000D6480000}"/>
    <cellStyle name="표준 24 3 8 2 3 3" xfId="18675" xr:uid="{00000000-0005-0000-0000-0000D7480000}"/>
    <cellStyle name="표준 24 3 8 2 3 3 2" xfId="18676" xr:uid="{00000000-0005-0000-0000-0000D8480000}"/>
    <cellStyle name="표준 24 3 8 2 3 4" xfId="18677" xr:uid="{00000000-0005-0000-0000-0000D9480000}"/>
    <cellStyle name="표준 24 3 8 2 4" xfId="18678" xr:uid="{00000000-0005-0000-0000-0000DA480000}"/>
    <cellStyle name="표준 24 3 8 2 4 2" xfId="18679" xr:uid="{00000000-0005-0000-0000-0000DB480000}"/>
    <cellStyle name="표준 24 3 8 2 4 2 2" xfId="18680" xr:uid="{00000000-0005-0000-0000-0000DC480000}"/>
    <cellStyle name="표준 24 3 8 2 4 3" xfId="18681" xr:uid="{00000000-0005-0000-0000-0000DD480000}"/>
    <cellStyle name="표준 24 3 8 2 5" xfId="18682" xr:uid="{00000000-0005-0000-0000-0000DE480000}"/>
    <cellStyle name="표준 24 3 8 2 5 2" xfId="18683" xr:uid="{00000000-0005-0000-0000-0000DF480000}"/>
    <cellStyle name="표준 24 3 8 2 6" xfId="18684" xr:uid="{00000000-0005-0000-0000-0000E0480000}"/>
    <cellStyle name="표준 24 3 8 3" xfId="18685" xr:uid="{00000000-0005-0000-0000-0000E1480000}"/>
    <cellStyle name="표준 24 3 8 3 2" xfId="18686" xr:uid="{00000000-0005-0000-0000-0000E2480000}"/>
    <cellStyle name="표준 24 3 8 3 2 2" xfId="18687" xr:uid="{00000000-0005-0000-0000-0000E3480000}"/>
    <cellStyle name="표준 24 3 8 3 2 2 2" xfId="18688" xr:uid="{00000000-0005-0000-0000-0000E4480000}"/>
    <cellStyle name="표준 24 3 8 3 2 2 2 2" xfId="18689" xr:uid="{00000000-0005-0000-0000-0000E5480000}"/>
    <cellStyle name="표준 24 3 8 3 2 2 3" xfId="18690" xr:uid="{00000000-0005-0000-0000-0000E6480000}"/>
    <cellStyle name="표준 24 3 8 3 2 3" xfId="18691" xr:uid="{00000000-0005-0000-0000-0000E7480000}"/>
    <cellStyle name="표준 24 3 8 3 2 3 2" xfId="18692" xr:uid="{00000000-0005-0000-0000-0000E8480000}"/>
    <cellStyle name="표준 24 3 8 3 2 4" xfId="18693" xr:uid="{00000000-0005-0000-0000-0000E9480000}"/>
    <cellStyle name="표준 24 3 8 3 3" xfId="18694" xr:uid="{00000000-0005-0000-0000-0000EA480000}"/>
    <cellStyle name="표준 24 3 8 3 3 2" xfId="18695" xr:uid="{00000000-0005-0000-0000-0000EB480000}"/>
    <cellStyle name="표준 24 3 8 3 3 2 2" xfId="18696" xr:uid="{00000000-0005-0000-0000-0000EC480000}"/>
    <cellStyle name="표준 24 3 8 3 3 3" xfId="18697" xr:uid="{00000000-0005-0000-0000-0000ED480000}"/>
    <cellStyle name="표준 24 3 8 3 4" xfId="18698" xr:uid="{00000000-0005-0000-0000-0000EE480000}"/>
    <cellStyle name="표준 24 3 8 3 4 2" xfId="18699" xr:uid="{00000000-0005-0000-0000-0000EF480000}"/>
    <cellStyle name="표준 24 3 8 3 5" xfId="18700" xr:uid="{00000000-0005-0000-0000-0000F0480000}"/>
    <cellStyle name="표준 24 3 8 4" xfId="18701" xr:uid="{00000000-0005-0000-0000-0000F1480000}"/>
    <cellStyle name="표준 24 3 8 4 2" xfId="18702" xr:uid="{00000000-0005-0000-0000-0000F2480000}"/>
    <cellStyle name="표준 24 3 8 4 2 2" xfId="18703" xr:uid="{00000000-0005-0000-0000-0000F3480000}"/>
    <cellStyle name="표준 24 3 8 4 2 2 2" xfId="18704" xr:uid="{00000000-0005-0000-0000-0000F4480000}"/>
    <cellStyle name="표준 24 3 8 4 2 3" xfId="18705" xr:uid="{00000000-0005-0000-0000-0000F5480000}"/>
    <cellStyle name="표준 24 3 8 4 3" xfId="18706" xr:uid="{00000000-0005-0000-0000-0000F6480000}"/>
    <cellStyle name="표준 24 3 8 4 3 2" xfId="18707" xr:uid="{00000000-0005-0000-0000-0000F7480000}"/>
    <cellStyle name="표준 24 3 8 4 4" xfId="18708" xr:uid="{00000000-0005-0000-0000-0000F8480000}"/>
    <cellStyle name="표준 24 3 8 5" xfId="18709" xr:uid="{00000000-0005-0000-0000-0000F9480000}"/>
    <cellStyle name="표준 24 3 8 5 2" xfId="18710" xr:uid="{00000000-0005-0000-0000-0000FA480000}"/>
    <cellStyle name="표준 24 3 8 5 2 2" xfId="18711" xr:uid="{00000000-0005-0000-0000-0000FB480000}"/>
    <cellStyle name="표준 24 3 8 5 3" xfId="18712" xr:uid="{00000000-0005-0000-0000-0000FC480000}"/>
    <cellStyle name="표준 24 3 8 6" xfId="18713" xr:uid="{00000000-0005-0000-0000-0000FD480000}"/>
    <cellStyle name="표준 24 3 8 6 2" xfId="18714" xr:uid="{00000000-0005-0000-0000-0000FE480000}"/>
    <cellStyle name="표준 24 3 8 7" xfId="18715" xr:uid="{00000000-0005-0000-0000-0000FF480000}"/>
    <cellStyle name="표준 24 3 8 8" xfId="18716" xr:uid="{00000000-0005-0000-0000-000000490000}"/>
    <cellStyle name="표준 24 3 9" xfId="18717" xr:uid="{00000000-0005-0000-0000-000001490000}"/>
    <cellStyle name="표준 24 3 9 2" xfId="18718" xr:uid="{00000000-0005-0000-0000-000002490000}"/>
    <cellStyle name="표준 24 3 9 2 2" xfId="18719" xr:uid="{00000000-0005-0000-0000-000003490000}"/>
    <cellStyle name="표준 24 3 9 2 2 2" xfId="18720" xr:uid="{00000000-0005-0000-0000-000004490000}"/>
    <cellStyle name="표준 24 3 9 2 2 2 2" xfId="18721" xr:uid="{00000000-0005-0000-0000-000005490000}"/>
    <cellStyle name="표준 24 3 9 2 2 2 2 2" xfId="18722" xr:uid="{00000000-0005-0000-0000-000006490000}"/>
    <cellStyle name="표준 24 3 9 2 2 2 3" xfId="18723" xr:uid="{00000000-0005-0000-0000-000007490000}"/>
    <cellStyle name="표준 24 3 9 2 2 3" xfId="18724" xr:uid="{00000000-0005-0000-0000-000008490000}"/>
    <cellStyle name="표준 24 3 9 2 2 3 2" xfId="18725" xr:uid="{00000000-0005-0000-0000-000009490000}"/>
    <cellStyle name="표준 24 3 9 2 2 4" xfId="18726" xr:uid="{00000000-0005-0000-0000-00000A490000}"/>
    <cellStyle name="표준 24 3 9 2 3" xfId="18727" xr:uid="{00000000-0005-0000-0000-00000B490000}"/>
    <cellStyle name="표준 24 3 9 2 3 2" xfId="18728" xr:uid="{00000000-0005-0000-0000-00000C490000}"/>
    <cellStyle name="표준 24 3 9 2 3 2 2" xfId="18729" xr:uid="{00000000-0005-0000-0000-00000D490000}"/>
    <cellStyle name="표준 24 3 9 2 3 3" xfId="18730" xr:uid="{00000000-0005-0000-0000-00000E490000}"/>
    <cellStyle name="표준 24 3 9 2 4" xfId="18731" xr:uid="{00000000-0005-0000-0000-00000F490000}"/>
    <cellStyle name="표준 24 3 9 2 4 2" xfId="18732" xr:uid="{00000000-0005-0000-0000-000010490000}"/>
    <cellStyle name="표준 24 3 9 2 5" xfId="18733" xr:uid="{00000000-0005-0000-0000-000011490000}"/>
    <cellStyle name="표준 24 3 9 3" xfId="18734" xr:uid="{00000000-0005-0000-0000-000012490000}"/>
    <cellStyle name="표준 24 3 9 3 2" xfId="18735" xr:uid="{00000000-0005-0000-0000-000013490000}"/>
    <cellStyle name="표준 24 3 9 3 2 2" xfId="18736" xr:uid="{00000000-0005-0000-0000-000014490000}"/>
    <cellStyle name="표준 24 3 9 3 2 2 2" xfId="18737" xr:uid="{00000000-0005-0000-0000-000015490000}"/>
    <cellStyle name="표준 24 3 9 3 2 3" xfId="18738" xr:uid="{00000000-0005-0000-0000-000016490000}"/>
    <cellStyle name="표준 24 3 9 3 3" xfId="18739" xr:uid="{00000000-0005-0000-0000-000017490000}"/>
    <cellStyle name="표준 24 3 9 3 3 2" xfId="18740" xr:uid="{00000000-0005-0000-0000-000018490000}"/>
    <cellStyle name="표준 24 3 9 3 4" xfId="18741" xr:uid="{00000000-0005-0000-0000-000019490000}"/>
    <cellStyle name="표준 24 3 9 4" xfId="18742" xr:uid="{00000000-0005-0000-0000-00001A490000}"/>
    <cellStyle name="표준 24 3 9 4 2" xfId="18743" xr:uid="{00000000-0005-0000-0000-00001B490000}"/>
    <cellStyle name="표준 24 3 9 4 2 2" xfId="18744" xr:uid="{00000000-0005-0000-0000-00001C490000}"/>
    <cellStyle name="표준 24 3 9 4 3" xfId="18745" xr:uid="{00000000-0005-0000-0000-00001D490000}"/>
    <cellStyle name="표준 24 3 9 5" xfId="18746" xr:uid="{00000000-0005-0000-0000-00001E490000}"/>
    <cellStyle name="표준 24 3 9 5 2" xfId="18747" xr:uid="{00000000-0005-0000-0000-00001F490000}"/>
    <cellStyle name="표준 24 3 9 6" xfId="18748" xr:uid="{00000000-0005-0000-0000-000020490000}"/>
    <cellStyle name="표준 24 4" xfId="18749" xr:uid="{00000000-0005-0000-0000-000021490000}"/>
    <cellStyle name="표준 24 4 10" xfId="18750" xr:uid="{00000000-0005-0000-0000-000022490000}"/>
    <cellStyle name="표준 24 4 11" xfId="18751" xr:uid="{00000000-0005-0000-0000-000023490000}"/>
    <cellStyle name="표준 24 4 2" xfId="18752" xr:uid="{00000000-0005-0000-0000-000024490000}"/>
    <cellStyle name="표준 24 4 2 10" xfId="18753" xr:uid="{00000000-0005-0000-0000-000025490000}"/>
    <cellStyle name="표준 24 4 2 2" xfId="18754" xr:uid="{00000000-0005-0000-0000-000026490000}"/>
    <cellStyle name="표준 24 4 2 2 2" xfId="18755" xr:uid="{00000000-0005-0000-0000-000027490000}"/>
    <cellStyle name="표준 24 4 2 2 2 2" xfId="18756" xr:uid="{00000000-0005-0000-0000-000028490000}"/>
    <cellStyle name="표준 24 4 2 2 2 2 2" xfId="18757" xr:uid="{00000000-0005-0000-0000-000029490000}"/>
    <cellStyle name="표준 24 4 2 2 2 2 2 2" xfId="18758" xr:uid="{00000000-0005-0000-0000-00002A490000}"/>
    <cellStyle name="표준 24 4 2 2 2 2 2 2 2" xfId="18759" xr:uid="{00000000-0005-0000-0000-00002B490000}"/>
    <cellStyle name="표준 24 4 2 2 2 2 2 2 2 2" xfId="18760" xr:uid="{00000000-0005-0000-0000-00002C490000}"/>
    <cellStyle name="표준 24 4 2 2 2 2 2 2 2 2 2" xfId="18761" xr:uid="{00000000-0005-0000-0000-00002D490000}"/>
    <cellStyle name="표준 24 4 2 2 2 2 2 2 2 3" xfId="18762" xr:uid="{00000000-0005-0000-0000-00002E490000}"/>
    <cellStyle name="표준 24 4 2 2 2 2 2 2 3" xfId="18763" xr:uid="{00000000-0005-0000-0000-00002F490000}"/>
    <cellStyle name="표준 24 4 2 2 2 2 2 2 3 2" xfId="18764" xr:uid="{00000000-0005-0000-0000-000030490000}"/>
    <cellStyle name="표준 24 4 2 2 2 2 2 2 4" xfId="18765" xr:uid="{00000000-0005-0000-0000-000031490000}"/>
    <cellStyle name="표준 24 4 2 2 2 2 2 3" xfId="18766" xr:uid="{00000000-0005-0000-0000-000032490000}"/>
    <cellStyle name="표준 24 4 2 2 2 2 2 3 2" xfId="18767" xr:uid="{00000000-0005-0000-0000-000033490000}"/>
    <cellStyle name="표준 24 4 2 2 2 2 2 3 2 2" xfId="18768" xr:uid="{00000000-0005-0000-0000-000034490000}"/>
    <cellStyle name="표준 24 4 2 2 2 2 2 3 3" xfId="18769" xr:uid="{00000000-0005-0000-0000-000035490000}"/>
    <cellStyle name="표준 24 4 2 2 2 2 2 4" xfId="18770" xr:uid="{00000000-0005-0000-0000-000036490000}"/>
    <cellStyle name="표준 24 4 2 2 2 2 2 4 2" xfId="18771" xr:uid="{00000000-0005-0000-0000-000037490000}"/>
    <cellStyle name="표준 24 4 2 2 2 2 2 5" xfId="18772" xr:uid="{00000000-0005-0000-0000-000038490000}"/>
    <cellStyle name="표준 24 4 2 2 2 2 3" xfId="18773" xr:uid="{00000000-0005-0000-0000-000039490000}"/>
    <cellStyle name="표준 24 4 2 2 2 2 3 2" xfId="18774" xr:uid="{00000000-0005-0000-0000-00003A490000}"/>
    <cellStyle name="표준 24 4 2 2 2 2 3 2 2" xfId="18775" xr:uid="{00000000-0005-0000-0000-00003B490000}"/>
    <cellStyle name="표준 24 4 2 2 2 2 3 2 2 2" xfId="18776" xr:uid="{00000000-0005-0000-0000-00003C490000}"/>
    <cellStyle name="표준 24 4 2 2 2 2 3 2 3" xfId="18777" xr:uid="{00000000-0005-0000-0000-00003D490000}"/>
    <cellStyle name="표준 24 4 2 2 2 2 3 3" xfId="18778" xr:uid="{00000000-0005-0000-0000-00003E490000}"/>
    <cellStyle name="표준 24 4 2 2 2 2 3 3 2" xfId="18779" xr:uid="{00000000-0005-0000-0000-00003F490000}"/>
    <cellStyle name="표준 24 4 2 2 2 2 3 4" xfId="18780" xr:uid="{00000000-0005-0000-0000-000040490000}"/>
    <cellStyle name="표준 24 4 2 2 2 2 4" xfId="18781" xr:uid="{00000000-0005-0000-0000-000041490000}"/>
    <cellStyle name="표준 24 4 2 2 2 2 4 2" xfId="18782" xr:uid="{00000000-0005-0000-0000-000042490000}"/>
    <cellStyle name="표준 24 4 2 2 2 2 4 2 2" xfId="18783" xr:uid="{00000000-0005-0000-0000-000043490000}"/>
    <cellStyle name="표준 24 4 2 2 2 2 4 3" xfId="18784" xr:uid="{00000000-0005-0000-0000-000044490000}"/>
    <cellStyle name="표준 24 4 2 2 2 2 5" xfId="18785" xr:uid="{00000000-0005-0000-0000-000045490000}"/>
    <cellStyle name="표준 24 4 2 2 2 2 5 2" xfId="18786" xr:uid="{00000000-0005-0000-0000-000046490000}"/>
    <cellStyle name="표준 24 4 2 2 2 2 6" xfId="18787" xr:uid="{00000000-0005-0000-0000-000047490000}"/>
    <cellStyle name="표준 24 4 2 2 2 3" xfId="18788" xr:uid="{00000000-0005-0000-0000-000048490000}"/>
    <cellStyle name="표준 24 4 2 2 2 3 2" xfId="18789" xr:uid="{00000000-0005-0000-0000-000049490000}"/>
    <cellStyle name="표준 24 4 2 2 2 3 2 2" xfId="18790" xr:uid="{00000000-0005-0000-0000-00004A490000}"/>
    <cellStyle name="표준 24 4 2 2 2 3 2 2 2" xfId="18791" xr:uid="{00000000-0005-0000-0000-00004B490000}"/>
    <cellStyle name="표준 24 4 2 2 2 3 2 2 2 2" xfId="18792" xr:uid="{00000000-0005-0000-0000-00004C490000}"/>
    <cellStyle name="표준 24 4 2 2 2 3 2 2 3" xfId="18793" xr:uid="{00000000-0005-0000-0000-00004D490000}"/>
    <cellStyle name="표준 24 4 2 2 2 3 2 3" xfId="18794" xr:uid="{00000000-0005-0000-0000-00004E490000}"/>
    <cellStyle name="표준 24 4 2 2 2 3 2 3 2" xfId="18795" xr:uid="{00000000-0005-0000-0000-00004F490000}"/>
    <cellStyle name="표준 24 4 2 2 2 3 2 4" xfId="18796" xr:uid="{00000000-0005-0000-0000-000050490000}"/>
    <cellStyle name="표준 24 4 2 2 2 3 3" xfId="18797" xr:uid="{00000000-0005-0000-0000-000051490000}"/>
    <cellStyle name="표준 24 4 2 2 2 3 3 2" xfId="18798" xr:uid="{00000000-0005-0000-0000-000052490000}"/>
    <cellStyle name="표준 24 4 2 2 2 3 3 2 2" xfId="18799" xr:uid="{00000000-0005-0000-0000-000053490000}"/>
    <cellStyle name="표준 24 4 2 2 2 3 3 3" xfId="18800" xr:uid="{00000000-0005-0000-0000-000054490000}"/>
    <cellStyle name="표준 24 4 2 2 2 3 4" xfId="18801" xr:uid="{00000000-0005-0000-0000-000055490000}"/>
    <cellStyle name="표준 24 4 2 2 2 3 4 2" xfId="18802" xr:uid="{00000000-0005-0000-0000-000056490000}"/>
    <cellStyle name="표준 24 4 2 2 2 3 5" xfId="18803" xr:uid="{00000000-0005-0000-0000-000057490000}"/>
    <cellStyle name="표준 24 4 2 2 2 4" xfId="18804" xr:uid="{00000000-0005-0000-0000-000058490000}"/>
    <cellStyle name="표준 24 4 2 2 2 4 2" xfId="18805" xr:uid="{00000000-0005-0000-0000-000059490000}"/>
    <cellStyle name="표준 24 4 2 2 2 4 2 2" xfId="18806" xr:uid="{00000000-0005-0000-0000-00005A490000}"/>
    <cellStyle name="표준 24 4 2 2 2 4 2 2 2" xfId="18807" xr:uid="{00000000-0005-0000-0000-00005B490000}"/>
    <cellStyle name="표준 24 4 2 2 2 4 2 3" xfId="18808" xr:uid="{00000000-0005-0000-0000-00005C490000}"/>
    <cellStyle name="표준 24 4 2 2 2 4 3" xfId="18809" xr:uid="{00000000-0005-0000-0000-00005D490000}"/>
    <cellStyle name="표준 24 4 2 2 2 4 3 2" xfId="18810" xr:uid="{00000000-0005-0000-0000-00005E490000}"/>
    <cellStyle name="표준 24 4 2 2 2 4 4" xfId="18811" xr:uid="{00000000-0005-0000-0000-00005F490000}"/>
    <cellStyle name="표준 24 4 2 2 2 5" xfId="18812" xr:uid="{00000000-0005-0000-0000-000060490000}"/>
    <cellStyle name="표준 24 4 2 2 2 5 2" xfId="18813" xr:uid="{00000000-0005-0000-0000-000061490000}"/>
    <cellStyle name="표준 24 4 2 2 2 5 2 2" xfId="18814" xr:uid="{00000000-0005-0000-0000-000062490000}"/>
    <cellStyle name="표준 24 4 2 2 2 5 3" xfId="18815" xr:uid="{00000000-0005-0000-0000-000063490000}"/>
    <cellStyle name="표준 24 4 2 2 2 6" xfId="18816" xr:uid="{00000000-0005-0000-0000-000064490000}"/>
    <cellStyle name="표준 24 4 2 2 2 6 2" xfId="18817" xr:uid="{00000000-0005-0000-0000-000065490000}"/>
    <cellStyle name="표준 24 4 2 2 2 7" xfId="18818" xr:uid="{00000000-0005-0000-0000-000066490000}"/>
    <cellStyle name="표준 24 4 2 2 2 8" xfId="18819" xr:uid="{00000000-0005-0000-0000-000067490000}"/>
    <cellStyle name="표준 24 4 2 2 3" xfId="18820" xr:uid="{00000000-0005-0000-0000-000068490000}"/>
    <cellStyle name="표준 24 4 2 2 3 2" xfId="18821" xr:uid="{00000000-0005-0000-0000-000069490000}"/>
    <cellStyle name="표준 24 4 2 2 3 2 2" xfId="18822" xr:uid="{00000000-0005-0000-0000-00006A490000}"/>
    <cellStyle name="표준 24 4 2 2 3 2 2 2" xfId="18823" xr:uid="{00000000-0005-0000-0000-00006B490000}"/>
    <cellStyle name="표준 24 4 2 2 3 2 2 2 2" xfId="18824" xr:uid="{00000000-0005-0000-0000-00006C490000}"/>
    <cellStyle name="표준 24 4 2 2 3 2 2 2 2 2" xfId="18825" xr:uid="{00000000-0005-0000-0000-00006D490000}"/>
    <cellStyle name="표준 24 4 2 2 3 2 2 2 3" xfId="18826" xr:uid="{00000000-0005-0000-0000-00006E490000}"/>
    <cellStyle name="표준 24 4 2 2 3 2 2 3" xfId="18827" xr:uid="{00000000-0005-0000-0000-00006F490000}"/>
    <cellStyle name="표준 24 4 2 2 3 2 2 3 2" xfId="18828" xr:uid="{00000000-0005-0000-0000-000070490000}"/>
    <cellStyle name="표준 24 4 2 2 3 2 2 4" xfId="18829" xr:uid="{00000000-0005-0000-0000-000071490000}"/>
    <cellStyle name="표준 24 4 2 2 3 2 3" xfId="18830" xr:uid="{00000000-0005-0000-0000-000072490000}"/>
    <cellStyle name="표준 24 4 2 2 3 2 3 2" xfId="18831" xr:uid="{00000000-0005-0000-0000-000073490000}"/>
    <cellStyle name="표준 24 4 2 2 3 2 3 2 2" xfId="18832" xr:uid="{00000000-0005-0000-0000-000074490000}"/>
    <cellStyle name="표준 24 4 2 2 3 2 3 3" xfId="18833" xr:uid="{00000000-0005-0000-0000-000075490000}"/>
    <cellStyle name="표준 24 4 2 2 3 2 4" xfId="18834" xr:uid="{00000000-0005-0000-0000-000076490000}"/>
    <cellStyle name="표준 24 4 2 2 3 2 4 2" xfId="18835" xr:uid="{00000000-0005-0000-0000-000077490000}"/>
    <cellStyle name="표준 24 4 2 2 3 2 5" xfId="18836" xr:uid="{00000000-0005-0000-0000-000078490000}"/>
    <cellStyle name="표준 24 4 2 2 3 3" xfId="18837" xr:uid="{00000000-0005-0000-0000-000079490000}"/>
    <cellStyle name="표준 24 4 2 2 3 3 2" xfId="18838" xr:uid="{00000000-0005-0000-0000-00007A490000}"/>
    <cellStyle name="표준 24 4 2 2 3 3 2 2" xfId="18839" xr:uid="{00000000-0005-0000-0000-00007B490000}"/>
    <cellStyle name="표준 24 4 2 2 3 3 2 2 2" xfId="18840" xr:uid="{00000000-0005-0000-0000-00007C490000}"/>
    <cellStyle name="표준 24 4 2 2 3 3 2 3" xfId="18841" xr:uid="{00000000-0005-0000-0000-00007D490000}"/>
    <cellStyle name="표준 24 4 2 2 3 3 3" xfId="18842" xr:uid="{00000000-0005-0000-0000-00007E490000}"/>
    <cellStyle name="표준 24 4 2 2 3 3 3 2" xfId="18843" xr:uid="{00000000-0005-0000-0000-00007F490000}"/>
    <cellStyle name="표준 24 4 2 2 3 3 4" xfId="18844" xr:uid="{00000000-0005-0000-0000-000080490000}"/>
    <cellStyle name="표준 24 4 2 2 3 4" xfId="18845" xr:uid="{00000000-0005-0000-0000-000081490000}"/>
    <cellStyle name="표준 24 4 2 2 3 4 2" xfId="18846" xr:uid="{00000000-0005-0000-0000-000082490000}"/>
    <cellStyle name="표준 24 4 2 2 3 4 2 2" xfId="18847" xr:uid="{00000000-0005-0000-0000-000083490000}"/>
    <cellStyle name="표준 24 4 2 2 3 4 3" xfId="18848" xr:uid="{00000000-0005-0000-0000-000084490000}"/>
    <cellStyle name="표준 24 4 2 2 3 5" xfId="18849" xr:uid="{00000000-0005-0000-0000-000085490000}"/>
    <cellStyle name="표준 24 4 2 2 3 5 2" xfId="18850" xr:uid="{00000000-0005-0000-0000-000086490000}"/>
    <cellStyle name="표준 24 4 2 2 3 6" xfId="18851" xr:uid="{00000000-0005-0000-0000-000087490000}"/>
    <cellStyle name="표준 24 4 2 2 4" xfId="18852" xr:uid="{00000000-0005-0000-0000-000088490000}"/>
    <cellStyle name="표준 24 4 2 2 4 2" xfId="18853" xr:uid="{00000000-0005-0000-0000-000089490000}"/>
    <cellStyle name="표준 24 4 2 2 4 2 2" xfId="18854" xr:uid="{00000000-0005-0000-0000-00008A490000}"/>
    <cellStyle name="표준 24 4 2 2 4 2 2 2" xfId="18855" xr:uid="{00000000-0005-0000-0000-00008B490000}"/>
    <cellStyle name="표준 24 4 2 2 4 2 2 2 2" xfId="18856" xr:uid="{00000000-0005-0000-0000-00008C490000}"/>
    <cellStyle name="표준 24 4 2 2 4 2 2 3" xfId="18857" xr:uid="{00000000-0005-0000-0000-00008D490000}"/>
    <cellStyle name="표준 24 4 2 2 4 2 3" xfId="18858" xr:uid="{00000000-0005-0000-0000-00008E490000}"/>
    <cellStyle name="표준 24 4 2 2 4 2 3 2" xfId="18859" xr:uid="{00000000-0005-0000-0000-00008F490000}"/>
    <cellStyle name="표준 24 4 2 2 4 2 4" xfId="18860" xr:uid="{00000000-0005-0000-0000-000090490000}"/>
    <cellStyle name="표준 24 4 2 2 4 3" xfId="18861" xr:uid="{00000000-0005-0000-0000-000091490000}"/>
    <cellStyle name="표준 24 4 2 2 4 3 2" xfId="18862" xr:uid="{00000000-0005-0000-0000-000092490000}"/>
    <cellStyle name="표준 24 4 2 2 4 3 2 2" xfId="18863" xr:uid="{00000000-0005-0000-0000-000093490000}"/>
    <cellStyle name="표준 24 4 2 2 4 3 3" xfId="18864" xr:uid="{00000000-0005-0000-0000-000094490000}"/>
    <cellStyle name="표준 24 4 2 2 4 4" xfId="18865" xr:uid="{00000000-0005-0000-0000-000095490000}"/>
    <cellStyle name="표준 24 4 2 2 4 4 2" xfId="18866" xr:uid="{00000000-0005-0000-0000-000096490000}"/>
    <cellStyle name="표준 24 4 2 2 4 5" xfId="18867" xr:uid="{00000000-0005-0000-0000-000097490000}"/>
    <cellStyle name="표준 24 4 2 2 5" xfId="18868" xr:uid="{00000000-0005-0000-0000-000098490000}"/>
    <cellStyle name="표준 24 4 2 2 5 2" xfId="18869" xr:uid="{00000000-0005-0000-0000-000099490000}"/>
    <cellStyle name="표준 24 4 2 2 5 2 2" xfId="18870" xr:uid="{00000000-0005-0000-0000-00009A490000}"/>
    <cellStyle name="표준 24 4 2 2 5 2 2 2" xfId="18871" xr:uid="{00000000-0005-0000-0000-00009B490000}"/>
    <cellStyle name="표준 24 4 2 2 5 2 3" xfId="18872" xr:uid="{00000000-0005-0000-0000-00009C490000}"/>
    <cellStyle name="표준 24 4 2 2 5 3" xfId="18873" xr:uid="{00000000-0005-0000-0000-00009D490000}"/>
    <cellStyle name="표준 24 4 2 2 5 3 2" xfId="18874" xr:uid="{00000000-0005-0000-0000-00009E490000}"/>
    <cellStyle name="표준 24 4 2 2 5 4" xfId="18875" xr:uid="{00000000-0005-0000-0000-00009F490000}"/>
    <cellStyle name="표준 24 4 2 2 6" xfId="18876" xr:uid="{00000000-0005-0000-0000-0000A0490000}"/>
    <cellStyle name="표준 24 4 2 2 6 2" xfId="18877" xr:uid="{00000000-0005-0000-0000-0000A1490000}"/>
    <cellStyle name="표준 24 4 2 2 6 2 2" xfId="18878" xr:uid="{00000000-0005-0000-0000-0000A2490000}"/>
    <cellStyle name="표준 24 4 2 2 6 3" xfId="18879" xr:uid="{00000000-0005-0000-0000-0000A3490000}"/>
    <cellStyle name="표준 24 4 2 2 7" xfId="18880" xr:uid="{00000000-0005-0000-0000-0000A4490000}"/>
    <cellStyle name="표준 24 4 2 2 7 2" xfId="18881" xr:uid="{00000000-0005-0000-0000-0000A5490000}"/>
    <cellStyle name="표준 24 4 2 2 8" xfId="18882" xr:uid="{00000000-0005-0000-0000-0000A6490000}"/>
    <cellStyle name="표준 24 4 2 2 9" xfId="18883" xr:uid="{00000000-0005-0000-0000-0000A7490000}"/>
    <cellStyle name="표준 24 4 2 3" xfId="18884" xr:uid="{00000000-0005-0000-0000-0000A8490000}"/>
    <cellStyle name="표준 24 4 2 3 2" xfId="18885" xr:uid="{00000000-0005-0000-0000-0000A9490000}"/>
    <cellStyle name="표준 24 4 2 3 2 2" xfId="18886" xr:uid="{00000000-0005-0000-0000-0000AA490000}"/>
    <cellStyle name="표준 24 4 2 3 2 2 2" xfId="18887" xr:uid="{00000000-0005-0000-0000-0000AB490000}"/>
    <cellStyle name="표준 24 4 2 3 2 2 2 2" xfId="18888" xr:uid="{00000000-0005-0000-0000-0000AC490000}"/>
    <cellStyle name="표준 24 4 2 3 2 2 2 2 2" xfId="18889" xr:uid="{00000000-0005-0000-0000-0000AD490000}"/>
    <cellStyle name="표준 24 4 2 3 2 2 2 2 2 2" xfId="18890" xr:uid="{00000000-0005-0000-0000-0000AE490000}"/>
    <cellStyle name="표준 24 4 2 3 2 2 2 2 3" xfId="18891" xr:uid="{00000000-0005-0000-0000-0000AF490000}"/>
    <cellStyle name="표준 24 4 2 3 2 2 2 3" xfId="18892" xr:uid="{00000000-0005-0000-0000-0000B0490000}"/>
    <cellStyle name="표준 24 4 2 3 2 2 2 3 2" xfId="18893" xr:uid="{00000000-0005-0000-0000-0000B1490000}"/>
    <cellStyle name="표준 24 4 2 3 2 2 2 4" xfId="18894" xr:uid="{00000000-0005-0000-0000-0000B2490000}"/>
    <cellStyle name="표준 24 4 2 3 2 2 3" xfId="18895" xr:uid="{00000000-0005-0000-0000-0000B3490000}"/>
    <cellStyle name="표준 24 4 2 3 2 2 3 2" xfId="18896" xr:uid="{00000000-0005-0000-0000-0000B4490000}"/>
    <cellStyle name="표준 24 4 2 3 2 2 3 2 2" xfId="18897" xr:uid="{00000000-0005-0000-0000-0000B5490000}"/>
    <cellStyle name="표준 24 4 2 3 2 2 3 3" xfId="18898" xr:uid="{00000000-0005-0000-0000-0000B6490000}"/>
    <cellStyle name="표준 24 4 2 3 2 2 4" xfId="18899" xr:uid="{00000000-0005-0000-0000-0000B7490000}"/>
    <cellStyle name="표준 24 4 2 3 2 2 4 2" xfId="18900" xr:uid="{00000000-0005-0000-0000-0000B8490000}"/>
    <cellStyle name="표준 24 4 2 3 2 2 5" xfId="18901" xr:uid="{00000000-0005-0000-0000-0000B9490000}"/>
    <cellStyle name="표준 24 4 2 3 2 3" xfId="18902" xr:uid="{00000000-0005-0000-0000-0000BA490000}"/>
    <cellStyle name="표준 24 4 2 3 2 3 2" xfId="18903" xr:uid="{00000000-0005-0000-0000-0000BB490000}"/>
    <cellStyle name="표준 24 4 2 3 2 3 2 2" xfId="18904" xr:uid="{00000000-0005-0000-0000-0000BC490000}"/>
    <cellStyle name="표준 24 4 2 3 2 3 2 2 2" xfId="18905" xr:uid="{00000000-0005-0000-0000-0000BD490000}"/>
    <cellStyle name="표준 24 4 2 3 2 3 2 3" xfId="18906" xr:uid="{00000000-0005-0000-0000-0000BE490000}"/>
    <cellStyle name="표준 24 4 2 3 2 3 3" xfId="18907" xr:uid="{00000000-0005-0000-0000-0000BF490000}"/>
    <cellStyle name="표준 24 4 2 3 2 3 3 2" xfId="18908" xr:uid="{00000000-0005-0000-0000-0000C0490000}"/>
    <cellStyle name="표준 24 4 2 3 2 3 4" xfId="18909" xr:uid="{00000000-0005-0000-0000-0000C1490000}"/>
    <cellStyle name="표준 24 4 2 3 2 4" xfId="18910" xr:uid="{00000000-0005-0000-0000-0000C2490000}"/>
    <cellStyle name="표준 24 4 2 3 2 4 2" xfId="18911" xr:uid="{00000000-0005-0000-0000-0000C3490000}"/>
    <cellStyle name="표준 24 4 2 3 2 4 2 2" xfId="18912" xr:uid="{00000000-0005-0000-0000-0000C4490000}"/>
    <cellStyle name="표준 24 4 2 3 2 4 3" xfId="18913" xr:uid="{00000000-0005-0000-0000-0000C5490000}"/>
    <cellStyle name="표준 24 4 2 3 2 5" xfId="18914" xr:uid="{00000000-0005-0000-0000-0000C6490000}"/>
    <cellStyle name="표준 24 4 2 3 2 5 2" xfId="18915" xr:uid="{00000000-0005-0000-0000-0000C7490000}"/>
    <cellStyle name="표준 24 4 2 3 2 6" xfId="18916" xr:uid="{00000000-0005-0000-0000-0000C8490000}"/>
    <cellStyle name="표준 24 4 2 3 3" xfId="18917" xr:uid="{00000000-0005-0000-0000-0000C9490000}"/>
    <cellStyle name="표준 24 4 2 3 3 2" xfId="18918" xr:uid="{00000000-0005-0000-0000-0000CA490000}"/>
    <cellStyle name="표준 24 4 2 3 3 2 2" xfId="18919" xr:uid="{00000000-0005-0000-0000-0000CB490000}"/>
    <cellStyle name="표준 24 4 2 3 3 2 2 2" xfId="18920" xr:uid="{00000000-0005-0000-0000-0000CC490000}"/>
    <cellStyle name="표준 24 4 2 3 3 2 2 2 2" xfId="18921" xr:uid="{00000000-0005-0000-0000-0000CD490000}"/>
    <cellStyle name="표준 24 4 2 3 3 2 2 3" xfId="18922" xr:uid="{00000000-0005-0000-0000-0000CE490000}"/>
    <cellStyle name="표준 24 4 2 3 3 2 3" xfId="18923" xr:uid="{00000000-0005-0000-0000-0000CF490000}"/>
    <cellStyle name="표준 24 4 2 3 3 2 3 2" xfId="18924" xr:uid="{00000000-0005-0000-0000-0000D0490000}"/>
    <cellStyle name="표준 24 4 2 3 3 2 4" xfId="18925" xr:uid="{00000000-0005-0000-0000-0000D1490000}"/>
    <cellStyle name="표준 24 4 2 3 3 3" xfId="18926" xr:uid="{00000000-0005-0000-0000-0000D2490000}"/>
    <cellStyle name="표준 24 4 2 3 3 3 2" xfId="18927" xr:uid="{00000000-0005-0000-0000-0000D3490000}"/>
    <cellStyle name="표준 24 4 2 3 3 3 2 2" xfId="18928" xr:uid="{00000000-0005-0000-0000-0000D4490000}"/>
    <cellStyle name="표준 24 4 2 3 3 3 3" xfId="18929" xr:uid="{00000000-0005-0000-0000-0000D5490000}"/>
    <cellStyle name="표준 24 4 2 3 3 4" xfId="18930" xr:uid="{00000000-0005-0000-0000-0000D6490000}"/>
    <cellStyle name="표준 24 4 2 3 3 4 2" xfId="18931" xr:uid="{00000000-0005-0000-0000-0000D7490000}"/>
    <cellStyle name="표준 24 4 2 3 3 5" xfId="18932" xr:uid="{00000000-0005-0000-0000-0000D8490000}"/>
    <cellStyle name="표준 24 4 2 3 4" xfId="18933" xr:uid="{00000000-0005-0000-0000-0000D9490000}"/>
    <cellStyle name="표준 24 4 2 3 4 2" xfId="18934" xr:uid="{00000000-0005-0000-0000-0000DA490000}"/>
    <cellStyle name="표준 24 4 2 3 4 2 2" xfId="18935" xr:uid="{00000000-0005-0000-0000-0000DB490000}"/>
    <cellStyle name="표준 24 4 2 3 4 2 2 2" xfId="18936" xr:uid="{00000000-0005-0000-0000-0000DC490000}"/>
    <cellStyle name="표준 24 4 2 3 4 2 3" xfId="18937" xr:uid="{00000000-0005-0000-0000-0000DD490000}"/>
    <cellStyle name="표준 24 4 2 3 4 3" xfId="18938" xr:uid="{00000000-0005-0000-0000-0000DE490000}"/>
    <cellStyle name="표준 24 4 2 3 4 3 2" xfId="18939" xr:uid="{00000000-0005-0000-0000-0000DF490000}"/>
    <cellStyle name="표준 24 4 2 3 4 4" xfId="18940" xr:uid="{00000000-0005-0000-0000-0000E0490000}"/>
    <cellStyle name="표준 24 4 2 3 5" xfId="18941" xr:uid="{00000000-0005-0000-0000-0000E1490000}"/>
    <cellStyle name="표준 24 4 2 3 5 2" xfId="18942" xr:uid="{00000000-0005-0000-0000-0000E2490000}"/>
    <cellStyle name="표준 24 4 2 3 5 2 2" xfId="18943" xr:uid="{00000000-0005-0000-0000-0000E3490000}"/>
    <cellStyle name="표준 24 4 2 3 5 3" xfId="18944" xr:uid="{00000000-0005-0000-0000-0000E4490000}"/>
    <cellStyle name="표준 24 4 2 3 6" xfId="18945" xr:uid="{00000000-0005-0000-0000-0000E5490000}"/>
    <cellStyle name="표준 24 4 2 3 6 2" xfId="18946" xr:uid="{00000000-0005-0000-0000-0000E6490000}"/>
    <cellStyle name="표준 24 4 2 3 7" xfId="18947" xr:uid="{00000000-0005-0000-0000-0000E7490000}"/>
    <cellStyle name="표준 24 4 2 3 8" xfId="18948" xr:uid="{00000000-0005-0000-0000-0000E8490000}"/>
    <cellStyle name="표준 24 4 2 4" xfId="18949" xr:uid="{00000000-0005-0000-0000-0000E9490000}"/>
    <cellStyle name="표준 24 4 2 4 2" xfId="18950" xr:uid="{00000000-0005-0000-0000-0000EA490000}"/>
    <cellStyle name="표준 24 4 2 4 2 2" xfId="18951" xr:uid="{00000000-0005-0000-0000-0000EB490000}"/>
    <cellStyle name="표준 24 4 2 4 2 2 2" xfId="18952" xr:uid="{00000000-0005-0000-0000-0000EC490000}"/>
    <cellStyle name="표준 24 4 2 4 2 2 2 2" xfId="18953" xr:uid="{00000000-0005-0000-0000-0000ED490000}"/>
    <cellStyle name="표준 24 4 2 4 2 2 2 2 2" xfId="18954" xr:uid="{00000000-0005-0000-0000-0000EE490000}"/>
    <cellStyle name="표준 24 4 2 4 2 2 2 3" xfId="18955" xr:uid="{00000000-0005-0000-0000-0000EF490000}"/>
    <cellStyle name="표준 24 4 2 4 2 2 3" xfId="18956" xr:uid="{00000000-0005-0000-0000-0000F0490000}"/>
    <cellStyle name="표준 24 4 2 4 2 2 3 2" xfId="18957" xr:uid="{00000000-0005-0000-0000-0000F1490000}"/>
    <cellStyle name="표준 24 4 2 4 2 2 4" xfId="18958" xr:uid="{00000000-0005-0000-0000-0000F2490000}"/>
    <cellStyle name="표준 24 4 2 4 2 3" xfId="18959" xr:uid="{00000000-0005-0000-0000-0000F3490000}"/>
    <cellStyle name="표준 24 4 2 4 2 3 2" xfId="18960" xr:uid="{00000000-0005-0000-0000-0000F4490000}"/>
    <cellStyle name="표준 24 4 2 4 2 3 2 2" xfId="18961" xr:uid="{00000000-0005-0000-0000-0000F5490000}"/>
    <cellStyle name="표준 24 4 2 4 2 3 3" xfId="18962" xr:uid="{00000000-0005-0000-0000-0000F6490000}"/>
    <cellStyle name="표준 24 4 2 4 2 4" xfId="18963" xr:uid="{00000000-0005-0000-0000-0000F7490000}"/>
    <cellStyle name="표준 24 4 2 4 2 4 2" xfId="18964" xr:uid="{00000000-0005-0000-0000-0000F8490000}"/>
    <cellStyle name="표준 24 4 2 4 2 5" xfId="18965" xr:uid="{00000000-0005-0000-0000-0000F9490000}"/>
    <cellStyle name="표준 24 4 2 4 3" xfId="18966" xr:uid="{00000000-0005-0000-0000-0000FA490000}"/>
    <cellStyle name="표준 24 4 2 4 3 2" xfId="18967" xr:uid="{00000000-0005-0000-0000-0000FB490000}"/>
    <cellStyle name="표준 24 4 2 4 3 2 2" xfId="18968" xr:uid="{00000000-0005-0000-0000-0000FC490000}"/>
    <cellStyle name="표준 24 4 2 4 3 2 2 2" xfId="18969" xr:uid="{00000000-0005-0000-0000-0000FD490000}"/>
    <cellStyle name="표준 24 4 2 4 3 2 3" xfId="18970" xr:uid="{00000000-0005-0000-0000-0000FE490000}"/>
    <cellStyle name="표준 24 4 2 4 3 3" xfId="18971" xr:uid="{00000000-0005-0000-0000-0000FF490000}"/>
    <cellStyle name="표준 24 4 2 4 3 3 2" xfId="18972" xr:uid="{00000000-0005-0000-0000-0000004A0000}"/>
    <cellStyle name="표준 24 4 2 4 3 4" xfId="18973" xr:uid="{00000000-0005-0000-0000-0000014A0000}"/>
    <cellStyle name="표준 24 4 2 4 4" xfId="18974" xr:uid="{00000000-0005-0000-0000-0000024A0000}"/>
    <cellStyle name="표준 24 4 2 4 4 2" xfId="18975" xr:uid="{00000000-0005-0000-0000-0000034A0000}"/>
    <cellStyle name="표준 24 4 2 4 4 2 2" xfId="18976" xr:uid="{00000000-0005-0000-0000-0000044A0000}"/>
    <cellStyle name="표준 24 4 2 4 4 3" xfId="18977" xr:uid="{00000000-0005-0000-0000-0000054A0000}"/>
    <cellStyle name="표준 24 4 2 4 5" xfId="18978" xr:uid="{00000000-0005-0000-0000-0000064A0000}"/>
    <cellStyle name="표준 24 4 2 4 5 2" xfId="18979" xr:uid="{00000000-0005-0000-0000-0000074A0000}"/>
    <cellStyle name="표준 24 4 2 4 6" xfId="18980" xr:uid="{00000000-0005-0000-0000-0000084A0000}"/>
    <cellStyle name="표준 24 4 2 5" xfId="18981" xr:uid="{00000000-0005-0000-0000-0000094A0000}"/>
    <cellStyle name="표준 24 4 2 5 2" xfId="18982" xr:uid="{00000000-0005-0000-0000-00000A4A0000}"/>
    <cellStyle name="표준 24 4 2 5 2 2" xfId="18983" xr:uid="{00000000-0005-0000-0000-00000B4A0000}"/>
    <cellStyle name="표준 24 4 2 5 2 2 2" xfId="18984" xr:uid="{00000000-0005-0000-0000-00000C4A0000}"/>
    <cellStyle name="표준 24 4 2 5 2 2 2 2" xfId="18985" xr:uid="{00000000-0005-0000-0000-00000D4A0000}"/>
    <cellStyle name="표준 24 4 2 5 2 2 3" xfId="18986" xr:uid="{00000000-0005-0000-0000-00000E4A0000}"/>
    <cellStyle name="표준 24 4 2 5 2 3" xfId="18987" xr:uid="{00000000-0005-0000-0000-00000F4A0000}"/>
    <cellStyle name="표준 24 4 2 5 2 3 2" xfId="18988" xr:uid="{00000000-0005-0000-0000-0000104A0000}"/>
    <cellStyle name="표준 24 4 2 5 2 4" xfId="18989" xr:uid="{00000000-0005-0000-0000-0000114A0000}"/>
    <cellStyle name="표준 24 4 2 5 3" xfId="18990" xr:uid="{00000000-0005-0000-0000-0000124A0000}"/>
    <cellStyle name="표준 24 4 2 5 3 2" xfId="18991" xr:uid="{00000000-0005-0000-0000-0000134A0000}"/>
    <cellStyle name="표준 24 4 2 5 3 2 2" xfId="18992" xr:uid="{00000000-0005-0000-0000-0000144A0000}"/>
    <cellStyle name="표준 24 4 2 5 3 3" xfId="18993" xr:uid="{00000000-0005-0000-0000-0000154A0000}"/>
    <cellStyle name="표준 24 4 2 5 4" xfId="18994" xr:uid="{00000000-0005-0000-0000-0000164A0000}"/>
    <cellStyle name="표준 24 4 2 5 4 2" xfId="18995" xr:uid="{00000000-0005-0000-0000-0000174A0000}"/>
    <cellStyle name="표준 24 4 2 5 5" xfId="18996" xr:uid="{00000000-0005-0000-0000-0000184A0000}"/>
    <cellStyle name="표준 24 4 2 6" xfId="18997" xr:uid="{00000000-0005-0000-0000-0000194A0000}"/>
    <cellStyle name="표준 24 4 2 6 2" xfId="18998" xr:uid="{00000000-0005-0000-0000-00001A4A0000}"/>
    <cellStyle name="표준 24 4 2 6 2 2" xfId="18999" xr:uid="{00000000-0005-0000-0000-00001B4A0000}"/>
    <cellStyle name="표준 24 4 2 6 2 2 2" xfId="19000" xr:uid="{00000000-0005-0000-0000-00001C4A0000}"/>
    <cellStyle name="표준 24 4 2 6 2 3" xfId="19001" xr:uid="{00000000-0005-0000-0000-00001D4A0000}"/>
    <cellStyle name="표준 24 4 2 6 3" xfId="19002" xr:uid="{00000000-0005-0000-0000-00001E4A0000}"/>
    <cellStyle name="표준 24 4 2 6 3 2" xfId="19003" xr:uid="{00000000-0005-0000-0000-00001F4A0000}"/>
    <cellStyle name="표준 24 4 2 6 4" xfId="19004" xr:uid="{00000000-0005-0000-0000-0000204A0000}"/>
    <cellStyle name="표준 24 4 2 7" xfId="19005" xr:uid="{00000000-0005-0000-0000-0000214A0000}"/>
    <cellStyle name="표준 24 4 2 7 2" xfId="19006" xr:uid="{00000000-0005-0000-0000-0000224A0000}"/>
    <cellStyle name="표준 24 4 2 7 2 2" xfId="19007" xr:uid="{00000000-0005-0000-0000-0000234A0000}"/>
    <cellStyle name="표준 24 4 2 7 3" xfId="19008" xr:uid="{00000000-0005-0000-0000-0000244A0000}"/>
    <cellStyle name="표준 24 4 2 8" xfId="19009" xr:uid="{00000000-0005-0000-0000-0000254A0000}"/>
    <cellStyle name="표준 24 4 2 8 2" xfId="19010" xr:uid="{00000000-0005-0000-0000-0000264A0000}"/>
    <cellStyle name="표준 24 4 2 9" xfId="19011" xr:uid="{00000000-0005-0000-0000-0000274A0000}"/>
    <cellStyle name="표준 24 4 3" xfId="19012" xr:uid="{00000000-0005-0000-0000-0000284A0000}"/>
    <cellStyle name="표준 24 4 3 2" xfId="19013" xr:uid="{00000000-0005-0000-0000-0000294A0000}"/>
    <cellStyle name="표준 24 4 3 2 2" xfId="19014" xr:uid="{00000000-0005-0000-0000-00002A4A0000}"/>
    <cellStyle name="표준 24 4 3 2 2 2" xfId="19015" xr:uid="{00000000-0005-0000-0000-00002B4A0000}"/>
    <cellStyle name="표준 24 4 3 2 2 2 2" xfId="19016" xr:uid="{00000000-0005-0000-0000-00002C4A0000}"/>
    <cellStyle name="표준 24 4 3 2 2 2 2 2" xfId="19017" xr:uid="{00000000-0005-0000-0000-00002D4A0000}"/>
    <cellStyle name="표준 24 4 3 2 2 2 2 2 2" xfId="19018" xr:uid="{00000000-0005-0000-0000-00002E4A0000}"/>
    <cellStyle name="표준 24 4 3 2 2 2 2 2 2 2" xfId="19019" xr:uid="{00000000-0005-0000-0000-00002F4A0000}"/>
    <cellStyle name="표준 24 4 3 2 2 2 2 2 3" xfId="19020" xr:uid="{00000000-0005-0000-0000-0000304A0000}"/>
    <cellStyle name="표준 24 4 3 2 2 2 2 3" xfId="19021" xr:uid="{00000000-0005-0000-0000-0000314A0000}"/>
    <cellStyle name="표준 24 4 3 2 2 2 2 3 2" xfId="19022" xr:uid="{00000000-0005-0000-0000-0000324A0000}"/>
    <cellStyle name="표준 24 4 3 2 2 2 2 4" xfId="19023" xr:uid="{00000000-0005-0000-0000-0000334A0000}"/>
    <cellStyle name="표준 24 4 3 2 2 2 3" xfId="19024" xr:uid="{00000000-0005-0000-0000-0000344A0000}"/>
    <cellStyle name="표준 24 4 3 2 2 2 3 2" xfId="19025" xr:uid="{00000000-0005-0000-0000-0000354A0000}"/>
    <cellStyle name="표준 24 4 3 2 2 2 3 2 2" xfId="19026" xr:uid="{00000000-0005-0000-0000-0000364A0000}"/>
    <cellStyle name="표준 24 4 3 2 2 2 3 3" xfId="19027" xr:uid="{00000000-0005-0000-0000-0000374A0000}"/>
    <cellStyle name="표준 24 4 3 2 2 2 4" xfId="19028" xr:uid="{00000000-0005-0000-0000-0000384A0000}"/>
    <cellStyle name="표준 24 4 3 2 2 2 4 2" xfId="19029" xr:uid="{00000000-0005-0000-0000-0000394A0000}"/>
    <cellStyle name="표준 24 4 3 2 2 2 5" xfId="19030" xr:uid="{00000000-0005-0000-0000-00003A4A0000}"/>
    <cellStyle name="표준 24 4 3 2 2 3" xfId="19031" xr:uid="{00000000-0005-0000-0000-00003B4A0000}"/>
    <cellStyle name="표준 24 4 3 2 2 3 2" xfId="19032" xr:uid="{00000000-0005-0000-0000-00003C4A0000}"/>
    <cellStyle name="표준 24 4 3 2 2 3 2 2" xfId="19033" xr:uid="{00000000-0005-0000-0000-00003D4A0000}"/>
    <cellStyle name="표준 24 4 3 2 2 3 2 2 2" xfId="19034" xr:uid="{00000000-0005-0000-0000-00003E4A0000}"/>
    <cellStyle name="표준 24 4 3 2 2 3 2 3" xfId="19035" xr:uid="{00000000-0005-0000-0000-00003F4A0000}"/>
    <cellStyle name="표준 24 4 3 2 2 3 3" xfId="19036" xr:uid="{00000000-0005-0000-0000-0000404A0000}"/>
    <cellStyle name="표준 24 4 3 2 2 3 3 2" xfId="19037" xr:uid="{00000000-0005-0000-0000-0000414A0000}"/>
    <cellStyle name="표준 24 4 3 2 2 3 4" xfId="19038" xr:uid="{00000000-0005-0000-0000-0000424A0000}"/>
    <cellStyle name="표준 24 4 3 2 2 4" xfId="19039" xr:uid="{00000000-0005-0000-0000-0000434A0000}"/>
    <cellStyle name="표준 24 4 3 2 2 4 2" xfId="19040" xr:uid="{00000000-0005-0000-0000-0000444A0000}"/>
    <cellStyle name="표준 24 4 3 2 2 4 2 2" xfId="19041" xr:uid="{00000000-0005-0000-0000-0000454A0000}"/>
    <cellStyle name="표준 24 4 3 2 2 4 3" xfId="19042" xr:uid="{00000000-0005-0000-0000-0000464A0000}"/>
    <cellStyle name="표준 24 4 3 2 2 5" xfId="19043" xr:uid="{00000000-0005-0000-0000-0000474A0000}"/>
    <cellStyle name="표준 24 4 3 2 2 5 2" xfId="19044" xr:uid="{00000000-0005-0000-0000-0000484A0000}"/>
    <cellStyle name="표준 24 4 3 2 2 6" xfId="19045" xr:uid="{00000000-0005-0000-0000-0000494A0000}"/>
    <cellStyle name="표준 24 4 3 2 3" xfId="19046" xr:uid="{00000000-0005-0000-0000-00004A4A0000}"/>
    <cellStyle name="표준 24 4 3 2 3 2" xfId="19047" xr:uid="{00000000-0005-0000-0000-00004B4A0000}"/>
    <cellStyle name="표준 24 4 3 2 3 2 2" xfId="19048" xr:uid="{00000000-0005-0000-0000-00004C4A0000}"/>
    <cellStyle name="표준 24 4 3 2 3 2 2 2" xfId="19049" xr:uid="{00000000-0005-0000-0000-00004D4A0000}"/>
    <cellStyle name="표준 24 4 3 2 3 2 2 2 2" xfId="19050" xr:uid="{00000000-0005-0000-0000-00004E4A0000}"/>
    <cellStyle name="표준 24 4 3 2 3 2 2 3" xfId="19051" xr:uid="{00000000-0005-0000-0000-00004F4A0000}"/>
    <cellStyle name="표준 24 4 3 2 3 2 3" xfId="19052" xr:uid="{00000000-0005-0000-0000-0000504A0000}"/>
    <cellStyle name="표준 24 4 3 2 3 2 3 2" xfId="19053" xr:uid="{00000000-0005-0000-0000-0000514A0000}"/>
    <cellStyle name="표준 24 4 3 2 3 2 4" xfId="19054" xr:uid="{00000000-0005-0000-0000-0000524A0000}"/>
    <cellStyle name="표준 24 4 3 2 3 3" xfId="19055" xr:uid="{00000000-0005-0000-0000-0000534A0000}"/>
    <cellStyle name="표준 24 4 3 2 3 3 2" xfId="19056" xr:uid="{00000000-0005-0000-0000-0000544A0000}"/>
    <cellStyle name="표준 24 4 3 2 3 3 2 2" xfId="19057" xr:uid="{00000000-0005-0000-0000-0000554A0000}"/>
    <cellStyle name="표준 24 4 3 2 3 3 3" xfId="19058" xr:uid="{00000000-0005-0000-0000-0000564A0000}"/>
    <cellStyle name="표준 24 4 3 2 3 4" xfId="19059" xr:uid="{00000000-0005-0000-0000-0000574A0000}"/>
    <cellStyle name="표준 24 4 3 2 3 4 2" xfId="19060" xr:uid="{00000000-0005-0000-0000-0000584A0000}"/>
    <cellStyle name="표준 24 4 3 2 3 5" xfId="19061" xr:uid="{00000000-0005-0000-0000-0000594A0000}"/>
    <cellStyle name="표준 24 4 3 2 4" xfId="19062" xr:uid="{00000000-0005-0000-0000-00005A4A0000}"/>
    <cellStyle name="표준 24 4 3 2 4 2" xfId="19063" xr:uid="{00000000-0005-0000-0000-00005B4A0000}"/>
    <cellStyle name="표준 24 4 3 2 4 2 2" xfId="19064" xr:uid="{00000000-0005-0000-0000-00005C4A0000}"/>
    <cellStyle name="표준 24 4 3 2 4 2 2 2" xfId="19065" xr:uid="{00000000-0005-0000-0000-00005D4A0000}"/>
    <cellStyle name="표준 24 4 3 2 4 2 3" xfId="19066" xr:uid="{00000000-0005-0000-0000-00005E4A0000}"/>
    <cellStyle name="표준 24 4 3 2 4 3" xfId="19067" xr:uid="{00000000-0005-0000-0000-00005F4A0000}"/>
    <cellStyle name="표준 24 4 3 2 4 3 2" xfId="19068" xr:uid="{00000000-0005-0000-0000-0000604A0000}"/>
    <cellStyle name="표준 24 4 3 2 4 4" xfId="19069" xr:uid="{00000000-0005-0000-0000-0000614A0000}"/>
    <cellStyle name="표준 24 4 3 2 5" xfId="19070" xr:uid="{00000000-0005-0000-0000-0000624A0000}"/>
    <cellStyle name="표준 24 4 3 2 5 2" xfId="19071" xr:uid="{00000000-0005-0000-0000-0000634A0000}"/>
    <cellStyle name="표준 24 4 3 2 5 2 2" xfId="19072" xr:uid="{00000000-0005-0000-0000-0000644A0000}"/>
    <cellStyle name="표준 24 4 3 2 5 3" xfId="19073" xr:uid="{00000000-0005-0000-0000-0000654A0000}"/>
    <cellStyle name="표준 24 4 3 2 6" xfId="19074" xr:uid="{00000000-0005-0000-0000-0000664A0000}"/>
    <cellStyle name="표준 24 4 3 2 6 2" xfId="19075" xr:uid="{00000000-0005-0000-0000-0000674A0000}"/>
    <cellStyle name="표준 24 4 3 2 7" xfId="19076" xr:uid="{00000000-0005-0000-0000-0000684A0000}"/>
    <cellStyle name="표준 24 4 3 2 8" xfId="19077" xr:uid="{00000000-0005-0000-0000-0000694A0000}"/>
    <cellStyle name="표준 24 4 3 3" xfId="19078" xr:uid="{00000000-0005-0000-0000-00006A4A0000}"/>
    <cellStyle name="표준 24 4 3 3 2" xfId="19079" xr:uid="{00000000-0005-0000-0000-00006B4A0000}"/>
    <cellStyle name="표준 24 4 3 3 2 2" xfId="19080" xr:uid="{00000000-0005-0000-0000-00006C4A0000}"/>
    <cellStyle name="표준 24 4 3 3 2 2 2" xfId="19081" xr:uid="{00000000-0005-0000-0000-00006D4A0000}"/>
    <cellStyle name="표준 24 4 3 3 2 2 2 2" xfId="19082" xr:uid="{00000000-0005-0000-0000-00006E4A0000}"/>
    <cellStyle name="표준 24 4 3 3 2 2 2 2 2" xfId="19083" xr:uid="{00000000-0005-0000-0000-00006F4A0000}"/>
    <cellStyle name="표준 24 4 3 3 2 2 2 3" xfId="19084" xr:uid="{00000000-0005-0000-0000-0000704A0000}"/>
    <cellStyle name="표준 24 4 3 3 2 2 3" xfId="19085" xr:uid="{00000000-0005-0000-0000-0000714A0000}"/>
    <cellStyle name="표준 24 4 3 3 2 2 3 2" xfId="19086" xr:uid="{00000000-0005-0000-0000-0000724A0000}"/>
    <cellStyle name="표준 24 4 3 3 2 2 4" xfId="19087" xr:uid="{00000000-0005-0000-0000-0000734A0000}"/>
    <cellStyle name="표준 24 4 3 3 2 3" xfId="19088" xr:uid="{00000000-0005-0000-0000-0000744A0000}"/>
    <cellStyle name="표준 24 4 3 3 2 3 2" xfId="19089" xr:uid="{00000000-0005-0000-0000-0000754A0000}"/>
    <cellStyle name="표준 24 4 3 3 2 3 2 2" xfId="19090" xr:uid="{00000000-0005-0000-0000-0000764A0000}"/>
    <cellStyle name="표준 24 4 3 3 2 3 3" xfId="19091" xr:uid="{00000000-0005-0000-0000-0000774A0000}"/>
    <cellStyle name="표준 24 4 3 3 2 4" xfId="19092" xr:uid="{00000000-0005-0000-0000-0000784A0000}"/>
    <cellStyle name="표준 24 4 3 3 2 4 2" xfId="19093" xr:uid="{00000000-0005-0000-0000-0000794A0000}"/>
    <cellStyle name="표준 24 4 3 3 2 5" xfId="19094" xr:uid="{00000000-0005-0000-0000-00007A4A0000}"/>
    <cellStyle name="표준 24 4 3 3 3" xfId="19095" xr:uid="{00000000-0005-0000-0000-00007B4A0000}"/>
    <cellStyle name="표준 24 4 3 3 3 2" xfId="19096" xr:uid="{00000000-0005-0000-0000-00007C4A0000}"/>
    <cellStyle name="표준 24 4 3 3 3 2 2" xfId="19097" xr:uid="{00000000-0005-0000-0000-00007D4A0000}"/>
    <cellStyle name="표준 24 4 3 3 3 2 2 2" xfId="19098" xr:uid="{00000000-0005-0000-0000-00007E4A0000}"/>
    <cellStyle name="표준 24 4 3 3 3 2 3" xfId="19099" xr:uid="{00000000-0005-0000-0000-00007F4A0000}"/>
    <cellStyle name="표준 24 4 3 3 3 3" xfId="19100" xr:uid="{00000000-0005-0000-0000-0000804A0000}"/>
    <cellStyle name="표준 24 4 3 3 3 3 2" xfId="19101" xr:uid="{00000000-0005-0000-0000-0000814A0000}"/>
    <cellStyle name="표준 24 4 3 3 3 4" xfId="19102" xr:uid="{00000000-0005-0000-0000-0000824A0000}"/>
    <cellStyle name="표준 24 4 3 3 4" xfId="19103" xr:uid="{00000000-0005-0000-0000-0000834A0000}"/>
    <cellStyle name="표준 24 4 3 3 4 2" xfId="19104" xr:uid="{00000000-0005-0000-0000-0000844A0000}"/>
    <cellStyle name="표준 24 4 3 3 4 2 2" xfId="19105" xr:uid="{00000000-0005-0000-0000-0000854A0000}"/>
    <cellStyle name="표준 24 4 3 3 4 3" xfId="19106" xr:uid="{00000000-0005-0000-0000-0000864A0000}"/>
    <cellStyle name="표준 24 4 3 3 5" xfId="19107" xr:uid="{00000000-0005-0000-0000-0000874A0000}"/>
    <cellStyle name="표준 24 4 3 3 5 2" xfId="19108" xr:uid="{00000000-0005-0000-0000-0000884A0000}"/>
    <cellStyle name="표준 24 4 3 3 6" xfId="19109" xr:uid="{00000000-0005-0000-0000-0000894A0000}"/>
    <cellStyle name="표준 24 4 3 4" xfId="19110" xr:uid="{00000000-0005-0000-0000-00008A4A0000}"/>
    <cellStyle name="표준 24 4 3 4 2" xfId="19111" xr:uid="{00000000-0005-0000-0000-00008B4A0000}"/>
    <cellStyle name="표준 24 4 3 4 2 2" xfId="19112" xr:uid="{00000000-0005-0000-0000-00008C4A0000}"/>
    <cellStyle name="표준 24 4 3 4 2 2 2" xfId="19113" xr:uid="{00000000-0005-0000-0000-00008D4A0000}"/>
    <cellStyle name="표준 24 4 3 4 2 2 2 2" xfId="19114" xr:uid="{00000000-0005-0000-0000-00008E4A0000}"/>
    <cellStyle name="표준 24 4 3 4 2 2 3" xfId="19115" xr:uid="{00000000-0005-0000-0000-00008F4A0000}"/>
    <cellStyle name="표준 24 4 3 4 2 3" xfId="19116" xr:uid="{00000000-0005-0000-0000-0000904A0000}"/>
    <cellStyle name="표준 24 4 3 4 2 3 2" xfId="19117" xr:uid="{00000000-0005-0000-0000-0000914A0000}"/>
    <cellStyle name="표준 24 4 3 4 2 4" xfId="19118" xr:uid="{00000000-0005-0000-0000-0000924A0000}"/>
    <cellStyle name="표준 24 4 3 4 3" xfId="19119" xr:uid="{00000000-0005-0000-0000-0000934A0000}"/>
    <cellStyle name="표준 24 4 3 4 3 2" xfId="19120" xr:uid="{00000000-0005-0000-0000-0000944A0000}"/>
    <cellStyle name="표준 24 4 3 4 3 2 2" xfId="19121" xr:uid="{00000000-0005-0000-0000-0000954A0000}"/>
    <cellStyle name="표준 24 4 3 4 3 3" xfId="19122" xr:uid="{00000000-0005-0000-0000-0000964A0000}"/>
    <cellStyle name="표준 24 4 3 4 4" xfId="19123" xr:uid="{00000000-0005-0000-0000-0000974A0000}"/>
    <cellStyle name="표준 24 4 3 4 4 2" xfId="19124" xr:uid="{00000000-0005-0000-0000-0000984A0000}"/>
    <cellStyle name="표준 24 4 3 4 5" xfId="19125" xr:uid="{00000000-0005-0000-0000-0000994A0000}"/>
    <cellStyle name="표준 24 4 3 5" xfId="19126" xr:uid="{00000000-0005-0000-0000-00009A4A0000}"/>
    <cellStyle name="표준 24 4 3 5 2" xfId="19127" xr:uid="{00000000-0005-0000-0000-00009B4A0000}"/>
    <cellStyle name="표준 24 4 3 5 2 2" xfId="19128" xr:uid="{00000000-0005-0000-0000-00009C4A0000}"/>
    <cellStyle name="표준 24 4 3 5 2 2 2" xfId="19129" xr:uid="{00000000-0005-0000-0000-00009D4A0000}"/>
    <cellStyle name="표준 24 4 3 5 2 3" xfId="19130" xr:uid="{00000000-0005-0000-0000-00009E4A0000}"/>
    <cellStyle name="표준 24 4 3 5 3" xfId="19131" xr:uid="{00000000-0005-0000-0000-00009F4A0000}"/>
    <cellStyle name="표준 24 4 3 5 3 2" xfId="19132" xr:uid="{00000000-0005-0000-0000-0000A04A0000}"/>
    <cellStyle name="표준 24 4 3 5 4" xfId="19133" xr:uid="{00000000-0005-0000-0000-0000A14A0000}"/>
    <cellStyle name="표준 24 4 3 6" xfId="19134" xr:uid="{00000000-0005-0000-0000-0000A24A0000}"/>
    <cellStyle name="표준 24 4 3 6 2" xfId="19135" xr:uid="{00000000-0005-0000-0000-0000A34A0000}"/>
    <cellStyle name="표준 24 4 3 6 2 2" xfId="19136" xr:uid="{00000000-0005-0000-0000-0000A44A0000}"/>
    <cellStyle name="표준 24 4 3 6 3" xfId="19137" xr:uid="{00000000-0005-0000-0000-0000A54A0000}"/>
    <cellStyle name="표준 24 4 3 7" xfId="19138" xr:uid="{00000000-0005-0000-0000-0000A64A0000}"/>
    <cellStyle name="표준 24 4 3 7 2" xfId="19139" xr:uid="{00000000-0005-0000-0000-0000A74A0000}"/>
    <cellStyle name="표준 24 4 3 8" xfId="19140" xr:uid="{00000000-0005-0000-0000-0000A84A0000}"/>
    <cellStyle name="표준 24 4 3 9" xfId="19141" xr:uid="{00000000-0005-0000-0000-0000A94A0000}"/>
    <cellStyle name="표준 24 4 4" xfId="19142" xr:uid="{00000000-0005-0000-0000-0000AA4A0000}"/>
    <cellStyle name="표준 24 4 4 2" xfId="19143" xr:uid="{00000000-0005-0000-0000-0000AB4A0000}"/>
    <cellStyle name="표준 24 4 4 2 2" xfId="19144" xr:uid="{00000000-0005-0000-0000-0000AC4A0000}"/>
    <cellStyle name="표준 24 4 4 2 2 2" xfId="19145" xr:uid="{00000000-0005-0000-0000-0000AD4A0000}"/>
    <cellStyle name="표준 24 4 4 2 2 2 2" xfId="19146" xr:uid="{00000000-0005-0000-0000-0000AE4A0000}"/>
    <cellStyle name="표준 24 4 4 2 2 2 2 2" xfId="19147" xr:uid="{00000000-0005-0000-0000-0000AF4A0000}"/>
    <cellStyle name="표준 24 4 4 2 2 2 2 2 2" xfId="19148" xr:uid="{00000000-0005-0000-0000-0000B04A0000}"/>
    <cellStyle name="표준 24 4 4 2 2 2 2 3" xfId="19149" xr:uid="{00000000-0005-0000-0000-0000B14A0000}"/>
    <cellStyle name="표준 24 4 4 2 2 2 3" xfId="19150" xr:uid="{00000000-0005-0000-0000-0000B24A0000}"/>
    <cellStyle name="표준 24 4 4 2 2 2 3 2" xfId="19151" xr:uid="{00000000-0005-0000-0000-0000B34A0000}"/>
    <cellStyle name="표준 24 4 4 2 2 2 4" xfId="19152" xr:uid="{00000000-0005-0000-0000-0000B44A0000}"/>
    <cellStyle name="표준 24 4 4 2 2 3" xfId="19153" xr:uid="{00000000-0005-0000-0000-0000B54A0000}"/>
    <cellStyle name="표준 24 4 4 2 2 3 2" xfId="19154" xr:uid="{00000000-0005-0000-0000-0000B64A0000}"/>
    <cellStyle name="표준 24 4 4 2 2 3 2 2" xfId="19155" xr:uid="{00000000-0005-0000-0000-0000B74A0000}"/>
    <cellStyle name="표준 24 4 4 2 2 3 3" xfId="19156" xr:uid="{00000000-0005-0000-0000-0000B84A0000}"/>
    <cellStyle name="표준 24 4 4 2 2 4" xfId="19157" xr:uid="{00000000-0005-0000-0000-0000B94A0000}"/>
    <cellStyle name="표준 24 4 4 2 2 4 2" xfId="19158" xr:uid="{00000000-0005-0000-0000-0000BA4A0000}"/>
    <cellStyle name="표준 24 4 4 2 2 5" xfId="19159" xr:uid="{00000000-0005-0000-0000-0000BB4A0000}"/>
    <cellStyle name="표준 24 4 4 2 3" xfId="19160" xr:uid="{00000000-0005-0000-0000-0000BC4A0000}"/>
    <cellStyle name="표준 24 4 4 2 3 2" xfId="19161" xr:uid="{00000000-0005-0000-0000-0000BD4A0000}"/>
    <cellStyle name="표준 24 4 4 2 3 2 2" xfId="19162" xr:uid="{00000000-0005-0000-0000-0000BE4A0000}"/>
    <cellStyle name="표준 24 4 4 2 3 2 2 2" xfId="19163" xr:uid="{00000000-0005-0000-0000-0000BF4A0000}"/>
    <cellStyle name="표준 24 4 4 2 3 2 3" xfId="19164" xr:uid="{00000000-0005-0000-0000-0000C04A0000}"/>
    <cellStyle name="표준 24 4 4 2 3 3" xfId="19165" xr:uid="{00000000-0005-0000-0000-0000C14A0000}"/>
    <cellStyle name="표준 24 4 4 2 3 3 2" xfId="19166" xr:uid="{00000000-0005-0000-0000-0000C24A0000}"/>
    <cellStyle name="표준 24 4 4 2 3 4" xfId="19167" xr:uid="{00000000-0005-0000-0000-0000C34A0000}"/>
    <cellStyle name="표준 24 4 4 2 4" xfId="19168" xr:uid="{00000000-0005-0000-0000-0000C44A0000}"/>
    <cellStyle name="표준 24 4 4 2 4 2" xfId="19169" xr:uid="{00000000-0005-0000-0000-0000C54A0000}"/>
    <cellStyle name="표준 24 4 4 2 4 2 2" xfId="19170" xr:uid="{00000000-0005-0000-0000-0000C64A0000}"/>
    <cellStyle name="표준 24 4 4 2 4 3" xfId="19171" xr:uid="{00000000-0005-0000-0000-0000C74A0000}"/>
    <cellStyle name="표준 24 4 4 2 5" xfId="19172" xr:uid="{00000000-0005-0000-0000-0000C84A0000}"/>
    <cellStyle name="표준 24 4 4 2 5 2" xfId="19173" xr:uid="{00000000-0005-0000-0000-0000C94A0000}"/>
    <cellStyle name="표준 24 4 4 2 6" xfId="19174" xr:uid="{00000000-0005-0000-0000-0000CA4A0000}"/>
    <cellStyle name="표준 24 4 4 3" xfId="19175" xr:uid="{00000000-0005-0000-0000-0000CB4A0000}"/>
    <cellStyle name="표준 24 4 4 3 2" xfId="19176" xr:uid="{00000000-0005-0000-0000-0000CC4A0000}"/>
    <cellStyle name="표준 24 4 4 3 2 2" xfId="19177" xr:uid="{00000000-0005-0000-0000-0000CD4A0000}"/>
    <cellStyle name="표준 24 4 4 3 2 2 2" xfId="19178" xr:uid="{00000000-0005-0000-0000-0000CE4A0000}"/>
    <cellStyle name="표준 24 4 4 3 2 2 2 2" xfId="19179" xr:uid="{00000000-0005-0000-0000-0000CF4A0000}"/>
    <cellStyle name="표준 24 4 4 3 2 2 3" xfId="19180" xr:uid="{00000000-0005-0000-0000-0000D04A0000}"/>
    <cellStyle name="표준 24 4 4 3 2 3" xfId="19181" xr:uid="{00000000-0005-0000-0000-0000D14A0000}"/>
    <cellStyle name="표준 24 4 4 3 2 3 2" xfId="19182" xr:uid="{00000000-0005-0000-0000-0000D24A0000}"/>
    <cellStyle name="표준 24 4 4 3 2 4" xfId="19183" xr:uid="{00000000-0005-0000-0000-0000D34A0000}"/>
    <cellStyle name="표준 24 4 4 3 3" xfId="19184" xr:uid="{00000000-0005-0000-0000-0000D44A0000}"/>
    <cellStyle name="표준 24 4 4 3 3 2" xfId="19185" xr:uid="{00000000-0005-0000-0000-0000D54A0000}"/>
    <cellStyle name="표준 24 4 4 3 3 2 2" xfId="19186" xr:uid="{00000000-0005-0000-0000-0000D64A0000}"/>
    <cellStyle name="표준 24 4 4 3 3 3" xfId="19187" xr:uid="{00000000-0005-0000-0000-0000D74A0000}"/>
    <cellStyle name="표준 24 4 4 3 4" xfId="19188" xr:uid="{00000000-0005-0000-0000-0000D84A0000}"/>
    <cellStyle name="표준 24 4 4 3 4 2" xfId="19189" xr:uid="{00000000-0005-0000-0000-0000D94A0000}"/>
    <cellStyle name="표준 24 4 4 3 5" xfId="19190" xr:uid="{00000000-0005-0000-0000-0000DA4A0000}"/>
    <cellStyle name="표준 24 4 4 4" xfId="19191" xr:uid="{00000000-0005-0000-0000-0000DB4A0000}"/>
    <cellStyle name="표준 24 4 4 4 2" xfId="19192" xr:uid="{00000000-0005-0000-0000-0000DC4A0000}"/>
    <cellStyle name="표준 24 4 4 4 2 2" xfId="19193" xr:uid="{00000000-0005-0000-0000-0000DD4A0000}"/>
    <cellStyle name="표준 24 4 4 4 2 2 2" xfId="19194" xr:uid="{00000000-0005-0000-0000-0000DE4A0000}"/>
    <cellStyle name="표준 24 4 4 4 2 3" xfId="19195" xr:uid="{00000000-0005-0000-0000-0000DF4A0000}"/>
    <cellStyle name="표준 24 4 4 4 3" xfId="19196" xr:uid="{00000000-0005-0000-0000-0000E04A0000}"/>
    <cellStyle name="표준 24 4 4 4 3 2" xfId="19197" xr:uid="{00000000-0005-0000-0000-0000E14A0000}"/>
    <cellStyle name="표준 24 4 4 4 4" xfId="19198" xr:uid="{00000000-0005-0000-0000-0000E24A0000}"/>
    <cellStyle name="표준 24 4 4 5" xfId="19199" xr:uid="{00000000-0005-0000-0000-0000E34A0000}"/>
    <cellStyle name="표준 24 4 4 5 2" xfId="19200" xr:uid="{00000000-0005-0000-0000-0000E44A0000}"/>
    <cellStyle name="표준 24 4 4 5 2 2" xfId="19201" xr:uid="{00000000-0005-0000-0000-0000E54A0000}"/>
    <cellStyle name="표준 24 4 4 5 3" xfId="19202" xr:uid="{00000000-0005-0000-0000-0000E64A0000}"/>
    <cellStyle name="표준 24 4 4 6" xfId="19203" xr:uid="{00000000-0005-0000-0000-0000E74A0000}"/>
    <cellStyle name="표준 24 4 4 6 2" xfId="19204" xr:uid="{00000000-0005-0000-0000-0000E84A0000}"/>
    <cellStyle name="표준 24 4 4 7" xfId="19205" xr:uid="{00000000-0005-0000-0000-0000E94A0000}"/>
    <cellStyle name="표준 24 4 4 8" xfId="19206" xr:uid="{00000000-0005-0000-0000-0000EA4A0000}"/>
    <cellStyle name="표준 24 4 5" xfId="19207" xr:uid="{00000000-0005-0000-0000-0000EB4A0000}"/>
    <cellStyle name="표준 24 4 5 2" xfId="19208" xr:uid="{00000000-0005-0000-0000-0000EC4A0000}"/>
    <cellStyle name="표준 24 4 5 2 2" xfId="19209" xr:uid="{00000000-0005-0000-0000-0000ED4A0000}"/>
    <cellStyle name="표준 24 4 5 2 2 2" xfId="19210" xr:uid="{00000000-0005-0000-0000-0000EE4A0000}"/>
    <cellStyle name="표준 24 4 5 2 2 2 2" xfId="19211" xr:uid="{00000000-0005-0000-0000-0000EF4A0000}"/>
    <cellStyle name="표준 24 4 5 2 2 2 2 2" xfId="19212" xr:uid="{00000000-0005-0000-0000-0000F04A0000}"/>
    <cellStyle name="표준 24 4 5 2 2 2 3" xfId="19213" xr:uid="{00000000-0005-0000-0000-0000F14A0000}"/>
    <cellStyle name="표준 24 4 5 2 2 3" xfId="19214" xr:uid="{00000000-0005-0000-0000-0000F24A0000}"/>
    <cellStyle name="표준 24 4 5 2 2 3 2" xfId="19215" xr:uid="{00000000-0005-0000-0000-0000F34A0000}"/>
    <cellStyle name="표준 24 4 5 2 2 4" xfId="19216" xr:uid="{00000000-0005-0000-0000-0000F44A0000}"/>
    <cellStyle name="표준 24 4 5 2 3" xfId="19217" xr:uid="{00000000-0005-0000-0000-0000F54A0000}"/>
    <cellStyle name="표준 24 4 5 2 3 2" xfId="19218" xr:uid="{00000000-0005-0000-0000-0000F64A0000}"/>
    <cellStyle name="표준 24 4 5 2 3 2 2" xfId="19219" xr:uid="{00000000-0005-0000-0000-0000F74A0000}"/>
    <cellStyle name="표준 24 4 5 2 3 3" xfId="19220" xr:uid="{00000000-0005-0000-0000-0000F84A0000}"/>
    <cellStyle name="표준 24 4 5 2 4" xfId="19221" xr:uid="{00000000-0005-0000-0000-0000F94A0000}"/>
    <cellStyle name="표준 24 4 5 2 4 2" xfId="19222" xr:uid="{00000000-0005-0000-0000-0000FA4A0000}"/>
    <cellStyle name="표준 24 4 5 2 5" xfId="19223" xr:uid="{00000000-0005-0000-0000-0000FB4A0000}"/>
    <cellStyle name="표준 24 4 5 3" xfId="19224" xr:uid="{00000000-0005-0000-0000-0000FC4A0000}"/>
    <cellStyle name="표준 24 4 5 3 2" xfId="19225" xr:uid="{00000000-0005-0000-0000-0000FD4A0000}"/>
    <cellStyle name="표준 24 4 5 3 2 2" xfId="19226" xr:uid="{00000000-0005-0000-0000-0000FE4A0000}"/>
    <cellStyle name="표준 24 4 5 3 2 2 2" xfId="19227" xr:uid="{00000000-0005-0000-0000-0000FF4A0000}"/>
    <cellStyle name="표준 24 4 5 3 2 3" xfId="19228" xr:uid="{00000000-0005-0000-0000-0000004B0000}"/>
    <cellStyle name="표준 24 4 5 3 3" xfId="19229" xr:uid="{00000000-0005-0000-0000-0000014B0000}"/>
    <cellStyle name="표준 24 4 5 3 3 2" xfId="19230" xr:uid="{00000000-0005-0000-0000-0000024B0000}"/>
    <cellStyle name="표준 24 4 5 3 4" xfId="19231" xr:uid="{00000000-0005-0000-0000-0000034B0000}"/>
    <cellStyle name="표준 24 4 5 4" xfId="19232" xr:uid="{00000000-0005-0000-0000-0000044B0000}"/>
    <cellStyle name="표준 24 4 5 4 2" xfId="19233" xr:uid="{00000000-0005-0000-0000-0000054B0000}"/>
    <cellStyle name="표준 24 4 5 4 2 2" xfId="19234" xr:uid="{00000000-0005-0000-0000-0000064B0000}"/>
    <cellStyle name="표준 24 4 5 4 3" xfId="19235" xr:uid="{00000000-0005-0000-0000-0000074B0000}"/>
    <cellStyle name="표준 24 4 5 5" xfId="19236" xr:uid="{00000000-0005-0000-0000-0000084B0000}"/>
    <cellStyle name="표준 24 4 5 5 2" xfId="19237" xr:uid="{00000000-0005-0000-0000-0000094B0000}"/>
    <cellStyle name="표준 24 4 5 6" xfId="19238" xr:uid="{00000000-0005-0000-0000-00000A4B0000}"/>
    <cellStyle name="표준 24 4 6" xfId="19239" xr:uid="{00000000-0005-0000-0000-00000B4B0000}"/>
    <cellStyle name="표준 24 4 6 2" xfId="19240" xr:uid="{00000000-0005-0000-0000-00000C4B0000}"/>
    <cellStyle name="표준 24 4 6 2 2" xfId="19241" xr:uid="{00000000-0005-0000-0000-00000D4B0000}"/>
    <cellStyle name="표준 24 4 6 2 2 2" xfId="19242" xr:uid="{00000000-0005-0000-0000-00000E4B0000}"/>
    <cellStyle name="표준 24 4 6 2 2 2 2" xfId="19243" xr:uid="{00000000-0005-0000-0000-00000F4B0000}"/>
    <cellStyle name="표준 24 4 6 2 2 3" xfId="19244" xr:uid="{00000000-0005-0000-0000-0000104B0000}"/>
    <cellStyle name="표준 24 4 6 2 3" xfId="19245" xr:uid="{00000000-0005-0000-0000-0000114B0000}"/>
    <cellStyle name="표준 24 4 6 2 3 2" xfId="19246" xr:uid="{00000000-0005-0000-0000-0000124B0000}"/>
    <cellStyle name="표준 24 4 6 2 4" xfId="19247" xr:uid="{00000000-0005-0000-0000-0000134B0000}"/>
    <cellStyle name="표준 24 4 6 3" xfId="19248" xr:uid="{00000000-0005-0000-0000-0000144B0000}"/>
    <cellStyle name="표준 24 4 6 3 2" xfId="19249" xr:uid="{00000000-0005-0000-0000-0000154B0000}"/>
    <cellStyle name="표준 24 4 6 3 2 2" xfId="19250" xr:uid="{00000000-0005-0000-0000-0000164B0000}"/>
    <cellStyle name="표준 24 4 6 3 3" xfId="19251" xr:uid="{00000000-0005-0000-0000-0000174B0000}"/>
    <cellStyle name="표준 24 4 6 4" xfId="19252" xr:uid="{00000000-0005-0000-0000-0000184B0000}"/>
    <cellStyle name="표준 24 4 6 4 2" xfId="19253" xr:uid="{00000000-0005-0000-0000-0000194B0000}"/>
    <cellStyle name="표준 24 4 6 5" xfId="19254" xr:uid="{00000000-0005-0000-0000-00001A4B0000}"/>
    <cellStyle name="표준 24 4 7" xfId="19255" xr:uid="{00000000-0005-0000-0000-00001B4B0000}"/>
    <cellStyle name="표준 24 4 7 2" xfId="19256" xr:uid="{00000000-0005-0000-0000-00001C4B0000}"/>
    <cellStyle name="표준 24 4 7 2 2" xfId="19257" xr:uid="{00000000-0005-0000-0000-00001D4B0000}"/>
    <cellStyle name="표준 24 4 7 2 2 2" xfId="19258" xr:uid="{00000000-0005-0000-0000-00001E4B0000}"/>
    <cellStyle name="표준 24 4 7 2 3" xfId="19259" xr:uid="{00000000-0005-0000-0000-00001F4B0000}"/>
    <cellStyle name="표준 24 4 7 3" xfId="19260" xr:uid="{00000000-0005-0000-0000-0000204B0000}"/>
    <cellStyle name="표준 24 4 7 3 2" xfId="19261" xr:uid="{00000000-0005-0000-0000-0000214B0000}"/>
    <cellStyle name="표준 24 4 7 4" xfId="19262" xr:uid="{00000000-0005-0000-0000-0000224B0000}"/>
    <cellStyle name="표준 24 4 8" xfId="19263" xr:uid="{00000000-0005-0000-0000-0000234B0000}"/>
    <cellStyle name="표준 24 4 8 2" xfId="19264" xr:uid="{00000000-0005-0000-0000-0000244B0000}"/>
    <cellStyle name="표준 24 4 8 2 2" xfId="19265" xr:uid="{00000000-0005-0000-0000-0000254B0000}"/>
    <cellStyle name="표준 24 4 8 3" xfId="19266" xr:uid="{00000000-0005-0000-0000-0000264B0000}"/>
    <cellStyle name="표준 24 4 9" xfId="19267" xr:uid="{00000000-0005-0000-0000-0000274B0000}"/>
    <cellStyle name="표준 24 4 9 2" xfId="19268" xr:uid="{00000000-0005-0000-0000-0000284B0000}"/>
    <cellStyle name="표준 25" xfId="27" xr:uid="{00000000-0005-0000-0000-0000294B0000}"/>
    <cellStyle name="표준 25 2" xfId="49" xr:uid="{00000000-0005-0000-0000-00002A4B0000}"/>
    <cellStyle name="표준 25 3" xfId="19269" xr:uid="{00000000-0005-0000-0000-00002B4B0000}"/>
    <cellStyle name="표준 25 3 10" xfId="19270" xr:uid="{00000000-0005-0000-0000-00002C4B0000}"/>
    <cellStyle name="표준 25 3 10 2" xfId="19271" xr:uid="{00000000-0005-0000-0000-00002D4B0000}"/>
    <cellStyle name="표준 25 3 10 2 2" xfId="19272" xr:uid="{00000000-0005-0000-0000-00002E4B0000}"/>
    <cellStyle name="표준 25 3 10 2 2 2" xfId="19273" xr:uid="{00000000-0005-0000-0000-00002F4B0000}"/>
    <cellStyle name="표준 25 3 10 2 2 2 2" xfId="19274" xr:uid="{00000000-0005-0000-0000-0000304B0000}"/>
    <cellStyle name="표준 25 3 10 2 2 3" xfId="19275" xr:uid="{00000000-0005-0000-0000-0000314B0000}"/>
    <cellStyle name="표준 25 3 10 2 3" xfId="19276" xr:uid="{00000000-0005-0000-0000-0000324B0000}"/>
    <cellStyle name="표준 25 3 10 2 3 2" xfId="19277" xr:uid="{00000000-0005-0000-0000-0000334B0000}"/>
    <cellStyle name="표준 25 3 10 2 4" xfId="19278" xr:uid="{00000000-0005-0000-0000-0000344B0000}"/>
    <cellStyle name="표준 25 3 10 3" xfId="19279" xr:uid="{00000000-0005-0000-0000-0000354B0000}"/>
    <cellStyle name="표준 25 3 10 3 2" xfId="19280" xr:uid="{00000000-0005-0000-0000-0000364B0000}"/>
    <cellStyle name="표준 25 3 10 3 2 2" xfId="19281" xr:uid="{00000000-0005-0000-0000-0000374B0000}"/>
    <cellStyle name="표준 25 3 10 3 3" xfId="19282" xr:uid="{00000000-0005-0000-0000-0000384B0000}"/>
    <cellStyle name="표준 25 3 10 4" xfId="19283" xr:uid="{00000000-0005-0000-0000-0000394B0000}"/>
    <cellStyle name="표준 25 3 10 4 2" xfId="19284" xr:uid="{00000000-0005-0000-0000-00003A4B0000}"/>
    <cellStyle name="표준 25 3 10 5" xfId="19285" xr:uid="{00000000-0005-0000-0000-00003B4B0000}"/>
    <cellStyle name="표준 25 3 11" xfId="19286" xr:uid="{00000000-0005-0000-0000-00003C4B0000}"/>
    <cellStyle name="표준 25 3 11 2" xfId="19287" xr:uid="{00000000-0005-0000-0000-00003D4B0000}"/>
    <cellStyle name="표준 25 3 11 2 2" xfId="19288" xr:uid="{00000000-0005-0000-0000-00003E4B0000}"/>
    <cellStyle name="표준 25 3 11 2 2 2" xfId="19289" xr:uid="{00000000-0005-0000-0000-00003F4B0000}"/>
    <cellStyle name="표준 25 3 11 2 3" xfId="19290" xr:uid="{00000000-0005-0000-0000-0000404B0000}"/>
    <cellStyle name="표준 25 3 11 3" xfId="19291" xr:uid="{00000000-0005-0000-0000-0000414B0000}"/>
    <cellStyle name="표준 25 3 11 3 2" xfId="19292" xr:uid="{00000000-0005-0000-0000-0000424B0000}"/>
    <cellStyle name="표준 25 3 11 4" xfId="19293" xr:uid="{00000000-0005-0000-0000-0000434B0000}"/>
    <cellStyle name="표준 25 3 12" xfId="19294" xr:uid="{00000000-0005-0000-0000-0000444B0000}"/>
    <cellStyle name="표준 25 3 12 2" xfId="19295" xr:uid="{00000000-0005-0000-0000-0000454B0000}"/>
    <cellStyle name="표준 25 3 12 2 2" xfId="19296" xr:uid="{00000000-0005-0000-0000-0000464B0000}"/>
    <cellStyle name="표준 25 3 12 3" xfId="19297" xr:uid="{00000000-0005-0000-0000-0000474B0000}"/>
    <cellStyle name="표준 25 3 13" xfId="19298" xr:uid="{00000000-0005-0000-0000-0000484B0000}"/>
    <cellStyle name="표준 25 3 13 2" xfId="19299" xr:uid="{00000000-0005-0000-0000-0000494B0000}"/>
    <cellStyle name="표준 25 3 14" xfId="19300" xr:uid="{00000000-0005-0000-0000-00004A4B0000}"/>
    <cellStyle name="표준 25 3 15" xfId="19301" xr:uid="{00000000-0005-0000-0000-00004B4B0000}"/>
    <cellStyle name="표준 25 3 2" xfId="19302" xr:uid="{00000000-0005-0000-0000-00004C4B0000}"/>
    <cellStyle name="표준 25 3 2 10" xfId="19303" xr:uid="{00000000-0005-0000-0000-00004D4B0000}"/>
    <cellStyle name="표준 25 3 2 10 2" xfId="19304" xr:uid="{00000000-0005-0000-0000-00004E4B0000}"/>
    <cellStyle name="표준 25 3 2 11" xfId="19305" xr:uid="{00000000-0005-0000-0000-00004F4B0000}"/>
    <cellStyle name="표준 25 3 2 12" xfId="19306" xr:uid="{00000000-0005-0000-0000-0000504B0000}"/>
    <cellStyle name="표준 25 3 2 2" xfId="19307" xr:uid="{00000000-0005-0000-0000-0000514B0000}"/>
    <cellStyle name="표준 25 3 2 2 10" xfId="19308" xr:uid="{00000000-0005-0000-0000-0000524B0000}"/>
    <cellStyle name="표준 25 3 2 2 11" xfId="19309" xr:uid="{00000000-0005-0000-0000-0000534B0000}"/>
    <cellStyle name="표준 25 3 2 2 2" xfId="19310" xr:uid="{00000000-0005-0000-0000-0000544B0000}"/>
    <cellStyle name="표준 25 3 2 2 2 10" xfId="19311" xr:uid="{00000000-0005-0000-0000-0000554B0000}"/>
    <cellStyle name="표준 25 3 2 2 2 2" xfId="19312" xr:uid="{00000000-0005-0000-0000-0000564B0000}"/>
    <cellStyle name="표준 25 3 2 2 2 2 2" xfId="19313" xr:uid="{00000000-0005-0000-0000-0000574B0000}"/>
    <cellStyle name="표준 25 3 2 2 2 2 2 2" xfId="19314" xr:uid="{00000000-0005-0000-0000-0000584B0000}"/>
    <cellStyle name="표준 25 3 2 2 2 2 2 2 2" xfId="19315" xr:uid="{00000000-0005-0000-0000-0000594B0000}"/>
    <cellStyle name="표준 25 3 2 2 2 2 2 2 2 2" xfId="19316" xr:uid="{00000000-0005-0000-0000-00005A4B0000}"/>
    <cellStyle name="표준 25 3 2 2 2 2 2 2 2 2 2" xfId="19317" xr:uid="{00000000-0005-0000-0000-00005B4B0000}"/>
    <cellStyle name="표준 25 3 2 2 2 2 2 2 2 2 2 2" xfId="19318" xr:uid="{00000000-0005-0000-0000-00005C4B0000}"/>
    <cellStyle name="표준 25 3 2 2 2 2 2 2 2 2 2 2 2" xfId="19319" xr:uid="{00000000-0005-0000-0000-00005D4B0000}"/>
    <cellStyle name="표준 25 3 2 2 2 2 2 2 2 2 2 3" xfId="19320" xr:uid="{00000000-0005-0000-0000-00005E4B0000}"/>
    <cellStyle name="표준 25 3 2 2 2 2 2 2 2 2 3" xfId="19321" xr:uid="{00000000-0005-0000-0000-00005F4B0000}"/>
    <cellStyle name="표준 25 3 2 2 2 2 2 2 2 2 3 2" xfId="19322" xr:uid="{00000000-0005-0000-0000-0000604B0000}"/>
    <cellStyle name="표준 25 3 2 2 2 2 2 2 2 2 4" xfId="19323" xr:uid="{00000000-0005-0000-0000-0000614B0000}"/>
    <cellStyle name="표준 25 3 2 2 2 2 2 2 2 3" xfId="19324" xr:uid="{00000000-0005-0000-0000-0000624B0000}"/>
    <cellStyle name="표준 25 3 2 2 2 2 2 2 2 3 2" xfId="19325" xr:uid="{00000000-0005-0000-0000-0000634B0000}"/>
    <cellStyle name="표준 25 3 2 2 2 2 2 2 2 3 2 2" xfId="19326" xr:uid="{00000000-0005-0000-0000-0000644B0000}"/>
    <cellStyle name="표준 25 3 2 2 2 2 2 2 2 3 3" xfId="19327" xr:uid="{00000000-0005-0000-0000-0000654B0000}"/>
    <cellStyle name="표준 25 3 2 2 2 2 2 2 2 4" xfId="19328" xr:uid="{00000000-0005-0000-0000-0000664B0000}"/>
    <cellStyle name="표준 25 3 2 2 2 2 2 2 2 4 2" xfId="19329" xr:uid="{00000000-0005-0000-0000-0000674B0000}"/>
    <cellStyle name="표준 25 3 2 2 2 2 2 2 2 5" xfId="19330" xr:uid="{00000000-0005-0000-0000-0000684B0000}"/>
    <cellStyle name="표준 25 3 2 2 2 2 2 2 3" xfId="19331" xr:uid="{00000000-0005-0000-0000-0000694B0000}"/>
    <cellStyle name="표준 25 3 2 2 2 2 2 2 3 2" xfId="19332" xr:uid="{00000000-0005-0000-0000-00006A4B0000}"/>
    <cellStyle name="표준 25 3 2 2 2 2 2 2 3 2 2" xfId="19333" xr:uid="{00000000-0005-0000-0000-00006B4B0000}"/>
    <cellStyle name="표준 25 3 2 2 2 2 2 2 3 2 2 2" xfId="19334" xr:uid="{00000000-0005-0000-0000-00006C4B0000}"/>
    <cellStyle name="표준 25 3 2 2 2 2 2 2 3 2 3" xfId="19335" xr:uid="{00000000-0005-0000-0000-00006D4B0000}"/>
    <cellStyle name="표준 25 3 2 2 2 2 2 2 3 3" xfId="19336" xr:uid="{00000000-0005-0000-0000-00006E4B0000}"/>
    <cellStyle name="표준 25 3 2 2 2 2 2 2 3 3 2" xfId="19337" xr:uid="{00000000-0005-0000-0000-00006F4B0000}"/>
    <cellStyle name="표준 25 3 2 2 2 2 2 2 3 4" xfId="19338" xr:uid="{00000000-0005-0000-0000-0000704B0000}"/>
    <cellStyle name="표준 25 3 2 2 2 2 2 2 4" xfId="19339" xr:uid="{00000000-0005-0000-0000-0000714B0000}"/>
    <cellStyle name="표준 25 3 2 2 2 2 2 2 4 2" xfId="19340" xr:uid="{00000000-0005-0000-0000-0000724B0000}"/>
    <cellStyle name="표준 25 3 2 2 2 2 2 2 4 2 2" xfId="19341" xr:uid="{00000000-0005-0000-0000-0000734B0000}"/>
    <cellStyle name="표준 25 3 2 2 2 2 2 2 4 3" xfId="19342" xr:uid="{00000000-0005-0000-0000-0000744B0000}"/>
    <cellStyle name="표준 25 3 2 2 2 2 2 2 5" xfId="19343" xr:uid="{00000000-0005-0000-0000-0000754B0000}"/>
    <cellStyle name="표준 25 3 2 2 2 2 2 2 5 2" xfId="19344" xr:uid="{00000000-0005-0000-0000-0000764B0000}"/>
    <cellStyle name="표준 25 3 2 2 2 2 2 2 6" xfId="19345" xr:uid="{00000000-0005-0000-0000-0000774B0000}"/>
    <cellStyle name="표준 25 3 2 2 2 2 2 3" xfId="19346" xr:uid="{00000000-0005-0000-0000-0000784B0000}"/>
    <cellStyle name="표준 25 3 2 2 2 2 2 3 2" xfId="19347" xr:uid="{00000000-0005-0000-0000-0000794B0000}"/>
    <cellStyle name="표준 25 3 2 2 2 2 2 3 2 2" xfId="19348" xr:uid="{00000000-0005-0000-0000-00007A4B0000}"/>
    <cellStyle name="표준 25 3 2 2 2 2 2 3 2 2 2" xfId="19349" xr:uid="{00000000-0005-0000-0000-00007B4B0000}"/>
    <cellStyle name="표준 25 3 2 2 2 2 2 3 2 2 2 2" xfId="19350" xr:uid="{00000000-0005-0000-0000-00007C4B0000}"/>
    <cellStyle name="표준 25 3 2 2 2 2 2 3 2 2 3" xfId="19351" xr:uid="{00000000-0005-0000-0000-00007D4B0000}"/>
    <cellStyle name="표준 25 3 2 2 2 2 2 3 2 3" xfId="19352" xr:uid="{00000000-0005-0000-0000-00007E4B0000}"/>
    <cellStyle name="표준 25 3 2 2 2 2 2 3 2 3 2" xfId="19353" xr:uid="{00000000-0005-0000-0000-00007F4B0000}"/>
    <cellStyle name="표준 25 3 2 2 2 2 2 3 2 4" xfId="19354" xr:uid="{00000000-0005-0000-0000-0000804B0000}"/>
    <cellStyle name="표준 25 3 2 2 2 2 2 3 3" xfId="19355" xr:uid="{00000000-0005-0000-0000-0000814B0000}"/>
    <cellStyle name="표준 25 3 2 2 2 2 2 3 3 2" xfId="19356" xr:uid="{00000000-0005-0000-0000-0000824B0000}"/>
    <cellStyle name="표준 25 3 2 2 2 2 2 3 3 2 2" xfId="19357" xr:uid="{00000000-0005-0000-0000-0000834B0000}"/>
    <cellStyle name="표준 25 3 2 2 2 2 2 3 3 3" xfId="19358" xr:uid="{00000000-0005-0000-0000-0000844B0000}"/>
    <cellStyle name="표준 25 3 2 2 2 2 2 3 4" xfId="19359" xr:uid="{00000000-0005-0000-0000-0000854B0000}"/>
    <cellStyle name="표준 25 3 2 2 2 2 2 3 4 2" xfId="19360" xr:uid="{00000000-0005-0000-0000-0000864B0000}"/>
    <cellStyle name="표준 25 3 2 2 2 2 2 3 5" xfId="19361" xr:uid="{00000000-0005-0000-0000-0000874B0000}"/>
    <cellStyle name="표준 25 3 2 2 2 2 2 4" xfId="19362" xr:uid="{00000000-0005-0000-0000-0000884B0000}"/>
    <cellStyle name="표준 25 3 2 2 2 2 2 4 2" xfId="19363" xr:uid="{00000000-0005-0000-0000-0000894B0000}"/>
    <cellStyle name="표준 25 3 2 2 2 2 2 4 2 2" xfId="19364" xr:uid="{00000000-0005-0000-0000-00008A4B0000}"/>
    <cellStyle name="표준 25 3 2 2 2 2 2 4 2 2 2" xfId="19365" xr:uid="{00000000-0005-0000-0000-00008B4B0000}"/>
    <cellStyle name="표준 25 3 2 2 2 2 2 4 2 3" xfId="19366" xr:uid="{00000000-0005-0000-0000-00008C4B0000}"/>
    <cellStyle name="표준 25 3 2 2 2 2 2 4 3" xfId="19367" xr:uid="{00000000-0005-0000-0000-00008D4B0000}"/>
    <cellStyle name="표준 25 3 2 2 2 2 2 4 3 2" xfId="19368" xr:uid="{00000000-0005-0000-0000-00008E4B0000}"/>
    <cellStyle name="표준 25 3 2 2 2 2 2 4 4" xfId="19369" xr:uid="{00000000-0005-0000-0000-00008F4B0000}"/>
    <cellStyle name="표준 25 3 2 2 2 2 2 5" xfId="19370" xr:uid="{00000000-0005-0000-0000-0000904B0000}"/>
    <cellStyle name="표준 25 3 2 2 2 2 2 5 2" xfId="19371" xr:uid="{00000000-0005-0000-0000-0000914B0000}"/>
    <cellStyle name="표준 25 3 2 2 2 2 2 5 2 2" xfId="19372" xr:uid="{00000000-0005-0000-0000-0000924B0000}"/>
    <cellStyle name="표준 25 3 2 2 2 2 2 5 3" xfId="19373" xr:uid="{00000000-0005-0000-0000-0000934B0000}"/>
    <cellStyle name="표준 25 3 2 2 2 2 2 6" xfId="19374" xr:uid="{00000000-0005-0000-0000-0000944B0000}"/>
    <cellStyle name="표준 25 3 2 2 2 2 2 6 2" xfId="19375" xr:uid="{00000000-0005-0000-0000-0000954B0000}"/>
    <cellStyle name="표준 25 3 2 2 2 2 2 7" xfId="19376" xr:uid="{00000000-0005-0000-0000-0000964B0000}"/>
    <cellStyle name="표준 25 3 2 2 2 2 2 8" xfId="19377" xr:uid="{00000000-0005-0000-0000-0000974B0000}"/>
    <cellStyle name="표준 25 3 2 2 2 2 3" xfId="19378" xr:uid="{00000000-0005-0000-0000-0000984B0000}"/>
    <cellStyle name="표준 25 3 2 2 2 2 3 2" xfId="19379" xr:uid="{00000000-0005-0000-0000-0000994B0000}"/>
    <cellStyle name="표준 25 3 2 2 2 2 3 2 2" xfId="19380" xr:uid="{00000000-0005-0000-0000-00009A4B0000}"/>
    <cellStyle name="표준 25 3 2 2 2 2 3 2 2 2" xfId="19381" xr:uid="{00000000-0005-0000-0000-00009B4B0000}"/>
    <cellStyle name="표준 25 3 2 2 2 2 3 2 2 2 2" xfId="19382" xr:uid="{00000000-0005-0000-0000-00009C4B0000}"/>
    <cellStyle name="표준 25 3 2 2 2 2 3 2 2 2 2 2" xfId="19383" xr:uid="{00000000-0005-0000-0000-00009D4B0000}"/>
    <cellStyle name="표준 25 3 2 2 2 2 3 2 2 2 3" xfId="19384" xr:uid="{00000000-0005-0000-0000-00009E4B0000}"/>
    <cellStyle name="표준 25 3 2 2 2 2 3 2 2 3" xfId="19385" xr:uid="{00000000-0005-0000-0000-00009F4B0000}"/>
    <cellStyle name="표준 25 3 2 2 2 2 3 2 2 3 2" xfId="19386" xr:uid="{00000000-0005-0000-0000-0000A04B0000}"/>
    <cellStyle name="표준 25 3 2 2 2 2 3 2 2 4" xfId="19387" xr:uid="{00000000-0005-0000-0000-0000A14B0000}"/>
    <cellStyle name="표준 25 3 2 2 2 2 3 2 3" xfId="19388" xr:uid="{00000000-0005-0000-0000-0000A24B0000}"/>
    <cellStyle name="표준 25 3 2 2 2 2 3 2 3 2" xfId="19389" xr:uid="{00000000-0005-0000-0000-0000A34B0000}"/>
    <cellStyle name="표준 25 3 2 2 2 2 3 2 3 2 2" xfId="19390" xr:uid="{00000000-0005-0000-0000-0000A44B0000}"/>
    <cellStyle name="표준 25 3 2 2 2 2 3 2 3 3" xfId="19391" xr:uid="{00000000-0005-0000-0000-0000A54B0000}"/>
    <cellStyle name="표준 25 3 2 2 2 2 3 2 4" xfId="19392" xr:uid="{00000000-0005-0000-0000-0000A64B0000}"/>
    <cellStyle name="표준 25 3 2 2 2 2 3 2 4 2" xfId="19393" xr:uid="{00000000-0005-0000-0000-0000A74B0000}"/>
    <cellStyle name="표준 25 3 2 2 2 2 3 2 5" xfId="19394" xr:uid="{00000000-0005-0000-0000-0000A84B0000}"/>
    <cellStyle name="표준 25 3 2 2 2 2 3 3" xfId="19395" xr:uid="{00000000-0005-0000-0000-0000A94B0000}"/>
    <cellStyle name="표준 25 3 2 2 2 2 3 3 2" xfId="19396" xr:uid="{00000000-0005-0000-0000-0000AA4B0000}"/>
    <cellStyle name="표준 25 3 2 2 2 2 3 3 2 2" xfId="19397" xr:uid="{00000000-0005-0000-0000-0000AB4B0000}"/>
    <cellStyle name="표준 25 3 2 2 2 2 3 3 2 2 2" xfId="19398" xr:uid="{00000000-0005-0000-0000-0000AC4B0000}"/>
    <cellStyle name="표준 25 3 2 2 2 2 3 3 2 3" xfId="19399" xr:uid="{00000000-0005-0000-0000-0000AD4B0000}"/>
    <cellStyle name="표준 25 3 2 2 2 2 3 3 3" xfId="19400" xr:uid="{00000000-0005-0000-0000-0000AE4B0000}"/>
    <cellStyle name="표준 25 3 2 2 2 2 3 3 3 2" xfId="19401" xr:uid="{00000000-0005-0000-0000-0000AF4B0000}"/>
    <cellStyle name="표준 25 3 2 2 2 2 3 3 4" xfId="19402" xr:uid="{00000000-0005-0000-0000-0000B04B0000}"/>
    <cellStyle name="표준 25 3 2 2 2 2 3 4" xfId="19403" xr:uid="{00000000-0005-0000-0000-0000B14B0000}"/>
    <cellStyle name="표준 25 3 2 2 2 2 3 4 2" xfId="19404" xr:uid="{00000000-0005-0000-0000-0000B24B0000}"/>
    <cellStyle name="표준 25 3 2 2 2 2 3 4 2 2" xfId="19405" xr:uid="{00000000-0005-0000-0000-0000B34B0000}"/>
    <cellStyle name="표준 25 3 2 2 2 2 3 4 3" xfId="19406" xr:uid="{00000000-0005-0000-0000-0000B44B0000}"/>
    <cellStyle name="표준 25 3 2 2 2 2 3 5" xfId="19407" xr:uid="{00000000-0005-0000-0000-0000B54B0000}"/>
    <cellStyle name="표준 25 3 2 2 2 2 3 5 2" xfId="19408" xr:uid="{00000000-0005-0000-0000-0000B64B0000}"/>
    <cellStyle name="표준 25 3 2 2 2 2 3 6" xfId="19409" xr:uid="{00000000-0005-0000-0000-0000B74B0000}"/>
    <cellStyle name="표준 25 3 2 2 2 2 4" xfId="19410" xr:uid="{00000000-0005-0000-0000-0000B84B0000}"/>
    <cellStyle name="표준 25 3 2 2 2 2 4 2" xfId="19411" xr:uid="{00000000-0005-0000-0000-0000B94B0000}"/>
    <cellStyle name="표준 25 3 2 2 2 2 4 2 2" xfId="19412" xr:uid="{00000000-0005-0000-0000-0000BA4B0000}"/>
    <cellStyle name="표준 25 3 2 2 2 2 4 2 2 2" xfId="19413" xr:uid="{00000000-0005-0000-0000-0000BB4B0000}"/>
    <cellStyle name="표준 25 3 2 2 2 2 4 2 2 2 2" xfId="19414" xr:uid="{00000000-0005-0000-0000-0000BC4B0000}"/>
    <cellStyle name="표준 25 3 2 2 2 2 4 2 2 3" xfId="19415" xr:uid="{00000000-0005-0000-0000-0000BD4B0000}"/>
    <cellStyle name="표준 25 3 2 2 2 2 4 2 3" xfId="19416" xr:uid="{00000000-0005-0000-0000-0000BE4B0000}"/>
    <cellStyle name="표준 25 3 2 2 2 2 4 2 3 2" xfId="19417" xr:uid="{00000000-0005-0000-0000-0000BF4B0000}"/>
    <cellStyle name="표준 25 3 2 2 2 2 4 2 4" xfId="19418" xr:uid="{00000000-0005-0000-0000-0000C04B0000}"/>
    <cellStyle name="표준 25 3 2 2 2 2 4 3" xfId="19419" xr:uid="{00000000-0005-0000-0000-0000C14B0000}"/>
    <cellStyle name="표준 25 3 2 2 2 2 4 3 2" xfId="19420" xr:uid="{00000000-0005-0000-0000-0000C24B0000}"/>
    <cellStyle name="표준 25 3 2 2 2 2 4 3 2 2" xfId="19421" xr:uid="{00000000-0005-0000-0000-0000C34B0000}"/>
    <cellStyle name="표준 25 3 2 2 2 2 4 3 3" xfId="19422" xr:uid="{00000000-0005-0000-0000-0000C44B0000}"/>
    <cellStyle name="표준 25 3 2 2 2 2 4 4" xfId="19423" xr:uid="{00000000-0005-0000-0000-0000C54B0000}"/>
    <cellStyle name="표준 25 3 2 2 2 2 4 4 2" xfId="19424" xr:uid="{00000000-0005-0000-0000-0000C64B0000}"/>
    <cellStyle name="표준 25 3 2 2 2 2 4 5" xfId="19425" xr:uid="{00000000-0005-0000-0000-0000C74B0000}"/>
    <cellStyle name="표준 25 3 2 2 2 2 5" xfId="19426" xr:uid="{00000000-0005-0000-0000-0000C84B0000}"/>
    <cellStyle name="표준 25 3 2 2 2 2 5 2" xfId="19427" xr:uid="{00000000-0005-0000-0000-0000C94B0000}"/>
    <cellStyle name="표준 25 3 2 2 2 2 5 2 2" xfId="19428" xr:uid="{00000000-0005-0000-0000-0000CA4B0000}"/>
    <cellStyle name="표준 25 3 2 2 2 2 5 2 2 2" xfId="19429" xr:uid="{00000000-0005-0000-0000-0000CB4B0000}"/>
    <cellStyle name="표준 25 3 2 2 2 2 5 2 3" xfId="19430" xr:uid="{00000000-0005-0000-0000-0000CC4B0000}"/>
    <cellStyle name="표준 25 3 2 2 2 2 5 3" xfId="19431" xr:uid="{00000000-0005-0000-0000-0000CD4B0000}"/>
    <cellStyle name="표준 25 3 2 2 2 2 5 3 2" xfId="19432" xr:uid="{00000000-0005-0000-0000-0000CE4B0000}"/>
    <cellStyle name="표준 25 3 2 2 2 2 5 4" xfId="19433" xr:uid="{00000000-0005-0000-0000-0000CF4B0000}"/>
    <cellStyle name="표준 25 3 2 2 2 2 6" xfId="19434" xr:uid="{00000000-0005-0000-0000-0000D04B0000}"/>
    <cellStyle name="표준 25 3 2 2 2 2 6 2" xfId="19435" xr:uid="{00000000-0005-0000-0000-0000D14B0000}"/>
    <cellStyle name="표준 25 3 2 2 2 2 6 2 2" xfId="19436" xr:uid="{00000000-0005-0000-0000-0000D24B0000}"/>
    <cellStyle name="표준 25 3 2 2 2 2 6 3" xfId="19437" xr:uid="{00000000-0005-0000-0000-0000D34B0000}"/>
    <cellStyle name="표준 25 3 2 2 2 2 7" xfId="19438" xr:uid="{00000000-0005-0000-0000-0000D44B0000}"/>
    <cellStyle name="표준 25 3 2 2 2 2 7 2" xfId="19439" xr:uid="{00000000-0005-0000-0000-0000D54B0000}"/>
    <cellStyle name="표준 25 3 2 2 2 2 8" xfId="19440" xr:uid="{00000000-0005-0000-0000-0000D64B0000}"/>
    <cellStyle name="표준 25 3 2 2 2 2 9" xfId="19441" xr:uid="{00000000-0005-0000-0000-0000D74B0000}"/>
    <cellStyle name="표준 25 3 2 2 2 3" xfId="19442" xr:uid="{00000000-0005-0000-0000-0000D84B0000}"/>
    <cellStyle name="표준 25 3 2 2 2 3 2" xfId="19443" xr:uid="{00000000-0005-0000-0000-0000D94B0000}"/>
    <cellStyle name="표준 25 3 2 2 2 3 2 2" xfId="19444" xr:uid="{00000000-0005-0000-0000-0000DA4B0000}"/>
    <cellStyle name="표준 25 3 2 2 2 3 2 2 2" xfId="19445" xr:uid="{00000000-0005-0000-0000-0000DB4B0000}"/>
    <cellStyle name="표준 25 3 2 2 2 3 2 2 2 2" xfId="19446" xr:uid="{00000000-0005-0000-0000-0000DC4B0000}"/>
    <cellStyle name="표준 25 3 2 2 2 3 2 2 2 2 2" xfId="19447" xr:uid="{00000000-0005-0000-0000-0000DD4B0000}"/>
    <cellStyle name="표준 25 3 2 2 2 3 2 2 2 2 2 2" xfId="19448" xr:uid="{00000000-0005-0000-0000-0000DE4B0000}"/>
    <cellStyle name="표준 25 3 2 2 2 3 2 2 2 2 3" xfId="19449" xr:uid="{00000000-0005-0000-0000-0000DF4B0000}"/>
    <cellStyle name="표준 25 3 2 2 2 3 2 2 2 3" xfId="19450" xr:uid="{00000000-0005-0000-0000-0000E04B0000}"/>
    <cellStyle name="표준 25 3 2 2 2 3 2 2 2 3 2" xfId="19451" xr:uid="{00000000-0005-0000-0000-0000E14B0000}"/>
    <cellStyle name="표준 25 3 2 2 2 3 2 2 2 4" xfId="19452" xr:uid="{00000000-0005-0000-0000-0000E24B0000}"/>
    <cellStyle name="표준 25 3 2 2 2 3 2 2 3" xfId="19453" xr:uid="{00000000-0005-0000-0000-0000E34B0000}"/>
    <cellStyle name="표준 25 3 2 2 2 3 2 2 3 2" xfId="19454" xr:uid="{00000000-0005-0000-0000-0000E44B0000}"/>
    <cellStyle name="표준 25 3 2 2 2 3 2 2 3 2 2" xfId="19455" xr:uid="{00000000-0005-0000-0000-0000E54B0000}"/>
    <cellStyle name="표준 25 3 2 2 2 3 2 2 3 3" xfId="19456" xr:uid="{00000000-0005-0000-0000-0000E64B0000}"/>
    <cellStyle name="표준 25 3 2 2 2 3 2 2 4" xfId="19457" xr:uid="{00000000-0005-0000-0000-0000E74B0000}"/>
    <cellStyle name="표준 25 3 2 2 2 3 2 2 4 2" xfId="19458" xr:uid="{00000000-0005-0000-0000-0000E84B0000}"/>
    <cellStyle name="표준 25 3 2 2 2 3 2 2 5" xfId="19459" xr:uid="{00000000-0005-0000-0000-0000E94B0000}"/>
    <cellStyle name="표준 25 3 2 2 2 3 2 3" xfId="19460" xr:uid="{00000000-0005-0000-0000-0000EA4B0000}"/>
    <cellStyle name="표준 25 3 2 2 2 3 2 3 2" xfId="19461" xr:uid="{00000000-0005-0000-0000-0000EB4B0000}"/>
    <cellStyle name="표준 25 3 2 2 2 3 2 3 2 2" xfId="19462" xr:uid="{00000000-0005-0000-0000-0000EC4B0000}"/>
    <cellStyle name="표준 25 3 2 2 2 3 2 3 2 2 2" xfId="19463" xr:uid="{00000000-0005-0000-0000-0000ED4B0000}"/>
    <cellStyle name="표준 25 3 2 2 2 3 2 3 2 3" xfId="19464" xr:uid="{00000000-0005-0000-0000-0000EE4B0000}"/>
    <cellStyle name="표준 25 3 2 2 2 3 2 3 3" xfId="19465" xr:uid="{00000000-0005-0000-0000-0000EF4B0000}"/>
    <cellStyle name="표준 25 3 2 2 2 3 2 3 3 2" xfId="19466" xr:uid="{00000000-0005-0000-0000-0000F04B0000}"/>
    <cellStyle name="표준 25 3 2 2 2 3 2 3 4" xfId="19467" xr:uid="{00000000-0005-0000-0000-0000F14B0000}"/>
    <cellStyle name="표준 25 3 2 2 2 3 2 4" xfId="19468" xr:uid="{00000000-0005-0000-0000-0000F24B0000}"/>
    <cellStyle name="표준 25 3 2 2 2 3 2 4 2" xfId="19469" xr:uid="{00000000-0005-0000-0000-0000F34B0000}"/>
    <cellStyle name="표준 25 3 2 2 2 3 2 4 2 2" xfId="19470" xr:uid="{00000000-0005-0000-0000-0000F44B0000}"/>
    <cellStyle name="표준 25 3 2 2 2 3 2 4 3" xfId="19471" xr:uid="{00000000-0005-0000-0000-0000F54B0000}"/>
    <cellStyle name="표준 25 3 2 2 2 3 2 5" xfId="19472" xr:uid="{00000000-0005-0000-0000-0000F64B0000}"/>
    <cellStyle name="표준 25 3 2 2 2 3 2 5 2" xfId="19473" xr:uid="{00000000-0005-0000-0000-0000F74B0000}"/>
    <cellStyle name="표준 25 3 2 2 2 3 2 6" xfId="19474" xr:uid="{00000000-0005-0000-0000-0000F84B0000}"/>
    <cellStyle name="표준 25 3 2 2 2 3 3" xfId="19475" xr:uid="{00000000-0005-0000-0000-0000F94B0000}"/>
    <cellStyle name="표준 25 3 2 2 2 3 3 2" xfId="19476" xr:uid="{00000000-0005-0000-0000-0000FA4B0000}"/>
    <cellStyle name="표준 25 3 2 2 2 3 3 2 2" xfId="19477" xr:uid="{00000000-0005-0000-0000-0000FB4B0000}"/>
    <cellStyle name="표준 25 3 2 2 2 3 3 2 2 2" xfId="19478" xr:uid="{00000000-0005-0000-0000-0000FC4B0000}"/>
    <cellStyle name="표준 25 3 2 2 2 3 3 2 2 2 2" xfId="19479" xr:uid="{00000000-0005-0000-0000-0000FD4B0000}"/>
    <cellStyle name="표준 25 3 2 2 2 3 3 2 2 3" xfId="19480" xr:uid="{00000000-0005-0000-0000-0000FE4B0000}"/>
    <cellStyle name="표준 25 3 2 2 2 3 3 2 3" xfId="19481" xr:uid="{00000000-0005-0000-0000-0000FF4B0000}"/>
    <cellStyle name="표준 25 3 2 2 2 3 3 2 3 2" xfId="19482" xr:uid="{00000000-0005-0000-0000-0000004C0000}"/>
    <cellStyle name="표준 25 3 2 2 2 3 3 2 4" xfId="19483" xr:uid="{00000000-0005-0000-0000-0000014C0000}"/>
    <cellStyle name="표준 25 3 2 2 2 3 3 3" xfId="19484" xr:uid="{00000000-0005-0000-0000-0000024C0000}"/>
    <cellStyle name="표준 25 3 2 2 2 3 3 3 2" xfId="19485" xr:uid="{00000000-0005-0000-0000-0000034C0000}"/>
    <cellStyle name="표준 25 3 2 2 2 3 3 3 2 2" xfId="19486" xr:uid="{00000000-0005-0000-0000-0000044C0000}"/>
    <cellStyle name="표준 25 3 2 2 2 3 3 3 3" xfId="19487" xr:uid="{00000000-0005-0000-0000-0000054C0000}"/>
    <cellStyle name="표준 25 3 2 2 2 3 3 4" xfId="19488" xr:uid="{00000000-0005-0000-0000-0000064C0000}"/>
    <cellStyle name="표준 25 3 2 2 2 3 3 4 2" xfId="19489" xr:uid="{00000000-0005-0000-0000-0000074C0000}"/>
    <cellStyle name="표준 25 3 2 2 2 3 3 5" xfId="19490" xr:uid="{00000000-0005-0000-0000-0000084C0000}"/>
    <cellStyle name="표준 25 3 2 2 2 3 4" xfId="19491" xr:uid="{00000000-0005-0000-0000-0000094C0000}"/>
    <cellStyle name="표준 25 3 2 2 2 3 4 2" xfId="19492" xr:uid="{00000000-0005-0000-0000-00000A4C0000}"/>
    <cellStyle name="표준 25 3 2 2 2 3 4 2 2" xfId="19493" xr:uid="{00000000-0005-0000-0000-00000B4C0000}"/>
    <cellStyle name="표준 25 3 2 2 2 3 4 2 2 2" xfId="19494" xr:uid="{00000000-0005-0000-0000-00000C4C0000}"/>
    <cellStyle name="표준 25 3 2 2 2 3 4 2 3" xfId="19495" xr:uid="{00000000-0005-0000-0000-00000D4C0000}"/>
    <cellStyle name="표준 25 3 2 2 2 3 4 3" xfId="19496" xr:uid="{00000000-0005-0000-0000-00000E4C0000}"/>
    <cellStyle name="표준 25 3 2 2 2 3 4 3 2" xfId="19497" xr:uid="{00000000-0005-0000-0000-00000F4C0000}"/>
    <cellStyle name="표준 25 3 2 2 2 3 4 4" xfId="19498" xr:uid="{00000000-0005-0000-0000-0000104C0000}"/>
    <cellStyle name="표준 25 3 2 2 2 3 5" xfId="19499" xr:uid="{00000000-0005-0000-0000-0000114C0000}"/>
    <cellStyle name="표준 25 3 2 2 2 3 5 2" xfId="19500" xr:uid="{00000000-0005-0000-0000-0000124C0000}"/>
    <cellStyle name="표준 25 3 2 2 2 3 5 2 2" xfId="19501" xr:uid="{00000000-0005-0000-0000-0000134C0000}"/>
    <cellStyle name="표준 25 3 2 2 2 3 5 3" xfId="19502" xr:uid="{00000000-0005-0000-0000-0000144C0000}"/>
    <cellStyle name="표준 25 3 2 2 2 3 6" xfId="19503" xr:uid="{00000000-0005-0000-0000-0000154C0000}"/>
    <cellStyle name="표준 25 3 2 2 2 3 6 2" xfId="19504" xr:uid="{00000000-0005-0000-0000-0000164C0000}"/>
    <cellStyle name="표준 25 3 2 2 2 3 7" xfId="19505" xr:uid="{00000000-0005-0000-0000-0000174C0000}"/>
    <cellStyle name="표준 25 3 2 2 2 3 8" xfId="19506" xr:uid="{00000000-0005-0000-0000-0000184C0000}"/>
    <cellStyle name="표준 25 3 2 2 2 4" xfId="19507" xr:uid="{00000000-0005-0000-0000-0000194C0000}"/>
    <cellStyle name="표준 25 3 2 2 2 4 2" xfId="19508" xr:uid="{00000000-0005-0000-0000-00001A4C0000}"/>
    <cellStyle name="표준 25 3 2 2 2 4 2 2" xfId="19509" xr:uid="{00000000-0005-0000-0000-00001B4C0000}"/>
    <cellStyle name="표준 25 3 2 2 2 4 2 2 2" xfId="19510" xr:uid="{00000000-0005-0000-0000-00001C4C0000}"/>
    <cellStyle name="표준 25 3 2 2 2 4 2 2 2 2" xfId="19511" xr:uid="{00000000-0005-0000-0000-00001D4C0000}"/>
    <cellStyle name="표준 25 3 2 2 2 4 2 2 2 2 2" xfId="19512" xr:uid="{00000000-0005-0000-0000-00001E4C0000}"/>
    <cellStyle name="표준 25 3 2 2 2 4 2 2 2 3" xfId="19513" xr:uid="{00000000-0005-0000-0000-00001F4C0000}"/>
    <cellStyle name="표준 25 3 2 2 2 4 2 2 3" xfId="19514" xr:uid="{00000000-0005-0000-0000-0000204C0000}"/>
    <cellStyle name="표준 25 3 2 2 2 4 2 2 3 2" xfId="19515" xr:uid="{00000000-0005-0000-0000-0000214C0000}"/>
    <cellStyle name="표준 25 3 2 2 2 4 2 2 4" xfId="19516" xr:uid="{00000000-0005-0000-0000-0000224C0000}"/>
    <cellStyle name="표준 25 3 2 2 2 4 2 3" xfId="19517" xr:uid="{00000000-0005-0000-0000-0000234C0000}"/>
    <cellStyle name="표준 25 3 2 2 2 4 2 3 2" xfId="19518" xr:uid="{00000000-0005-0000-0000-0000244C0000}"/>
    <cellStyle name="표준 25 3 2 2 2 4 2 3 2 2" xfId="19519" xr:uid="{00000000-0005-0000-0000-0000254C0000}"/>
    <cellStyle name="표준 25 3 2 2 2 4 2 3 3" xfId="19520" xr:uid="{00000000-0005-0000-0000-0000264C0000}"/>
    <cellStyle name="표준 25 3 2 2 2 4 2 4" xfId="19521" xr:uid="{00000000-0005-0000-0000-0000274C0000}"/>
    <cellStyle name="표준 25 3 2 2 2 4 2 4 2" xfId="19522" xr:uid="{00000000-0005-0000-0000-0000284C0000}"/>
    <cellStyle name="표준 25 3 2 2 2 4 2 5" xfId="19523" xr:uid="{00000000-0005-0000-0000-0000294C0000}"/>
    <cellStyle name="표준 25 3 2 2 2 4 3" xfId="19524" xr:uid="{00000000-0005-0000-0000-00002A4C0000}"/>
    <cellStyle name="표준 25 3 2 2 2 4 3 2" xfId="19525" xr:uid="{00000000-0005-0000-0000-00002B4C0000}"/>
    <cellStyle name="표준 25 3 2 2 2 4 3 2 2" xfId="19526" xr:uid="{00000000-0005-0000-0000-00002C4C0000}"/>
    <cellStyle name="표준 25 3 2 2 2 4 3 2 2 2" xfId="19527" xr:uid="{00000000-0005-0000-0000-00002D4C0000}"/>
    <cellStyle name="표준 25 3 2 2 2 4 3 2 3" xfId="19528" xr:uid="{00000000-0005-0000-0000-00002E4C0000}"/>
    <cellStyle name="표준 25 3 2 2 2 4 3 3" xfId="19529" xr:uid="{00000000-0005-0000-0000-00002F4C0000}"/>
    <cellStyle name="표준 25 3 2 2 2 4 3 3 2" xfId="19530" xr:uid="{00000000-0005-0000-0000-0000304C0000}"/>
    <cellStyle name="표준 25 3 2 2 2 4 3 4" xfId="19531" xr:uid="{00000000-0005-0000-0000-0000314C0000}"/>
    <cellStyle name="표준 25 3 2 2 2 4 4" xfId="19532" xr:uid="{00000000-0005-0000-0000-0000324C0000}"/>
    <cellStyle name="표준 25 3 2 2 2 4 4 2" xfId="19533" xr:uid="{00000000-0005-0000-0000-0000334C0000}"/>
    <cellStyle name="표준 25 3 2 2 2 4 4 2 2" xfId="19534" xr:uid="{00000000-0005-0000-0000-0000344C0000}"/>
    <cellStyle name="표준 25 3 2 2 2 4 4 3" xfId="19535" xr:uid="{00000000-0005-0000-0000-0000354C0000}"/>
    <cellStyle name="표준 25 3 2 2 2 4 5" xfId="19536" xr:uid="{00000000-0005-0000-0000-0000364C0000}"/>
    <cellStyle name="표준 25 3 2 2 2 4 5 2" xfId="19537" xr:uid="{00000000-0005-0000-0000-0000374C0000}"/>
    <cellStyle name="표준 25 3 2 2 2 4 6" xfId="19538" xr:uid="{00000000-0005-0000-0000-0000384C0000}"/>
    <cellStyle name="표준 25 3 2 2 2 5" xfId="19539" xr:uid="{00000000-0005-0000-0000-0000394C0000}"/>
    <cellStyle name="표준 25 3 2 2 2 5 2" xfId="19540" xr:uid="{00000000-0005-0000-0000-00003A4C0000}"/>
    <cellStyle name="표준 25 3 2 2 2 5 2 2" xfId="19541" xr:uid="{00000000-0005-0000-0000-00003B4C0000}"/>
    <cellStyle name="표준 25 3 2 2 2 5 2 2 2" xfId="19542" xr:uid="{00000000-0005-0000-0000-00003C4C0000}"/>
    <cellStyle name="표준 25 3 2 2 2 5 2 2 2 2" xfId="19543" xr:uid="{00000000-0005-0000-0000-00003D4C0000}"/>
    <cellStyle name="표준 25 3 2 2 2 5 2 2 3" xfId="19544" xr:uid="{00000000-0005-0000-0000-00003E4C0000}"/>
    <cellStyle name="표준 25 3 2 2 2 5 2 3" xfId="19545" xr:uid="{00000000-0005-0000-0000-00003F4C0000}"/>
    <cellStyle name="표준 25 3 2 2 2 5 2 3 2" xfId="19546" xr:uid="{00000000-0005-0000-0000-0000404C0000}"/>
    <cellStyle name="표준 25 3 2 2 2 5 2 4" xfId="19547" xr:uid="{00000000-0005-0000-0000-0000414C0000}"/>
    <cellStyle name="표준 25 3 2 2 2 5 3" xfId="19548" xr:uid="{00000000-0005-0000-0000-0000424C0000}"/>
    <cellStyle name="표준 25 3 2 2 2 5 3 2" xfId="19549" xr:uid="{00000000-0005-0000-0000-0000434C0000}"/>
    <cellStyle name="표준 25 3 2 2 2 5 3 2 2" xfId="19550" xr:uid="{00000000-0005-0000-0000-0000444C0000}"/>
    <cellStyle name="표준 25 3 2 2 2 5 3 3" xfId="19551" xr:uid="{00000000-0005-0000-0000-0000454C0000}"/>
    <cellStyle name="표준 25 3 2 2 2 5 4" xfId="19552" xr:uid="{00000000-0005-0000-0000-0000464C0000}"/>
    <cellStyle name="표준 25 3 2 2 2 5 4 2" xfId="19553" xr:uid="{00000000-0005-0000-0000-0000474C0000}"/>
    <cellStyle name="표준 25 3 2 2 2 5 5" xfId="19554" xr:uid="{00000000-0005-0000-0000-0000484C0000}"/>
    <cellStyle name="표준 25 3 2 2 2 6" xfId="19555" xr:uid="{00000000-0005-0000-0000-0000494C0000}"/>
    <cellStyle name="표준 25 3 2 2 2 6 2" xfId="19556" xr:uid="{00000000-0005-0000-0000-00004A4C0000}"/>
    <cellStyle name="표준 25 3 2 2 2 6 2 2" xfId="19557" xr:uid="{00000000-0005-0000-0000-00004B4C0000}"/>
    <cellStyle name="표준 25 3 2 2 2 6 2 2 2" xfId="19558" xr:uid="{00000000-0005-0000-0000-00004C4C0000}"/>
    <cellStyle name="표준 25 3 2 2 2 6 2 3" xfId="19559" xr:uid="{00000000-0005-0000-0000-00004D4C0000}"/>
    <cellStyle name="표준 25 3 2 2 2 6 3" xfId="19560" xr:uid="{00000000-0005-0000-0000-00004E4C0000}"/>
    <cellStyle name="표준 25 3 2 2 2 6 3 2" xfId="19561" xr:uid="{00000000-0005-0000-0000-00004F4C0000}"/>
    <cellStyle name="표준 25 3 2 2 2 6 4" xfId="19562" xr:uid="{00000000-0005-0000-0000-0000504C0000}"/>
    <cellStyle name="표준 25 3 2 2 2 7" xfId="19563" xr:uid="{00000000-0005-0000-0000-0000514C0000}"/>
    <cellStyle name="표준 25 3 2 2 2 7 2" xfId="19564" xr:uid="{00000000-0005-0000-0000-0000524C0000}"/>
    <cellStyle name="표준 25 3 2 2 2 7 2 2" xfId="19565" xr:uid="{00000000-0005-0000-0000-0000534C0000}"/>
    <cellStyle name="표준 25 3 2 2 2 7 3" xfId="19566" xr:uid="{00000000-0005-0000-0000-0000544C0000}"/>
    <cellStyle name="표준 25 3 2 2 2 8" xfId="19567" xr:uid="{00000000-0005-0000-0000-0000554C0000}"/>
    <cellStyle name="표준 25 3 2 2 2 8 2" xfId="19568" xr:uid="{00000000-0005-0000-0000-0000564C0000}"/>
    <cellStyle name="표준 25 3 2 2 2 9" xfId="19569" xr:uid="{00000000-0005-0000-0000-0000574C0000}"/>
    <cellStyle name="표준 25 3 2 2 3" xfId="19570" xr:uid="{00000000-0005-0000-0000-0000584C0000}"/>
    <cellStyle name="표준 25 3 2 2 3 2" xfId="19571" xr:uid="{00000000-0005-0000-0000-0000594C0000}"/>
    <cellStyle name="표준 25 3 2 2 3 2 2" xfId="19572" xr:uid="{00000000-0005-0000-0000-00005A4C0000}"/>
    <cellStyle name="표준 25 3 2 2 3 2 2 2" xfId="19573" xr:uid="{00000000-0005-0000-0000-00005B4C0000}"/>
    <cellStyle name="표준 25 3 2 2 3 2 2 2 2" xfId="19574" xr:uid="{00000000-0005-0000-0000-00005C4C0000}"/>
    <cellStyle name="표준 25 3 2 2 3 2 2 2 2 2" xfId="19575" xr:uid="{00000000-0005-0000-0000-00005D4C0000}"/>
    <cellStyle name="표준 25 3 2 2 3 2 2 2 2 2 2" xfId="19576" xr:uid="{00000000-0005-0000-0000-00005E4C0000}"/>
    <cellStyle name="표준 25 3 2 2 3 2 2 2 2 2 2 2" xfId="19577" xr:uid="{00000000-0005-0000-0000-00005F4C0000}"/>
    <cellStyle name="표준 25 3 2 2 3 2 2 2 2 2 3" xfId="19578" xr:uid="{00000000-0005-0000-0000-0000604C0000}"/>
    <cellStyle name="표준 25 3 2 2 3 2 2 2 2 3" xfId="19579" xr:uid="{00000000-0005-0000-0000-0000614C0000}"/>
    <cellStyle name="표준 25 3 2 2 3 2 2 2 2 3 2" xfId="19580" xr:uid="{00000000-0005-0000-0000-0000624C0000}"/>
    <cellStyle name="표준 25 3 2 2 3 2 2 2 2 4" xfId="19581" xr:uid="{00000000-0005-0000-0000-0000634C0000}"/>
    <cellStyle name="표준 25 3 2 2 3 2 2 2 3" xfId="19582" xr:uid="{00000000-0005-0000-0000-0000644C0000}"/>
    <cellStyle name="표준 25 3 2 2 3 2 2 2 3 2" xfId="19583" xr:uid="{00000000-0005-0000-0000-0000654C0000}"/>
    <cellStyle name="표준 25 3 2 2 3 2 2 2 3 2 2" xfId="19584" xr:uid="{00000000-0005-0000-0000-0000664C0000}"/>
    <cellStyle name="표준 25 3 2 2 3 2 2 2 3 3" xfId="19585" xr:uid="{00000000-0005-0000-0000-0000674C0000}"/>
    <cellStyle name="표준 25 3 2 2 3 2 2 2 4" xfId="19586" xr:uid="{00000000-0005-0000-0000-0000684C0000}"/>
    <cellStyle name="표준 25 3 2 2 3 2 2 2 4 2" xfId="19587" xr:uid="{00000000-0005-0000-0000-0000694C0000}"/>
    <cellStyle name="표준 25 3 2 2 3 2 2 2 5" xfId="19588" xr:uid="{00000000-0005-0000-0000-00006A4C0000}"/>
    <cellStyle name="표준 25 3 2 2 3 2 2 3" xfId="19589" xr:uid="{00000000-0005-0000-0000-00006B4C0000}"/>
    <cellStyle name="표준 25 3 2 2 3 2 2 3 2" xfId="19590" xr:uid="{00000000-0005-0000-0000-00006C4C0000}"/>
    <cellStyle name="표준 25 3 2 2 3 2 2 3 2 2" xfId="19591" xr:uid="{00000000-0005-0000-0000-00006D4C0000}"/>
    <cellStyle name="표준 25 3 2 2 3 2 2 3 2 2 2" xfId="19592" xr:uid="{00000000-0005-0000-0000-00006E4C0000}"/>
    <cellStyle name="표준 25 3 2 2 3 2 2 3 2 3" xfId="19593" xr:uid="{00000000-0005-0000-0000-00006F4C0000}"/>
    <cellStyle name="표준 25 3 2 2 3 2 2 3 3" xfId="19594" xr:uid="{00000000-0005-0000-0000-0000704C0000}"/>
    <cellStyle name="표준 25 3 2 2 3 2 2 3 3 2" xfId="19595" xr:uid="{00000000-0005-0000-0000-0000714C0000}"/>
    <cellStyle name="표준 25 3 2 2 3 2 2 3 4" xfId="19596" xr:uid="{00000000-0005-0000-0000-0000724C0000}"/>
    <cellStyle name="표준 25 3 2 2 3 2 2 4" xfId="19597" xr:uid="{00000000-0005-0000-0000-0000734C0000}"/>
    <cellStyle name="표준 25 3 2 2 3 2 2 4 2" xfId="19598" xr:uid="{00000000-0005-0000-0000-0000744C0000}"/>
    <cellStyle name="표준 25 3 2 2 3 2 2 4 2 2" xfId="19599" xr:uid="{00000000-0005-0000-0000-0000754C0000}"/>
    <cellStyle name="표준 25 3 2 2 3 2 2 4 3" xfId="19600" xr:uid="{00000000-0005-0000-0000-0000764C0000}"/>
    <cellStyle name="표준 25 3 2 2 3 2 2 5" xfId="19601" xr:uid="{00000000-0005-0000-0000-0000774C0000}"/>
    <cellStyle name="표준 25 3 2 2 3 2 2 5 2" xfId="19602" xr:uid="{00000000-0005-0000-0000-0000784C0000}"/>
    <cellStyle name="표준 25 3 2 2 3 2 2 6" xfId="19603" xr:uid="{00000000-0005-0000-0000-0000794C0000}"/>
    <cellStyle name="표준 25 3 2 2 3 2 3" xfId="19604" xr:uid="{00000000-0005-0000-0000-00007A4C0000}"/>
    <cellStyle name="표준 25 3 2 2 3 2 3 2" xfId="19605" xr:uid="{00000000-0005-0000-0000-00007B4C0000}"/>
    <cellStyle name="표준 25 3 2 2 3 2 3 2 2" xfId="19606" xr:uid="{00000000-0005-0000-0000-00007C4C0000}"/>
    <cellStyle name="표준 25 3 2 2 3 2 3 2 2 2" xfId="19607" xr:uid="{00000000-0005-0000-0000-00007D4C0000}"/>
    <cellStyle name="표준 25 3 2 2 3 2 3 2 2 2 2" xfId="19608" xr:uid="{00000000-0005-0000-0000-00007E4C0000}"/>
    <cellStyle name="표준 25 3 2 2 3 2 3 2 2 3" xfId="19609" xr:uid="{00000000-0005-0000-0000-00007F4C0000}"/>
    <cellStyle name="표준 25 3 2 2 3 2 3 2 3" xfId="19610" xr:uid="{00000000-0005-0000-0000-0000804C0000}"/>
    <cellStyle name="표준 25 3 2 2 3 2 3 2 3 2" xfId="19611" xr:uid="{00000000-0005-0000-0000-0000814C0000}"/>
    <cellStyle name="표준 25 3 2 2 3 2 3 2 4" xfId="19612" xr:uid="{00000000-0005-0000-0000-0000824C0000}"/>
    <cellStyle name="표준 25 3 2 2 3 2 3 3" xfId="19613" xr:uid="{00000000-0005-0000-0000-0000834C0000}"/>
    <cellStyle name="표준 25 3 2 2 3 2 3 3 2" xfId="19614" xr:uid="{00000000-0005-0000-0000-0000844C0000}"/>
    <cellStyle name="표준 25 3 2 2 3 2 3 3 2 2" xfId="19615" xr:uid="{00000000-0005-0000-0000-0000854C0000}"/>
    <cellStyle name="표준 25 3 2 2 3 2 3 3 3" xfId="19616" xr:uid="{00000000-0005-0000-0000-0000864C0000}"/>
    <cellStyle name="표준 25 3 2 2 3 2 3 4" xfId="19617" xr:uid="{00000000-0005-0000-0000-0000874C0000}"/>
    <cellStyle name="표준 25 3 2 2 3 2 3 4 2" xfId="19618" xr:uid="{00000000-0005-0000-0000-0000884C0000}"/>
    <cellStyle name="표준 25 3 2 2 3 2 3 5" xfId="19619" xr:uid="{00000000-0005-0000-0000-0000894C0000}"/>
    <cellStyle name="표준 25 3 2 2 3 2 4" xfId="19620" xr:uid="{00000000-0005-0000-0000-00008A4C0000}"/>
    <cellStyle name="표준 25 3 2 2 3 2 4 2" xfId="19621" xr:uid="{00000000-0005-0000-0000-00008B4C0000}"/>
    <cellStyle name="표준 25 3 2 2 3 2 4 2 2" xfId="19622" xr:uid="{00000000-0005-0000-0000-00008C4C0000}"/>
    <cellStyle name="표준 25 3 2 2 3 2 4 2 2 2" xfId="19623" xr:uid="{00000000-0005-0000-0000-00008D4C0000}"/>
    <cellStyle name="표준 25 3 2 2 3 2 4 2 3" xfId="19624" xr:uid="{00000000-0005-0000-0000-00008E4C0000}"/>
    <cellStyle name="표준 25 3 2 2 3 2 4 3" xfId="19625" xr:uid="{00000000-0005-0000-0000-00008F4C0000}"/>
    <cellStyle name="표준 25 3 2 2 3 2 4 3 2" xfId="19626" xr:uid="{00000000-0005-0000-0000-0000904C0000}"/>
    <cellStyle name="표준 25 3 2 2 3 2 4 4" xfId="19627" xr:uid="{00000000-0005-0000-0000-0000914C0000}"/>
    <cellStyle name="표준 25 3 2 2 3 2 5" xfId="19628" xr:uid="{00000000-0005-0000-0000-0000924C0000}"/>
    <cellStyle name="표준 25 3 2 2 3 2 5 2" xfId="19629" xr:uid="{00000000-0005-0000-0000-0000934C0000}"/>
    <cellStyle name="표준 25 3 2 2 3 2 5 2 2" xfId="19630" xr:uid="{00000000-0005-0000-0000-0000944C0000}"/>
    <cellStyle name="표준 25 3 2 2 3 2 5 3" xfId="19631" xr:uid="{00000000-0005-0000-0000-0000954C0000}"/>
    <cellStyle name="표준 25 3 2 2 3 2 6" xfId="19632" xr:uid="{00000000-0005-0000-0000-0000964C0000}"/>
    <cellStyle name="표준 25 3 2 2 3 2 6 2" xfId="19633" xr:uid="{00000000-0005-0000-0000-0000974C0000}"/>
    <cellStyle name="표준 25 3 2 2 3 2 7" xfId="19634" xr:uid="{00000000-0005-0000-0000-0000984C0000}"/>
    <cellStyle name="표준 25 3 2 2 3 2 8" xfId="19635" xr:uid="{00000000-0005-0000-0000-0000994C0000}"/>
    <cellStyle name="표준 25 3 2 2 3 3" xfId="19636" xr:uid="{00000000-0005-0000-0000-00009A4C0000}"/>
    <cellStyle name="표준 25 3 2 2 3 3 2" xfId="19637" xr:uid="{00000000-0005-0000-0000-00009B4C0000}"/>
    <cellStyle name="표준 25 3 2 2 3 3 2 2" xfId="19638" xr:uid="{00000000-0005-0000-0000-00009C4C0000}"/>
    <cellStyle name="표준 25 3 2 2 3 3 2 2 2" xfId="19639" xr:uid="{00000000-0005-0000-0000-00009D4C0000}"/>
    <cellStyle name="표준 25 3 2 2 3 3 2 2 2 2" xfId="19640" xr:uid="{00000000-0005-0000-0000-00009E4C0000}"/>
    <cellStyle name="표준 25 3 2 2 3 3 2 2 2 2 2" xfId="19641" xr:uid="{00000000-0005-0000-0000-00009F4C0000}"/>
    <cellStyle name="표준 25 3 2 2 3 3 2 2 2 3" xfId="19642" xr:uid="{00000000-0005-0000-0000-0000A04C0000}"/>
    <cellStyle name="표준 25 3 2 2 3 3 2 2 3" xfId="19643" xr:uid="{00000000-0005-0000-0000-0000A14C0000}"/>
    <cellStyle name="표준 25 3 2 2 3 3 2 2 3 2" xfId="19644" xr:uid="{00000000-0005-0000-0000-0000A24C0000}"/>
    <cellStyle name="표준 25 3 2 2 3 3 2 2 4" xfId="19645" xr:uid="{00000000-0005-0000-0000-0000A34C0000}"/>
    <cellStyle name="표준 25 3 2 2 3 3 2 3" xfId="19646" xr:uid="{00000000-0005-0000-0000-0000A44C0000}"/>
    <cellStyle name="표준 25 3 2 2 3 3 2 3 2" xfId="19647" xr:uid="{00000000-0005-0000-0000-0000A54C0000}"/>
    <cellStyle name="표준 25 3 2 2 3 3 2 3 2 2" xfId="19648" xr:uid="{00000000-0005-0000-0000-0000A64C0000}"/>
    <cellStyle name="표준 25 3 2 2 3 3 2 3 3" xfId="19649" xr:uid="{00000000-0005-0000-0000-0000A74C0000}"/>
    <cellStyle name="표준 25 3 2 2 3 3 2 4" xfId="19650" xr:uid="{00000000-0005-0000-0000-0000A84C0000}"/>
    <cellStyle name="표준 25 3 2 2 3 3 2 4 2" xfId="19651" xr:uid="{00000000-0005-0000-0000-0000A94C0000}"/>
    <cellStyle name="표준 25 3 2 2 3 3 2 5" xfId="19652" xr:uid="{00000000-0005-0000-0000-0000AA4C0000}"/>
    <cellStyle name="표준 25 3 2 2 3 3 3" xfId="19653" xr:uid="{00000000-0005-0000-0000-0000AB4C0000}"/>
    <cellStyle name="표준 25 3 2 2 3 3 3 2" xfId="19654" xr:uid="{00000000-0005-0000-0000-0000AC4C0000}"/>
    <cellStyle name="표준 25 3 2 2 3 3 3 2 2" xfId="19655" xr:uid="{00000000-0005-0000-0000-0000AD4C0000}"/>
    <cellStyle name="표준 25 3 2 2 3 3 3 2 2 2" xfId="19656" xr:uid="{00000000-0005-0000-0000-0000AE4C0000}"/>
    <cellStyle name="표준 25 3 2 2 3 3 3 2 3" xfId="19657" xr:uid="{00000000-0005-0000-0000-0000AF4C0000}"/>
    <cellStyle name="표준 25 3 2 2 3 3 3 3" xfId="19658" xr:uid="{00000000-0005-0000-0000-0000B04C0000}"/>
    <cellStyle name="표준 25 3 2 2 3 3 3 3 2" xfId="19659" xr:uid="{00000000-0005-0000-0000-0000B14C0000}"/>
    <cellStyle name="표준 25 3 2 2 3 3 3 4" xfId="19660" xr:uid="{00000000-0005-0000-0000-0000B24C0000}"/>
    <cellStyle name="표준 25 3 2 2 3 3 4" xfId="19661" xr:uid="{00000000-0005-0000-0000-0000B34C0000}"/>
    <cellStyle name="표준 25 3 2 2 3 3 4 2" xfId="19662" xr:uid="{00000000-0005-0000-0000-0000B44C0000}"/>
    <cellStyle name="표준 25 3 2 2 3 3 4 2 2" xfId="19663" xr:uid="{00000000-0005-0000-0000-0000B54C0000}"/>
    <cellStyle name="표준 25 3 2 2 3 3 4 3" xfId="19664" xr:uid="{00000000-0005-0000-0000-0000B64C0000}"/>
    <cellStyle name="표준 25 3 2 2 3 3 5" xfId="19665" xr:uid="{00000000-0005-0000-0000-0000B74C0000}"/>
    <cellStyle name="표준 25 3 2 2 3 3 5 2" xfId="19666" xr:uid="{00000000-0005-0000-0000-0000B84C0000}"/>
    <cellStyle name="표준 25 3 2 2 3 3 6" xfId="19667" xr:uid="{00000000-0005-0000-0000-0000B94C0000}"/>
    <cellStyle name="표준 25 3 2 2 3 4" xfId="19668" xr:uid="{00000000-0005-0000-0000-0000BA4C0000}"/>
    <cellStyle name="표준 25 3 2 2 3 4 2" xfId="19669" xr:uid="{00000000-0005-0000-0000-0000BB4C0000}"/>
    <cellStyle name="표준 25 3 2 2 3 4 2 2" xfId="19670" xr:uid="{00000000-0005-0000-0000-0000BC4C0000}"/>
    <cellStyle name="표준 25 3 2 2 3 4 2 2 2" xfId="19671" xr:uid="{00000000-0005-0000-0000-0000BD4C0000}"/>
    <cellStyle name="표준 25 3 2 2 3 4 2 2 2 2" xfId="19672" xr:uid="{00000000-0005-0000-0000-0000BE4C0000}"/>
    <cellStyle name="표준 25 3 2 2 3 4 2 2 3" xfId="19673" xr:uid="{00000000-0005-0000-0000-0000BF4C0000}"/>
    <cellStyle name="표준 25 3 2 2 3 4 2 3" xfId="19674" xr:uid="{00000000-0005-0000-0000-0000C04C0000}"/>
    <cellStyle name="표준 25 3 2 2 3 4 2 3 2" xfId="19675" xr:uid="{00000000-0005-0000-0000-0000C14C0000}"/>
    <cellStyle name="표준 25 3 2 2 3 4 2 4" xfId="19676" xr:uid="{00000000-0005-0000-0000-0000C24C0000}"/>
    <cellStyle name="표준 25 3 2 2 3 4 3" xfId="19677" xr:uid="{00000000-0005-0000-0000-0000C34C0000}"/>
    <cellStyle name="표준 25 3 2 2 3 4 3 2" xfId="19678" xr:uid="{00000000-0005-0000-0000-0000C44C0000}"/>
    <cellStyle name="표준 25 3 2 2 3 4 3 2 2" xfId="19679" xr:uid="{00000000-0005-0000-0000-0000C54C0000}"/>
    <cellStyle name="표준 25 3 2 2 3 4 3 3" xfId="19680" xr:uid="{00000000-0005-0000-0000-0000C64C0000}"/>
    <cellStyle name="표준 25 3 2 2 3 4 4" xfId="19681" xr:uid="{00000000-0005-0000-0000-0000C74C0000}"/>
    <cellStyle name="표준 25 3 2 2 3 4 4 2" xfId="19682" xr:uid="{00000000-0005-0000-0000-0000C84C0000}"/>
    <cellStyle name="표준 25 3 2 2 3 4 5" xfId="19683" xr:uid="{00000000-0005-0000-0000-0000C94C0000}"/>
    <cellStyle name="표준 25 3 2 2 3 5" xfId="19684" xr:uid="{00000000-0005-0000-0000-0000CA4C0000}"/>
    <cellStyle name="표준 25 3 2 2 3 5 2" xfId="19685" xr:uid="{00000000-0005-0000-0000-0000CB4C0000}"/>
    <cellStyle name="표준 25 3 2 2 3 5 2 2" xfId="19686" xr:uid="{00000000-0005-0000-0000-0000CC4C0000}"/>
    <cellStyle name="표준 25 3 2 2 3 5 2 2 2" xfId="19687" xr:uid="{00000000-0005-0000-0000-0000CD4C0000}"/>
    <cellStyle name="표준 25 3 2 2 3 5 2 3" xfId="19688" xr:uid="{00000000-0005-0000-0000-0000CE4C0000}"/>
    <cellStyle name="표준 25 3 2 2 3 5 3" xfId="19689" xr:uid="{00000000-0005-0000-0000-0000CF4C0000}"/>
    <cellStyle name="표준 25 3 2 2 3 5 3 2" xfId="19690" xr:uid="{00000000-0005-0000-0000-0000D04C0000}"/>
    <cellStyle name="표준 25 3 2 2 3 5 4" xfId="19691" xr:uid="{00000000-0005-0000-0000-0000D14C0000}"/>
    <cellStyle name="표준 25 3 2 2 3 6" xfId="19692" xr:uid="{00000000-0005-0000-0000-0000D24C0000}"/>
    <cellStyle name="표준 25 3 2 2 3 6 2" xfId="19693" xr:uid="{00000000-0005-0000-0000-0000D34C0000}"/>
    <cellStyle name="표준 25 3 2 2 3 6 2 2" xfId="19694" xr:uid="{00000000-0005-0000-0000-0000D44C0000}"/>
    <cellStyle name="표준 25 3 2 2 3 6 3" xfId="19695" xr:uid="{00000000-0005-0000-0000-0000D54C0000}"/>
    <cellStyle name="표준 25 3 2 2 3 7" xfId="19696" xr:uid="{00000000-0005-0000-0000-0000D64C0000}"/>
    <cellStyle name="표준 25 3 2 2 3 7 2" xfId="19697" xr:uid="{00000000-0005-0000-0000-0000D74C0000}"/>
    <cellStyle name="표준 25 3 2 2 3 8" xfId="19698" xr:uid="{00000000-0005-0000-0000-0000D84C0000}"/>
    <cellStyle name="표준 25 3 2 2 3 9" xfId="19699" xr:uid="{00000000-0005-0000-0000-0000D94C0000}"/>
    <cellStyle name="표준 25 3 2 2 4" xfId="19700" xr:uid="{00000000-0005-0000-0000-0000DA4C0000}"/>
    <cellStyle name="표준 25 3 2 2 4 2" xfId="19701" xr:uid="{00000000-0005-0000-0000-0000DB4C0000}"/>
    <cellStyle name="표준 25 3 2 2 4 2 2" xfId="19702" xr:uid="{00000000-0005-0000-0000-0000DC4C0000}"/>
    <cellStyle name="표준 25 3 2 2 4 2 2 2" xfId="19703" xr:uid="{00000000-0005-0000-0000-0000DD4C0000}"/>
    <cellStyle name="표준 25 3 2 2 4 2 2 2 2" xfId="19704" xr:uid="{00000000-0005-0000-0000-0000DE4C0000}"/>
    <cellStyle name="표준 25 3 2 2 4 2 2 2 2 2" xfId="19705" xr:uid="{00000000-0005-0000-0000-0000DF4C0000}"/>
    <cellStyle name="표준 25 3 2 2 4 2 2 2 2 2 2" xfId="19706" xr:uid="{00000000-0005-0000-0000-0000E04C0000}"/>
    <cellStyle name="표준 25 3 2 2 4 2 2 2 2 3" xfId="19707" xr:uid="{00000000-0005-0000-0000-0000E14C0000}"/>
    <cellStyle name="표준 25 3 2 2 4 2 2 2 3" xfId="19708" xr:uid="{00000000-0005-0000-0000-0000E24C0000}"/>
    <cellStyle name="표준 25 3 2 2 4 2 2 2 3 2" xfId="19709" xr:uid="{00000000-0005-0000-0000-0000E34C0000}"/>
    <cellStyle name="표준 25 3 2 2 4 2 2 2 4" xfId="19710" xr:uid="{00000000-0005-0000-0000-0000E44C0000}"/>
    <cellStyle name="표준 25 3 2 2 4 2 2 3" xfId="19711" xr:uid="{00000000-0005-0000-0000-0000E54C0000}"/>
    <cellStyle name="표준 25 3 2 2 4 2 2 3 2" xfId="19712" xr:uid="{00000000-0005-0000-0000-0000E64C0000}"/>
    <cellStyle name="표준 25 3 2 2 4 2 2 3 2 2" xfId="19713" xr:uid="{00000000-0005-0000-0000-0000E74C0000}"/>
    <cellStyle name="표준 25 3 2 2 4 2 2 3 3" xfId="19714" xr:uid="{00000000-0005-0000-0000-0000E84C0000}"/>
    <cellStyle name="표준 25 3 2 2 4 2 2 4" xfId="19715" xr:uid="{00000000-0005-0000-0000-0000E94C0000}"/>
    <cellStyle name="표준 25 3 2 2 4 2 2 4 2" xfId="19716" xr:uid="{00000000-0005-0000-0000-0000EA4C0000}"/>
    <cellStyle name="표준 25 3 2 2 4 2 2 5" xfId="19717" xr:uid="{00000000-0005-0000-0000-0000EB4C0000}"/>
    <cellStyle name="표준 25 3 2 2 4 2 3" xfId="19718" xr:uid="{00000000-0005-0000-0000-0000EC4C0000}"/>
    <cellStyle name="표준 25 3 2 2 4 2 3 2" xfId="19719" xr:uid="{00000000-0005-0000-0000-0000ED4C0000}"/>
    <cellStyle name="표준 25 3 2 2 4 2 3 2 2" xfId="19720" xr:uid="{00000000-0005-0000-0000-0000EE4C0000}"/>
    <cellStyle name="표준 25 3 2 2 4 2 3 2 2 2" xfId="19721" xr:uid="{00000000-0005-0000-0000-0000EF4C0000}"/>
    <cellStyle name="표준 25 3 2 2 4 2 3 2 3" xfId="19722" xr:uid="{00000000-0005-0000-0000-0000F04C0000}"/>
    <cellStyle name="표준 25 3 2 2 4 2 3 3" xfId="19723" xr:uid="{00000000-0005-0000-0000-0000F14C0000}"/>
    <cellStyle name="표준 25 3 2 2 4 2 3 3 2" xfId="19724" xr:uid="{00000000-0005-0000-0000-0000F24C0000}"/>
    <cellStyle name="표준 25 3 2 2 4 2 3 4" xfId="19725" xr:uid="{00000000-0005-0000-0000-0000F34C0000}"/>
    <cellStyle name="표준 25 3 2 2 4 2 4" xfId="19726" xr:uid="{00000000-0005-0000-0000-0000F44C0000}"/>
    <cellStyle name="표준 25 3 2 2 4 2 4 2" xfId="19727" xr:uid="{00000000-0005-0000-0000-0000F54C0000}"/>
    <cellStyle name="표준 25 3 2 2 4 2 4 2 2" xfId="19728" xr:uid="{00000000-0005-0000-0000-0000F64C0000}"/>
    <cellStyle name="표준 25 3 2 2 4 2 4 3" xfId="19729" xr:uid="{00000000-0005-0000-0000-0000F74C0000}"/>
    <cellStyle name="표준 25 3 2 2 4 2 5" xfId="19730" xr:uid="{00000000-0005-0000-0000-0000F84C0000}"/>
    <cellStyle name="표준 25 3 2 2 4 2 5 2" xfId="19731" xr:uid="{00000000-0005-0000-0000-0000F94C0000}"/>
    <cellStyle name="표준 25 3 2 2 4 2 6" xfId="19732" xr:uid="{00000000-0005-0000-0000-0000FA4C0000}"/>
    <cellStyle name="표준 25 3 2 2 4 3" xfId="19733" xr:uid="{00000000-0005-0000-0000-0000FB4C0000}"/>
    <cellStyle name="표준 25 3 2 2 4 3 2" xfId="19734" xr:uid="{00000000-0005-0000-0000-0000FC4C0000}"/>
    <cellStyle name="표준 25 3 2 2 4 3 2 2" xfId="19735" xr:uid="{00000000-0005-0000-0000-0000FD4C0000}"/>
    <cellStyle name="표준 25 3 2 2 4 3 2 2 2" xfId="19736" xr:uid="{00000000-0005-0000-0000-0000FE4C0000}"/>
    <cellStyle name="표준 25 3 2 2 4 3 2 2 2 2" xfId="19737" xr:uid="{00000000-0005-0000-0000-0000FF4C0000}"/>
    <cellStyle name="표준 25 3 2 2 4 3 2 2 3" xfId="19738" xr:uid="{00000000-0005-0000-0000-0000004D0000}"/>
    <cellStyle name="표준 25 3 2 2 4 3 2 3" xfId="19739" xr:uid="{00000000-0005-0000-0000-0000014D0000}"/>
    <cellStyle name="표준 25 3 2 2 4 3 2 3 2" xfId="19740" xr:uid="{00000000-0005-0000-0000-0000024D0000}"/>
    <cellStyle name="표준 25 3 2 2 4 3 2 4" xfId="19741" xr:uid="{00000000-0005-0000-0000-0000034D0000}"/>
    <cellStyle name="표준 25 3 2 2 4 3 3" xfId="19742" xr:uid="{00000000-0005-0000-0000-0000044D0000}"/>
    <cellStyle name="표준 25 3 2 2 4 3 3 2" xfId="19743" xr:uid="{00000000-0005-0000-0000-0000054D0000}"/>
    <cellStyle name="표준 25 3 2 2 4 3 3 2 2" xfId="19744" xr:uid="{00000000-0005-0000-0000-0000064D0000}"/>
    <cellStyle name="표준 25 3 2 2 4 3 3 3" xfId="19745" xr:uid="{00000000-0005-0000-0000-0000074D0000}"/>
    <cellStyle name="표준 25 3 2 2 4 3 4" xfId="19746" xr:uid="{00000000-0005-0000-0000-0000084D0000}"/>
    <cellStyle name="표준 25 3 2 2 4 3 4 2" xfId="19747" xr:uid="{00000000-0005-0000-0000-0000094D0000}"/>
    <cellStyle name="표준 25 3 2 2 4 3 5" xfId="19748" xr:uid="{00000000-0005-0000-0000-00000A4D0000}"/>
    <cellStyle name="표준 25 3 2 2 4 4" xfId="19749" xr:uid="{00000000-0005-0000-0000-00000B4D0000}"/>
    <cellStyle name="표준 25 3 2 2 4 4 2" xfId="19750" xr:uid="{00000000-0005-0000-0000-00000C4D0000}"/>
    <cellStyle name="표준 25 3 2 2 4 4 2 2" xfId="19751" xr:uid="{00000000-0005-0000-0000-00000D4D0000}"/>
    <cellStyle name="표준 25 3 2 2 4 4 2 2 2" xfId="19752" xr:uid="{00000000-0005-0000-0000-00000E4D0000}"/>
    <cellStyle name="표준 25 3 2 2 4 4 2 3" xfId="19753" xr:uid="{00000000-0005-0000-0000-00000F4D0000}"/>
    <cellStyle name="표준 25 3 2 2 4 4 3" xfId="19754" xr:uid="{00000000-0005-0000-0000-0000104D0000}"/>
    <cellStyle name="표준 25 3 2 2 4 4 3 2" xfId="19755" xr:uid="{00000000-0005-0000-0000-0000114D0000}"/>
    <cellStyle name="표준 25 3 2 2 4 4 4" xfId="19756" xr:uid="{00000000-0005-0000-0000-0000124D0000}"/>
    <cellStyle name="표준 25 3 2 2 4 5" xfId="19757" xr:uid="{00000000-0005-0000-0000-0000134D0000}"/>
    <cellStyle name="표준 25 3 2 2 4 5 2" xfId="19758" xr:uid="{00000000-0005-0000-0000-0000144D0000}"/>
    <cellStyle name="표준 25 3 2 2 4 5 2 2" xfId="19759" xr:uid="{00000000-0005-0000-0000-0000154D0000}"/>
    <cellStyle name="표준 25 3 2 2 4 5 3" xfId="19760" xr:uid="{00000000-0005-0000-0000-0000164D0000}"/>
    <cellStyle name="표준 25 3 2 2 4 6" xfId="19761" xr:uid="{00000000-0005-0000-0000-0000174D0000}"/>
    <cellStyle name="표준 25 3 2 2 4 6 2" xfId="19762" xr:uid="{00000000-0005-0000-0000-0000184D0000}"/>
    <cellStyle name="표준 25 3 2 2 4 7" xfId="19763" xr:uid="{00000000-0005-0000-0000-0000194D0000}"/>
    <cellStyle name="표준 25 3 2 2 4 8" xfId="19764" xr:uid="{00000000-0005-0000-0000-00001A4D0000}"/>
    <cellStyle name="표준 25 3 2 2 5" xfId="19765" xr:uid="{00000000-0005-0000-0000-00001B4D0000}"/>
    <cellStyle name="표준 25 3 2 2 5 2" xfId="19766" xr:uid="{00000000-0005-0000-0000-00001C4D0000}"/>
    <cellStyle name="표준 25 3 2 2 5 2 2" xfId="19767" xr:uid="{00000000-0005-0000-0000-00001D4D0000}"/>
    <cellStyle name="표준 25 3 2 2 5 2 2 2" xfId="19768" xr:uid="{00000000-0005-0000-0000-00001E4D0000}"/>
    <cellStyle name="표준 25 3 2 2 5 2 2 2 2" xfId="19769" xr:uid="{00000000-0005-0000-0000-00001F4D0000}"/>
    <cellStyle name="표준 25 3 2 2 5 2 2 2 2 2" xfId="19770" xr:uid="{00000000-0005-0000-0000-0000204D0000}"/>
    <cellStyle name="표준 25 3 2 2 5 2 2 2 3" xfId="19771" xr:uid="{00000000-0005-0000-0000-0000214D0000}"/>
    <cellStyle name="표준 25 3 2 2 5 2 2 3" xfId="19772" xr:uid="{00000000-0005-0000-0000-0000224D0000}"/>
    <cellStyle name="표준 25 3 2 2 5 2 2 3 2" xfId="19773" xr:uid="{00000000-0005-0000-0000-0000234D0000}"/>
    <cellStyle name="표준 25 3 2 2 5 2 2 4" xfId="19774" xr:uid="{00000000-0005-0000-0000-0000244D0000}"/>
    <cellStyle name="표준 25 3 2 2 5 2 3" xfId="19775" xr:uid="{00000000-0005-0000-0000-0000254D0000}"/>
    <cellStyle name="표준 25 3 2 2 5 2 3 2" xfId="19776" xr:uid="{00000000-0005-0000-0000-0000264D0000}"/>
    <cellStyle name="표준 25 3 2 2 5 2 3 2 2" xfId="19777" xr:uid="{00000000-0005-0000-0000-0000274D0000}"/>
    <cellStyle name="표준 25 3 2 2 5 2 3 3" xfId="19778" xr:uid="{00000000-0005-0000-0000-0000284D0000}"/>
    <cellStyle name="표준 25 3 2 2 5 2 4" xfId="19779" xr:uid="{00000000-0005-0000-0000-0000294D0000}"/>
    <cellStyle name="표준 25 3 2 2 5 2 4 2" xfId="19780" xr:uid="{00000000-0005-0000-0000-00002A4D0000}"/>
    <cellStyle name="표준 25 3 2 2 5 2 5" xfId="19781" xr:uid="{00000000-0005-0000-0000-00002B4D0000}"/>
    <cellStyle name="표준 25 3 2 2 5 3" xfId="19782" xr:uid="{00000000-0005-0000-0000-00002C4D0000}"/>
    <cellStyle name="표준 25 3 2 2 5 3 2" xfId="19783" xr:uid="{00000000-0005-0000-0000-00002D4D0000}"/>
    <cellStyle name="표준 25 3 2 2 5 3 2 2" xfId="19784" xr:uid="{00000000-0005-0000-0000-00002E4D0000}"/>
    <cellStyle name="표준 25 3 2 2 5 3 2 2 2" xfId="19785" xr:uid="{00000000-0005-0000-0000-00002F4D0000}"/>
    <cellStyle name="표준 25 3 2 2 5 3 2 3" xfId="19786" xr:uid="{00000000-0005-0000-0000-0000304D0000}"/>
    <cellStyle name="표준 25 3 2 2 5 3 3" xfId="19787" xr:uid="{00000000-0005-0000-0000-0000314D0000}"/>
    <cellStyle name="표준 25 3 2 2 5 3 3 2" xfId="19788" xr:uid="{00000000-0005-0000-0000-0000324D0000}"/>
    <cellStyle name="표준 25 3 2 2 5 3 4" xfId="19789" xr:uid="{00000000-0005-0000-0000-0000334D0000}"/>
    <cellStyle name="표준 25 3 2 2 5 4" xfId="19790" xr:uid="{00000000-0005-0000-0000-0000344D0000}"/>
    <cellStyle name="표준 25 3 2 2 5 4 2" xfId="19791" xr:uid="{00000000-0005-0000-0000-0000354D0000}"/>
    <cellStyle name="표준 25 3 2 2 5 4 2 2" xfId="19792" xr:uid="{00000000-0005-0000-0000-0000364D0000}"/>
    <cellStyle name="표준 25 3 2 2 5 4 3" xfId="19793" xr:uid="{00000000-0005-0000-0000-0000374D0000}"/>
    <cellStyle name="표준 25 3 2 2 5 5" xfId="19794" xr:uid="{00000000-0005-0000-0000-0000384D0000}"/>
    <cellStyle name="표준 25 3 2 2 5 5 2" xfId="19795" xr:uid="{00000000-0005-0000-0000-0000394D0000}"/>
    <cellStyle name="표준 25 3 2 2 5 6" xfId="19796" xr:uid="{00000000-0005-0000-0000-00003A4D0000}"/>
    <cellStyle name="표준 25 3 2 2 6" xfId="19797" xr:uid="{00000000-0005-0000-0000-00003B4D0000}"/>
    <cellStyle name="표준 25 3 2 2 6 2" xfId="19798" xr:uid="{00000000-0005-0000-0000-00003C4D0000}"/>
    <cellStyle name="표준 25 3 2 2 6 2 2" xfId="19799" xr:uid="{00000000-0005-0000-0000-00003D4D0000}"/>
    <cellStyle name="표준 25 3 2 2 6 2 2 2" xfId="19800" xr:uid="{00000000-0005-0000-0000-00003E4D0000}"/>
    <cellStyle name="표준 25 3 2 2 6 2 2 2 2" xfId="19801" xr:uid="{00000000-0005-0000-0000-00003F4D0000}"/>
    <cellStyle name="표준 25 3 2 2 6 2 2 3" xfId="19802" xr:uid="{00000000-0005-0000-0000-0000404D0000}"/>
    <cellStyle name="표준 25 3 2 2 6 2 3" xfId="19803" xr:uid="{00000000-0005-0000-0000-0000414D0000}"/>
    <cellStyle name="표준 25 3 2 2 6 2 3 2" xfId="19804" xr:uid="{00000000-0005-0000-0000-0000424D0000}"/>
    <cellStyle name="표준 25 3 2 2 6 2 4" xfId="19805" xr:uid="{00000000-0005-0000-0000-0000434D0000}"/>
    <cellStyle name="표준 25 3 2 2 6 3" xfId="19806" xr:uid="{00000000-0005-0000-0000-0000444D0000}"/>
    <cellStyle name="표준 25 3 2 2 6 3 2" xfId="19807" xr:uid="{00000000-0005-0000-0000-0000454D0000}"/>
    <cellStyle name="표준 25 3 2 2 6 3 2 2" xfId="19808" xr:uid="{00000000-0005-0000-0000-0000464D0000}"/>
    <cellStyle name="표준 25 3 2 2 6 3 3" xfId="19809" xr:uid="{00000000-0005-0000-0000-0000474D0000}"/>
    <cellStyle name="표준 25 3 2 2 6 4" xfId="19810" xr:uid="{00000000-0005-0000-0000-0000484D0000}"/>
    <cellStyle name="표준 25 3 2 2 6 4 2" xfId="19811" xr:uid="{00000000-0005-0000-0000-0000494D0000}"/>
    <cellStyle name="표준 25 3 2 2 6 5" xfId="19812" xr:uid="{00000000-0005-0000-0000-00004A4D0000}"/>
    <cellStyle name="표준 25 3 2 2 7" xfId="19813" xr:uid="{00000000-0005-0000-0000-00004B4D0000}"/>
    <cellStyle name="표준 25 3 2 2 7 2" xfId="19814" xr:uid="{00000000-0005-0000-0000-00004C4D0000}"/>
    <cellStyle name="표준 25 3 2 2 7 2 2" xfId="19815" xr:uid="{00000000-0005-0000-0000-00004D4D0000}"/>
    <cellStyle name="표준 25 3 2 2 7 2 2 2" xfId="19816" xr:uid="{00000000-0005-0000-0000-00004E4D0000}"/>
    <cellStyle name="표준 25 3 2 2 7 2 3" xfId="19817" xr:uid="{00000000-0005-0000-0000-00004F4D0000}"/>
    <cellStyle name="표준 25 3 2 2 7 3" xfId="19818" xr:uid="{00000000-0005-0000-0000-0000504D0000}"/>
    <cellStyle name="표준 25 3 2 2 7 3 2" xfId="19819" xr:uid="{00000000-0005-0000-0000-0000514D0000}"/>
    <cellStyle name="표준 25 3 2 2 7 4" xfId="19820" xr:uid="{00000000-0005-0000-0000-0000524D0000}"/>
    <cellStyle name="표준 25 3 2 2 8" xfId="19821" xr:uid="{00000000-0005-0000-0000-0000534D0000}"/>
    <cellStyle name="표준 25 3 2 2 8 2" xfId="19822" xr:uid="{00000000-0005-0000-0000-0000544D0000}"/>
    <cellStyle name="표준 25 3 2 2 8 2 2" xfId="19823" xr:uid="{00000000-0005-0000-0000-0000554D0000}"/>
    <cellStyle name="표준 25 3 2 2 8 3" xfId="19824" xr:uid="{00000000-0005-0000-0000-0000564D0000}"/>
    <cellStyle name="표준 25 3 2 2 9" xfId="19825" xr:uid="{00000000-0005-0000-0000-0000574D0000}"/>
    <cellStyle name="표준 25 3 2 2 9 2" xfId="19826" xr:uid="{00000000-0005-0000-0000-0000584D0000}"/>
    <cellStyle name="표준 25 3 2 3" xfId="19827" xr:uid="{00000000-0005-0000-0000-0000594D0000}"/>
    <cellStyle name="표준 25 3 2 3 10" xfId="19828" xr:uid="{00000000-0005-0000-0000-00005A4D0000}"/>
    <cellStyle name="표준 25 3 2 3 2" xfId="19829" xr:uid="{00000000-0005-0000-0000-00005B4D0000}"/>
    <cellStyle name="표준 25 3 2 3 2 2" xfId="19830" xr:uid="{00000000-0005-0000-0000-00005C4D0000}"/>
    <cellStyle name="표준 25 3 2 3 2 2 2" xfId="19831" xr:uid="{00000000-0005-0000-0000-00005D4D0000}"/>
    <cellStyle name="표준 25 3 2 3 2 2 2 2" xfId="19832" xr:uid="{00000000-0005-0000-0000-00005E4D0000}"/>
    <cellStyle name="표준 25 3 2 3 2 2 2 2 2" xfId="19833" xr:uid="{00000000-0005-0000-0000-00005F4D0000}"/>
    <cellStyle name="표준 25 3 2 3 2 2 2 2 2 2" xfId="19834" xr:uid="{00000000-0005-0000-0000-0000604D0000}"/>
    <cellStyle name="표준 25 3 2 3 2 2 2 2 2 2 2" xfId="19835" xr:uid="{00000000-0005-0000-0000-0000614D0000}"/>
    <cellStyle name="표준 25 3 2 3 2 2 2 2 2 2 2 2" xfId="19836" xr:uid="{00000000-0005-0000-0000-0000624D0000}"/>
    <cellStyle name="표준 25 3 2 3 2 2 2 2 2 2 3" xfId="19837" xr:uid="{00000000-0005-0000-0000-0000634D0000}"/>
    <cellStyle name="표준 25 3 2 3 2 2 2 2 2 3" xfId="19838" xr:uid="{00000000-0005-0000-0000-0000644D0000}"/>
    <cellStyle name="표준 25 3 2 3 2 2 2 2 2 3 2" xfId="19839" xr:uid="{00000000-0005-0000-0000-0000654D0000}"/>
    <cellStyle name="표준 25 3 2 3 2 2 2 2 2 4" xfId="19840" xr:uid="{00000000-0005-0000-0000-0000664D0000}"/>
    <cellStyle name="표준 25 3 2 3 2 2 2 2 3" xfId="19841" xr:uid="{00000000-0005-0000-0000-0000674D0000}"/>
    <cellStyle name="표준 25 3 2 3 2 2 2 2 3 2" xfId="19842" xr:uid="{00000000-0005-0000-0000-0000684D0000}"/>
    <cellStyle name="표준 25 3 2 3 2 2 2 2 3 2 2" xfId="19843" xr:uid="{00000000-0005-0000-0000-0000694D0000}"/>
    <cellStyle name="표준 25 3 2 3 2 2 2 2 3 3" xfId="19844" xr:uid="{00000000-0005-0000-0000-00006A4D0000}"/>
    <cellStyle name="표준 25 3 2 3 2 2 2 2 4" xfId="19845" xr:uid="{00000000-0005-0000-0000-00006B4D0000}"/>
    <cellStyle name="표준 25 3 2 3 2 2 2 2 4 2" xfId="19846" xr:uid="{00000000-0005-0000-0000-00006C4D0000}"/>
    <cellStyle name="표준 25 3 2 3 2 2 2 2 5" xfId="19847" xr:uid="{00000000-0005-0000-0000-00006D4D0000}"/>
    <cellStyle name="표준 25 3 2 3 2 2 2 3" xfId="19848" xr:uid="{00000000-0005-0000-0000-00006E4D0000}"/>
    <cellStyle name="표준 25 3 2 3 2 2 2 3 2" xfId="19849" xr:uid="{00000000-0005-0000-0000-00006F4D0000}"/>
    <cellStyle name="표준 25 3 2 3 2 2 2 3 2 2" xfId="19850" xr:uid="{00000000-0005-0000-0000-0000704D0000}"/>
    <cellStyle name="표준 25 3 2 3 2 2 2 3 2 2 2" xfId="19851" xr:uid="{00000000-0005-0000-0000-0000714D0000}"/>
    <cellStyle name="표준 25 3 2 3 2 2 2 3 2 3" xfId="19852" xr:uid="{00000000-0005-0000-0000-0000724D0000}"/>
    <cellStyle name="표준 25 3 2 3 2 2 2 3 3" xfId="19853" xr:uid="{00000000-0005-0000-0000-0000734D0000}"/>
    <cellStyle name="표준 25 3 2 3 2 2 2 3 3 2" xfId="19854" xr:uid="{00000000-0005-0000-0000-0000744D0000}"/>
    <cellStyle name="표준 25 3 2 3 2 2 2 3 4" xfId="19855" xr:uid="{00000000-0005-0000-0000-0000754D0000}"/>
    <cellStyle name="표준 25 3 2 3 2 2 2 4" xfId="19856" xr:uid="{00000000-0005-0000-0000-0000764D0000}"/>
    <cellStyle name="표준 25 3 2 3 2 2 2 4 2" xfId="19857" xr:uid="{00000000-0005-0000-0000-0000774D0000}"/>
    <cellStyle name="표준 25 3 2 3 2 2 2 4 2 2" xfId="19858" xr:uid="{00000000-0005-0000-0000-0000784D0000}"/>
    <cellStyle name="표준 25 3 2 3 2 2 2 4 3" xfId="19859" xr:uid="{00000000-0005-0000-0000-0000794D0000}"/>
    <cellStyle name="표준 25 3 2 3 2 2 2 5" xfId="19860" xr:uid="{00000000-0005-0000-0000-00007A4D0000}"/>
    <cellStyle name="표준 25 3 2 3 2 2 2 5 2" xfId="19861" xr:uid="{00000000-0005-0000-0000-00007B4D0000}"/>
    <cellStyle name="표준 25 3 2 3 2 2 2 6" xfId="19862" xr:uid="{00000000-0005-0000-0000-00007C4D0000}"/>
    <cellStyle name="표준 25 3 2 3 2 2 3" xfId="19863" xr:uid="{00000000-0005-0000-0000-00007D4D0000}"/>
    <cellStyle name="표준 25 3 2 3 2 2 3 2" xfId="19864" xr:uid="{00000000-0005-0000-0000-00007E4D0000}"/>
    <cellStyle name="표준 25 3 2 3 2 2 3 2 2" xfId="19865" xr:uid="{00000000-0005-0000-0000-00007F4D0000}"/>
    <cellStyle name="표준 25 3 2 3 2 2 3 2 2 2" xfId="19866" xr:uid="{00000000-0005-0000-0000-0000804D0000}"/>
    <cellStyle name="표준 25 3 2 3 2 2 3 2 2 2 2" xfId="19867" xr:uid="{00000000-0005-0000-0000-0000814D0000}"/>
    <cellStyle name="표준 25 3 2 3 2 2 3 2 2 3" xfId="19868" xr:uid="{00000000-0005-0000-0000-0000824D0000}"/>
    <cellStyle name="표준 25 3 2 3 2 2 3 2 3" xfId="19869" xr:uid="{00000000-0005-0000-0000-0000834D0000}"/>
    <cellStyle name="표준 25 3 2 3 2 2 3 2 3 2" xfId="19870" xr:uid="{00000000-0005-0000-0000-0000844D0000}"/>
    <cellStyle name="표준 25 3 2 3 2 2 3 2 4" xfId="19871" xr:uid="{00000000-0005-0000-0000-0000854D0000}"/>
    <cellStyle name="표준 25 3 2 3 2 2 3 3" xfId="19872" xr:uid="{00000000-0005-0000-0000-0000864D0000}"/>
    <cellStyle name="표준 25 3 2 3 2 2 3 3 2" xfId="19873" xr:uid="{00000000-0005-0000-0000-0000874D0000}"/>
    <cellStyle name="표준 25 3 2 3 2 2 3 3 2 2" xfId="19874" xr:uid="{00000000-0005-0000-0000-0000884D0000}"/>
    <cellStyle name="표준 25 3 2 3 2 2 3 3 3" xfId="19875" xr:uid="{00000000-0005-0000-0000-0000894D0000}"/>
    <cellStyle name="표준 25 3 2 3 2 2 3 4" xfId="19876" xr:uid="{00000000-0005-0000-0000-00008A4D0000}"/>
    <cellStyle name="표준 25 3 2 3 2 2 3 4 2" xfId="19877" xr:uid="{00000000-0005-0000-0000-00008B4D0000}"/>
    <cellStyle name="표준 25 3 2 3 2 2 3 5" xfId="19878" xr:uid="{00000000-0005-0000-0000-00008C4D0000}"/>
    <cellStyle name="표준 25 3 2 3 2 2 4" xfId="19879" xr:uid="{00000000-0005-0000-0000-00008D4D0000}"/>
    <cellStyle name="표준 25 3 2 3 2 2 4 2" xfId="19880" xr:uid="{00000000-0005-0000-0000-00008E4D0000}"/>
    <cellStyle name="표준 25 3 2 3 2 2 4 2 2" xfId="19881" xr:uid="{00000000-0005-0000-0000-00008F4D0000}"/>
    <cellStyle name="표준 25 3 2 3 2 2 4 2 2 2" xfId="19882" xr:uid="{00000000-0005-0000-0000-0000904D0000}"/>
    <cellStyle name="표준 25 3 2 3 2 2 4 2 3" xfId="19883" xr:uid="{00000000-0005-0000-0000-0000914D0000}"/>
    <cellStyle name="표준 25 3 2 3 2 2 4 3" xfId="19884" xr:uid="{00000000-0005-0000-0000-0000924D0000}"/>
    <cellStyle name="표준 25 3 2 3 2 2 4 3 2" xfId="19885" xr:uid="{00000000-0005-0000-0000-0000934D0000}"/>
    <cellStyle name="표준 25 3 2 3 2 2 4 4" xfId="19886" xr:uid="{00000000-0005-0000-0000-0000944D0000}"/>
    <cellStyle name="표준 25 3 2 3 2 2 5" xfId="19887" xr:uid="{00000000-0005-0000-0000-0000954D0000}"/>
    <cellStyle name="표준 25 3 2 3 2 2 5 2" xfId="19888" xr:uid="{00000000-0005-0000-0000-0000964D0000}"/>
    <cellStyle name="표준 25 3 2 3 2 2 5 2 2" xfId="19889" xr:uid="{00000000-0005-0000-0000-0000974D0000}"/>
    <cellStyle name="표준 25 3 2 3 2 2 5 3" xfId="19890" xr:uid="{00000000-0005-0000-0000-0000984D0000}"/>
    <cellStyle name="표준 25 3 2 3 2 2 6" xfId="19891" xr:uid="{00000000-0005-0000-0000-0000994D0000}"/>
    <cellStyle name="표준 25 3 2 3 2 2 6 2" xfId="19892" xr:uid="{00000000-0005-0000-0000-00009A4D0000}"/>
    <cellStyle name="표준 25 3 2 3 2 2 7" xfId="19893" xr:uid="{00000000-0005-0000-0000-00009B4D0000}"/>
    <cellStyle name="표준 25 3 2 3 2 2 8" xfId="19894" xr:uid="{00000000-0005-0000-0000-00009C4D0000}"/>
    <cellStyle name="표준 25 3 2 3 2 3" xfId="19895" xr:uid="{00000000-0005-0000-0000-00009D4D0000}"/>
    <cellStyle name="표준 25 3 2 3 2 3 2" xfId="19896" xr:uid="{00000000-0005-0000-0000-00009E4D0000}"/>
    <cellStyle name="표준 25 3 2 3 2 3 2 2" xfId="19897" xr:uid="{00000000-0005-0000-0000-00009F4D0000}"/>
    <cellStyle name="표준 25 3 2 3 2 3 2 2 2" xfId="19898" xr:uid="{00000000-0005-0000-0000-0000A04D0000}"/>
    <cellStyle name="표준 25 3 2 3 2 3 2 2 2 2" xfId="19899" xr:uid="{00000000-0005-0000-0000-0000A14D0000}"/>
    <cellStyle name="표준 25 3 2 3 2 3 2 2 2 2 2" xfId="19900" xr:uid="{00000000-0005-0000-0000-0000A24D0000}"/>
    <cellStyle name="표준 25 3 2 3 2 3 2 2 2 3" xfId="19901" xr:uid="{00000000-0005-0000-0000-0000A34D0000}"/>
    <cellStyle name="표준 25 3 2 3 2 3 2 2 3" xfId="19902" xr:uid="{00000000-0005-0000-0000-0000A44D0000}"/>
    <cellStyle name="표준 25 3 2 3 2 3 2 2 3 2" xfId="19903" xr:uid="{00000000-0005-0000-0000-0000A54D0000}"/>
    <cellStyle name="표준 25 3 2 3 2 3 2 2 4" xfId="19904" xr:uid="{00000000-0005-0000-0000-0000A64D0000}"/>
    <cellStyle name="표준 25 3 2 3 2 3 2 3" xfId="19905" xr:uid="{00000000-0005-0000-0000-0000A74D0000}"/>
    <cellStyle name="표준 25 3 2 3 2 3 2 3 2" xfId="19906" xr:uid="{00000000-0005-0000-0000-0000A84D0000}"/>
    <cellStyle name="표준 25 3 2 3 2 3 2 3 2 2" xfId="19907" xr:uid="{00000000-0005-0000-0000-0000A94D0000}"/>
    <cellStyle name="표준 25 3 2 3 2 3 2 3 3" xfId="19908" xr:uid="{00000000-0005-0000-0000-0000AA4D0000}"/>
    <cellStyle name="표준 25 3 2 3 2 3 2 4" xfId="19909" xr:uid="{00000000-0005-0000-0000-0000AB4D0000}"/>
    <cellStyle name="표준 25 3 2 3 2 3 2 4 2" xfId="19910" xr:uid="{00000000-0005-0000-0000-0000AC4D0000}"/>
    <cellStyle name="표준 25 3 2 3 2 3 2 5" xfId="19911" xr:uid="{00000000-0005-0000-0000-0000AD4D0000}"/>
    <cellStyle name="표준 25 3 2 3 2 3 3" xfId="19912" xr:uid="{00000000-0005-0000-0000-0000AE4D0000}"/>
    <cellStyle name="표준 25 3 2 3 2 3 3 2" xfId="19913" xr:uid="{00000000-0005-0000-0000-0000AF4D0000}"/>
    <cellStyle name="표준 25 3 2 3 2 3 3 2 2" xfId="19914" xr:uid="{00000000-0005-0000-0000-0000B04D0000}"/>
    <cellStyle name="표준 25 3 2 3 2 3 3 2 2 2" xfId="19915" xr:uid="{00000000-0005-0000-0000-0000B14D0000}"/>
    <cellStyle name="표준 25 3 2 3 2 3 3 2 3" xfId="19916" xr:uid="{00000000-0005-0000-0000-0000B24D0000}"/>
    <cellStyle name="표준 25 3 2 3 2 3 3 3" xfId="19917" xr:uid="{00000000-0005-0000-0000-0000B34D0000}"/>
    <cellStyle name="표준 25 3 2 3 2 3 3 3 2" xfId="19918" xr:uid="{00000000-0005-0000-0000-0000B44D0000}"/>
    <cellStyle name="표준 25 3 2 3 2 3 3 4" xfId="19919" xr:uid="{00000000-0005-0000-0000-0000B54D0000}"/>
    <cellStyle name="표준 25 3 2 3 2 3 4" xfId="19920" xr:uid="{00000000-0005-0000-0000-0000B64D0000}"/>
    <cellStyle name="표준 25 3 2 3 2 3 4 2" xfId="19921" xr:uid="{00000000-0005-0000-0000-0000B74D0000}"/>
    <cellStyle name="표준 25 3 2 3 2 3 4 2 2" xfId="19922" xr:uid="{00000000-0005-0000-0000-0000B84D0000}"/>
    <cellStyle name="표준 25 3 2 3 2 3 4 3" xfId="19923" xr:uid="{00000000-0005-0000-0000-0000B94D0000}"/>
    <cellStyle name="표준 25 3 2 3 2 3 5" xfId="19924" xr:uid="{00000000-0005-0000-0000-0000BA4D0000}"/>
    <cellStyle name="표준 25 3 2 3 2 3 5 2" xfId="19925" xr:uid="{00000000-0005-0000-0000-0000BB4D0000}"/>
    <cellStyle name="표준 25 3 2 3 2 3 6" xfId="19926" xr:uid="{00000000-0005-0000-0000-0000BC4D0000}"/>
    <cellStyle name="표준 25 3 2 3 2 4" xfId="19927" xr:uid="{00000000-0005-0000-0000-0000BD4D0000}"/>
    <cellStyle name="표준 25 3 2 3 2 4 2" xfId="19928" xr:uid="{00000000-0005-0000-0000-0000BE4D0000}"/>
    <cellStyle name="표준 25 3 2 3 2 4 2 2" xfId="19929" xr:uid="{00000000-0005-0000-0000-0000BF4D0000}"/>
    <cellStyle name="표준 25 3 2 3 2 4 2 2 2" xfId="19930" xr:uid="{00000000-0005-0000-0000-0000C04D0000}"/>
    <cellStyle name="표준 25 3 2 3 2 4 2 2 2 2" xfId="19931" xr:uid="{00000000-0005-0000-0000-0000C14D0000}"/>
    <cellStyle name="표준 25 3 2 3 2 4 2 2 3" xfId="19932" xr:uid="{00000000-0005-0000-0000-0000C24D0000}"/>
    <cellStyle name="표준 25 3 2 3 2 4 2 3" xfId="19933" xr:uid="{00000000-0005-0000-0000-0000C34D0000}"/>
    <cellStyle name="표준 25 3 2 3 2 4 2 3 2" xfId="19934" xr:uid="{00000000-0005-0000-0000-0000C44D0000}"/>
    <cellStyle name="표준 25 3 2 3 2 4 2 4" xfId="19935" xr:uid="{00000000-0005-0000-0000-0000C54D0000}"/>
    <cellStyle name="표준 25 3 2 3 2 4 3" xfId="19936" xr:uid="{00000000-0005-0000-0000-0000C64D0000}"/>
    <cellStyle name="표준 25 3 2 3 2 4 3 2" xfId="19937" xr:uid="{00000000-0005-0000-0000-0000C74D0000}"/>
    <cellStyle name="표준 25 3 2 3 2 4 3 2 2" xfId="19938" xr:uid="{00000000-0005-0000-0000-0000C84D0000}"/>
    <cellStyle name="표준 25 3 2 3 2 4 3 3" xfId="19939" xr:uid="{00000000-0005-0000-0000-0000C94D0000}"/>
    <cellStyle name="표준 25 3 2 3 2 4 4" xfId="19940" xr:uid="{00000000-0005-0000-0000-0000CA4D0000}"/>
    <cellStyle name="표준 25 3 2 3 2 4 4 2" xfId="19941" xr:uid="{00000000-0005-0000-0000-0000CB4D0000}"/>
    <cellStyle name="표준 25 3 2 3 2 4 5" xfId="19942" xr:uid="{00000000-0005-0000-0000-0000CC4D0000}"/>
    <cellStyle name="표준 25 3 2 3 2 5" xfId="19943" xr:uid="{00000000-0005-0000-0000-0000CD4D0000}"/>
    <cellStyle name="표준 25 3 2 3 2 5 2" xfId="19944" xr:uid="{00000000-0005-0000-0000-0000CE4D0000}"/>
    <cellStyle name="표준 25 3 2 3 2 5 2 2" xfId="19945" xr:uid="{00000000-0005-0000-0000-0000CF4D0000}"/>
    <cellStyle name="표준 25 3 2 3 2 5 2 2 2" xfId="19946" xr:uid="{00000000-0005-0000-0000-0000D04D0000}"/>
    <cellStyle name="표준 25 3 2 3 2 5 2 3" xfId="19947" xr:uid="{00000000-0005-0000-0000-0000D14D0000}"/>
    <cellStyle name="표준 25 3 2 3 2 5 3" xfId="19948" xr:uid="{00000000-0005-0000-0000-0000D24D0000}"/>
    <cellStyle name="표준 25 3 2 3 2 5 3 2" xfId="19949" xr:uid="{00000000-0005-0000-0000-0000D34D0000}"/>
    <cellStyle name="표준 25 3 2 3 2 5 4" xfId="19950" xr:uid="{00000000-0005-0000-0000-0000D44D0000}"/>
    <cellStyle name="표준 25 3 2 3 2 6" xfId="19951" xr:uid="{00000000-0005-0000-0000-0000D54D0000}"/>
    <cellStyle name="표준 25 3 2 3 2 6 2" xfId="19952" xr:uid="{00000000-0005-0000-0000-0000D64D0000}"/>
    <cellStyle name="표준 25 3 2 3 2 6 2 2" xfId="19953" xr:uid="{00000000-0005-0000-0000-0000D74D0000}"/>
    <cellStyle name="표준 25 3 2 3 2 6 3" xfId="19954" xr:uid="{00000000-0005-0000-0000-0000D84D0000}"/>
    <cellStyle name="표준 25 3 2 3 2 7" xfId="19955" xr:uid="{00000000-0005-0000-0000-0000D94D0000}"/>
    <cellStyle name="표준 25 3 2 3 2 7 2" xfId="19956" xr:uid="{00000000-0005-0000-0000-0000DA4D0000}"/>
    <cellStyle name="표준 25 3 2 3 2 8" xfId="19957" xr:uid="{00000000-0005-0000-0000-0000DB4D0000}"/>
    <cellStyle name="표준 25 3 2 3 2 9" xfId="19958" xr:uid="{00000000-0005-0000-0000-0000DC4D0000}"/>
    <cellStyle name="표준 25 3 2 3 3" xfId="19959" xr:uid="{00000000-0005-0000-0000-0000DD4D0000}"/>
    <cellStyle name="표준 25 3 2 3 3 2" xfId="19960" xr:uid="{00000000-0005-0000-0000-0000DE4D0000}"/>
    <cellStyle name="표준 25 3 2 3 3 2 2" xfId="19961" xr:uid="{00000000-0005-0000-0000-0000DF4D0000}"/>
    <cellStyle name="표준 25 3 2 3 3 2 2 2" xfId="19962" xr:uid="{00000000-0005-0000-0000-0000E04D0000}"/>
    <cellStyle name="표준 25 3 2 3 3 2 2 2 2" xfId="19963" xr:uid="{00000000-0005-0000-0000-0000E14D0000}"/>
    <cellStyle name="표준 25 3 2 3 3 2 2 2 2 2" xfId="19964" xr:uid="{00000000-0005-0000-0000-0000E24D0000}"/>
    <cellStyle name="표준 25 3 2 3 3 2 2 2 2 2 2" xfId="19965" xr:uid="{00000000-0005-0000-0000-0000E34D0000}"/>
    <cellStyle name="표준 25 3 2 3 3 2 2 2 2 3" xfId="19966" xr:uid="{00000000-0005-0000-0000-0000E44D0000}"/>
    <cellStyle name="표준 25 3 2 3 3 2 2 2 3" xfId="19967" xr:uid="{00000000-0005-0000-0000-0000E54D0000}"/>
    <cellStyle name="표준 25 3 2 3 3 2 2 2 3 2" xfId="19968" xr:uid="{00000000-0005-0000-0000-0000E64D0000}"/>
    <cellStyle name="표준 25 3 2 3 3 2 2 2 4" xfId="19969" xr:uid="{00000000-0005-0000-0000-0000E74D0000}"/>
    <cellStyle name="표준 25 3 2 3 3 2 2 3" xfId="19970" xr:uid="{00000000-0005-0000-0000-0000E84D0000}"/>
    <cellStyle name="표준 25 3 2 3 3 2 2 3 2" xfId="19971" xr:uid="{00000000-0005-0000-0000-0000E94D0000}"/>
    <cellStyle name="표준 25 3 2 3 3 2 2 3 2 2" xfId="19972" xr:uid="{00000000-0005-0000-0000-0000EA4D0000}"/>
    <cellStyle name="표준 25 3 2 3 3 2 2 3 3" xfId="19973" xr:uid="{00000000-0005-0000-0000-0000EB4D0000}"/>
    <cellStyle name="표준 25 3 2 3 3 2 2 4" xfId="19974" xr:uid="{00000000-0005-0000-0000-0000EC4D0000}"/>
    <cellStyle name="표준 25 3 2 3 3 2 2 4 2" xfId="19975" xr:uid="{00000000-0005-0000-0000-0000ED4D0000}"/>
    <cellStyle name="표준 25 3 2 3 3 2 2 5" xfId="19976" xr:uid="{00000000-0005-0000-0000-0000EE4D0000}"/>
    <cellStyle name="표준 25 3 2 3 3 2 3" xfId="19977" xr:uid="{00000000-0005-0000-0000-0000EF4D0000}"/>
    <cellStyle name="표준 25 3 2 3 3 2 3 2" xfId="19978" xr:uid="{00000000-0005-0000-0000-0000F04D0000}"/>
    <cellStyle name="표준 25 3 2 3 3 2 3 2 2" xfId="19979" xr:uid="{00000000-0005-0000-0000-0000F14D0000}"/>
    <cellStyle name="표준 25 3 2 3 3 2 3 2 2 2" xfId="19980" xr:uid="{00000000-0005-0000-0000-0000F24D0000}"/>
    <cellStyle name="표준 25 3 2 3 3 2 3 2 3" xfId="19981" xr:uid="{00000000-0005-0000-0000-0000F34D0000}"/>
    <cellStyle name="표준 25 3 2 3 3 2 3 3" xfId="19982" xr:uid="{00000000-0005-0000-0000-0000F44D0000}"/>
    <cellStyle name="표준 25 3 2 3 3 2 3 3 2" xfId="19983" xr:uid="{00000000-0005-0000-0000-0000F54D0000}"/>
    <cellStyle name="표준 25 3 2 3 3 2 3 4" xfId="19984" xr:uid="{00000000-0005-0000-0000-0000F64D0000}"/>
    <cellStyle name="표준 25 3 2 3 3 2 4" xfId="19985" xr:uid="{00000000-0005-0000-0000-0000F74D0000}"/>
    <cellStyle name="표준 25 3 2 3 3 2 4 2" xfId="19986" xr:uid="{00000000-0005-0000-0000-0000F84D0000}"/>
    <cellStyle name="표준 25 3 2 3 3 2 4 2 2" xfId="19987" xr:uid="{00000000-0005-0000-0000-0000F94D0000}"/>
    <cellStyle name="표준 25 3 2 3 3 2 4 3" xfId="19988" xr:uid="{00000000-0005-0000-0000-0000FA4D0000}"/>
    <cellStyle name="표준 25 3 2 3 3 2 5" xfId="19989" xr:uid="{00000000-0005-0000-0000-0000FB4D0000}"/>
    <cellStyle name="표준 25 3 2 3 3 2 5 2" xfId="19990" xr:uid="{00000000-0005-0000-0000-0000FC4D0000}"/>
    <cellStyle name="표준 25 3 2 3 3 2 6" xfId="19991" xr:uid="{00000000-0005-0000-0000-0000FD4D0000}"/>
    <cellStyle name="표준 25 3 2 3 3 3" xfId="19992" xr:uid="{00000000-0005-0000-0000-0000FE4D0000}"/>
    <cellStyle name="표준 25 3 2 3 3 3 2" xfId="19993" xr:uid="{00000000-0005-0000-0000-0000FF4D0000}"/>
    <cellStyle name="표준 25 3 2 3 3 3 2 2" xfId="19994" xr:uid="{00000000-0005-0000-0000-0000004E0000}"/>
    <cellStyle name="표준 25 3 2 3 3 3 2 2 2" xfId="19995" xr:uid="{00000000-0005-0000-0000-0000014E0000}"/>
    <cellStyle name="표준 25 3 2 3 3 3 2 2 2 2" xfId="19996" xr:uid="{00000000-0005-0000-0000-0000024E0000}"/>
    <cellStyle name="표준 25 3 2 3 3 3 2 2 3" xfId="19997" xr:uid="{00000000-0005-0000-0000-0000034E0000}"/>
    <cellStyle name="표준 25 3 2 3 3 3 2 3" xfId="19998" xr:uid="{00000000-0005-0000-0000-0000044E0000}"/>
    <cellStyle name="표준 25 3 2 3 3 3 2 3 2" xfId="19999" xr:uid="{00000000-0005-0000-0000-0000054E0000}"/>
    <cellStyle name="표준 25 3 2 3 3 3 2 4" xfId="20000" xr:uid="{00000000-0005-0000-0000-0000064E0000}"/>
    <cellStyle name="표준 25 3 2 3 3 3 3" xfId="20001" xr:uid="{00000000-0005-0000-0000-0000074E0000}"/>
    <cellStyle name="표준 25 3 2 3 3 3 3 2" xfId="20002" xr:uid="{00000000-0005-0000-0000-0000084E0000}"/>
    <cellStyle name="표준 25 3 2 3 3 3 3 2 2" xfId="20003" xr:uid="{00000000-0005-0000-0000-0000094E0000}"/>
    <cellStyle name="표준 25 3 2 3 3 3 3 3" xfId="20004" xr:uid="{00000000-0005-0000-0000-00000A4E0000}"/>
    <cellStyle name="표준 25 3 2 3 3 3 4" xfId="20005" xr:uid="{00000000-0005-0000-0000-00000B4E0000}"/>
    <cellStyle name="표준 25 3 2 3 3 3 4 2" xfId="20006" xr:uid="{00000000-0005-0000-0000-00000C4E0000}"/>
    <cellStyle name="표준 25 3 2 3 3 3 5" xfId="20007" xr:uid="{00000000-0005-0000-0000-00000D4E0000}"/>
    <cellStyle name="표준 25 3 2 3 3 4" xfId="20008" xr:uid="{00000000-0005-0000-0000-00000E4E0000}"/>
    <cellStyle name="표준 25 3 2 3 3 4 2" xfId="20009" xr:uid="{00000000-0005-0000-0000-00000F4E0000}"/>
    <cellStyle name="표준 25 3 2 3 3 4 2 2" xfId="20010" xr:uid="{00000000-0005-0000-0000-0000104E0000}"/>
    <cellStyle name="표준 25 3 2 3 3 4 2 2 2" xfId="20011" xr:uid="{00000000-0005-0000-0000-0000114E0000}"/>
    <cellStyle name="표준 25 3 2 3 3 4 2 3" xfId="20012" xr:uid="{00000000-0005-0000-0000-0000124E0000}"/>
    <cellStyle name="표준 25 3 2 3 3 4 3" xfId="20013" xr:uid="{00000000-0005-0000-0000-0000134E0000}"/>
    <cellStyle name="표준 25 3 2 3 3 4 3 2" xfId="20014" xr:uid="{00000000-0005-0000-0000-0000144E0000}"/>
    <cellStyle name="표준 25 3 2 3 3 4 4" xfId="20015" xr:uid="{00000000-0005-0000-0000-0000154E0000}"/>
    <cellStyle name="표준 25 3 2 3 3 5" xfId="20016" xr:uid="{00000000-0005-0000-0000-0000164E0000}"/>
    <cellStyle name="표준 25 3 2 3 3 5 2" xfId="20017" xr:uid="{00000000-0005-0000-0000-0000174E0000}"/>
    <cellStyle name="표준 25 3 2 3 3 5 2 2" xfId="20018" xr:uid="{00000000-0005-0000-0000-0000184E0000}"/>
    <cellStyle name="표준 25 3 2 3 3 5 3" xfId="20019" xr:uid="{00000000-0005-0000-0000-0000194E0000}"/>
    <cellStyle name="표준 25 3 2 3 3 6" xfId="20020" xr:uid="{00000000-0005-0000-0000-00001A4E0000}"/>
    <cellStyle name="표준 25 3 2 3 3 6 2" xfId="20021" xr:uid="{00000000-0005-0000-0000-00001B4E0000}"/>
    <cellStyle name="표준 25 3 2 3 3 7" xfId="20022" xr:uid="{00000000-0005-0000-0000-00001C4E0000}"/>
    <cellStyle name="표준 25 3 2 3 3 8" xfId="20023" xr:uid="{00000000-0005-0000-0000-00001D4E0000}"/>
    <cellStyle name="표준 25 3 2 3 4" xfId="20024" xr:uid="{00000000-0005-0000-0000-00001E4E0000}"/>
    <cellStyle name="표준 25 3 2 3 4 2" xfId="20025" xr:uid="{00000000-0005-0000-0000-00001F4E0000}"/>
    <cellStyle name="표준 25 3 2 3 4 2 2" xfId="20026" xr:uid="{00000000-0005-0000-0000-0000204E0000}"/>
    <cellStyle name="표준 25 3 2 3 4 2 2 2" xfId="20027" xr:uid="{00000000-0005-0000-0000-0000214E0000}"/>
    <cellStyle name="표준 25 3 2 3 4 2 2 2 2" xfId="20028" xr:uid="{00000000-0005-0000-0000-0000224E0000}"/>
    <cellStyle name="표준 25 3 2 3 4 2 2 2 2 2" xfId="20029" xr:uid="{00000000-0005-0000-0000-0000234E0000}"/>
    <cellStyle name="표준 25 3 2 3 4 2 2 2 3" xfId="20030" xr:uid="{00000000-0005-0000-0000-0000244E0000}"/>
    <cellStyle name="표준 25 3 2 3 4 2 2 3" xfId="20031" xr:uid="{00000000-0005-0000-0000-0000254E0000}"/>
    <cellStyle name="표준 25 3 2 3 4 2 2 3 2" xfId="20032" xr:uid="{00000000-0005-0000-0000-0000264E0000}"/>
    <cellStyle name="표준 25 3 2 3 4 2 2 4" xfId="20033" xr:uid="{00000000-0005-0000-0000-0000274E0000}"/>
    <cellStyle name="표준 25 3 2 3 4 2 3" xfId="20034" xr:uid="{00000000-0005-0000-0000-0000284E0000}"/>
    <cellStyle name="표준 25 3 2 3 4 2 3 2" xfId="20035" xr:uid="{00000000-0005-0000-0000-0000294E0000}"/>
    <cellStyle name="표준 25 3 2 3 4 2 3 2 2" xfId="20036" xr:uid="{00000000-0005-0000-0000-00002A4E0000}"/>
    <cellStyle name="표준 25 3 2 3 4 2 3 3" xfId="20037" xr:uid="{00000000-0005-0000-0000-00002B4E0000}"/>
    <cellStyle name="표준 25 3 2 3 4 2 4" xfId="20038" xr:uid="{00000000-0005-0000-0000-00002C4E0000}"/>
    <cellStyle name="표준 25 3 2 3 4 2 4 2" xfId="20039" xr:uid="{00000000-0005-0000-0000-00002D4E0000}"/>
    <cellStyle name="표준 25 3 2 3 4 2 5" xfId="20040" xr:uid="{00000000-0005-0000-0000-00002E4E0000}"/>
    <cellStyle name="표준 25 3 2 3 4 3" xfId="20041" xr:uid="{00000000-0005-0000-0000-00002F4E0000}"/>
    <cellStyle name="표준 25 3 2 3 4 3 2" xfId="20042" xr:uid="{00000000-0005-0000-0000-0000304E0000}"/>
    <cellStyle name="표준 25 3 2 3 4 3 2 2" xfId="20043" xr:uid="{00000000-0005-0000-0000-0000314E0000}"/>
    <cellStyle name="표준 25 3 2 3 4 3 2 2 2" xfId="20044" xr:uid="{00000000-0005-0000-0000-0000324E0000}"/>
    <cellStyle name="표준 25 3 2 3 4 3 2 3" xfId="20045" xr:uid="{00000000-0005-0000-0000-0000334E0000}"/>
    <cellStyle name="표준 25 3 2 3 4 3 3" xfId="20046" xr:uid="{00000000-0005-0000-0000-0000344E0000}"/>
    <cellStyle name="표준 25 3 2 3 4 3 3 2" xfId="20047" xr:uid="{00000000-0005-0000-0000-0000354E0000}"/>
    <cellStyle name="표준 25 3 2 3 4 3 4" xfId="20048" xr:uid="{00000000-0005-0000-0000-0000364E0000}"/>
    <cellStyle name="표준 25 3 2 3 4 4" xfId="20049" xr:uid="{00000000-0005-0000-0000-0000374E0000}"/>
    <cellStyle name="표준 25 3 2 3 4 4 2" xfId="20050" xr:uid="{00000000-0005-0000-0000-0000384E0000}"/>
    <cellStyle name="표준 25 3 2 3 4 4 2 2" xfId="20051" xr:uid="{00000000-0005-0000-0000-0000394E0000}"/>
    <cellStyle name="표준 25 3 2 3 4 4 3" xfId="20052" xr:uid="{00000000-0005-0000-0000-00003A4E0000}"/>
    <cellStyle name="표준 25 3 2 3 4 5" xfId="20053" xr:uid="{00000000-0005-0000-0000-00003B4E0000}"/>
    <cellStyle name="표준 25 3 2 3 4 5 2" xfId="20054" xr:uid="{00000000-0005-0000-0000-00003C4E0000}"/>
    <cellStyle name="표준 25 3 2 3 4 6" xfId="20055" xr:uid="{00000000-0005-0000-0000-00003D4E0000}"/>
    <cellStyle name="표준 25 3 2 3 5" xfId="20056" xr:uid="{00000000-0005-0000-0000-00003E4E0000}"/>
    <cellStyle name="표준 25 3 2 3 5 2" xfId="20057" xr:uid="{00000000-0005-0000-0000-00003F4E0000}"/>
    <cellStyle name="표준 25 3 2 3 5 2 2" xfId="20058" xr:uid="{00000000-0005-0000-0000-0000404E0000}"/>
    <cellStyle name="표준 25 3 2 3 5 2 2 2" xfId="20059" xr:uid="{00000000-0005-0000-0000-0000414E0000}"/>
    <cellStyle name="표준 25 3 2 3 5 2 2 2 2" xfId="20060" xr:uid="{00000000-0005-0000-0000-0000424E0000}"/>
    <cellStyle name="표준 25 3 2 3 5 2 2 3" xfId="20061" xr:uid="{00000000-0005-0000-0000-0000434E0000}"/>
    <cellStyle name="표준 25 3 2 3 5 2 3" xfId="20062" xr:uid="{00000000-0005-0000-0000-0000444E0000}"/>
    <cellStyle name="표준 25 3 2 3 5 2 3 2" xfId="20063" xr:uid="{00000000-0005-0000-0000-0000454E0000}"/>
    <cellStyle name="표준 25 3 2 3 5 2 4" xfId="20064" xr:uid="{00000000-0005-0000-0000-0000464E0000}"/>
    <cellStyle name="표준 25 3 2 3 5 3" xfId="20065" xr:uid="{00000000-0005-0000-0000-0000474E0000}"/>
    <cellStyle name="표준 25 3 2 3 5 3 2" xfId="20066" xr:uid="{00000000-0005-0000-0000-0000484E0000}"/>
    <cellStyle name="표준 25 3 2 3 5 3 2 2" xfId="20067" xr:uid="{00000000-0005-0000-0000-0000494E0000}"/>
    <cellStyle name="표준 25 3 2 3 5 3 3" xfId="20068" xr:uid="{00000000-0005-0000-0000-00004A4E0000}"/>
    <cellStyle name="표준 25 3 2 3 5 4" xfId="20069" xr:uid="{00000000-0005-0000-0000-00004B4E0000}"/>
    <cellStyle name="표준 25 3 2 3 5 4 2" xfId="20070" xr:uid="{00000000-0005-0000-0000-00004C4E0000}"/>
    <cellStyle name="표준 25 3 2 3 5 5" xfId="20071" xr:uid="{00000000-0005-0000-0000-00004D4E0000}"/>
    <cellStyle name="표준 25 3 2 3 6" xfId="20072" xr:uid="{00000000-0005-0000-0000-00004E4E0000}"/>
    <cellStyle name="표준 25 3 2 3 6 2" xfId="20073" xr:uid="{00000000-0005-0000-0000-00004F4E0000}"/>
    <cellStyle name="표준 25 3 2 3 6 2 2" xfId="20074" xr:uid="{00000000-0005-0000-0000-0000504E0000}"/>
    <cellStyle name="표준 25 3 2 3 6 2 2 2" xfId="20075" xr:uid="{00000000-0005-0000-0000-0000514E0000}"/>
    <cellStyle name="표준 25 3 2 3 6 2 3" xfId="20076" xr:uid="{00000000-0005-0000-0000-0000524E0000}"/>
    <cellStyle name="표준 25 3 2 3 6 3" xfId="20077" xr:uid="{00000000-0005-0000-0000-0000534E0000}"/>
    <cellStyle name="표준 25 3 2 3 6 3 2" xfId="20078" xr:uid="{00000000-0005-0000-0000-0000544E0000}"/>
    <cellStyle name="표준 25 3 2 3 6 4" xfId="20079" xr:uid="{00000000-0005-0000-0000-0000554E0000}"/>
    <cellStyle name="표준 25 3 2 3 7" xfId="20080" xr:uid="{00000000-0005-0000-0000-0000564E0000}"/>
    <cellStyle name="표준 25 3 2 3 7 2" xfId="20081" xr:uid="{00000000-0005-0000-0000-0000574E0000}"/>
    <cellStyle name="표준 25 3 2 3 7 2 2" xfId="20082" xr:uid="{00000000-0005-0000-0000-0000584E0000}"/>
    <cellStyle name="표준 25 3 2 3 7 3" xfId="20083" xr:uid="{00000000-0005-0000-0000-0000594E0000}"/>
    <cellStyle name="표준 25 3 2 3 8" xfId="20084" xr:uid="{00000000-0005-0000-0000-00005A4E0000}"/>
    <cellStyle name="표준 25 3 2 3 8 2" xfId="20085" xr:uid="{00000000-0005-0000-0000-00005B4E0000}"/>
    <cellStyle name="표준 25 3 2 3 9" xfId="20086" xr:uid="{00000000-0005-0000-0000-00005C4E0000}"/>
    <cellStyle name="표준 25 3 2 4" xfId="20087" xr:uid="{00000000-0005-0000-0000-00005D4E0000}"/>
    <cellStyle name="표준 25 3 2 4 2" xfId="20088" xr:uid="{00000000-0005-0000-0000-00005E4E0000}"/>
    <cellStyle name="표준 25 3 2 4 2 2" xfId="20089" xr:uid="{00000000-0005-0000-0000-00005F4E0000}"/>
    <cellStyle name="표준 25 3 2 4 2 2 2" xfId="20090" xr:uid="{00000000-0005-0000-0000-0000604E0000}"/>
    <cellStyle name="표준 25 3 2 4 2 2 2 2" xfId="20091" xr:uid="{00000000-0005-0000-0000-0000614E0000}"/>
    <cellStyle name="표준 25 3 2 4 2 2 2 2 2" xfId="20092" xr:uid="{00000000-0005-0000-0000-0000624E0000}"/>
    <cellStyle name="표준 25 3 2 4 2 2 2 2 2 2" xfId="20093" xr:uid="{00000000-0005-0000-0000-0000634E0000}"/>
    <cellStyle name="표준 25 3 2 4 2 2 2 2 2 2 2" xfId="20094" xr:uid="{00000000-0005-0000-0000-0000644E0000}"/>
    <cellStyle name="표준 25 3 2 4 2 2 2 2 2 3" xfId="20095" xr:uid="{00000000-0005-0000-0000-0000654E0000}"/>
    <cellStyle name="표준 25 3 2 4 2 2 2 2 3" xfId="20096" xr:uid="{00000000-0005-0000-0000-0000664E0000}"/>
    <cellStyle name="표준 25 3 2 4 2 2 2 2 3 2" xfId="20097" xr:uid="{00000000-0005-0000-0000-0000674E0000}"/>
    <cellStyle name="표준 25 3 2 4 2 2 2 2 4" xfId="20098" xr:uid="{00000000-0005-0000-0000-0000684E0000}"/>
    <cellStyle name="표준 25 3 2 4 2 2 2 3" xfId="20099" xr:uid="{00000000-0005-0000-0000-0000694E0000}"/>
    <cellStyle name="표준 25 3 2 4 2 2 2 3 2" xfId="20100" xr:uid="{00000000-0005-0000-0000-00006A4E0000}"/>
    <cellStyle name="표준 25 3 2 4 2 2 2 3 2 2" xfId="20101" xr:uid="{00000000-0005-0000-0000-00006B4E0000}"/>
    <cellStyle name="표준 25 3 2 4 2 2 2 3 3" xfId="20102" xr:uid="{00000000-0005-0000-0000-00006C4E0000}"/>
    <cellStyle name="표준 25 3 2 4 2 2 2 4" xfId="20103" xr:uid="{00000000-0005-0000-0000-00006D4E0000}"/>
    <cellStyle name="표준 25 3 2 4 2 2 2 4 2" xfId="20104" xr:uid="{00000000-0005-0000-0000-00006E4E0000}"/>
    <cellStyle name="표준 25 3 2 4 2 2 2 5" xfId="20105" xr:uid="{00000000-0005-0000-0000-00006F4E0000}"/>
    <cellStyle name="표준 25 3 2 4 2 2 3" xfId="20106" xr:uid="{00000000-0005-0000-0000-0000704E0000}"/>
    <cellStyle name="표준 25 3 2 4 2 2 3 2" xfId="20107" xr:uid="{00000000-0005-0000-0000-0000714E0000}"/>
    <cellStyle name="표준 25 3 2 4 2 2 3 2 2" xfId="20108" xr:uid="{00000000-0005-0000-0000-0000724E0000}"/>
    <cellStyle name="표준 25 3 2 4 2 2 3 2 2 2" xfId="20109" xr:uid="{00000000-0005-0000-0000-0000734E0000}"/>
    <cellStyle name="표준 25 3 2 4 2 2 3 2 3" xfId="20110" xr:uid="{00000000-0005-0000-0000-0000744E0000}"/>
    <cellStyle name="표준 25 3 2 4 2 2 3 3" xfId="20111" xr:uid="{00000000-0005-0000-0000-0000754E0000}"/>
    <cellStyle name="표준 25 3 2 4 2 2 3 3 2" xfId="20112" xr:uid="{00000000-0005-0000-0000-0000764E0000}"/>
    <cellStyle name="표준 25 3 2 4 2 2 3 4" xfId="20113" xr:uid="{00000000-0005-0000-0000-0000774E0000}"/>
    <cellStyle name="표준 25 3 2 4 2 2 4" xfId="20114" xr:uid="{00000000-0005-0000-0000-0000784E0000}"/>
    <cellStyle name="표준 25 3 2 4 2 2 4 2" xfId="20115" xr:uid="{00000000-0005-0000-0000-0000794E0000}"/>
    <cellStyle name="표준 25 3 2 4 2 2 4 2 2" xfId="20116" xr:uid="{00000000-0005-0000-0000-00007A4E0000}"/>
    <cellStyle name="표준 25 3 2 4 2 2 4 3" xfId="20117" xr:uid="{00000000-0005-0000-0000-00007B4E0000}"/>
    <cellStyle name="표준 25 3 2 4 2 2 5" xfId="20118" xr:uid="{00000000-0005-0000-0000-00007C4E0000}"/>
    <cellStyle name="표준 25 3 2 4 2 2 5 2" xfId="20119" xr:uid="{00000000-0005-0000-0000-00007D4E0000}"/>
    <cellStyle name="표준 25 3 2 4 2 2 6" xfId="20120" xr:uid="{00000000-0005-0000-0000-00007E4E0000}"/>
    <cellStyle name="표준 25 3 2 4 2 3" xfId="20121" xr:uid="{00000000-0005-0000-0000-00007F4E0000}"/>
    <cellStyle name="표준 25 3 2 4 2 3 2" xfId="20122" xr:uid="{00000000-0005-0000-0000-0000804E0000}"/>
    <cellStyle name="표준 25 3 2 4 2 3 2 2" xfId="20123" xr:uid="{00000000-0005-0000-0000-0000814E0000}"/>
    <cellStyle name="표준 25 3 2 4 2 3 2 2 2" xfId="20124" xr:uid="{00000000-0005-0000-0000-0000824E0000}"/>
    <cellStyle name="표준 25 3 2 4 2 3 2 2 2 2" xfId="20125" xr:uid="{00000000-0005-0000-0000-0000834E0000}"/>
    <cellStyle name="표준 25 3 2 4 2 3 2 2 3" xfId="20126" xr:uid="{00000000-0005-0000-0000-0000844E0000}"/>
    <cellStyle name="표준 25 3 2 4 2 3 2 3" xfId="20127" xr:uid="{00000000-0005-0000-0000-0000854E0000}"/>
    <cellStyle name="표준 25 3 2 4 2 3 2 3 2" xfId="20128" xr:uid="{00000000-0005-0000-0000-0000864E0000}"/>
    <cellStyle name="표준 25 3 2 4 2 3 2 4" xfId="20129" xr:uid="{00000000-0005-0000-0000-0000874E0000}"/>
    <cellStyle name="표준 25 3 2 4 2 3 3" xfId="20130" xr:uid="{00000000-0005-0000-0000-0000884E0000}"/>
    <cellStyle name="표준 25 3 2 4 2 3 3 2" xfId="20131" xr:uid="{00000000-0005-0000-0000-0000894E0000}"/>
    <cellStyle name="표준 25 3 2 4 2 3 3 2 2" xfId="20132" xr:uid="{00000000-0005-0000-0000-00008A4E0000}"/>
    <cellStyle name="표준 25 3 2 4 2 3 3 3" xfId="20133" xr:uid="{00000000-0005-0000-0000-00008B4E0000}"/>
    <cellStyle name="표준 25 3 2 4 2 3 4" xfId="20134" xr:uid="{00000000-0005-0000-0000-00008C4E0000}"/>
    <cellStyle name="표준 25 3 2 4 2 3 4 2" xfId="20135" xr:uid="{00000000-0005-0000-0000-00008D4E0000}"/>
    <cellStyle name="표준 25 3 2 4 2 3 5" xfId="20136" xr:uid="{00000000-0005-0000-0000-00008E4E0000}"/>
    <cellStyle name="표준 25 3 2 4 2 4" xfId="20137" xr:uid="{00000000-0005-0000-0000-00008F4E0000}"/>
    <cellStyle name="표준 25 3 2 4 2 4 2" xfId="20138" xr:uid="{00000000-0005-0000-0000-0000904E0000}"/>
    <cellStyle name="표준 25 3 2 4 2 4 2 2" xfId="20139" xr:uid="{00000000-0005-0000-0000-0000914E0000}"/>
    <cellStyle name="표준 25 3 2 4 2 4 2 2 2" xfId="20140" xr:uid="{00000000-0005-0000-0000-0000924E0000}"/>
    <cellStyle name="표준 25 3 2 4 2 4 2 3" xfId="20141" xr:uid="{00000000-0005-0000-0000-0000934E0000}"/>
    <cellStyle name="표준 25 3 2 4 2 4 3" xfId="20142" xr:uid="{00000000-0005-0000-0000-0000944E0000}"/>
    <cellStyle name="표준 25 3 2 4 2 4 3 2" xfId="20143" xr:uid="{00000000-0005-0000-0000-0000954E0000}"/>
    <cellStyle name="표준 25 3 2 4 2 4 4" xfId="20144" xr:uid="{00000000-0005-0000-0000-0000964E0000}"/>
    <cellStyle name="표준 25 3 2 4 2 5" xfId="20145" xr:uid="{00000000-0005-0000-0000-0000974E0000}"/>
    <cellStyle name="표준 25 3 2 4 2 5 2" xfId="20146" xr:uid="{00000000-0005-0000-0000-0000984E0000}"/>
    <cellStyle name="표준 25 3 2 4 2 5 2 2" xfId="20147" xr:uid="{00000000-0005-0000-0000-0000994E0000}"/>
    <cellStyle name="표준 25 3 2 4 2 5 3" xfId="20148" xr:uid="{00000000-0005-0000-0000-00009A4E0000}"/>
    <cellStyle name="표준 25 3 2 4 2 6" xfId="20149" xr:uid="{00000000-0005-0000-0000-00009B4E0000}"/>
    <cellStyle name="표준 25 3 2 4 2 6 2" xfId="20150" xr:uid="{00000000-0005-0000-0000-00009C4E0000}"/>
    <cellStyle name="표준 25 3 2 4 2 7" xfId="20151" xr:uid="{00000000-0005-0000-0000-00009D4E0000}"/>
    <cellStyle name="표준 25 3 2 4 2 8" xfId="20152" xr:uid="{00000000-0005-0000-0000-00009E4E0000}"/>
    <cellStyle name="표준 25 3 2 4 3" xfId="20153" xr:uid="{00000000-0005-0000-0000-00009F4E0000}"/>
    <cellStyle name="표준 25 3 2 4 3 2" xfId="20154" xr:uid="{00000000-0005-0000-0000-0000A04E0000}"/>
    <cellStyle name="표준 25 3 2 4 3 2 2" xfId="20155" xr:uid="{00000000-0005-0000-0000-0000A14E0000}"/>
    <cellStyle name="표준 25 3 2 4 3 2 2 2" xfId="20156" xr:uid="{00000000-0005-0000-0000-0000A24E0000}"/>
    <cellStyle name="표준 25 3 2 4 3 2 2 2 2" xfId="20157" xr:uid="{00000000-0005-0000-0000-0000A34E0000}"/>
    <cellStyle name="표준 25 3 2 4 3 2 2 2 2 2" xfId="20158" xr:uid="{00000000-0005-0000-0000-0000A44E0000}"/>
    <cellStyle name="표준 25 3 2 4 3 2 2 2 3" xfId="20159" xr:uid="{00000000-0005-0000-0000-0000A54E0000}"/>
    <cellStyle name="표준 25 3 2 4 3 2 2 3" xfId="20160" xr:uid="{00000000-0005-0000-0000-0000A64E0000}"/>
    <cellStyle name="표준 25 3 2 4 3 2 2 3 2" xfId="20161" xr:uid="{00000000-0005-0000-0000-0000A74E0000}"/>
    <cellStyle name="표준 25 3 2 4 3 2 2 4" xfId="20162" xr:uid="{00000000-0005-0000-0000-0000A84E0000}"/>
    <cellStyle name="표준 25 3 2 4 3 2 3" xfId="20163" xr:uid="{00000000-0005-0000-0000-0000A94E0000}"/>
    <cellStyle name="표준 25 3 2 4 3 2 3 2" xfId="20164" xr:uid="{00000000-0005-0000-0000-0000AA4E0000}"/>
    <cellStyle name="표준 25 3 2 4 3 2 3 2 2" xfId="20165" xr:uid="{00000000-0005-0000-0000-0000AB4E0000}"/>
    <cellStyle name="표준 25 3 2 4 3 2 3 3" xfId="20166" xr:uid="{00000000-0005-0000-0000-0000AC4E0000}"/>
    <cellStyle name="표준 25 3 2 4 3 2 4" xfId="20167" xr:uid="{00000000-0005-0000-0000-0000AD4E0000}"/>
    <cellStyle name="표준 25 3 2 4 3 2 4 2" xfId="20168" xr:uid="{00000000-0005-0000-0000-0000AE4E0000}"/>
    <cellStyle name="표준 25 3 2 4 3 2 5" xfId="20169" xr:uid="{00000000-0005-0000-0000-0000AF4E0000}"/>
    <cellStyle name="표준 25 3 2 4 3 3" xfId="20170" xr:uid="{00000000-0005-0000-0000-0000B04E0000}"/>
    <cellStyle name="표준 25 3 2 4 3 3 2" xfId="20171" xr:uid="{00000000-0005-0000-0000-0000B14E0000}"/>
    <cellStyle name="표준 25 3 2 4 3 3 2 2" xfId="20172" xr:uid="{00000000-0005-0000-0000-0000B24E0000}"/>
    <cellStyle name="표준 25 3 2 4 3 3 2 2 2" xfId="20173" xr:uid="{00000000-0005-0000-0000-0000B34E0000}"/>
    <cellStyle name="표준 25 3 2 4 3 3 2 3" xfId="20174" xr:uid="{00000000-0005-0000-0000-0000B44E0000}"/>
    <cellStyle name="표준 25 3 2 4 3 3 3" xfId="20175" xr:uid="{00000000-0005-0000-0000-0000B54E0000}"/>
    <cellStyle name="표준 25 3 2 4 3 3 3 2" xfId="20176" xr:uid="{00000000-0005-0000-0000-0000B64E0000}"/>
    <cellStyle name="표준 25 3 2 4 3 3 4" xfId="20177" xr:uid="{00000000-0005-0000-0000-0000B74E0000}"/>
    <cellStyle name="표준 25 3 2 4 3 4" xfId="20178" xr:uid="{00000000-0005-0000-0000-0000B84E0000}"/>
    <cellStyle name="표준 25 3 2 4 3 4 2" xfId="20179" xr:uid="{00000000-0005-0000-0000-0000B94E0000}"/>
    <cellStyle name="표준 25 3 2 4 3 4 2 2" xfId="20180" xr:uid="{00000000-0005-0000-0000-0000BA4E0000}"/>
    <cellStyle name="표준 25 3 2 4 3 4 3" xfId="20181" xr:uid="{00000000-0005-0000-0000-0000BB4E0000}"/>
    <cellStyle name="표준 25 3 2 4 3 5" xfId="20182" xr:uid="{00000000-0005-0000-0000-0000BC4E0000}"/>
    <cellStyle name="표준 25 3 2 4 3 5 2" xfId="20183" xr:uid="{00000000-0005-0000-0000-0000BD4E0000}"/>
    <cellStyle name="표준 25 3 2 4 3 6" xfId="20184" xr:uid="{00000000-0005-0000-0000-0000BE4E0000}"/>
    <cellStyle name="표준 25 3 2 4 4" xfId="20185" xr:uid="{00000000-0005-0000-0000-0000BF4E0000}"/>
    <cellStyle name="표준 25 3 2 4 4 2" xfId="20186" xr:uid="{00000000-0005-0000-0000-0000C04E0000}"/>
    <cellStyle name="표준 25 3 2 4 4 2 2" xfId="20187" xr:uid="{00000000-0005-0000-0000-0000C14E0000}"/>
    <cellStyle name="표준 25 3 2 4 4 2 2 2" xfId="20188" xr:uid="{00000000-0005-0000-0000-0000C24E0000}"/>
    <cellStyle name="표준 25 3 2 4 4 2 2 2 2" xfId="20189" xr:uid="{00000000-0005-0000-0000-0000C34E0000}"/>
    <cellStyle name="표준 25 3 2 4 4 2 2 3" xfId="20190" xr:uid="{00000000-0005-0000-0000-0000C44E0000}"/>
    <cellStyle name="표준 25 3 2 4 4 2 3" xfId="20191" xr:uid="{00000000-0005-0000-0000-0000C54E0000}"/>
    <cellStyle name="표준 25 3 2 4 4 2 3 2" xfId="20192" xr:uid="{00000000-0005-0000-0000-0000C64E0000}"/>
    <cellStyle name="표준 25 3 2 4 4 2 4" xfId="20193" xr:uid="{00000000-0005-0000-0000-0000C74E0000}"/>
    <cellStyle name="표준 25 3 2 4 4 3" xfId="20194" xr:uid="{00000000-0005-0000-0000-0000C84E0000}"/>
    <cellStyle name="표준 25 3 2 4 4 3 2" xfId="20195" xr:uid="{00000000-0005-0000-0000-0000C94E0000}"/>
    <cellStyle name="표준 25 3 2 4 4 3 2 2" xfId="20196" xr:uid="{00000000-0005-0000-0000-0000CA4E0000}"/>
    <cellStyle name="표준 25 3 2 4 4 3 3" xfId="20197" xr:uid="{00000000-0005-0000-0000-0000CB4E0000}"/>
    <cellStyle name="표준 25 3 2 4 4 4" xfId="20198" xr:uid="{00000000-0005-0000-0000-0000CC4E0000}"/>
    <cellStyle name="표준 25 3 2 4 4 4 2" xfId="20199" xr:uid="{00000000-0005-0000-0000-0000CD4E0000}"/>
    <cellStyle name="표준 25 3 2 4 4 5" xfId="20200" xr:uid="{00000000-0005-0000-0000-0000CE4E0000}"/>
    <cellStyle name="표준 25 3 2 4 5" xfId="20201" xr:uid="{00000000-0005-0000-0000-0000CF4E0000}"/>
    <cellStyle name="표준 25 3 2 4 5 2" xfId="20202" xr:uid="{00000000-0005-0000-0000-0000D04E0000}"/>
    <cellStyle name="표준 25 3 2 4 5 2 2" xfId="20203" xr:uid="{00000000-0005-0000-0000-0000D14E0000}"/>
    <cellStyle name="표준 25 3 2 4 5 2 2 2" xfId="20204" xr:uid="{00000000-0005-0000-0000-0000D24E0000}"/>
    <cellStyle name="표준 25 3 2 4 5 2 3" xfId="20205" xr:uid="{00000000-0005-0000-0000-0000D34E0000}"/>
    <cellStyle name="표준 25 3 2 4 5 3" xfId="20206" xr:uid="{00000000-0005-0000-0000-0000D44E0000}"/>
    <cellStyle name="표준 25 3 2 4 5 3 2" xfId="20207" xr:uid="{00000000-0005-0000-0000-0000D54E0000}"/>
    <cellStyle name="표준 25 3 2 4 5 4" xfId="20208" xr:uid="{00000000-0005-0000-0000-0000D64E0000}"/>
    <cellStyle name="표준 25 3 2 4 6" xfId="20209" xr:uid="{00000000-0005-0000-0000-0000D74E0000}"/>
    <cellStyle name="표준 25 3 2 4 6 2" xfId="20210" xr:uid="{00000000-0005-0000-0000-0000D84E0000}"/>
    <cellStyle name="표준 25 3 2 4 6 2 2" xfId="20211" xr:uid="{00000000-0005-0000-0000-0000D94E0000}"/>
    <cellStyle name="표준 25 3 2 4 6 3" xfId="20212" xr:uid="{00000000-0005-0000-0000-0000DA4E0000}"/>
    <cellStyle name="표준 25 3 2 4 7" xfId="20213" xr:uid="{00000000-0005-0000-0000-0000DB4E0000}"/>
    <cellStyle name="표준 25 3 2 4 7 2" xfId="20214" xr:uid="{00000000-0005-0000-0000-0000DC4E0000}"/>
    <cellStyle name="표준 25 3 2 4 8" xfId="20215" xr:uid="{00000000-0005-0000-0000-0000DD4E0000}"/>
    <cellStyle name="표준 25 3 2 4 9" xfId="20216" xr:uid="{00000000-0005-0000-0000-0000DE4E0000}"/>
    <cellStyle name="표준 25 3 2 5" xfId="20217" xr:uid="{00000000-0005-0000-0000-0000DF4E0000}"/>
    <cellStyle name="표준 25 3 2 5 2" xfId="20218" xr:uid="{00000000-0005-0000-0000-0000E04E0000}"/>
    <cellStyle name="표준 25 3 2 5 2 2" xfId="20219" xr:uid="{00000000-0005-0000-0000-0000E14E0000}"/>
    <cellStyle name="표준 25 3 2 5 2 2 2" xfId="20220" xr:uid="{00000000-0005-0000-0000-0000E24E0000}"/>
    <cellStyle name="표준 25 3 2 5 2 2 2 2" xfId="20221" xr:uid="{00000000-0005-0000-0000-0000E34E0000}"/>
    <cellStyle name="표준 25 3 2 5 2 2 2 2 2" xfId="20222" xr:uid="{00000000-0005-0000-0000-0000E44E0000}"/>
    <cellStyle name="표준 25 3 2 5 2 2 2 2 2 2" xfId="20223" xr:uid="{00000000-0005-0000-0000-0000E54E0000}"/>
    <cellStyle name="표준 25 3 2 5 2 2 2 2 3" xfId="20224" xr:uid="{00000000-0005-0000-0000-0000E64E0000}"/>
    <cellStyle name="표준 25 3 2 5 2 2 2 3" xfId="20225" xr:uid="{00000000-0005-0000-0000-0000E74E0000}"/>
    <cellStyle name="표준 25 3 2 5 2 2 2 3 2" xfId="20226" xr:uid="{00000000-0005-0000-0000-0000E84E0000}"/>
    <cellStyle name="표준 25 3 2 5 2 2 2 4" xfId="20227" xr:uid="{00000000-0005-0000-0000-0000E94E0000}"/>
    <cellStyle name="표준 25 3 2 5 2 2 3" xfId="20228" xr:uid="{00000000-0005-0000-0000-0000EA4E0000}"/>
    <cellStyle name="표준 25 3 2 5 2 2 3 2" xfId="20229" xr:uid="{00000000-0005-0000-0000-0000EB4E0000}"/>
    <cellStyle name="표준 25 3 2 5 2 2 3 2 2" xfId="20230" xr:uid="{00000000-0005-0000-0000-0000EC4E0000}"/>
    <cellStyle name="표준 25 3 2 5 2 2 3 3" xfId="20231" xr:uid="{00000000-0005-0000-0000-0000ED4E0000}"/>
    <cellStyle name="표준 25 3 2 5 2 2 4" xfId="20232" xr:uid="{00000000-0005-0000-0000-0000EE4E0000}"/>
    <cellStyle name="표준 25 3 2 5 2 2 4 2" xfId="20233" xr:uid="{00000000-0005-0000-0000-0000EF4E0000}"/>
    <cellStyle name="표준 25 3 2 5 2 2 5" xfId="20234" xr:uid="{00000000-0005-0000-0000-0000F04E0000}"/>
    <cellStyle name="표준 25 3 2 5 2 3" xfId="20235" xr:uid="{00000000-0005-0000-0000-0000F14E0000}"/>
    <cellStyle name="표준 25 3 2 5 2 3 2" xfId="20236" xr:uid="{00000000-0005-0000-0000-0000F24E0000}"/>
    <cellStyle name="표준 25 3 2 5 2 3 2 2" xfId="20237" xr:uid="{00000000-0005-0000-0000-0000F34E0000}"/>
    <cellStyle name="표준 25 3 2 5 2 3 2 2 2" xfId="20238" xr:uid="{00000000-0005-0000-0000-0000F44E0000}"/>
    <cellStyle name="표준 25 3 2 5 2 3 2 3" xfId="20239" xr:uid="{00000000-0005-0000-0000-0000F54E0000}"/>
    <cellStyle name="표준 25 3 2 5 2 3 3" xfId="20240" xr:uid="{00000000-0005-0000-0000-0000F64E0000}"/>
    <cellStyle name="표준 25 3 2 5 2 3 3 2" xfId="20241" xr:uid="{00000000-0005-0000-0000-0000F74E0000}"/>
    <cellStyle name="표준 25 3 2 5 2 3 4" xfId="20242" xr:uid="{00000000-0005-0000-0000-0000F84E0000}"/>
    <cellStyle name="표준 25 3 2 5 2 4" xfId="20243" xr:uid="{00000000-0005-0000-0000-0000F94E0000}"/>
    <cellStyle name="표준 25 3 2 5 2 4 2" xfId="20244" xr:uid="{00000000-0005-0000-0000-0000FA4E0000}"/>
    <cellStyle name="표준 25 3 2 5 2 4 2 2" xfId="20245" xr:uid="{00000000-0005-0000-0000-0000FB4E0000}"/>
    <cellStyle name="표준 25 3 2 5 2 4 3" xfId="20246" xr:uid="{00000000-0005-0000-0000-0000FC4E0000}"/>
    <cellStyle name="표준 25 3 2 5 2 5" xfId="20247" xr:uid="{00000000-0005-0000-0000-0000FD4E0000}"/>
    <cellStyle name="표준 25 3 2 5 2 5 2" xfId="20248" xr:uid="{00000000-0005-0000-0000-0000FE4E0000}"/>
    <cellStyle name="표준 25 3 2 5 2 6" xfId="20249" xr:uid="{00000000-0005-0000-0000-0000FF4E0000}"/>
    <cellStyle name="표준 25 3 2 5 3" xfId="20250" xr:uid="{00000000-0005-0000-0000-0000004F0000}"/>
    <cellStyle name="표준 25 3 2 5 3 2" xfId="20251" xr:uid="{00000000-0005-0000-0000-0000014F0000}"/>
    <cellStyle name="표준 25 3 2 5 3 2 2" xfId="20252" xr:uid="{00000000-0005-0000-0000-0000024F0000}"/>
    <cellStyle name="표준 25 3 2 5 3 2 2 2" xfId="20253" xr:uid="{00000000-0005-0000-0000-0000034F0000}"/>
    <cellStyle name="표준 25 3 2 5 3 2 2 2 2" xfId="20254" xr:uid="{00000000-0005-0000-0000-0000044F0000}"/>
    <cellStyle name="표준 25 3 2 5 3 2 2 3" xfId="20255" xr:uid="{00000000-0005-0000-0000-0000054F0000}"/>
    <cellStyle name="표준 25 3 2 5 3 2 3" xfId="20256" xr:uid="{00000000-0005-0000-0000-0000064F0000}"/>
    <cellStyle name="표준 25 3 2 5 3 2 3 2" xfId="20257" xr:uid="{00000000-0005-0000-0000-0000074F0000}"/>
    <cellStyle name="표준 25 3 2 5 3 2 4" xfId="20258" xr:uid="{00000000-0005-0000-0000-0000084F0000}"/>
    <cellStyle name="표준 25 3 2 5 3 3" xfId="20259" xr:uid="{00000000-0005-0000-0000-0000094F0000}"/>
    <cellStyle name="표준 25 3 2 5 3 3 2" xfId="20260" xr:uid="{00000000-0005-0000-0000-00000A4F0000}"/>
    <cellStyle name="표준 25 3 2 5 3 3 2 2" xfId="20261" xr:uid="{00000000-0005-0000-0000-00000B4F0000}"/>
    <cellStyle name="표준 25 3 2 5 3 3 3" xfId="20262" xr:uid="{00000000-0005-0000-0000-00000C4F0000}"/>
    <cellStyle name="표준 25 3 2 5 3 4" xfId="20263" xr:uid="{00000000-0005-0000-0000-00000D4F0000}"/>
    <cellStyle name="표준 25 3 2 5 3 4 2" xfId="20264" xr:uid="{00000000-0005-0000-0000-00000E4F0000}"/>
    <cellStyle name="표준 25 3 2 5 3 5" xfId="20265" xr:uid="{00000000-0005-0000-0000-00000F4F0000}"/>
    <cellStyle name="표준 25 3 2 5 4" xfId="20266" xr:uid="{00000000-0005-0000-0000-0000104F0000}"/>
    <cellStyle name="표준 25 3 2 5 4 2" xfId="20267" xr:uid="{00000000-0005-0000-0000-0000114F0000}"/>
    <cellStyle name="표준 25 3 2 5 4 2 2" xfId="20268" xr:uid="{00000000-0005-0000-0000-0000124F0000}"/>
    <cellStyle name="표준 25 3 2 5 4 2 2 2" xfId="20269" xr:uid="{00000000-0005-0000-0000-0000134F0000}"/>
    <cellStyle name="표준 25 3 2 5 4 2 3" xfId="20270" xr:uid="{00000000-0005-0000-0000-0000144F0000}"/>
    <cellStyle name="표준 25 3 2 5 4 3" xfId="20271" xr:uid="{00000000-0005-0000-0000-0000154F0000}"/>
    <cellStyle name="표준 25 3 2 5 4 3 2" xfId="20272" xr:uid="{00000000-0005-0000-0000-0000164F0000}"/>
    <cellStyle name="표준 25 3 2 5 4 4" xfId="20273" xr:uid="{00000000-0005-0000-0000-0000174F0000}"/>
    <cellStyle name="표준 25 3 2 5 5" xfId="20274" xr:uid="{00000000-0005-0000-0000-0000184F0000}"/>
    <cellStyle name="표준 25 3 2 5 5 2" xfId="20275" xr:uid="{00000000-0005-0000-0000-0000194F0000}"/>
    <cellStyle name="표준 25 3 2 5 5 2 2" xfId="20276" xr:uid="{00000000-0005-0000-0000-00001A4F0000}"/>
    <cellStyle name="표준 25 3 2 5 5 3" xfId="20277" xr:uid="{00000000-0005-0000-0000-00001B4F0000}"/>
    <cellStyle name="표준 25 3 2 5 6" xfId="20278" xr:uid="{00000000-0005-0000-0000-00001C4F0000}"/>
    <cellStyle name="표준 25 3 2 5 6 2" xfId="20279" xr:uid="{00000000-0005-0000-0000-00001D4F0000}"/>
    <cellStyle name="표준 25 3 2 5 7" xfId="20280" xr:uid="{00000000-0005-0000-0000-00001E4F0000}"/>
    <cellStyle name="표준 25 3 2 5 8" xfId="20281" xr:uid="{00000000-0005-0000-0000-00001F4F0000}"/>
    <cellStyle name="표준 25 3 2 6" xfId="20282" xr:uid="{00000000-0005-0000-0000-0000204F0000}"/>
    <cellStyle name="표준 25 3 2 6 2" xfId="20283" xr:uid="{00000000-0005-0000-0000-0000214F0000}"/>
    <cellStyle name="표준 25 3 2 6 2 2" xfId="20284" xr:uid="{00000000-0005-0000-0000-0000224F0000}"/>
    <cellStyle name="표준 25 3 2 6 2 2 2" xfId="20285" xr:uid="{00000000-0005-0000-0000-0000234F0000}"/>
    <cellStyle name="표준 25 3 2 6 2 2 2 2" xfId="20286" xr:uid="{00000000-0005-0000-0000-0000244F0000}"/>
    <cellStyle name="표준 25 3 2 6 2 2 2 2 2" xfId="20287" xr:uid="{00000000-0005-0000-0000-0000254F0000}"/>
    <cellStyle name="표준 25 3 2 6 2 2 2 3" xfId="20288" xr:uid="{00000000-0005-0000-0000-0000264F0000}"/>
    <cellStyle name="표준 25 3 2 6 2 2 3" xfId="20289" xr:uid="{00000000-0005-0000-0000-0000274F0000}"/>
    <cellStyle name="표준 25 3 2 6 2 2 3 2" xfId="20290" xr:uid="{00000000-0005-0000-0000-0000284F0000}"/>
    <cellStyle name="표준 25 3 2 6 2 2 4" xfId="20291" xr:uid="{00000000-0005-0000-0000-0000294F0000}"/>
    <cellStyle name="표준 25 3 2 6 2 3" xfId="20292" xr:uid="{00000000-0005-0000-0000-00002A4F0000}"/>
    <cellStyle name="표준 25 3 2 6 2 3 2" xfId="20293" xr:uid="{00000000-0005-0000-0000-00002B4F0000}"/>
    <cellStyle name="표준 25 3 2 6 2 3 2 2" xfId="20294" xr:uid="{00000000-0005-0000-0000-00002C4F0000}"/>
    <cellStyle name="표준 25 3 2 6 2 3 3" xfId="20295" xr:uid="{00000000-0005-0000-0000-00002D4F0000}"/>
    <cellStyle name="표준 25 3 2 6 2 4" xfId="20296" xr:uid="{00000000-0005-0000-0000-00002E4F0000}"/>
    <cellStyle name="표준 25 3 2 6 2 4 2" xfId="20297" xr:uid="{00000000-0005-0000-0000-00002F4F0000}"/>
    <cellStyle name="표준 25 3 2 6 2 5" xfId="20298" xr:uid="{00000000-0005-0000-0000-0000304F0000}"/>
    <cellStyle name="표준 25 3 2 6 3" xfId="20299" xr:uid="{00000000-0005-0000-0000-0000314F0000}"/>
    <cellStyle name="표준 25 3 2 6 3 2" xfId="20300" xr:uid="{00000000-0005-0000-0000-0000324F0000}"/>
    <cellStyle name="표준 25 3 2 6 3 2 2" xfId="20301" xr:uid="{00000000-0005-0000-0000-0000334F0000}"/>
    <cellStyle name="표준 25 3 2 6 3 2 2 2" xfId="20302" xr:uid="{00000000-0005-0000-0000-0000344F0000}"/>
    <cellStyle name="표준 25 3 2 6 3 2 3" xfId="20303" xr:uid="{00000000-0005-0000-0000-0000354F0000}"/>
    <cellStyle name="표준 25 3 2 6 3 3" xfId="20304" xr:uid="{00000000-0005-0000-0000-0000364F0000}"/>
    <cellStyle name="표준 25 3 2 6 3 3 2" xfId="20305" xr:uid="{00000000-0005-0000-0000-0000374F0000}"/>
    <cellStyle name="표준 25 3 2 6 3 4" xfId="20306" xr:uid="{00000000-0005-0000-0000-0000384F0000}"/>
    <cellStyle name="표준 25 3 2 6 4" xfId="20307" xr:uid="{00000000-0005-0000-0000-0000394F0000}"/>
    <cellStyle name="표준 25 3 2 6 4 2" xfId="20308" xr:uid="{00000000-0005-0000-0000-00003A4F0000}"/>
    <cellStyle name="표준 25 3 2 6 4 2 2" xfId="20309" xr:uid="{00000000-0005-0000-0000-00003B4F0000}"/>
    <cellStyle name="표준 25 3 2 6 4 3" xfId="20310" xr:uid="{00000000-0005-0000-0000-00003C4F0000}"/>
    <cellStyle name="표준 25 3 2 6 5" xfId="20311" xr:uid="{00000000-0005-0000-0000-00003D4F0000}"/>
    <cellStyle name="표준 25 3 2 6 5 2" xfId="20312" xr:uid="{00000000-0005-0000-0000-00003E4F0000}"/>
    <cellStyle name="표준 25 3 2 6 6" xfId="20313" xr:uid="{00000000-0005-0000-0000-00003F4F0000}"/>
    <cellStyle name="표준 25 3 2 7" xfId="20314" xr:uid="{00000000-0005-0000-0000-0000404F0000}"/>
    <cellStyle name="표준 25 3 2 7 2" xfId="20315" xr:uid="{00000000-0005-0000-0000-0000414F0000}"/>
    <cellStyle name="표준 25 3 2 7 2 2" xfId="20316" xr:uid="{00000000-0005-0000-0000-0000424F0000}"/>
    <cellStyle name="표준 25 3 2 7 2 2 2" xfId="20317" xr:uid="{00000000-0005-0000-0000-0000434F0000}"/>
    <cellStyle name="표준 25 3 2 7 2 2 2 2" xfId="20318" xr:uid="{00000000-0005-0000-0000-0000444F0000}"/>
    <cellStyle name="표준 25 3 2 7 2 2 3" xfId="20319" xr:uid="{00000000-0005-0000-0000-0000454F0000}"/>
    <cellStyle name="표준 25 3 2 7 2 3" xfId="20320" xr:uid="{00000000-0005-0000-0000-0000464F0000}"/>
    <cellStyle name="표준 25 3 2 7 2 3 2" xfId="20321" xr:uid="{00000000-0005-0000-0000-0000474F0000}"/>
    <cellStyle name="표준 25 3 2 7 2 4" xfId="20322" xr:uid="{00000000-0005-0000-0000-0000484F0000}"/>
    <cellStyle name="표준 25 3 2 7 3" xfId="20323" xr:uid="{00000000-0005-0000-0000-0000494F0000}"/>
    <cellStyle name="표준 25 3 2 7 3 2" xfId="20324" xr:uid="{00000000-0005-0000-0000-00004A4F0000}"/>
    <cellStyle name="표준 25 3 2 7 3 2 2" xfId="20325" xr:uid="{00000000-0005-0000-0000-00004B4F0000}"/>
    <cellStyle name="표준 25 3 2 7 3 3" xfId="20326" xr:uid="{00000000-0005-0000-0000-00004C4F0000}"/>
    <cellStyle name="표준 25 3 2 7 4" xfId="20327" xr:uid="{00000000-0005-0000-0000-00004D4F0000}"/>
    <cellStyle name="표준 25 3 2 7 4 2" xfId="20328" xr:uid="{00000000-0005-0000-0000-00004E4F0000}"/>
    <cellStyle name="표준 25 3 2 7 5" xfId="20329" xr:uid="{00000000-0005-0000-0000-00004F4F0000}"/>
    <cellStyle name="표준 25 3 2 8" xfId="20330" xr:uid="{00000000-0005-0000-0000-0000504F0000}"/>
    <cellStyle name="표준 25 3 2 8 2" xfId="20331" xr:uid="{00000000-0005-0000-0000-0000514F0000}"/>
    <cellStyle name="표준 25 3 2 8 2 2" xfId="20332" xr:uid="{00000000-0005-0000-0000-0000524F0000}"/>
    <cellStyle name="표준 25 3 2 8 2 2 2" xfId="20333" xr:uid="{00000000-0005-0000-0000-0000534F0000}"/>
    <cellStyle name="표준 25 3 2 8 2 3" xfId="20334" xr:uid="{00000000-0005-0000-0000-0000544F0000}"/>
    <cellStyle name="표준 25 3 2 8 3" xfId="20335" xr:uid="{00000000-0005-0000-0000-0000554F0000}"/>
    <cellStyle name="표준 25 3 2 8 3 2" xfId="20336" xr:uid="{00000000-0005-0000-0000-0000564F0000}"/>
    <cellStyle name="표준 25 3 2 8 4" xfId="20337" xr:uid="{00000000-0005-0000-0000-0000574F0000}"/>
    <cellStyle name="표준 25 3 2 9" xfId="20338" xr:uid="{00000000-0005-0000-0000-0000584F0000}"/>
    <cellStyle name="표준 25 3 2 9 2" xfId="20339" xr:uid="{00000000-0005-0000-0000-0000594F0000}"/>
    <cellStyle name="표준 25 3 2 9 2 2" xfId="20340" xr:uid="{00000000-0005-0000-0000-00005A4F0000}"/>
    <cellStyle name="표준 25 3 2 9 3" xfId="20341" xr:uid="{00000000-0005-0000-0000-00005B4F0000}"/>
    <cellStyle name="표준 25 3 3" xfId="20342" xr:uid="{00000000-0005-0000-0000-00005C4F0000}"/>
    <cellStyle name="표준 25 3 3 10" xfId="20343" xr:uid="{00000000-0005-0000-0000-00005D4F0000}"/>
    <cellStyle name="표준 25 3 3 11" xfId="20344" xr:uid="{00000000-0005-0000-0000-00005E4F0000}"/>
    <cellStyle name="표준 25 3 3 2" xfId="20345" xr:uid="{00000000-0005-0000-0000-00005F4F0000}"/>
    <cellStyle name="표준 25 3 3 2 10" xfId="20346" xr:uid="{00000000-0005-0000-0000-0000604F0000}"/>
    <cellStyle name="표준 25 3 3 2 2" xfId="20347" xr:uid="{00000000-0005-0000-0000-0000614F0000}"/>
    <cellStyle name="표준 25 3 3 2 2 2" xfId="20348" xr:uid="{00000000-0005-0000-0000-0000624F0000}"/>
    <cellStyle name="표준 25 3 3 2 2 2 2" xfId="20349" xr:uid="{00000000-0005-0000-0000-0000634F0000}"/>
    <cellStyle name="표준 25 3 3 2 2 2 2 2" xfId="20350" xr:uid="{00000000-0005-0000-0000-0000644F0000}"/>
    <cellStyle name="표준 25 3 3 2 2 2 2 2 2" xfId="20351" xr:uid="{00000000-0005-0000-0000-0000654F0000}"/>
    <cellStyle name="표준 25 3 3 2 2 2 2 2 2 2" xfId="20352" xr:uid="{00000000-0005-0000-0000-0000664F0000}"/>
    <cellStyle name="표준 25 3 3 2 2 2 2 2 2 2 2" xfId="20353" xr:uid="{00000000-0005-0000-0000-0000674F0000}"/>
    <cellStyle name="표준 25 3 3 2 2 2 2 2 2 2 2 2" xfId="20354" xr:uid="{00000000-0005-0000-0000-0000684F0000}"/>
    <cellStyle name="표준 25 3 3 2 2 2 2 2 2 2 3" xfId="20355" xr:uid="{00000000-0005-0000-0000-0000694F0000}"/>
    <cellStyle name="표준 25 3 3 2 2 2 2 2 2 3" xfId="20356" xr:uid="{00000000-0005-0000-0000-00006A4F0000}"/>
    <cellStyle name="표준 25 3 3 2 2 2 2 2 2 3 2" xfId="20357" xr:uid="{00000000-0005-0000-0000-00006B4F0000}"/>
    <cellStyle name="표준 25 3 3 2 2 2 2 2 2 4" xfId="20358" xr:uid="{00000000-0005-0000-0000-00006C4F0000}"/>
    <cellStyle name="표준 25 3 3 2 2 2 2 2 3" xfId="20359" xr:uid="{00000000-0005-0000-0000-00006D4F0000}"/>
    <cellStyle name="표준 25 3 3 2 2 2 2 2 3 2" xfId="20360" xr:uid="{00000000-0005-0000-0000-00006E4F0000}"/>
    <cellStyle name="표준 25 3 3 2 2 2 2 2 3 2 2" xfId="20361" xr:uid="{00000000-0005-0000-0000-00006F4F0000}"/>
    <cellStyle name="표준 25 3 3 2 2 2 2 2 3 3" xfId="20362" xr:uid="{00000000-0005-0000-0000-0000704F0000}"/>
    <cellStyle name="표준 25 3 3 2 2 2 2 2 4" xfId="20363" xr:uid="{00000000-0005-0000-0000-0000714F0000}"/>
    <cellStyle name="표준 25 3 3 2 2 2 2 2 4 2" xfId="20364" xr:uid="{00000000-0005-0000-0000-0000724F0000}"/>
    <cellStyle name="표준 25 3 3 2 2 2 2 2 5" xfId="20365" xr:uid="{00000000-0005-0000-0000-0000734F0000}"/>
    <cellStyle name="표준 25 3 3 2 2 2 2 3" xfId="20366" xr:uid="{00000000-0005-0000-0000-0000744F0000}"/>
    <cellStyle name="표준 25 3 3 2 2 2 2 3 2" xfId="20367" xr:uid="{00000000-0005-0000-0000-0000754F0000}"/>
    <cellStyle name="표준 25 3 3 2 2 2 2 3 2 2" xfId="20368" xr:uid="{00000000-0005-0000-0000-0000764F0000}"/>
    <cellStyle name="표준 25 3 3 2 2 2 2 3 2 2 2" xfId="20369" xr:uid="{00000000-0005-0000-0000-0000774F0000}"/>
    <cellStyle name="표준 25 3 3 2 2 2 2 3 2 3" xfId="20370" xr:uid="{00000000-0005-0000-0000-0000784F0000}"/>
    <cellStyle name="표준 25 3 3 2 2 2 2 3 3" xfId="20371" xr:uid="{00000000-0005-0000-0000-0000794F0000}"/>
    <cellStyle name="표준 25 3 3 2 2 2 2 3 3 2" xfId="20372" xr:uid="{00000000-0005-0000-0000-00007A4F0000}"/>
    <cellStyle name="표준 25 3 3 2 2 2 2 3 4" xfId="20373" xr:uid="{00000000-0005-0000-0000-00007B4F0000}"/>
    <cellStyle name="표준 25 3 3 2 2 2 2 4" xfId="20374" xr:uid="{00000000-0005-0000-0000-00007C4F0000}"/>
    <cellStyle name="표준 25 3 3 2 2 2 2 4 2" xfId="20375" xr:uid="{00000000-0005-0000-0000-00007D4F0000}"/>
    <cellStyle name="표준 25 3 3 2 2 2 2 4 2 2" xfId="20376" xr:uid="{00000000-0005-0000-0000-00007E4F0000}"/>
    <cellStyle name="표준 25 3 3 2 2 2 2 4 3" xfId="20377" xr:uid="{00000000-0005-0000-0000-00007F4F0000}"/>
    <cellStyle name="표준 25 3 3 2 2 2 2 5" xfId="20378" xr:uid="{00000000-0005-0000-0000-0000804F0000}"/>
    <cellStyle name="표준 25 3 3 2 2 2 2 5 2" xfId="20379" xr:uid="{00000000-0005-0000-0000-0000814F0000}"/>
    <cellStyle name="표준 25 3 3 2 2 2 2 6" xfId="20380" xr:uid="{00000000-0005-0000-0000-0000824F0000}"/>
    <cellStyle name="표준 25 3 3 2 2 2 3" xfId="20381" xr:uid="{00000000-0005-0000-0000-0000834F0000}"/>
    <cellStyle name="표준 25 3 3 2 2 2 3 2" xfId="20382" xr:uid="{00000000-0005-0000-0000-0000844F0000}"/>
    <cellStyle name="표준 25 3 3 2 2 2 3 2 2" xfId="20383" xr:uid="{00000000-0005-0000-0000-0000854F0000}"/>
    <cellStyle name="표준 25 3 3 2 2 2 3 2 2 2" xfId="20384" xr:uid="{00000000-0005-0000-0000-0000864F0000}"/>
    <cellStyle name="표준 25 3 3 2 2 2 3 2 2 2 2" xfId="20385" xr:uid="{00000000-0005-0000-0000-0000874F0000}"/>
    <cellStyle name="표준 25 3 3 2 2 2 3 2 2 3" xfId="20386" xr:uid="{00000000-0005-0000-0000-0000884F0000}"/>
    <cellStyle name="표준 25 3 3 2 2 2 3 2 3" xfId="20387" xr:uid="{00000000-0005-0000-0000-0000894F0000}"/>
    <cellStyle name="표준 25 3 3 2 2 2 3 2 3 2" xfId="20388" xr:uid="{00000000-0005-0000-0000-00008A4F0000}"/>
    <cellStyle name="표준 25 3 3 2 2 2 3 2 4" xfId="20389" xr:uid="{00000000-0005-0000-0000-00008B4F0000}"/>
    <cellStyle name="표준 25 3 3 2 2 2 3 3" xfId="20390" xr:uid="{00000000-0005-0000-0000-00008C4F0000}"/>
    <cellStyle name="표준 25 3 3 2 2 2 3 3 2" xfId="20391" xr:uid="{00000000-0005-0000-0000-00008D4F0000}"/>
    <cellStyle name="표준 25 3 3 2 2 2 3 3 2 2" xfId="20392" xr:uid="{00000000-0005-0000-0000-00008E4F0000}"/>
    <cellStyle name="표준 25 3 3 2 2 2 3 3 3" xfId="20393" xr:uid="{00000000-0005-0000-0000-00008F4F0000}"/>
    <cellStyle name="표준 25 3 3 2 2 2 3 4" xfId="20394" xr:uid="{00000000-0005-0000-0000-0000904F0000}"/>
    <cellStyle name="표준 25 3 3 2 2 2 3 4 2" xfId="20395" xr:uid="{00000000-0005-0000-0000-0000914F0000}"/>
    <cellStyle name="표준 25 3 3 2 2 2 3 5" xfId="20396" xr:uid="{00000000-0005-0000-0000-0000924F0000}"/>
    <cellStyle name="표준 25 3 3 2 2 2 4" xfId="20397" xr:uid="{00000000-0005-0000-0000-0000934F0000}"/>
    <cellStyle name="표준 25 3 3 2 2 2 4 2" xfId="20398" xr:uid="{00000000-0005-0000-0000-0000944F0000}"/>
    <cellStyle name="표준 25 3 3 2 2 2 4 2 2" xfId="20399" xr:uid="{00000000-0005-0000-0000-0000954F0000}"/>
    <cellStyle name="표준 25 3 3 2 2 2 4 2 2 2" xfId="20400" xr:uid="{00000000-0005-0000-0000-0000964F0000}"/>
    <cellStyle name="표준 25 3 3 2 2 2 4 2 3" xfId="20401" xr:uid="{00000000-0005-0000-0000-0000974F0000}"/>
    <cellStyle name="표준 25 3 3 2 2 2 4 3" xfId="20402" xr:uid="{00000000-0005-0000-0000-0000984F0000}"/>
    <cellStyle name="표준 25 3 3 2 2 2 4 3 2" xfId="20403" xr:uid="{00000000-0005-0000-0000-0000994F0000}"/>
    <cellStyle name="표준 25 3 3 2 2 2 4 4" xfId="20404" xr:uid="{00000000-0005-0000-0000-00009A4F0000}"/>
    <cellStyle name="표준 25 3 3 2 2 2 5" xfId="20405" xr:uid="{00000000-0005-0000-0000-00009B4F0000}"/>
    <cellStyle name="표준 25 3 3 2 2 2 5 2" xfId="20406" xr:uid="{00000000-0005-0000-0000-00009C4F0000}"/>
    <cellStyle name="표준 25 3 3 2 2 2 5 2 2" xfId="20407" xr:uid="{00000000-0005-0000-0000-00009D4F0000}"/>
    <cellStyle name="표준 25 3 3 2 2 2 5 3" xfId="20408" xr:uid="{00000000-0005-0000-0000-00009E4F0000}"/>
    <cellStyle name="표준 25 3 3 2 2 2 6" xfId="20409" xr:uid="{00000000-0005-0000-0000-00009F4F0000}"/>
    <cellStyle name="표준 25 3 3 2 2 2 6 2" xfId="20410" xr:uid="{00000000-0005-0000-0000-0000A04F0000}"/>
    <cellStyle name="표준 25 3 3 2 2 2 7" xfId="20411" xr:uid="{00000000-0005-0000-0000-0000A14F0000}"/>
    <cellStyle name="표준 25 3 3 2 2 2 8" xfId="20412" xr:uid="{00000000-0005-0000-0000-0000A24F0000}"/>
    <cellStyle name="표준 25 3 3 2 2 3" xfId="20413" xr:uid="{00000000-0005-0000-0000-0000A34F0000}"/>
    <cellStyle name="표준 25 3 3 2 2 3 2" xfId="20414" xr:uid="{00000000-0005-0000-0000-0000A44F0000}"/>
    <cellStyle name="표준 25 3 3 2 2 3 2 2" xfId="20415" xr:uid="{00000000-0005-0000-0000-0000A54F0000}"/>
    <cellStyle name="표준 25 3 3 2 2 3 2 2 2" xfId="20416" xr:uid="{00000000-0005-0000-0000-0000A64F0000}"/>
    <cellStyle name="표준 25 3 3 2 2 3 2 2 2 2" xfId="20417" xr:uid="{00000000-0005-0000-0000-0000A74F0000}"/>
    <cellStyle name="표준 25 3 3 2 2 3 2 2 2 2 2" xfId="20418" xr:uid="{00000000-0005-0000-0000-0000A84F0000}"/>
    <cellStyle name="표준 25 3 3 2 2 3 2 2 2 3" xfId="20419" xr:uid="{00000000-0005-0000-0000-0000A94F0000}"/>
    <cellStyle name="표준 25 3 3 2 2 3 2 2 3" xfId="20420" xr:uid="{00000000-0005-0000-0000-0000AA4F0000}"/>
    <cellStyle name="표준 25 3 3 2 2 3 2 2 3 2" xfId="20421" xr:uid="{00000000-0005-0000-0000-0000AB4F0000}"/>
    <cellStyle name="표준 25 3 3 2 2 3 2 2 4" xfId="20422" xr:uid="{00000000-0005-0000-0000-0000AC4F0000}"/>
    <cellStyle name="표준 25 3 3 2 2 3 2 3" xfId="20423" xr:uid="{00000000-0005-0000-0000-0000AD4F0000}"/>
    <cellStyle name="표준 25 3 3 2 2 3 2 3 2" xfId="20424" xr:uid="{00000000-0005-0000-0000-0000AE4F0000}"/>
    <cellStyle name="표준 25 3 3 2 2 3 2 3 2 2" xfId="20425" xr:uid="{00000000-0005-0000-0000-0000AF4F0000}"/>
    <cellStyle name="표준 25 3 3 2 2 3 2 3 3" xfId="20426" xr:uid="{00000000-0005-0000-0000-0000B04F0000}"/>
    <cellStyle name="표준 25 3 3 2 2 3 2 4" xfId="20427" xr:uid="{00000000-0005-0000-0000-0000B14F0000}"/>
    <cellStyle name="표준 25 3 3 2 2 3 2 4 2" xfId="20428" xr:uid="{00000000-0005-0000-0000-0000B24F0000}"/>
    <cellStyle name="표준 25 3 3 2 2 3 2 5" xfId="20429" xr:uid="{00000000-0005-0000-0000-0000B34F0000}"/>
    <cellStyle name="표준 25 3 3 2 2 3 3" xfId="20430" xr:uid="{00000000-0005-0000-0000-0000B44F0000}"/>
    <cellStyle name="표준 25 3 3 2 2 3 3 2" xfId="20431" xr:uid="{00000000-0005-0000-0000-0000B54F0000}"/>
    <cellStyle name="표준 25 3 3 2 2 3 3 2 2" xfId="20432" xr:uid="{00000000-0005-0000-0000-0000B64F0000}"/>
    <cellStyle name="표준 25 3 3 2 2 3 3 2 2 2" xfId="20433" xr:uid="{00000000-0005-0000-0000-0000B74F0000}"/>
    <cellStyle name="표준 25 3 3 2 2 3 3 2 3" xfId="20434" xr:uid="{00000000-0005-0000-0000-0000B84F0000}"/>
    <cellStyle name="표준 25 3 3 2 2 3 3 3" xfId="20435" xr:uid="{00000000-0005-0000-0000-0000B94F0000}"/>
    <cellStyle name="표준 25 3 3 2 2 3 3 3 2" xfId="20436" xr:uid="{00000000-0005-0000-0000-0000BA4F0000}"/>
    <cellStyle name="표준 25 3 3 2 2 3 3 4" xfId="20437" xr:uid="{00000000-0005-0000-0000-0000BB4F0000}"/>
    <cellStyle name="표준 25 3 3 2 2 3 4" xfId="20438" xr:uid="{00000000-0005-0000-0000-0000BC4F0000}"/>
    <cellStyle name="표준 25 3 3 2 2 3 4 2" xfId="20439" xr:uid="{00000000-0005-0000-0000-0000BD4F0000}"/>
    <cellStyle name="표준 25 3 3 2 2 3 4 2 2" xfId="20440" xr:uid="{00000000-0005-0000-0000-0000BE4F0000}"/>
    <cellStyle name="표준 25 3 3 2 2 3 4 3" xfId="20441" xr:uid="{00000000-0005-0000-0000-0000BF4F0000}"/>
    <cellStyle name="표준 25 3 3 2 2 3 5" xfId="20442" xr:uid="{00000000-0005-0000-0000-0000C04F0000}"/>
    <cellStyle name="표준 25 3 3 2 2 3 5 2" xfId="20443" xr:uid="{00000000-0005-0000-0000-0000C14F0000}"/>
    <cellStyle name="표준 25 3 3 2 2 3 6" xfId="20444" xr:uid="{00000000-0005-0000-0000-0000C24F0000}"/>
    <cellStyle name="표준 25 3 3 2 2 4" xfId="20445" xr:uid="{00000000-0005-0000-0000-0000C34F0000}"/>
    <cellStyle name="표준 25 3 3 2 2 4 2" xfId="20446" xr:uid="{00000000-0005-0000-0000-0000C44F0000}"/>
    <cellStyle name="표준 25 3 3 2 2 4 2 2" xfId="20447" xr:uid="{00000000-0005-0000-0000-0000C54F0000}"/>
    <cellStyle name="표준 25 3 3 2 2 4 2 2 2" xfId="20448" xr:uid="{00000000-0005-0000-0000-0000C64F0000}"/>
    <cellStyle name="표준 25 3 3 2 2 4 2 2 2 2" xfId="20449" xr:uid="{00000000-0005-0000-0000-0000C74F0000}"/>
    <cellStyle name="표준 25 3 3 2 2 4 2 2 3" xfId="20450" xr:uid="{00000000-0005-0000-0000-0000C84F0000}"/>
    <cellStyle name="표준 25 3 3 2 2 4 2 3" xfId="20451" xr:uid="{00000000-0005-0000-0000-0000C94F0000}"/>
    <cellStyle name="표준 25 3 3 2 2 4 2 3 2" xfId="20452" xr:uid="{00000000-0005-0000-0000-0000CA4F0000}"/>
    <cellStyle name="표준 25 3 3 2 2 4 2 4" xfId="20453" xr:uid="{00000000-0005-0000-0000-0000CB4F0000}"/>
    <cellStyle name="표준 25 3 3 2 2 4 3" xfId="20454" xr:uid="{00000000-0005-0000-0000-0000CC4F0000}"/>
    <cellStyle name="표준 25 3 3 2 2 4 3 2" xfId="20455" xr:uid="{00000000-0005-0000-0000-0000CD4F0000}"/>
    <cellStyle name="표준 25 3 3 2 2 4 3 2 2" xfId="20456" xr:uid="{00000000-0005-0000-0000-0000CE4F0000}"/>
    <cellStyle name="표준 25 3 3 2 2 4 3 3" xfId="20457" xr:uid="{00000000-0005-0000-0000-0000CF4F0000}"/>
    <cellStyle name="표준 25 3 3 2 2 4 4" xfId="20458" xr:uid="{00000000-0005-0000-0000-0000D04F0000}"/>
    <cellStyle name="표준 25 3 3 2 2 4 4 2" xfId="20459" xr:uid="{00000000-0005-0000-0000-0000D14F0000}"/>
    <cellStyle name="표준 25 3 3 2 2 4 5" xfId="20460" xr:uid="{00000000-0005-0000-0000-0000D24F0000}"/>
    <cellStyle name="표준 25 3 3 2 2 5" xfId="20461" xr:uid="{00000000-0005-0000-0000-0000D34F0000}"/>
    <cellStyle name="표준 25 3 3 2 2 5 2" xfId="20462" xr:uid="{00000000-0005-0000-0000-0000D44F0000}"/>
    <cellStyle name="표준 25 3 3 2 2 5 2 2" xfId="20463" xr:uid="{00000000-0005-0000-0000-0000D54F0000}"/>
    <cellStyle name="표준 25 3 3 2 2 5 2 2 2" xfId="20464" xr:uid="{00000000-0005-0000-0000-0000D64F0000}"/>
    <cellStyle name="표준 25 3 3 2 2 5 2 3" xfId="20465" xr:uid="{00000000-0005-0000-0000-0000D74F0000}"/>
    <cellStyle name="표준 25 3 3 2 2 5 3" xfId="20466" xr:uid="{00000000-0005-0000-0000-0000D84F0000}"/>
    <cellStyle name="표준 25 3 3 2 2 5 3 2" xfId="20467" xr:uid="{00000000-0005-0000-0000-0000D94F0000}"/>
    <cellStyle name="표준 25 3 3 2 2 5 4" xfId="20468" xr:uid="{00000000-0005-0000-0000-0000DA4F0000}"/>
    <cellStyle name="표준 25 3 3 2 2 6" xfId="20469" xr:uid="{00000000-0005-0000-0000-0000DB4F0000}"/>
    <cellStyle name="표준 25 3 3 2 2 6 2" xfId="20470" xr:uid="{00000000-0005-0000-0000-0000DC4F0000}"/>
    <cellStyle name="표준 25 3 3 2 2 6 2 2" xfId="20471" xr:uid="{00000000-0005-0000-0000-0000DD4F0000}"/>
    <cellStyle name="표준 25 3 3 2 2 6 3" xfId="20472" xr:uid="{00000000-0005-0000-0000-0000DE4F0000}"/>
    <cellStyle name="표준 25 3 3 2 2 7" xfId="20473" xr:uid="{00000000-0005-0000-0000-0000DF4F0000}"/>
    <cellStyle name="표준 25 3 3 2 2 7 2" xfId="20474" xr:uid="{00000000-0005-0000-0000-0000E04F0000}"/>
    <cellStyle name="표준 25 3 3 2 2 8" xfId="20475" xr:uid="{00000000-0005-0000-0000-0000E14F0000}"/>
    <cellStyle name="표준 25 3 3 2 2 9" xfId="20476" xr:uid="{00000000-0005-0000-0000-0000E24F0000}"/>
    <cellStyle name="표준 25 3 3 2 3" xfId="20477" xr:uid="{00000000-0005-0000-0000-0000E34F0000}"/>
    <cellStyle name="표준 25 3 3 2 3 2" xfId="20478" xr:uid="{00000000-0005-0000-0000-0000E44F0000}"/>
    <cellStyle name="표준 25 3 3 2 3 2 2" xfId="20479" xr:uid="{00000000-0005-0000-0000-0000E54F0000}"/>
    <cellStyle name="표준 25 3 3 2 3 2 2 2" xfId="20480" xr:uid="{00000000-0005-0000-0000-0000E64F0000}"/>
    <cellStyle name="표준 25 3 3 2 3 2 2 2 2" xfId="20481" xr:uid="{00000000-0005-0000-0000-0000E74F0000}"/>
    <cellStyle name="표준 25 3 3 2 3 2 2 2 2 2" xfId="20482" xr:uid="{00000000-0005-0000-0000-0000E84F0000}"/>
    <cellStyle name="표준 25 3 3 2 3 2 2 2 2 2 2" xfId="20483" xr:uid="{00000000-0005-0000-0000-0000E94F0000}"/>
    <cellStyle name="표준 25 3 3 2 3 2 2 2 2 3" xfId="20484" xr:uid="{00000000-0005-0000-0000-0000EA4F0000}"/>
    <cellStyle name="표준 25 3 3 2 3 2 2 2 3" xfId="20485" xr:uid="{00000000-0005-0000-0000-0000EB4F0000}"/>
    <cellStyle name="표준 25 3 3 2 3 2 2 2 3 2" xfId="20486" xr:uid="{00000000-0005-0000-0000-0000EC4F0000}"/>
    <cellStyle name="표준 25 3 3 2 3 2 2 2 4" xfId="20487" xr:uid="{00000000-0005-0000-0000-0000ED4F0000}"/>
    <cellStyle name="표준 25 3 3 2 3 2 2 3" xfId="20488" xr:uid="{00000000-0005-0000-0000-0000EE4F0000}"/>
    <cellStyle name="표준 25 3 3 2 3 2 2 3 2" xfId="20489" xr:uid="{00000000-0005-0000-0000-0000EF4F0000}"/>
    <cellStyle name="표준 25 3 3 2 3 2 2 3 2 2" xfId="20490" xr:uid="{00000000-0005-0000-0000-0000F04F0000}"/>
    <cellStyle name="표준 25 3 3 2 3 2 2 3 3" xfId="20491" xr:uid="{00000000-0005-0000-0000-0000F14F0000}"/>
    <cellStyle name="표준 25 3 3 2 3 2 2 4" xfId="20492" xr:uid="{00000000-0005-0000-0000-0000F24F0000}"/>
    <cellStyle name="표준 25 3 3 2 3 2 2 4 2" xfId="20493" xr:uid="{00000000-0005-0000-0000-0000F34F0000}"/>
    <cellStyle name="표준 25 3 3 2 3 2 2 5" xfId="20494" xr:uid="{00000000-0005-0000-0000-0000F44F0000}"/>
    <cellStyle name="표준 25 3 3 2 3 2 3" xfId="20495" xr:uid="{00000000-0005-0000-0000-0000F54F0000}"/>
    <cellStyle name="표준 25 3 3 2 3 2 3 2" xfId="20496" xr:uid="{00000000-0005-0000-0000-0000F64F0000}"/>
    <cellStyle name="표준 25 3 3 2 3 2 3 2 2" xfId="20497" xr:uid="{00000000-0005-0000-0000-0000F74F0000}"/>
    <cellStyle name="표준 25 3 3 2 3 2 3 2 2 2" xfId="20498" xr:uid="{00000000-0005-0000-0000-0000F84F0000}"/>
    <cellStyle name="표준 25 3 3 2 3 2 3 2 3" xfId="20499" xr:uid="{00000000-0005-0000-0000-0000F94F0000}"/>
    <cellStyle name="표준 25 3 3 2 3 2 3 3" xfId="20500" xr:uid="{00000000-0005-0000-0000-0000FA4F0000}"/>
    <cellStyle name="표준 25 3 3 2 3 2 3 3 2" xfId="20501" xr:uid="{00000000-0005-0000-0000-0000FB4F0000}"/>
    <cellStyle name="표준 25 3 3 2 3 2 3 4" xfId="20502" xr:uid="{00000000-0005-0000-0000-0000FC4F0000}"/>
    <cellStyle name="표준 25 3 3 2 3 2 4" xfId="20503" xr:uid="{00000000-0005-0000-0000-0000FD4F0000}"/>
    <cellStyle name="표준 25 3 3 2 3 2 4 2" xfId="20504" xr:uid="{00000000-0005-0000-0000-0000FE4F0000}"/>
    <cellStyle name="표준 25 3 3 2 3 2 4 2 2" xfId="20505" xr:uid="{00000000-0005-0000-0000-0000FF4F0000}"/>
    <cellStyle name="표준 25 3 3 2 3 2 4 3" xfId="20506" xr:uid="{00000000-0005-0000-0000-000000500000}"/>
    <cellStyle name="표준 25 3 3 2 3 2 5" xfId="20507" xr:uid="{00000000-0005-0000-0000-000001500000}"/>
    <cellStyle name="표준 25 3 3 2 3 2 5 2" xfId="20508" xr:uid="{00000000-0005-0000-0000-000002500000}"/>
    <cellStyle name="표준 25 3 3 2 3 2 6" xfId="20509" xr:uid="{00000000-0005-0000-0000-000003500000}"/>
    <cellStyle name="표준 25 3 3 2 3 3" xfId="20510" xr:uid="{00000000-0005-0000-0000-000004500000}"/>
    <cellStyle name="표준 25 3 3 2 3 3 2" xfId="20511" xr:uid="{00000000-0005-0000-0000-000005500000}"/>
    <cellStyle name="표준 25 3 3 2 3 3 2 2" xfId="20512" xr:uid="{00000000-0005-0000-0000-000006500000}"/>
    <cellStyle name="표준 25 3 3 2 3 3 2 2 2" xfId="20513" xr:uid="{00000000-0005-0000-0000-000007500000}"/>
    <cellStyle name="표준 25 3 3 2 3 3 2 2 2 2" xfId="20514" xr:uid="{00000000-0005-0000-0000-000008500000}"/>
    <cellStyle name="표준 25 3 3 2 3 3 2 2 3" xfId="20515" xr:uid="{00000000-0005-0000-0000-000009500000}"/>
    <cellStyle name="표준 25 3 3 2 3 3 2 3" xfId="20516" xr:uid="{00000000-0005-0000-0000-00000A500000}"/>
    <cellStyle name="표준 25 3 3 2 3 3 2 3 2" xfId="20517" xr:uid="{00000000-0005-0000-0000-00000B500000}"/>
    <cellStyle name="표준 25 3 3 2 3 3 2 4" xfId="20518" xr:uid="{00000000-0005-0000-0000-00000C500000}"/>
    <cellStyle name="표준 25 3 3 2 3 3 3" xfId="20519" xr:uid="{00000000-0005-0000-0000-00000D500000}"/>
    <cellStyle name="표준 25 3 3 2 3 3 3 2" xfId="20520" xr:uid="{00000000-0005-0000-0000-00000E500000}"/>
    <cellStyle name="표준 25 3 3 2 3 3 3 2 2" xfId="20521" xr:uid="{00000000-0005-0000-0000-00000F500000}"/>
    <cellStyle name="표준 25 3 3 2 3 3 3 3" xfId="20522" xr:uid="{00000000-0005-0000-0000-000010500000}"/>
    <cellStyle name="표준 25 3 3 2 3 3 4" xfId="20523" xr:uid="{00000000-0005-0000-0000-000011500000}"/>
    <cellStyle name="표준 25 3 3 2 3 3 4 2" xfId="20524" xr:uid="{00000000-0005-0000-0000-000012500000}"/>
    <cellStyle name="표준 25 3 3 2 3 3 5" xfId="20525" xr:uid="{00000000-0005-0000-0000-000013500000}"/>
    <cellStyle name="표준 25 3 3 2 3 4" xfId="20526" xr:uid="{00000000-0005-0000-0000-000014500000}"/>
    <cellStyle name="표준 25 3 3 2 3 4 2" xfId="20527" xr:uid="{00000000-0005-0000-0000-000015500000}"/>
    <cellStyle name="표준 25 3 3 2 3 4 2 2" xfId="20528" xr:uid="{00000000-0005-0000-0000-000016500000}"/>
    <cellStyle name="표준 25 3 3 2 3 4 2 2 2" xfId="20529" xr:uid="{00000000-0005-0000-0000-000017500000}"/>
    <cellStyle name="표준 25 3 3 2 3 4 2 3" xfId="20530" xr:uid="{00000000-0005-0000-0000-000018500000}"/>
    <cellStyle name="표준 25 3 3 2 3 4 3" xfId="20531" xr:uid="{00000000-0005-0000-0000-000019500000}"/>
    <cellStyle name="표준 25 3 3 2 3 4 3 2" xfId="20532" xr:uid="{00000000-0005-0000-0000-00001A500000}"/>
    <cellStyle name="표준 25 3 3 2 3 4 4" xfId="20533" xr:uid="{00000000-0005-0000-0000-00001B500000}"/>
    <cellStyle name="표준 25 3 3 2 3 5" xfId="20534" xr:uid="{00000000-0005-0000-0000-00001C500000}"/>
    <cellStyle name="표준 25 3 3 2 3 5 2" xfId="20535" xr:uid="{00000000-0005-0000-0000-00001D500000}"/>
    <cellStyle name="표준 25 3 3 2 3 5 2 2" xfId="20536" xr:uid="{00000000-0005-0000-0000-00001E500000}"/>
    <cellStyle name="표준 25 3 3 2 3 5 3" xfId="20537" xr:uid="{00000000-0005-0000-0000-00001F500000}"/>
    <cellStyle name="표준 25 3 3 2 3 6" xfId="20538" xr:uid="{00000000-0005-0000-0000-000020500000}"/>
    <cellStyle name="표준 25 3 3 2 3 6 2" xfId="20539" xr:uid="{00000000-0005-0000-0000-000021500000}"/>
    <cellStyle name="표준 25 3 3 2 3 7" xfId="20540" xr:uid="{00000000-0005-0000-0000-000022500000}"/>
    <cellStyle name="표준 25 3 3 2 3 8" xfId="20541" xr:uid="{00000000-0005-0000-0000-000023500000}"/>
    <cellStyle name="표준 25 3 3 2 4" xfId="20542" xr:uid="{00000000-0005-0000-0000-000024500000}"/>
    <cellStyle name="표준 25 3 3 2 4 2" xfId="20543" xr:uid="{00000000-0005-0000-0000-000025500000}"/>
    <cellStyle name="표준 25 3 3 2 4 2 2" xfId="20544" xr:uid="{00000000-0005-0000-0000-000026500000}"/>
    <cellStyle name="표준 25 3 3 2 4 2 2 2" xfId="20545" xr:uid="{00000000-0005-0000-0000-000027500000}"/>
    <cellStyle name="표준 25 3 3 2 4 2 2 2 2" xfId="20546" xr:uid="{00000000-0005-0000-0000-000028500000}"/>
    <cellStyle name="표준 25 3 3 2 4 2 2 2 2 2" xfId="20547" xr:uid="{00000000-0005-0000-0000-000029500000}"/>
    <cellStyle name="표준 25 3 3 2 4 2 2 2 3" xfId="20548" xr:uid="{00000000-0005-0000-0000-00002A500000}"/>
    <cellStyle name="표준 25 3 3 2 4 2 2 3" xfId="20549" xr:uid="{00000000-0005-0000-0000-00002B500000}"/>
    <cellStyle name="표준 25 3 3 2 4 2 2 3 2" xfId="20550" xr:uid="{00000000-0005-0000-0000-00002C500000}"/>
    <cellStyle name="표준 25 3 3 2 4 2 2 4" xfId="20551" xr:uid="{00000000-0005-0000-0000-00002D500000}"/>
    <cellStyle name="표준 25 3 3 2 4 2 3" xfId="20552" xr:uid="{00000000-0005-0000-0000-00002E500000}"/>
    <cellStyle name="표준 25 3 3 2 4 2 3 2" xfId="20553" xr:uid="{00000000-0005-0000-0000-00002F500000}"/>
    <cellStyle name="표준 25 3 3 2 4 2 3 2 2" xfId="20554" xr:uid="{00000000-0005-0000-0000-000030500000}"/>
    <cellStyle name="표준 25 3 3 2 4 2 3 3" xfId="20555" xr:uid="{00000000-0005-0000-0000-000031500000}"/>
    <cellStyle name="표준 25 3 3 2 4 2 4" xfId="20556" xr:uid="{00000000-0005-0000-0000-000032500000}"/>
    <cellStyle name="표준 25 3 3 2 4 2 4 2" xfId="20557" xr:uid="{00000000-0005-0000-0000-000033500000}"/>
    <cellStyle name="표준 25 3 3 2 4 2 5" xfId="20558" xr:uid="{00000000-0005-0000-0000-000034500000}"/>
    <cellStyle name="표준 25 3 3 2 4 3" xfId="20559" xr:uid="{00000000-0005-0000-0000-000035500000}"/>
    <cellStyle name="표준 25 3 3 2 4 3 2" xfId="20560" xr:uid="{00000000-0005-0000-0000-000036500000}"/>
    <cellStyle name="표준 25 3 3 2 4 3 2 2" xfId="20561" xr:uid="{00000000-0005-0000-0000-000037500000}"/>
    <cellStyle name="표준 25 3 3 2 4 3 2 2 2" xfId="20562" xr:uid="{00000000-0005-0000-0000-000038500000}"/>
    <cellStyle name="표준 25 3 3 2 4 3 2 3" xfId="20563" xr:uid="{00000000-0005-0000-0000-000039500000}"/>
    <cellStyle name="표준 25 3 3 2 4 3 3" xfId="20564" xr:uid="{00000000-0005-0000-0000-00003A500000}"/>
    <cellStyle name="표준 25 3 3 2 4 3 3 2" xfId="20565" xr:uid="{00000000-0005-0000-0000-00003B500000}"/>
    <cellStyle name="표준 25 3 3 2 4 3 4" xfId="20566" xr:uid="{00000000-0005-0000-0000-00003C500000}"/>
    <cellStyle name="표준 25 3 3 2 4 4" xfId="20567" xr:uid="{00000000-0005-0000-0000-00003D500000}"/>
    <cellStyle name="표준 25 3 3 2 4 4 2" xfId="20568" xr:uid="{00000000-0005-0000-0000-00003E500000}"/>
    <cellStyle name="표준 25 3 3 2 4 4 2 2" xfId="20569" xr:uid="{00000000-0005-0000-0000-00003F500000}"/>
    <cellStyle name="표준 25 3 3 2 4 4 3" xfId="20570" xr:uid="{00000000-0005-0000-0000-000040500000}"/>
    <cellStyle name="표준 25 3 3 2 4 5" xfId="20571" xr:uid="{00000000-0005-0000-0000-000041500000}"/>
    <cellStyle name="표준 25 3 3 2 4 5 2" xfId="20572" xr:uid="{00000000-0005-0000-0000-000042500000}"/>
    <cellStyle name="표준 25 3 3 2 4 6" xfId="20573" xr:uid="{00000000-0005-0000-0000-000043500000}"/>
    <cellStyle name="표준 25 3 3 2 5" xfId="20574" xr:uid="{00000000-0005-0000-0000-000044500000}"/>
    <cellStyle name="표준 25 3 3 2 5 2" xfId="20575" xr:uid="{00000000-0005-0000-0000-000045500000}"/>
    <cellStyle name="표준 25 3 3 2 5 2 2" xfId="20576" xr:uid="{00000000-0005-0000-0000-000046500000}"/>
    <cellStyle name="표준 25 3 3 2 5 2 2 2" xfId="20577" xr:uid="{00000000-0005-0000-0000-000047500000}"/>
    <cellStyle name="표준 25 3 3 2 5 2 2 2 2" xfId="20578" xr:uid="{00000000-0005-0000-0000-000048500000}"/>
    <cellStyle name="표준 25 3 3 2 5 2 2 3" xfId="20579" xr:uid="{00000000-0005-0000-0000-000049500000}"/>
    <cellStyle name="표준 25 3 3 2 5 2 3" xfId="20580" xr:uid="{00000000-0005-0000-0000-00004A500000}"/>
    <cellStyle name="표준 25 3 3 2 5 2 3 2" xfId="20581" xr:uid="{00000000-0005-0000-0000-00004B500000}"/>
    <cellStyle name="표준 25 3 3 2 5 2 4" xfId="20582" xr:uid="{00000000-0005-0000-0000-00004C500000}"/>
    <cellStyle name="표준 25 3 3 2 5 3" xfId="20583" xr:uid="{00000000-0005-0000-0000-00004D500000}"/>
    <cellStyle name="표준 25 3 3 2 5 3 2" xfId="20584" xr:uid="{00000000-0005-0000-0000-00004E500000}"/>
    <cellStyle name="표준 25 3 3 2 5 3 2 2" xfId="20585" xr:uid="{00000000-0005-0000-0000-00004F500000}"/>
    <cellStyle name="표준 25 3 3 2 5 3 3" xfId="20586" xr:uid="{00000000-0005-0000-0000-000050500000}"/>
    <cellStyle name="표준 25 3 3 2 5 4" xfId="20587" xr:uid="{00000000-0005-0000-0000-000051500000}"/>
    <cellStyle name="표준 25 3 3 2 5 4 2" xfId="20588" xr:uid="{00000000-0005-0000-0000-000052500000}"/>
    <cellStyle name="표준 25 3 3 2 5 5" xfId="20589" xr:uid="{00000000-0005-0000-0000-000053500000}"/>
    <cellStyle name="표준 25 3 3 2 6" xfId="20590" xr:uid="{00000000-0005-0000-0000-000054500000}"/>
    <cellStyle name="표준 25 3 3 2 6 2" xfId="20591" xr:uid="{00000000-0005-0000-0000-000055500000}"/>
    <cellStyle name="표준 25 3 3 2 6 2 2" xfId="20592" xr:uid="{00000000-0005-0000-0000-000056500000}"/>
    <cellStyle name="표준 25 3 3 2 6 2 2 2" xfId="20593" xr:uid="{00000000-0005-0000-0000-000057500000}"/>
    <cellStyle name="표준 25 3 3 2 6 2 3" xfId="20594" xr:uid="{00000000-0005-0000-0000-000058500000}"/>
    <cellStyle name="표준 25 3 3 2 6 3" xfId="20595" xr:uid="{00000000-0005-0000-0000-000059500000}"/>
    <cellStyle name="표준 25 3 3 2 6 3 2" xfId="20596" xr:uid="{00000000-0005-0000-0000-00005A500000}"/>
    <cellStyle name="표준 25 3 3 2 6 4" xfId="20597" xr:uid="{00000000-0005-0000-0000-00005B500000}"/>
    <cellStyle name="표준 25 3 3 2 7" xfId="20598" xr:uid="{00000000-0005-0000-0000-00005C500000}"/>
    <cellStyle name="표준 25 3 3 2 7 2" xfId="20599" xr:uid="{00000000-0005-0000-0000-00005D500000}"/>
    <cellStyle name="표준 25 3 3 2 7 2 2" xfId="20600" xr:uid="{00000000-0005-0000-0000-00005E500000}"/>
    <cellStyle name="표준 25 3 3 2 7 3" xfId="20601" xr:uid="{00000000-0005-0000-0000-00005F500000}"/>
    <cellStyle name="표준 25 3 3 2 8" xfId="20602" xr:uid="{00000000-0005-0000-0000-000060500000}"/>
    <cellStyle name="표준 25 3 3 2 8 2" xfId="20603" xr:uid="{00000000-0005-0000-0000-000061500000}"/>
    <cellStyle name="표준 25 3 3 2 9" xfId="20604" xr:uid="{00000000-0005-0000-0000-000062500000}"/>
    <cellStyle name="표준 25 3 3 3" xfId="20605" xr:uid="{00000000-0005-0000-0000-000063500000}"/>
    <cellStyle name="표준 25 3 3 3 2" xfId="20606" xr:uid="{00000000-0005-0000-0000-000064500000}"/>
    <cellStyle name="표준 25 3 3 3 2 2" xfId="20607" xr:uid="{00000000-0005-0000-0000-000065500000}"/>
    <cellStyle name="표준 25 3 3 3 2 2 2" xfId="20608" xr:uid="{00000000-0005-0000-0000-000066500000}"/>
    <cellStyle name="표준 25 3 3 3 2 2 2 2" xfId="20609" xr:uid="{00000000-0005-0000-0000-000067500000}"/>
    <cellStyle name="표준 25 3 3 3 2 2 2 2 2" xfId="20610" xr:uid="{00000000-0005-0000-0000-000068500000}"/>
    <cellStyle name="표준 25 3 3 3 2 2 2 2 2 2" xfId="20611" xr:uid="{00000000-0005-0000-0000-000069500000}"/>
    <cellStyle name="표준 25 3 3 3 2 2 2 2 2 2 2" xfId="20612" xr:uid="{00000000-0005-0000-0000-00006A500000}"/>
    <cellStyle name="표준 25 3 3 3 2 2 2 2 2 3" xfId="20613" xr:uid="{00000000-0005-0000-0000-00006B500000}"/>
    <cellStyle name="표준 25 3 3 3 2 2 2 2 3" xfId="20614" xr:uid="{00000000-0005-0000-0000-00006C500000}"/>
    <cellStyle name="표준 25 3 3 3 2 2 2 2 3 2" xfId="20615" xr:uid="{00000000-0005-0000-0000-00006D500000}"/>
    <cellStyle name="표준 25 3 3 3 2 2 2 2 4" xfId="20616" xr:uid="{00000000-0005-0000-0000-00006E500000}"/>
    <cellStyle name="표준 25 3 3 3 2 2 2 3" xfId="20617" xr:uid="{00000000-0005-0000-0000-00006F500000}"/>
    <cellStyle name="표준 25 3 3 3 2 2 2 3 2" xfId="20618" xr:uid="{00000000-0005-0000-0000-000070500000}"/>
    <cellStyle name="표준 25 3 3 3 2 2 2 3 2 2" xfId="20619" xr:uid="{00000000-0005-0000-0000-000071500000}"/>
    <cellStyle name="표준 25 3 3 3 2 2 2 3 3" xfId="20620" xr:uid="{00000000-0005-0000-0000-000072500000}"/>
    <cellStyle name="표준 25 3 3 3 2 2 2 4" xfId="20621" xr:uid="{00000000-0005-0000-0000-000073500000}"/>
    <cellStyle name="표준 25 3 3 3 2 2 2 4 2" xfId="20622" xr:uid="{00000000-0005-0000-0000-000074500000}"/>
    <cellStyle name="표준 25 3 3 3 2 2 2 5" xfId="20623" xr:uid="{00000000-0005-0000-0000-000075500000}"/>
    <cellStyle name="표준 25 3 3 3 2 2 3" xfId="20624" xr:uid="{00000000-0005-0000-0000-000076500000}"/>
    <cellStyle name="표준 25 3 3 3 2 2 3 2" xfId="20625" xr:uid="{00000000-0005-0000-0000-000077500000}"/>
    <cellStyle name="표준 25 3 3 3 2 2 3 2 2" xfId="20626" xr:uid="{00000000-0005-0000-0000-000078500000}"/>
    <cellStyle name="표준 25 3 3 3 2 2 3 2 2 2" xfId="20627" xr:uid="{00000000-0005-0000-0000-000079500000}"/>
    <cellStyle name="표준 25 3 3 3 2 2 3 2 3" xfId="20628" xr:uid="{00000000-0005-0000-0000-00007A500000}"/>
    <cellStyle name="표준 25 3 3 3 2 2 3 3" xfId="20629" xr:uid="{00000000-0005-0000-0000-00007B500000}"/>
    <cellStyle name="표준 25 3 3 3 2 2 3 3 2" xfId="20630" xr:uid="{00000000-0005-0000-0000-00007C500000}"/>
    <cellStyle name="표준 25 3 3 3 2 2 3 4" xfId="20631" xr:uid="{00000000-0005-0000-0000-00007D500000}"/>
    <cellStyle name="표준 25 3 3 3 2 2 4" xfId="20632" xr:uid="{00000000-0005-0000-0000-00007E500000}"/>
    <cellStyle name="표준 25 3 3 3 2 2 4 2" xfId="20633" xr:uid="{00000000-0005-0000-0000-00007F500000}"/>
    <cellStyle name="표준 25 3 3 3 2 2 4 2 2" xfId="20634" xr:uid="{00000000-0005-0000-0000-000080500000}"/>
    <cellStyle name="표준 25 3 3 3 2 2 4 3" xfId="20635" xr:uid="{00000000-0005-0000-0000-000081500000}"/>
    <cellStyle name="표준 25 3 3 3 2 2 5" xfId="20636" xr:uid="{00000000-0005-0000-0000-000082500000}"/>
    <cellStyle name="표준 25 3 3 3 2 2 5 2" xfId="20637" xr:uid="{00000000-0005-0000-0000-000083500000}"/>
    <cellStyle name="표준 25 3 3 3 2 2 6" xfId="20638" xr:uid="{00000000-0005-0000-0000-000084500000}"/>
    <cellStyle name="표준 25 3 3 3 2 3" xfId="20639" xr:uid="{00000000-0005-0000-0000-000085500000}"/>
    <cellStyle name="표준 25 3 3 3 2 3 2" xfId="20640" xr:uid="{00000000-0005-0000-0000-000086500000}"/>
    <cellStyle name="표준 25 3 3 3 2 3 2 2" xfId="20641" xr:uid="{00000000-0005-0000-0000-000087500000}"/>
    <cellStyle name="표준 25 3 3 3 2 3 2 2 2" xfId="20642" xr:uid="{00000000-0005-0000-0000-000088500000}"/>
    <cellStyle name="표준 25 3 3 3 2 3 2 2 2 2" xfId="20643" xr:uid="{00000000-0005-0000-0000-000089500000}"/>
    <cellStyle name="표준 25 3 3 3 2 3 2 2 3" xfId="20644" xr:uid="{00000000-0005-0000-0000-00008A500000}"/>
    <cellStyle name="표준 25 3 3 3 2 3 2 3" xfId="20645" xr:uid="{00000000-0005-0000-0000-00008B500000}"/>
    <cellStyle name="표준 25 3 3 3 2 3 2 3 2" xfId="20646" xr:uid="{00000000-0005-0000-0000-00008C500000}"/>
    <cellStyle name="표준 25 3 3 3 2 3 2 4" xfId="20647" xr:uid="{00000000-0005-0000-0000-00008D500000}"/>
    <cellStyle name="표준 25 3 3 3 2 3 3" xfId="20648" xr:uid="{00000000-0005-0000-0000-00008E500000}"/>
    <cellStyle name="표준 25 3 3 3 2 3 3 2" xfId="20649" xr:uid="{00000000-0005-0000-0000-00008F500000}"/>
    <cellStyle name="표준 25 3 3 3 2 3 3 2 2" xfId="20650" xr:uid="{00000000-0005-0000-0000-000090500000}"/>
    <cellStyle name="표준 25 3 3 3 2 3 3 3" xfId="20651" xr:uid="{00000000-0005-0000-0000-000091500000}"/>
    <cellStyle name="표준 25 3 3 3 2 3 4" xfId="20652" xr:uid="{00000000-0005-0000-0000-000092500000}"/>
    <cellStyle name="표준 25 3 3 3 2 3 4 2" xfId="20653" xr:uid="{00000000-0005-0000-0000-000093500000}"/>
    <cellStyle name="표준 25 3 3 3 2 3 5" xfId="20654" xr:uid="{00000000-0005-0000-0000-000094500000}"/>
    <cellStyle name="표준 25 3 3 3 2 4" xfId="20655" xr:uid="{00000000-0005-0000-0000-000095500000}"/>
    <cellStyle name="표준 25 3 3 3 2 4 2" xfId="20656" xr:uid="{00000000-0005-0000-0000-000096500000}"/>
    <cellStyle name="표준 25 3 3 3 2 4 2 2" xfId="20657" xr:uid="{00000000-0005-0000-0000-000097500000}"/>
    <cellStyle name="표준 25 3 3 3 2 4 2 2 2" xfId="20658" xr:uid="{00000000-0005-0000-0000-000098500000}"/>
    <cellStyle name="표준 25 3 3 3 2 4 2 3" xfId="20659" xr:uid="{00000000-0005-0000-0000-000099500000}"/>
    <cellStyle name="표준 25 3 3 3 2 4 3" xfId="20660" xr:uid="{00000000-0005-0000-0000-00009A500000}"/>
    <cellStyle name="표준 25 3 3 3 2 4 3 2" xfId="20661" xr:uid="{00000000-0005-0000-0000-00009B500000}"/>
    <cellStyle name="표준 25 3 3 3 2 4 4" xfId="20662" xr:uid="{00000000-0005-0000-0000-00009C500000}"/>
    <cellStyle name="표준 25 3 3 3 2 5" xfId="20663" xr:uid="{00000000-0005-0000-0000-00009D500000}"/>
    <cellStyle name="표준 25 3 3 3 2 5 2" xfId="20664" xr:uid="{00000000-0005-0000-0000-00009E500000}"/>
    <cellStyle name="표준 25 3 3 3 2 5 2 2" xfId="20665" xr:uid="{00000000-0005-0000-0000-00009F500000}"/>
    <cellStyle name="표준 25 3 3 3 2 5 3" xfId="20666" xr:uid="{00000000-0005-0000-0000-0000A0500000}"/>
    <cellStyle name="표준 25 3 3 3 2 6" xfId="20667" xr:uid="{00000000-0005-0000-0000-0000A1500000}"/>
    <cellStyle name="표준 25 3 3 3 2 6 2" xfId="20668" xr:uid="{00000000-0005-0000-0000-0000A2500000}"/>
    <cellStyle name="표준 25 3 3 3 2 7" xfId="20669" xr:uid="{00000000-0005-0000-0000-0000A3500000}"/>
    <cellStyle name="표준 25 3 3 3 2 8" xfId="20670" xr:uid="{00000000-0005-0000-0000-0000A4500000}"/>
    <cellStyle name="표준 25 3 3 3 3" xfId="20671" xr:uid="{00000000-0005-0000-0000-0000A5500000}"/>
    <cellStyle name="표준 25 3 3 3 3 2" xfId="20672" xr:uid="{00000000-0005-0000-0000-0000A6500000}"/>
    <cellStyle name="표준 25 3 3 3 3 2 2" xfId="20673" xr:uid="{00000000-0005-0000-0000-0000A7500000}"/>
    <cellStyle name="표준 25 3 3 3 3 2 2 2" xfId="20674" xr:uid="{00000000-0005-0000-0000-0000A8500000}"/>
    <cellStyle name="표준 25 3 3 3 3 2 2 2 2" xfId="20675" xr:uid="{00000000-0005-0000-0000-0000A9500000}"/>
    <cellStyle name="표준 25 3 3 3 3 2 2 2 2 2" xfId="20676" xr:uid="{00000000-0005-0000-0000-0000AA500000}"/>
    <cellStyle name="표준 25 3 3 3 3 2 2 2 3" xfId="20677" xr:uid="{00000000-0005-0000-0000-0000AB500000}"/>
    <cellStyle name="표준 25 3 3 3 3 2 2 3" xfId="20678" xr:uid="{00000000-0005-0000-0000-0000AC500000}"/>
    <cellStyle name="표준 25 3 3 3 3 2 2 3 2" xfId="20679" xr:uid="{00000000-0005-0000-0000-0000AD500000}"/>
    <cellStyle name="표준 25 3 3 3 3 2 2 4" xfId="20680" xr:uid="{00000000-0005-0000-0000-0000AE500000}"/>
    <cellStyle name="표준 25 3 3 3 3 2 3" xfId="20681" xr:uid="{00000000-0005-0000-0000-0000AF500000}"/>
    <cellStyle name="표준 25 3 3 3 3 2 3 2" xfId="20682" xr:uid="{00000000-0005-0000-0000-0000B0500000}"/>
    <cellStyle name="표준 25 3 3 3 3 2 3 2 2" xfId="20683" xr:uid="{00000000-0005-0000-0000-0000B1500000}"/>
    <cellStyle name="표준 25 3 3 3 3 2 3 3" xfId="20684" xr:uid="{00000000-0005-0000-0000-0000B2500000}"/>
    <cellStyle name="표준 25 3 3 3 3 2 4" xfId="20685" xr:uid="{00000000-0005-0000-0000-0000B3500000}"/>
    <cellStyle name="표준 25 3 3 3 3 2 4 2" xfId="20686" xr:uid="{00000000-0005-0000-0000-0000B4500000}"/>
    <cellStyle name="표준 25 3 3 3 3 2 5" xfId="20687" xr:uid="{00000000-0005-0000-0000-0000B5500000}"/>
    <cellStyle name="표준 25 3 3 3 3 3" xfId="20688" xr:uid="{00000000-0005-0000-0000-0000B6500000}"/>
    <cellStyle name="표준 25 3 3 3 3 3 2" xfId="20689" xr:uid="{00000000-0005-0000-0000-0000B7500000}"/>
    <cellStyle name="표준 25 3 3 3 3 3 2 2" xfId="20690" xr:uid="{00000000-0005-0000-0000-0000B8500000}"/>
    <cellStyle name="표준 25 3 3 3 3 3 2 2 2" xfId="20691" xr:uid="{00000000-0005-0000-0000-0000B9500000}"/>
    <cellStyle name="표준 25 3 3 3 3 3 2 3" xfId="20692" xr:uid="{00000000-0005-0000-0000-0000BA500000}"/>
    <cellStyle name="표준 25 3 3 3 3 3 3" xfId="20693" xr:uid="{00000000-0005-0000-0000-0000BB500000}"/>
    <cellStyle name="표준 25 3 3 3 3 3 3 2" xfId="20694" xr:uid="{00000000-0005-0000-0000-0000BC500000}"/>
    <cellStyle name="표준 25 3 3 3 3 3 4" xfId="20695" xr:uid="{00000000-0005-0000-0000-0000BD500000}"/>
    <cellStyle name="표준 25 3 3 3 3 4" xfId="20696" xr:uid="{00000000-0005-0000-0000-0000BE500000}"/>
    <cellStyle name="표준 25 3 3 3 3 4 2" xfId="20697" xr:uid="{00000000-0005-0000-0000-0000BF500000}"/>
    <cellStyle name="표준 25 3 3 3 3 4 2 2" xfId="20698" xr:uid="{00000000-0005-0000-0000-0000C0500000}"/>
    <cellStyle name="표준 25 3 3 3 3 4 3" xfId="20699" xr:uid="{00000000-0005-0000-0000-0000C1500000}"/>
    <cellStyle name="표준 25 3 3 3 3 5" xfId="20700" xr:uid="{00000000-0005-0000-0000-0000C2500000}"/>
    <cellStyle name="표준 25 3 3 3 3 5 2" xfId="20701" xr:uid="{00000000-0005-0000-0000-0000C3500000}"/>
    <cellStyle name="표준 25 3 3 3 3 6" xfId="20702" xr:uid="{00000000-0005-0000-0000-0000C4500000}"/>
    <cellStyle name="표준 25 3 3 3 4" xfId="20703" xr:uid="{00000000-0005-0000-0000-0000C5500000}"/>
    <cellStyle name="표준 25 3 3 3 4 2" xfId="20704" xr:uid="{00000000-0005-0000-0000-0000C6500000}"/>
    <cellStyle name="표준 25 3 3 3 4 2 2" xfId="20705" xr:uid="{00000000-0005-0000-0000-0000C7500000}"/>
    <cellStyle name="표준 25 3 3 3 4 2 2 2" xfId="20706" xr:uid="{00000000-0005-0000-0000-0000C8500000}"/>
    <cellStyle name="표준 25 3 3 3 4 2 2 2 2" xfId="20707" xr:uid="{00000000-0005-0000-0000-0000C9500000}"/>
    <cellStyle name="표준 25 3 3 3 4 2 2 3" xfId="20708" xr:uid="{00000000-0005-0000-0000-0000CA500000}"/>
    <cellStyle name="표준 25 3 3 3 4 2 3" xfId="20709" xr:uid="{00000000-0005-0000-0000-0000CB500000}"/>
    <cellStyle name="표준 25 3 3 3 4 2 3 2" xfId="20710" xr:uid="{00000000-0005-0000-0000-0000CC500000}"/>
    <cellStyle name="표준 25 3 3 3 4 2 4" xfId="20711" xr:uid="{00000000-0005-0000-0000-0000CD500000}"/>
    <cellStyle name="표준 25 3 3 3 4 3" xfId="20712" xr:uid="{00000000-0005-0000-0000-0000CE500000}"/>
    <cellStyle name="표준 25 3 3 3 4 3 2" xfId="20713" xr:uid="{00000000-0005-0000-0000-0000CF500000}"/>
    <cellStyle name="표준 25 3 3 3 4 3 2 2" xfId="20714" xr:uid="{00000000-0005-0000-0000-0000D0500000}"/>
    <cellStyle name="표준 25 3 3 3 4 3 3" xfId="20715" xr:uid="{00000000-0005-0000-0000-0000D1500000}"/>
    <cellStyle name="표준 25 3 3 3 4 4" xfId="20716" xr:uid="{00000000-0005-0000-0000-0000D2500000}"/>
    <cellStyle name="표준 25 3 3 3 4 4 2" xfId="20717" xr:uid="{00000000-0005-0000-0000-0000D3500000}"/>
    <cellStyle name="표준 25 3 3 3 4 5" xfId="20718" xr:uid="{00000000-0005-0000-0000-0000D4500000}"/>
    <cellStyle name="표준 25 3 3 3 5" xfId="20719" xr:uid="{00000000-0005-0000-0000-0000D5500000}"/>
    <cellStyle name="표준 25 3 3 3 5 2" xfId="20720" xr:uid="{00000000-0005-0000-0000-0000D6500000}"/>
    <cellStyle name="표준 25 3 3 3 5 2 2" xfId="20721" xr:uid="{00000000-0005-0000-0000-0000D7500000}"/>
    <cellStyle name="표준 25 3 3 3 5 2 2 2" xfId="20722" xr:uid="{00000000-0005-0000-0000-0000D8500000}"/>
    <cellStyle name="표준 25 3 3 3 5 2 3" xfId="20723" xr:uid="{00000000-0005-0000-0000-0000D9500000}"/>
    <cellStyle name="표준 25 3 3 3 5 3" xfId="20724" xr:uid="{00000000-0005-0000-0000-0000DA500000}"/>
    <cellStyle name="표준 25 3 3 3 5 3 2" xfId="20725" xr:uid="{00000000-0005-0000-0000-0000DB500000}"/>
    <cellStyle name="표준 25 3 3 3 5 4" xfId="20726" xr:uid="{00000000-0005-0000-0000-0000DC500000}"/>
    <cellStyle name="표준 25 3 3 3 6" xfId="20727" xr:uid="{00000000-0005-0000-0000-0000DD500000}"/>
    <cellStyle name="표준 25 3 3 3 6 2" xfId="20728" xr:uid="{00000000-0005-0000-0000-0000DE500000}"/>
    <cellStyle name="표준 25 3 3 3 6 2 2" xfId="20729" xr:uid="{00000000-0005-0000-0000-0000DF500000}"/>
    <cellStyle name="표준 25 3 3 3 6 3" xfId="20730" xr:uid="{00000000-0005-0000-0000-0000E0500000}"/>
    <cellStyle name="표준 25 3 3 3 7" xfId="20731" xr:uid="{00000000-0005-0000-0000-0000E1500000}"/>
    <cellStyle name="표준 25 3 3 3 7 2" xfId="20732" xr:uid="{00000000-0005-0000-0000-0000E2500000}"/>
    <cellStyle name="표준 25 3 3 3 8" xfId="20733" xr:uid="{00000000-0005-0000-0000-0000E3500000}"/>
    <cellStyle name="표준 25 3 3 3 9" xfId="20734" xr:uid="{00000000-0005-0000-0000-0000E4500000}"/>
    <cellStyle name="표준 25 3 3 4" xfId="20735" xr:uid="{00000000-0005-0000-0000-0000E5500000}"/>
    <cellStyle name="표준 25 3 3 4 2" xfId="20736" xr:uid="{00000000-0005-0000-0000-0000E6500000}"/>
    <cellStyle name="표준 25 3 3 4 2 2" xfId="20737" xr:uid="{00000000-0005-0000-0000-0000E7500000}"/>
    <cellStyle name="표준 25 3 3 4 2 2 2" xfId="20738" xr:uid="{00000000-0005-0000-0000-0000E8500000}"/>
    <cellStyle name="표준 25 3 3 4 2 2 2 2" xfId="20739" xr:uid="{00000000-0005-0000-0000-0000E9500000}"/>
    <cellStyle name="표준 25 3 3 4 2 2 2 2 2" xfId="20740" xr:uid="{00000000-0005-0000-0000-0000EA500000}"/>
    <cellStyle name="표준 25 3 3 4 2 2 2 2 2 2" xfId="20741" xr:uid="{00000000-0005-0000-0000-0000EB500000}"/>
    <cellStyle name="표준 25 3 3 4 2 2 2 2 3" xfId="20742" xr:uid="{00000000-0005-0000-0000-0000EC500000}"/>
    <cellStyle name="표준 25 3 3 4 2 2 2 3" xfId="20743" xr:uid="{00000000-0005-0000-0000-0000ED500000}"/>
    <cellStyle name="표준 25 3 3 4 2 2 2 3 2" xfId="20744" xr:uid="{00000000-0005-0000-0000-0000EE500000}"/>
    <cellStyle name="표준 25 3 3 4 2 2 2 4" xfId="20745" xr:uid="{00000000-0005-0000-0000-0000EF500000}"/>
    <cellStyle name="표준 25 3 3 4 2 2 3" xfId="20746" xr:uid="{00000000-0005-0000-0000-0000F0500000}"/>
    <cellStyle name="표준 25 3 3 4 2 2 3 2" xfId="20747" xr:uid="{00000000-0005-0000-0000-0000F1500000}"/>
    <cellStyle name="표준 25 3 3 4 2 2 3 2 2" xfId="20748" xr:uid="{00000000-0005-0000-0000-0000F2500000}"/>
    <cellStyle name="표준 25 3 3 4 2 2 3 3" xfId="20749" xr:uid="{00000000-0005-0000-0000-0000F3500000}"/>
    <cellStyle name="표준 25 3 3 4 2 2 4" xfId="20750" xr:uid="{00000000-0005-0000-0000-0000F4500000}"/>
    <cellStyle name="표준 25 3 3 4 2 2 4 2" xfId="20751" xr:uid="{00000000-0005-0000-0000-0000F5500000}"/>
    <cellStyle name="표준 25 3 3 4 2 2 5" xfId="20752" xr:uid="{00000000-0005-0000-0000-0000F6500000}"/>
    <cellStyle name="표준 25 3 3 4 2 3" xfId="20753" xr:uid="{00000000-0005-0000-0000-0000F7500000}"/>
    <cellStyle name="표준 25 3 3 4 2 3 2" xfId="20754" xr:uid="{00000000-0005-0000-0000-0000F8500000}"/>
    <cellStyle name="표준 25 3 3 4 2 3 2 2" xfId="20755" xr:uid="{00000000-0005-0000-0000-0000F9500000}"/>
    <cellStyle name="표준 25 3 3 4 2 3 2 2 2" xfId="20756" xr:uid="{00000000-0005-0000-0000-0000FA500000}"/>
    <cellStyle name="표준 25 3 3 4 2 3 2 3" xfId="20757" xr:uid="{00000000-0005-0000-0000-0000FB500000}"/>
    <cellStyle name="표준 25 3 3 4 2 3 3" xfId="20758" xr:uid="{00000000-0005-0000-0000-0000FC500000}"/>
    <cellStyle name="표준 25 3 3 4 2 3 3 2" xfId="20759" xr:uid="{00000000-0005-0000-0000-0000FD500000}"/>
    <cellStyle name="표준 25 3 3 4 2 3 4" xfId="20760" xr:uid="{00000000-0005-0000-0000-0000FE500000}"/>
    <cellStyle name="표준 25 3 3 4 2 4" xfId="20761" xr:uid="{00000000-0005-0000-0000-0000FF500000}"/>
    <cellStyle name="표준 25 3 3 4 2 4 2" xfId="20762" xr:uid="{00000000-0005-0000-0000-000000510000}"/>
    <cellStyle name="표준 25 3 3 4 2 4 2 2" xfId="20763" xr:uid="{00000000-0005-0000-0000-000001510000}"/>
    <cellStyle name="표준 25 3 3 4 2 4 3" xfId="20764" xr:uid="{00000000-0005-0000-0000-000002510000}"/>
    <cellStyle name="표준 25 3 3 4 2 5" xfId="20765" xr:uid="{00000000-0005-0000-0000-000003510000}"/>
    <cellStyle name="표준 25 3 3 4 2 5 2" xfId="20766" xr:uid="{00000000-0005-0000-0000-000004510000}"/>
    <cellStyle name="표준 25 3 3 4 2 6" xfId="20767" xr:uid="{00000000-0005-0000-0000-000005510000}"/>
    <cellStyle name="표준 25 3 3 4 3" xfId="20768" xr:uid="{00000000-0005-0000-0000-000006510000}"/>
    <cellStyle name="표준 25 3 3 4 3 2" xfId="20769" xr:uid="{00000000-0005-0000-0000-000007510000}"/>
    <cellStyle name="표준 25 3 3 4 3 2 2" xfId="20770" xr:uid="{00000000-0005-0000-0000-000008510000}"/>
    <cellStyle name="표준 25 3 3 4 3 2 2 2" xfId="20771" xr:uid="{00000000-0005-0000-0000-000009510000}"/>
    <cellStyle name="표준 25 3 3 4 3 2 2 2 2" xfId="20772" xr:uid="{00000000-0005-0000-0000-00000A510000}"/>
    <cellStyle name="표준 25 3 3 4 3 2 2 3" xfId="20773" xr:uid="{00000000-0005-0000-0000-00000B510000}"/>
    <cellStyle name="표준 25 3 3 4 3 2 3" xfId="20774" xr:uid="{00000000-0005-0000-0000-00000C510000}"/>
    <cellStyle name="표준 25 3 3 4 3 2 3 2" xfId="20775" xr:uid="{00000000-0005-0000-0000-00000D510000}"/>
    <cellStyle name="표준 25 3 3 4 3 2 4" xfId="20776" xr:uid="{00000000-0005-0000-0000-00000E510000}"/>
    <cellStyle name="표준 25 3 3 4 3 3" xfId="20777" xr:uid="{00000000-0005-0000-0000-00000F510000}"/>
    <cellStyle name="표준 25 3 3 4 3 3 2" xfId="20778" xr:uid="{00000000-0005-0000-0000-000010510000}"/>
    <cellStyle name="표준 25 3 3 4 3 3 2 2" xfId="20779" xr:uid="{00000000-0005-0000-0000-000011510000}"/>
    <cellStyle name="표준 25 3 3 4 3 3 3" xfId="20780" xr:uid="{00000000-0005-0000-0000-000012510000}"/>
    <cellStyle name="표준 25 3 3 4 3 4" xfId="20781" xr:uid="{00000000-0005-0000-0000-000013510000}"/>
    <cellStyle name="표준 25 3 3 4 3 4 2" xfId="20782" xr:uid="{00000000-0005-0000-0000-000014510000}"/>
    <cellStyle name="표준 25 3 3 4 3 5" xfId="20783" xr:uid="{00000000-0005-0000-0000-000015510000}"/>
    <cellStyle name="표준 25 3 3 4 4" xfId="20784" xr:uid="{00000000-0005-0000-0000-000016510000}"/>
    <cellStyle name="표준 25 3 3 4 4 2" xfId="20785" xr:uid="{00000000-0005-0000-0000-000017510000}"/>
    <cellStyle name="표준 25 3 3 4 4 2 2" xfId="20786" xr:uid="{00000000-0005-0000-0000-000018510000}"/>
    <cellStyle name="표준 25 3 3 4 4 2 2 2" xfId="20787" xr:uid="{00000000-0005-0000-0000-000019510000}"/>
    <cellStyle name="표준 25 3 3 4 4 2 3" xfId="20788" xr:uid="{00000000-0005-0000-0000-00001A510000}"/>
    <cellStyle name="표준 25 3 3 4 4 3" xfId="20789" xr:uid="{00000000-0005-0000-0000-00001B510000}"/>
    <cellStyle name="표준 25 3 3 4 4 3 2" xfId="20790" xr:uid="{00000000-0005-0000-0000-00001C510000}"/>
    <cellStyle name="표준 25 3 3 4 4 4" xfId="20791" xr:uid="{00000000-0005-0000-0000-00001D510000}"/>
    <cellStyle name="표준 25 3 3 4 5" xfId="20792" xr:uid="{00000000-0005-0000-0000-00001E510000}"/>
    <cellStyle name="표준 25 3 3 4 5 2" xfId="20793" xr:uid="{00000000-0005-0000-0000-00001F510000}"/>
    <cellStyle name="표준 25 3 3 4 5 2 2" xfId="20794" xr:uid="{00000000-0005-0000-0000-000020510000}"/>
    <cellStyle name="표준 25 3 3 4 5 3" xfId="20795" xr:uid="{00000000-0005-0000-0000-000021510000}"/>
    <cellStyle name="표준 25 3 3 4 6" xfId="20796" xr:uid="{00000000-0005-0000-0000-000022510000}"/>
    <cellStyle name="표준 25 3 3 4 6 2" xfId="20797" xr:uid="{00000000-0005-0000-0000-000023510000}"/>
    <cellStyle name="표준 25 3 3 4 7" xfId="20798" xr:uid="{00000000-0005-0000-0000-000024510000}"/>
    <cellStyle name="표준 25 3 3 4 8" xfId="20799" xr:uid="{00000000-0005-0000-0000-000025510000}"/>
    <cellStyle name="표준 25 3 3 5" xfId="20800" xr:uid="{00000000-0005-0000-0000-000026510000}"/>
    <cellStyle name="표준 25 3 3 5 2" xfId="20801" xr:uid="{00000000-0005-0000-0000-000027510000}"/>
    <cellStyle name="표준 25 3 3 5 2 2" xfId="20802" xr:uid="{00000000-0005-0000-0000-000028510000}"/>
    <cellStyle name="표준 25 3 3 5 2 2 2" xfId="20803" xr:uid="{00000000-0005-0000-0000-000029510000}"/>
    <cellStyle name="표준 25 3 3 5 2 2 2 2" xfId="20804" xr:uid="{00000000-0005-0000-0000-00002A510000}"/>
    <cellStyle name="표준 25 3 3 5 2 2 2 2 2" xfId="20805" xr:uid="{00000000-0005-0000-0000-00002B510000}"/>
    <cellStyle name="표준 25 3 3 5 2 2 2 3" xfId="20806" xr:uid="{00000000-0005-0000-0000-00002C510000}"/>
    <cellStyle name="표준 25 3 3 5 2 2 3" xfId="20807" xr:uid="{00000000-0005-0000-0000-00002D510000}"/>
    <cellStyle name="표준 25 3 3 5 2 2 3 2" xfId="20808" xr:uid="{00000000-0005-0000-0000-00002E510000}"/>
    <cellStyle name="표준 25 3 3 5 2 2 4" xfId="20809" xr:uid="{00000000-0005-0000-0000-00002F510000}"/>
    <cellStyle name="표준 25 3 3 5 2 3" xfId="20810" xr:uid="{00000000-0005-0000-0000-000030510000}"/>
    <cellStyle name="표준 25 3 3 5 2 3 2" xfId="20811" xr:uid="{00000000-0005-0000-0000-000031510000}"/>
    <cellStyle name="표준 25 3 3 5 2 3 2 2" xfId="20812" xr:uid="{00000000-0005-0000-0000-000032510000}"/>
    <cellStyle name="표준 25 3 3 5 2 3 3" xfId="20813" xr:uid="{00000000-0005-0000-0000-000033510000}"/>
    <cellStyle name="표준 25 3 3 5 2 4" xfId="20814" xr:uid="{00000000-0005-0000-0000-000034510000}"/>
    <cellStyle name="표준 25 3 3 5 2 4 2" xfId="20815" xr:uid="{00000000-0005-0000-0000-000035510000}"/>
    <cellStyle name="표준 25 3 3 5 2 5" xfId="20816" xr:uid="{00000000-0005-0000-0000-000036510000}"/>
    <cellStyle name="표준 25 3 3 5 3" xfId="20817" xr:uid="{00000000-0005-0000-0000-000037510000}"/>
    <cellStyle name="표준 25 3 3 5 3 2" xfId="20818" xr:uid="{00000000-0005-0000-0000-000038510000}"/>
    <cellStyle name="표준 25 3 3 5 3 2 2" xfId="20819" xr:uid="{00000000-0005-0000-0000-000039510000}"/>
    <cellStyle name="표준 25 3 3 5 3 2 2 2" xfId="20820" xr:uid="{00000000-0005-0000-0000-00003A510000}"/>
    <cellStyle name="표준 25 3 3 5 3 2 3" xfId="20821" xr:uid="{00000000-0005-0000-0000-00003B510000}"/>
    <cellStyle name="표준 25 3 3 5 3 3" xfId="20822" xr:uid="{00000000-0005-0000-0000-00003C510000}"/>
    <cellStyle name="표준 25 3 3 5 3 3 2" xfId="20823" xr:uid="{00000000-0005-0000-0000-00003D510000}"/>
    <cellStyle name="표준 25 3 3 5 3 4" xfId="20824" xr:uid="{00000000-0005-0000-0000-00003E510000}"/>
    <cellStyle name="표준 25 3 3 5 4" xfId="20825" xr:uid="{00000000-0005-0000-0000-00003F510000}"/>
    <cellStyle name="표준 25 3 3 5 4 2" xfId="20826" xr:uid="{00000000-0005-0000-0000-000040510000}"/>
    <cellStyle name="표준 25 3 3 5 4 2 2" xfId="20827" xr:uid="{00000000-0005-0000-0000-000041510000}"/>
    <cellStyle name="표준 25 3 3 5 4 3" xfId="20828" xr:uid="{00000000-0005-0000-0000-000042510000}"/>
    <cellStyle name="표준 25 3 3 5 5" xfId="20829" xr:uid="{00000000-0005-0000-0000-000043510000}"/>
    <cellStyle name="표준 25 3 3 5 5 2" xfId="20830" xr:uid="{00000000-0005-0000-0000-000044510000}"/>
    <cellStyle name="표준 25 3 3 5 6" xfId="20831" xr:uid="{00000000-0005-0000-0000-000045510000}"/>
    <cellStyle name="표준 25 3 3 6" xfId="20832" xr:uid="{00000000-0005-0000-0000-000046510000}"/>
    <cellStyle name="표준 25 3 3 6 2" xfId="20833" xr:uid="{00000000-0005-0000-0000-000047510000}"/>
    <cellStyle name="표준 25 3 3 6 2 2" xfId="20834" xr:uid="{00000000-0005-0000-0000-000048510000}"/>
    <cellStyle name="표준 25 3 3 6 2 2 2" xfId="20835" xr:uid="{00000000-0005-0000-0000-000049510000}"/>
    <cellStyle name="표준 25 3 3 6 2 2 2 2" xfId="20836" xr:uid="{00000000-0005-0000-0000-00004A510000}"/>
    <cellStyle name="표준 25 3 3 6 2 2 3" xfId="20837" xr:uid="{00000000-0005-0000-0000-00004B510000}"/>
    <cellStyle name="표준 25 3 3 6 2 3" xfId="20838" xr:uid="{00000000-0005-0000-0000-00004C510000}"/>
    <cellStyle name="표준 25 3 3 6 2 3 2" xfId="20839" xr:uid="{00000000-0005-0000-0000-00004D510000}"/>
    <cellStyle name="표준 25 3 3 6 2 4" xfId="20840" xr:uid="{00000000-0005-0000-0000-00004E510000}"/>
    <cellStyle name="표준 25 3 3 6 3" xfId="20841" xr:uid="{00000000-0005-0000-0000-00004F510000}"/>
    <cellStyle name="표준 25 3 3 6 3 2" xfId="20842" xr:uid="{00000000-0005-0000-0000-000050510000}"/>
    <cellStyle name="표준 25 3 3 6 3 2 2" xfId="20843" xr:uid="{00000000-0005-0000-0000-000051510000}"/>
    <cellStyle name="표준 25 3 3 6 3 3" xfId="20844" xr:uid="{00000000-0005-0000-0000-000052510000}"/>
    <cellStyle name="표준 25 3 3 6 4" xfId="20845" xr:uid="{00000000-0005-0000-0000-000053510000}"/>
    <cellStyle name="표준 25 3 3 6 4 2" xfId="20846" xr:uid="{00000000-0005-0000-0000-000054510000}"/>
    <cellStyle name="표준 25 3 3 6 5" xfId="20847" xr:uid="{00000000-0005-0000-0000-000055510000}"/>
    <cellStyle name="표준 25 3 3 7" xfId="20848" xr:uid="{00000000-0005-0000-0000-000056510000}"/>
    <cellStyle name="표준 25 3 3 7 2" xfId="20849" xr:uid="{00000000-0005-0000-0000-000057510000}"/>
    <cellStyle name="표준 25 3 3 7 2 2" xfId="20850" xr:uid="{00000000-0005-0000-0000-000058510000}"/>
    <cellStyle name="표준 25 3 3 7 2 2 2" xfId="20851" xr:uid="{00000000-0005-0000-0000-000059510000}"/>
    <cellStyle name="표준 25 3 3 7 2 3" xfId="20852" xr:uid="{00000000-0005-0000-0000-00005A510000}"/>
    <cellStyle name="표준 25 3 3 7 3" xfId="20853" xr:uid="{00000000-0005-0000-0000-00005B510000}"/>
    <cellStyle name="표준 25 3 3 7 3 2" xfId="20854" xr:uid="{00000000-0005-0000-0000-00005C510000}"/>
    <cellStyle name="표준 25 3 3 7 4" xfId="20855" xr:uid="{00000000-0005-0000-0000-00005D510000}"/>
    <cellStyle name="표준 25 3 3 8" xfId="20856" xr:uid="{00000000-0005-0000-0000-00005E510000}"/>
    <cellStyle name="표준 25 3 3 8 2" xfId="20857" xr:uid="{00000000-0005-0000-0000-00005F510000}"/>
    <cellStyle name="표준 25 3 3 8 2 2" xfId="20858" xr:uid="{00000000-0005-0000-0000-000060510000}"/>
    <cellStyle name="표준 25 3 3 8 3" xfId="20859" xr:uid="{00000000-0005-0000-0000-000061510000}"/>
    <cellStyle name="표준 25 3 3 9" xfId="20860" xr:uid="{00000000-0005-0000-0000-000062510000}"/>
    <cellStyle name="표준 25 3 3 9 2" xfId="20861" xr:uid="{00000000-0005-0000-0000-000063510000}"/>
    <cellStyle name="표준 25 3 4" xfId="20862" xr:uid="{00000000-0005-0000-0000-000064510000}"/>
    <cellStyle name="표준 25 3 4 10" xfId="20863" xr:uid="{00000000-0005-0000-0000-000065510000}"/>
    <cellStyle name="표준 25 3 4 11" xfId="20864" xr:uid="{00000000-0005-0000-0000-000066510000}"/>
    <cellStyle name="표준 25 3 4 2" xfId="20865" xr:uid="{00000000-0005-0000-0000-000067510000}"/>
    <cellStyle name="표준 25 3 4 2 10" xfId="20866" xr:uid="{00000000-0005-0000-0000-000068510000}"/>
    <cellStyle name="표준 25 3 4 2 2" xfId="20867" xr:uid="{00000000-0005-0000-0000-000069510000}"/>
    <cellStyle name="표준 25 3 4 2 2 2" xfId="20868" xr:uid="{00000000-0005-0000-0000-00006A510000}"/>
    <cellStyle name="표준 25 3 4 2 2 2 2" xfId="20869" xr:uid="{00000000-0005-0000-0000-00006B510000}"/>
    <cellStyle name="표준 25 3 4 2 2 2 2 2" xfId="20870" xr:uid="{00000000-0005-0000-0000-00006C510000}"/>
    <cellStyle name="표준 25 3 4 2 2 2 2 2 2" xfId="20871" xr:uid="{00000000-0005-0000-0000-00006D510000}"/>
    <cellStyle name="표준 25 3 4 2 2 2 2 2 2 2" xfId="20872" xr:uid="{00000000-0005-0000-0000-00006E510000}"/>
    <cellStyle name="표준 25 3 4 2 2 2 2 2 2 2 2" xfId="20873" xr:uid="{00000000-0005-0000-0000-00006F510000}"/>
    <cellStyle name="표준 25 3 4 2 2 2 2 2 2 2 2 2" xfId="20874" xr:uid="{00000000-0005-0000-0000-000070510000}"/>
    <cellStyle name="표준 25 3 4 2 2 2 2 2 2 2 3" xfId="20875" xr:uid="{00000000-0005-0000-0000-000071510000}"/>
    <cellStyle name="표준 25 3 4 2 2 2 2 2 2 3" xfId="20876" xr:uid="{00000000-0005-0000-0000-000072510000}"/>
    <cellStyle name="표준 25 3 4 2 2 2 2 2 2 3 2" xfId="20877" xr:uid="{00000000-0005-0000-0000-000073510000}"/>
    <cellStyle name="표준 25 3 4 2 2 2 2 2 2 4" xfId="20878" xr:uid="{00000000-0005-0000-0000-000074510000}"/>
    <cellStyle name="표준 25 3 4 2 2 2 2 2 3" xfId="20879" xr:uid="{00000000-0005-0000-0000-000075510000}"/>
    <cellStyle name="표준 25 3 4 2 2 2 2 2 3 2" xfId="20880" xr:uid="{00000000-0005-0000-0000-000076510000}"/>
    <cellStyle name="표준 25 3 4 2 2 2 2 2 3 2 2" xfId="20881" xr:uid="{00000000-0005-0000-0000-000077510000}"/>
    <cellStyle name="표준 25 3 4 2 2 2 2 2 3 3" xfId="20882" xr:uid="{00000000-0005-0000-0000-000078510000}"/>
    <cellStyle name="표준 25 3 4 2 2 2 2 2 4" xfId="20883" xr:uid="{00000000-0005-0000-0000-000079510000}"/>
    <cellStyle name="표준 25 3 4 2 2 2 2 2 4 2" xfId="20884" xr:uid="{00000000-0005-0000-0000-00007A510000}"/>
    <cellStyle name="표준 25 3 4 2 2 2 2 2 5" xfId="20885" xr:uid="{00000000-0005-0000-0000-00007B510000}"/>
    <cellStyle name="표준 25 3 4 2 2 2 2 3" xfId="20886" xr:uid="{00000000-0005-0000-0000-00007C510000}"/>
    <cellStyle name="표준 25 3 4 2 2 2 2 3 2" xfId="20887" xr:uid="{00000000-0005-0000-0000-00007D510000}"/>
    <cellStyle name="표준 25 3 4 2 2 2 2 3 2 2" xfId="20888" xr:uid="{00000000-0005-0000-0000-00007E510000}"/>
    <cellStyle name="표준 25 3 4 2 2 2 2 3 2 2 2" xfId="20889" xr:uid="{00000000-0005-0000-0000-00007F510000}"/>
    <cellStyle name="표준 25 3 4 2 2 2 2 3 2 3" xfId="20890" xr:uid="{00000000-0005-0000-0000-000080510000}"/>
    <cellStyle name="표준 25 3 4 2 2 2 2 3 3" xfId="20891" xr:uid="{00000000-0005-0000-0000-000081510000}"/>
    <cellStyle name="표준 25 3 4 2 2 2 2 3 3 2" xfId="20892" xr:uid="{00000000-0005-0000-0000-000082510000}"/>
    <cellStyle name="표준 25 3 4 2 2 2 2 3 4" xfId="20893" xr:uid="{00000000-0005-0000-0000-000083510000}"/>
    <cellStyle name="표준 25 3 4 2 2 2 2 4" xfId="20894" xr:uid="{00000000-0005-0000-0000-000084510000}"/>
    <cellStyle name="표준 25 3 4 2 2 2 2 4 2" xfId="20895" xr:uid="{00000000-0005-0000-0000-000085510000}"/>
    <cellStyle name="표준 25 3 4 2 2 2 2 4 2 2" xfId="20896" xr:uid="{00000000-0005-0000-0000-000086510000}"/>
    <cellStyle name="표준 25 3 4 2 2 2 2 4 3" xfId="20897" xr:uid="{00000000-0005-0000-0000-000087510000}"/>
    <cellStyle name="표준 25 3 4 2 2 2 2 5" xfId="20898" xr:uid="{00000000-0005-0000-0000-000088510000}"/>
    <cellStyle name="표준 25 3 4 2 2 2 2 5 2" xfId="20899" xr:uid="{00000000-0005-0000-0000-000089510000}"/>
    <cellStyle name="표준 25 3 4 2 2 2 2 6" xfId="20900" xr:uid="{00000000-0005-0000-0000-00008A510000}"/>
    <cellStyle name="표준 25 3 4 2 2 2 3" xfId="20901" xr:uid="{00000000-0005-0000-0000-00008B510000}"/>
    <cellStyle name="표준 25 3 4 2 2 2 3 2" xfId="20902" xr:uid="{00000000-0005-0000-0000-00008C510000}"/>
    <cellStyle name="표준 25 3 4 2 2 2 3 2 2" xfId="20903" xr:uid="{00000000-0005-0000-0000-00008D510000}"/>
    <cellStyle name="표준 25 3 4 2 2 2 3 2 2 2" xfId="20904" xr:uid="{00000000-0005-0000-0000-00008E510000}"/>
    <cellStyle name="표준 25 3 4 2 2 2 3 2 2 2 2" xfId="20905" xr:uid="{00000000-0005-0000-0000-00008F510000}"/>
    <cellStyle name="표준 25 3 4 2 2 2 3 2 2 3" xfId="20906" xr:uid="{00000000-0005-0000-0000-000090510000}"/>
    <cellStyle name="표준 25 3 4 2 2 2 3 2 3" xfId="20907" xr:uid="{00000000-0005-0000-0000-000091510000}"/>
    <cellStyle name="표준 25 3 4 2 2 2 3 2 3 2" xfId="20908" xr:uid="{00000000-0005-0000-0000-000092510000}"/>
    <cellStyle name="표준 25 3 4 2 2 2 3 2 4" xfId="20909" xr:uid="{00000000-0005-0000-0000-000093510000}"/>
    <cellStyle name="표준 25 3 4 2 2 2 3 3" xfId="20910" xr:uid="{00000000-0005-0000-0000-000094510000}"/>
    <cellStyle name="표준 25 3 4 2 2 2 3 3 2" xfId="20911" xr:uid="{00000000-0005-0000-0000-000095510000}"/>
    <cellStyle name="표준 25 3 4 2 2 2 3 3 2 2" xfId="20912" xr:uid="{00000000-0005-0000-0000-000096510000}"/>
    <cellStyle name="표준 25 3 4 2 2 2 3 3 3" xfId="20913" xr:uid="{00000000-0005-0000-0000-000097510000}"/>
    <cellStyle name="표준 25 3 4 2 2 2 3 4" xfId="20914" xr:uid="{00000000-0005-0000-0000-000098510000}"/>
    <cellStyle name="표준 25 3 4 2 2 2 3 4 2" xfId="20915" xr:uid="{00000000-0005-0000-0000-000099510000}"/>
    <cellStyle name="표준 25 3 4 2 2 2 3 5" xfId="20916" xr:uid="{00000000-0005-0000-0000-00009A510000}"/>
    <cellStyle name="표준 25 3 4 2 2 2 4" xfId="20917" xr:uid="{00000000-0005-0000-0000-00009B510000}"/>
    <cellStyle name="표준 25 3 4 2 2 2 4 2" xfId="20918" xr:uid="{00000000-0005-0000-0000-00009C510000}"/>
    <cellStyle name="표준 25 3 4 2 2 2 4 2 2" xfId="20919" xr:uid="{00000000-0005-0000-0000-00009D510000}"/>
    <cellStyle name="표준 25 3 4 2 2 2 4 2 2 2" xfId="20920" xr:uid="{00000000-0005-0000-0000-00009E510000}"/>
    <cellStyle name="표준 25 3 4 2 2 2 4 2 3" xfId="20921" xr:uid="{00000000-0005-0000-0000-00009F510000}"/>
    <cellStyle name="표준 25 3 4 2 2 2 4 3" xfId="20922" xr:uid="{00000000-0005-0000-0000-0000A0510000}"/>
    <cellStyle name="표준 25 3 4 2 2 2 4 3 2" xfId="20923" xr:uid="{00000000-0005-0000-0000-0000A1510000}"/>
    <cellStyle name="표준 25 3 4 2 2 2 4 4" xfId="20924" xr:uid="{00000000-0005-0000-0000-0000A2510000}"/>
    <cellStyle name="표준 25 3 4 2 2 2 5" xfId="20925" xr:uid="{00000000-0005-0000-0000-0000A3510000}"/>
    <cellStyle name="표준 25 3 4 2 2 2 5 2" xfId="20926" xr:uid="{00000000-0005-0000-0000-0000A4510000}"/>
    <cellStyle name="표준 25 3 4 2 2 2 5 2 2" xfId="20927" xr:uid="{00000000-0005-0000-0000-0000A5510000}"/>
    <cellStyle name="표준 25 3 4 2 2 2 5 3" xfId="20928" xr:uid="{00000000-0005-0000-0000-0000A6510000}"/>
    <cellStyle name="표준 25 3 4 2 2 2 6" xfId="20929" xr:uid="{00000000-0005-0000-0000-0000A7510000}"/>
    <cellStyle name="표준 25 3 4 2 2 2 6 2" xfId="20930" xr:uid="{00000000-0005-0000-0000-0000A8510000}"/>
    <cellStyle name="표준 25 3 4 2 2 2 7" xfId="20931" xr:uid="{00000000-0005-0000-0000-0000A9510000}"/>
    <cellStyle name="표준 25 3 4 2 2 2 8" xfId="20932" xr:uid="{00000000-0005-0000-0000-0000AA510000}"/>
    <cellStyle name="표준 25 3 4 2 2 3" xfId="20933" xr:uid="{00000000-0005-0000-0000-0000AB510000}"/>
    <cellStyle name="표준 25 3 4 2 2 3 2" xfId="20934" xr:uid="{00000000-0005-0000-0000-0000AC510000}"/>
    <cellStyle name="표준 25 3 4 2 2 3 2 2" xfId="20935" xr:uid="{00000000-0005-0000-0000-0000AD510000}"/>
    <cellStyle name="표준 25 3 4 2 2 3 2 2 2" xfId="20936" xr:uid="{00000000-0005-0000-0000-0000AE510000}"/>
    <cellStyle name="표준 25 3 4 2 2 3 2 2 2 2" xfId="20937" xr:uid="{00000000-0005-0000-0000-0000AF510000}"/>
    <cellStyle name="표준 25 3 4 2 2 3 2 2 2 2 2" xfId="20938" xr:uid="{00000000-0005-0000-0000-0000B0510000}"/>
    <cellStyle name="표준 25 3 4 2 2 3 2 2 2 3" xfId="20939" xr:uid="{00000000-0005-0000-0000-0000B1510000}"/>
    <cellStyle name="표준 25 3 4 2 2 3 2 2 3" xfId="20940" xr:uid="{00000000-0005-0000-0000-0000B2510000}"/>
    <cellStyle name="표준 25 3 4 2 2 3 2 2 3 2" xfId="20941" xr:uid="{00000000-0005-0000-0000-0000B3510000}"/>
    <cellStyle name="표준 25 3 4 2 2 3 2 2 4" xfId="20942" xr:uid="{00000000-0005-0000-0000-0000B4510000}"/>
    <cellStyle name="표준 25 3 4 2 2 3 2 3" xfId="20943" xr:uid="{00000000-0005-0000-0000-0000B5510000}"/>
    <cellStyle name="표준 25 3 4 2 2 3 2 3 2" xfId="20944" xr:uid="{00000000-0005-0000-0000-0000B6510000}"/>
    <cellStyle name="표준 25 3 4 2 2 3 2 3 2 2" xfId="20945" xr:uid="{00000000-0005-0000-0000-0000B7510000}"/>
    <cellStyle name="표준 25 3 4 2 2 3 2 3 3" xfId="20946" xr:uid="{00000000-0005-0000-0000-0000B8510000}"/>
    <cellStyle name="표준 25 3 4 2 2 3 2 4" xfId="20947" xr:uid="{00000000-0005-0000-0000-0000B9510000}"/>
    <cellStyle name="표준 25 3 4 2 2 3 2 4 2" xfId="20948" xr:uid="{00000000-0005-0000-0000-0000BA510000}"/>
    <cellStyle name="표준 25 3 4 2 2 3 2 5" xfId="20949" xr:uid="{00000000-0005-0000-0000-0000BB510000}"/>
    <cellStyle name="표준 25 3 4 2 2 3 3" xfId="20950" xr:uid="{00000000-0005-0000-0000-0000BC510000}"/>
    <cellStyle name="표준 25 3 4 2 2 3 3 2" xfId="20951" xr:uid="{00000000-0005-0000-0000-0000BD510000}"/>
    <cellStyle name="표준 25 3 4 2 2 3 3 2 2" xfId="20952" xr:uid="{00000000-0005-0000-0000-0000BE510000}"/>
    <cellStyle name="표준 25 3 4 2 2 3 3 2 2 2" xfId="20953" xr:uid="{00000000-0005-0000-0000-0000BF510000}"/>
    <cellStyle name="표준 25 3 4 2 2 3 3 2 3" xfId="20954" xr:uid="{00000000-0005-0000-0000-0000C0510000}"/>
    <cellStyle name="표준 25 3 4 2 2 3 3 3" xfId="20955" xr:uid="{00000000-0005-0000-0000-0000C1510000}"/>
    <cellStyle name="표준 25 3 4 2 2 3 3 3 2" xfId="20956" xr:uid="{00000000-0005-0000-0000-0000C2510000}"/>
    <cellStyle name="표준 25 3 4 2 2 3 3 4" xfId="20957" xr:uid="{00000000-0005-0000-0000-0000C3510000}"/>
    <cellStyle name="표준 25 3 4 2 2 3 4" xfId="20958" xr:uid="{00000000-0005-0000-0000-0000C4510000}"/>
    <cellStyle name="표준 25 3 4 2 2 3 4 2" xfId="20959" xr:uid="{00000000-0005-0000-0000-0000C5510000}"/>
    <cellStyle name="표준 25 3 4 2 2 3 4 2 2" xfId="20960" xr:uid="{00000000-0005-0000-0000-0000C6510000}"/>
    <cellStyle name="표준 25 3 4 2 2 3 4 3" xfId="20961" xr:uid="{00000000-0005-0000-0000-0000C7510000}"/>
    <cellStyle name="표준 25 3 4 2 2 3 5" xfId="20962" xr:uid="{00000000-0005-0000-0000-0000C8510000}"/>
    <cellStyle name="표준 25 3 4 2 2 3 5 2" xfId="20963" xr:uid="{00000000-0005-0000-0000-0000C9510000}"/>
    <cellStyle name="표준 25 3 4 2 2 3 6" xfId="20964" xr:uid="{00000000-0005-0000-0000-0000CA510000}"/>
    <cellStyle name="표준 25 3 4 2 2 4" xfId="20965" xr:uid="{00000000-0005-0000-0000-0000CB510000}"/>
    <cellStyle name="표준 25 3 4 2 2 4 2" xfId="20966" xr:uid="{00000000-0005-0000-0000-0000CC510000}"/>
    <cellStyle name="표준 25 3 4 2 2 4 2 2" xfId="20967" xr:uid="{00000000-0005-0000-0000-0000CD510000}"/>
    <cellStyle name="표준 25 3 4 2 2 4 2 2 2" xfId="20968" xr:uid="{00000000-0005-0000-0000-0000CE510000}"/>
    <cellStyle name="표준 25 3 4 2 2 4 2 2 2 2" xfId="20969" xr:uid="{00000000-0005-0000-0000-0000CF510000}"/>
    <cellStyle name="표준 25 3 4 2 2 4 2 2 3" xfId="20970" xr:uid="{00000000-0005-0000-0000-0000D0510000}"/>
    <cellStyle name="표준 25 3 4 2 2 4 2 3" xfId="20971" xr:uid="{00000000-0005-0000-0000-0000D1510000}"/>
    <cellStyle name="표준 25 3 4 2 2 4 2 3 2" xfId="20972" xr:uid="{00000000-0005-0000-0000-0000D2510000}"/>
    <cellStyle name="표준 25 3 4 2 2 4 2 4" xfId="20973" xr:uid="{00000000-0005-0000-0000-0000D3510000}"/>
    <cellStyle name="표준 25 3 4 2 2 4 3" xfId="20974" xr:uid="{00000000-0005-0000-0000-0000D4510000}"/>
    <cellStyle name="표준 25 3 4 2 2 4 3 2" xfId="20975" xr:uid="{00000000-0005-0000-0000-0000D5510000}"/>
    <cellStyle name="표준 25 3 4 2 2 4 3 2 2" xfId="20976" xr:uid="{00000000-0005-0000-0000-0000D6510000}"/>
    <cellStyle name="표준 25 3 4 2 2 4 3 3" xfId="20977" xr:uid="{00000000-0005-0000-0000-0000D7510000}"/>
    <cellStyle name="표준 25 3 4 2 2 4 4" xfId="20978" xr:uid="{00000000-0005-0000-0000-0000D8510000}"/>
    <cellStyle name="표준 25 3 4 2 2 4 4 2" xfId="20979" xr:uid="{00000000-0005-0000-0000-0000D9510000}"/>
    <cellStyle name="표준 25 3 4 2 2 4 5" xfId="20980" xr:uid="{00000000-0005-0000-0000-0000DA510000}"/>
    <cellStyle name="표준 25 3 4 2 2 5" xfId="20981" xr:uid="{00000000-0005-0000-0000-0000DB510000}"/>
    <cellStyle name="표준 25 3 4 2 2 5 2" xfId="20982" xr:uid="{00000000-0005-0000-0000-0000DC510000}"/>
    <cellStyle name="표준 25 3 4 2 2 5 2 2" xfId="20983" xr:uid="{00000000-0005-0000-0000-0000DD510000}"/>
    <cellStyle name="표준 25 3 4 2 2 5 2 2 2" xfId="20984" xr:uid="{00000000-0005-0000-0000-0000DE510000}"/>
    <cellStyle name="표준 25 3 4 2 2 5 2 3" xfId="20985" xr:uid="{00000000-0005-0000-0000-0000DF510000}"/>
    <cellStyle name="표준 25 3 4 2 2 5 3" xfId="20986" xr:uid="{00000000-0005-0000-0000-0000E0510000}"/>
    <cellStyle name="표준 25 3 4 2 2 5 3 2" xfId="20987" xr:uid="{00000000-0005-0000-0000-0000E1510000}"/>
    <cellStyle name="표준 25 3 4 2 2 5 4" xfId="20988" xr:uid="{00000000-0005-0000-0000-0000E2510000}"/>
    <cellStyle name="표준 25 3 4 2 2 6" xfId="20989" xr:uid="{00000000-0005-0000-0000-0000E3510000}"/>
    <cellStyle name="표준 25 3 4 2 2 6 2" xfId="20990" xr:uid="{00000000-0005-0000-0000-0000E4510000}"/>
    <cellStyle name="표준 25 3 4 2 2 6 2 2" xfId="20991" xr:uid="{00000000-0005-0000-0000-0000E5510000}"/>
    <cellStyle name="표준 25 3 4 2 2 6 3" xfId="20992" xr:uid="{00000000-0005-0000-0000-0000E6510000}"/>
    <cellStyle name="표준 25 3 4 2 2 7" xfId="20993" xr:uid="{00000000-0005-0000-0000-0000E7510000}"/>
    <cellStyle name="표준 25 3 4 2 2 7 2" xfId="20994" xr:uid="{00000000-0005-0000-0000-0000E8510000}"/>
    <cellStyle name="표준 25 3 4 2 2 8" xfId="20995" xr:uid="{00000000-0005-0000-0000-0000E9510000}"/>
    <cellStyle name="표준 25 3 4 2 2 9" xfId="20996" xr:uid="{00000000-0005-0000-0000-0000EA510000}"/>
    <cellStyle name="표준 25 3 4 2 3" xfId="20997" xr:uid="{00000000-0005-0000-0000-0000EB510000}"/>
    <cellStyle name="표준 25 3 4 2 3 2" xfId="20998" xr:uid="{00000000-0005-0000-0000-0000EC510000}"/>
    <cellStyle name="표준 25 3 4 2 3 2 2" xfId="20999" xr:uid="{00000000-0005-0000-0000-0000ED510000}"/>
    <cellStyle name="표준 25 3 4 2 3 2 2 2" xfId="21000" xr:uid="{00000000-0005-0000-0000-0000EE510000}"/>
    <cellStyle name="표준 25 3 4 2 3 2 2 2 2" xfId="21001" xr:uid="{00000000-0005-0000-0000-0000EF510000}"/>
    <cellStyle name="표준 25 3 4 2 3 2 2 2 2 2" xfId="21002" xr:uid="{00000000-0005-0000-0000-0000F0510000}"/>
    <cellStyle name="표준 25 3 4 2 3 2 2 2 2 2 2" xfId="21003" xr:uid="{00000000-0005-0000-0000-0000F1510000}"/>
    <cellStyle name="표준 25 3 4 2 3 2 2 2 2 3" xfId="21004" xr:uid="{00000000-0005-0000-0000-0000F2510000}"/>
    <cellStyle name="표준 25 3 4 2 3 2 2 2 3" xfId="21005" xr:uid="{00000000-0005-0000-0000-0000F3510000}"/>
    <cellStyle name="표준 25 3 4 2 3 2 2 2 3 2" xfId="21006" xr:uid="{00000000-0005-0000-0000-0000F4510000}"/>
    <cellStyle name="표준 25 3 4 2 3 2 2 2 4" xfId="21007" xr:uid="{00000000-0005-0000-0000-0000F5510000}"/>
    <cellStyle name="표준 25 3 4 2 3 2 2 3" xfId="21008" xr:uid="{00000000-0005-0000-0000-0000F6510000}"/>
    <cellStyle name="표준 25 3 4 2 3 2 2 3 2" xfId="21009" xr:uid="{00000000-0005-0000-0000-0000F7510000}"/>
    <cellStyle name="표준 25 3 4 2 3 2 2 3 2 2" xfId="21010" xr:uid="{00000000-0005-0000-0000-0000F8510000}"/>
    <cellStyle name="표준 25 3 4 2 3 2 2 3 3" xfId="21011" xr:uid="{00000000-0005-0000-0000-0000F9510000}"/>
    <cellStyle name="표준 25 3 4 2 3 2 2 4" xfId="21012" xr:uid="{00000000-0005-0000-0000-0000FA510000}"/>
    <cellStyle name="표준 25 3 4 2 3 2 2 4 2" xfId="21013" xr:uid="{00000000-0005-0000-0000-0000FB510000}"/>
    <cellStyle name="표준 25 3 4 2 3 2 2 5" xfId="21014" xr:uid="{00000000-0005-0000-0000-0000FC510000}"/>
    <cellStyle name="표준 25 3 4 2 3 2 3" xfId="21015" xr:uid="{00000000-0005-0000-0000-0000FD510000}"/>
    <cellStyle name="표준 25 3 4 2 3 2 3 2" xfId="21016" xr:uid="{00000000-0005-0000-0000-0000FE510000}"/>
    <cellStyle name="표준 25 3 4 2 3 2 3 2 2" xfId="21017" xr:uid="{00000000-0005-0000-0000-0000FF510000}"/>
    <cellStyle name="표준 25 3 4 2 3 2 3 2 2 2" xfId="21018" xr:uid="{00000000-0005-0000-0000-000000520000}"/>
    <cellStyle name="표준 25 3 4 2 3 2 3 2 3" xfId="21019" xr:uid="{00000000-0005-0000-0000-000001520000}"/>
    <cellStyle name="표준 25 3 4 2 3 2 3 3" xfId="21020" xr:uid="{00000000-0005-0000-0000-000002520000}"/>
    <cellStyle name="표준 25 3 4 2 3 2 3 3 2" xfId="21021" xr:uid="{00000000-0005-0000-0000-000003520000}"/>
    <cellStyle name="표준 25 3 4 2 3 2 3 4" xfId="21022" xr:uid="{00000000-0005-0000-0000-000004520000}"/>
    <cellStyle name="표준 25 3 4 2 3 2 4" xfId="21023" xr:uid="{00000000-0005-0000-0000-000005520000}"/>
    <cellStyle name="표준 25 3 4 2 3 2 4 2" xfId="21024" xr:uid="{00000000-0005-0000-0000-000006520000}"/>
    <cellStyle name="표준 25 3 4 2 3 2 4 2 2" xfId="21025" xr:uid="{00000000-0005-0000-0000-000007520000}"/>
    <cellStyle name="표준 25 3 4 2 3 2 4 3" xfId="21026" xr:uid="{00000000-0005-0000-0000-000008520000}"/>
    <cellStyle name="표준 25 3 4 2 3 2 5" xfId="21027" xr:uid="{00000000-0005-0000-0000-000009520000}"/>
    <cellStyle name="표준 25 3 4 2 3 2 5 2" xfId="21028" xr:uid="{00000000-0005-0000-0000-00000A520000}"/>
    <cellStyle name="표준 25 3 4 2 3 2 6" xfId="21029" xr:uid="{00000000-0005-0000-0000-00000B520000}"/>
    <cellStyle name="표준 25 3 4 2 3 3" xfId="21030" xr:uid="{00000000-0005-0000-0000-00000C520000}"/>
    <cellStyle name="표준 25 3 4 2 3 3 2" xfId="21031" xr:uid="{00000000-0005-0000-0000-00000D520000}"/>
    <cellStyle name="표준 25 3 4 2 3 3 2 2" xfId="21032" xr:uid="{00000000-0005-0000-0000-00000E520000}"/>
    <cellStyle name="표준 25 3 4 2 3 3 2 2 2" xfId="21033" xr:uid="{00000000-0005-0000-0000-00000F520000}"/>
    <cellStyle name="표준 25 3 4 2 3 3 2 2 2 2" xfId="21034" xr:uid="{00000000-0005-0000-0000-000010520000}"/>
    <cellStyle name="표준 25 3 4 2 3 3 2 2 3" xfId="21035" xr:uid="{00000000-0005-0000-0000-000011520000}"/>
    <cellStyle name="표준 25 3 4 2 3 3 2 3" xfId="21036" xr:uid="{00000000-0005-0000-0000-000012520000}"/>
    <cellStyle name="표준 25 3 4 2 3 3 2 3 2" xfId="21037" xr:uid="{00000000-0005-0000-0000-000013520000}"/>
    <cellStyle name="표준 25 3 4 2 3 3 2 4" xfId="21038" xr:uid="{00000000-0005-0000-0000-000014520000}"/>
    <cellStyle name="표준 25 3 4 2 3 3 3" xfId="21039" xr:uid="{00000000-0005-0000-0000-000015520000}"/>
    <cellStyle name="표준 25 3 4 2 3 3 3 2" xfId="21040" xr:uid="{00000000-0005-0000-0000-000016520000}"/>
    <cellStyle name="표준 25 3 4 2 3 3 3 2 2" xfId="21041" xr:uid="{00000000-0005-0000-0000-000017520000}"/>
    <cellStyle name="표준 25 3 4 2 3 3 3 3" xfId="21042" xr:uid="{00000000-0005-0000-0000-000018520000}"/>
    <cellStyle name="표준 25 3 4 2 3 3 4" xfId="21043" xr:uid="{00000000-0005-0000-0000-000019520000}"/>
    <cellStyle name="표준 25 3 4 2 3 3 4 2" xfId="21044" xr:uid="{00000000-0005-0000-0000-00001A520000}"/>
    <cellStyle name="표준 25 3 4 2 3 3 5" xfId="21045" xr:uid="{00000000-0005-0000-0000-00001B520000}"/>
    <cellStyle name="표준 25 3 4 2 3 4" xfId="21046" xr:uid="{00000000-0005-0000-0000-00001C520000}"/>
    <cellStyle name="표준 25 3 4 2 3 4 2" xfId="21047" xr:uid="{00000000-0005-0000-0000-00001D520000}"/>
    <cellStyle name="표준 25 3 4 2 3 4 2 2" xfId="21048" xr:uid="{00000000-0005-0000-0000-00001E520000}"/>
    <cellStyle name="표준 25 3 4 2 3 4 2 2 2" xfId="21049" xr:uid="{00000000-0005-0000-0000-00001F520000}"/>
    <cellStyle name="표준 25 3 4 2 3 4 2 3" xfId="21050" xr:uid="{00000000-0005-0000-0000-000020520000}"/>
    <cellStyle name="표준 25 3 4 2 3 4 3" xfId="21051" xr:uid="{00000000-0005-0000-0000-000021520000}"/>
    <cellStyle name="표준 25 3 4 2 3 4 3 2" xfId="21052" xr:uid="{00000000-0005-0000-0000-000022520000}"/>
    <cellStyle name="표준 25 3 4 2 3 4 4" xfId="21053" xr:uid="{00000000-0005-0000-0000-000023520000}"/>
    <cellStyle name="표준 25 3 4 2 3 5" xfId="21054" xr:uid="{00000000-0005-0000-0000-000024520000}"/>
    <cellStyle name="표준 25 3 4 2 3 5 2" xfId="21055" xr:uid="{00000000-0005-0000-0000-000025520000}"/>
    <cellStyle name="표준 25 3 4 2 3 5 2 2" xfId="21056" xr:uid="{00000000-0005-0000-0000-000026520000}"/>
    <cellStyle name="표준 25 3 4 2 3 5 3" xfId="21057" xr:uid="{00000000-0005-0000-0000-000027520000}"/>
    <cellStyle name="표준 25 3 4 2 3 6" xfId="21058" xr:uid="{00000000-0005-0000-0000-000028520000}"/>
    <cellStyle name="표준 25 3 4 2 3 6 2" xfId="21059" xr:uid="{00000000-0005-0000-0000-000029520000}"/>
    <cellStyle name="표준 25 3 4 2 3 7" xfId="21060" xr:uid="{00000000-0005-0000-0000-00002A520000}"/>
    <cellStyle name="표준 25 3 4 2 3 8" xfId="21061" xr:uid="{00000000-0005-0000-0000-00002B520000}"/>
    <cellStyle name="표준 25 3 4 2 4" xfId="21062" xr:uid="{00000000-0005-0000-0000-00002C520000}"/>
    <cellStyle name="표준 25 3 4 2 4 2" xfId="21063" xr:uid="{00000000-0005-0000-0000-00002D520000}"/>
    <cellStyle name="표준 25 3 4 2 4 2 2" xfId="21064" xr:uid="{00000000-0005-0000-0000-00002E520000}"/>
    <cellStyle name="표준 25 3 4 2 4 2 2 2" xfId="21065" xr:uid="{00000000-0005-0000-0000-00002F520000}"/>
    <cellStyle name="표준 25 3 4 2 4 2 2 2 2" xfId="21066" xr:uid="{00000000-0005-0000-0000-000030520000}"/>
    <cellStyle name="표준 25 3 4 2 4 2 2 2 2 2" xfId="21067" xr:uid="{00000000-0005-0000-0000-000031520000}"/>
    <cellStyle name="표준 25 3 4 2 4 2 2 2 3" xfId="21068" xr:uid="{00000000-0005-0000-0000-000032520000}"/>
    <cellStyle name="표준 25 3 4 2 4 2 2 3" xfId="21069" xr:uid="{00000000-0005-0000-0000-000033520000}"/>
    <cellStyle name="표준 25 3 4 2 4 2 2 3 2" xfId="21070" xr:uid="{00000000-0005-0000-0000-000034520000}"/>
    <cellStyle name="표준 25 3 4 2 4 2 2 4" xfId="21071" xr:uid="{00000000-0005-0000-0000-000035520000}"/>
    <cellStyle name="표준 25 3 4 2 4 2 3" xfId="21072" xr:uid="{00000000-0005-0000-0000-000036520000}"/>
    <cellStyle name="표준 25 3 4 2 4 2 3 2" xfId="21073" xr:uid="{00000000-0005-0000-0000-000037520000}"/>
    <cellStyle name="표준 25 3 4 2 4 2 3 2 2" xfId="21074" xr:uid="{00000000-0005-0000-0000-000038520000}"/>
    <cellStyle name="표준 25 3 4 2 4 2 3 3" xfId="21075" xr:uid="{00000000-0005-0000-0000-000039520000}"/>
    <cellStyle name="표준 25 3 4 2 4 2 4" xfId="21076" xr:uid="{00000000-0005-0000-0000-00003A520000}"/>
    <cellStyle name="표준 25 3 4 2 4 2 4 2" xfId="21077" xr:uid="{00000000-0005-0000-0000-00003B520000}"/>
    <cellStyle name="표준 25 3 4 2 4 2 5" xfId="21078" xr:uid="{00000000-0005-0000-0000-00003C520000}"/>
    <cellStyle name="표준 25 3 4 2 4 3" xfId="21079" xr:uid="{00000000-0005-0000-0000-00003D520000}"/>
    <cellStyle name="표준 25 3 4 2 4 3 2" xfId="21080" xr:uid="{00000000-0005-0000-0000-00003E520000}"/>
    <cellStyle name="표준 25 3 4 2 4 3 2 2" xfId="21081" xr:uid="{00000000-0005-0000-0000-00003F520000}"/>
    <cellStyle name="표준 25 3 4 2 4 3 2 2 2" xfId="21082" xr:uid="{00000000-0005-0000-0000-000040520000}"/>
    <cellStyle name="표준 25 3 4 2 4 3 2 3" xfId="21083" xr:uid="{00000000-0005-0000-0000-000041520000}"/>
    <cellStyle name="표준 25 3 4 2 4 3 3" xfId="21084" xr:uid="{00000000-0005-0000-0000-000042520000}"/>
    <cellStyle name="표준 25 3 4 2 4 3 3 2" xfId="21085" xr:uid="{00000000-0005-0000-0000-000043520000}"/>
    <cellStyle name="표준 25 3 4 2 4 3 4" xfId="21086" xr:uid="{00000000-0005-0000-0000-000044520000}"/>
    <cellStyle name="표준 25 3 4 2 4 4" xfId="21087" xr:uid="{00000000-0005-0000-0000-000045520000}"/>
    <cellStyle name="표준 25 3 4 2 4 4 2" xfId="21088" xr:uid="{00000000-0005-0000-0000-000046520000}"/>
    <cellStyle name="표준 25 3 4 2 4 4 2 2" xfId="21089" xr:uid="{00000000-0005-0000-0000-000047520000}"/>
    <cellStyle name="표준 25 3 4 2 4 4 3" xfId="21090" xr:uid="{00000000-0005-0000-0000-000048520000}"/>
    <cellStyle name="표준 25 3 4 2 4 5" xfId="21091" xr:uid="{00000000-0005-0000-0000-000049520000}"/>
    <cellStyle name="표준 25 3 4 2 4 5 2" xfId="21092" xr:uid="{00000000-0005-0000-0000-00004A520000}"/>
    <cellStyle name="표준 25 3 4 2 4 6" xfId="21093" xr:uid="{00000000-0005-0000-0000-00004B520000}"/>
    <cellStyle name="표준 25 3 4 2 5" xfId="21094" xr:uid="{00000000-0005-0000-0000-00004C520000}"/>
    <cellStyle name="표준 25 3 4 2 5 2" xfId="21095" xr:uid="{00000000-0005-0000-0000-00004D520000}"/>
    <cellStyle name="표준 25 3 4 2 5 2 2" xfId="21096" xr:uid="{00000000-0005-0000-0000-00004E520000}"/>
    <cellStyle name="표준 25 3 4 2 5 2 2 2" xfId="21097" xr:uid="{00000000-0005-0000-0000-00004F520000}"/>
    <cellStyle name="표준 25 3 4 2 5 2 2 2 2" xfId="21098" xr:uid="{00000000-0005-0000-0000-000050520000}"/>
    <cellStyle name="표준 25 3 4 2 5 2 2 3" xfId="21099" xr:uid="{00000000-0005-0000-0000-000051520000}"/>
    <cellStyle name="표준 25 3 4 2 5 2 3" xfId="21100" xr:uid="{00000000-0005-0000-0000-000052520000}"/>
    <cellStyle name="표준 25 3 4 2 5 2 3 2" xfId="21101" xr:uid="{00000000-0005-0000-0000-000053520000}"/>
    <cellStyle name="표준 25 3 4 2 5 2 4" xfId="21102" xr:uid="{00000000-0005-0000-0000-000054520000}"/>
    <cellStyle name="표준 25 3 4 2 5 3" xfId="21103" xr:uid="{00000000-0005-0000-0000-000055520000}"/>
    <cellStyle name="표준 25 3 4 2 5 3 2" xfId="21104" xr:uid="{00000000-0005-0000-0000-000056520000}"/>
    <cellStyle name="표준 25 3 4 2 5 3 2 2" xfId="21105" xr:uid="{00000000-0005-0000-0000-000057520000}"/>
    <cellStyle name="표준 25 3 4 2 5 3 3" xfId="21106" xr:uid="{00000000-0005-0000-0000-000058520000}"/>
    <cellStyle name="표준 25 3 4 2 5 4" xfId="21107" xr:uid="{00000000-0005-0000-0000-000059520000}"/>
    <cellStyle name="표준 25 3 4 2 5 4 2" xfId="21108" xr:uid="{00000000-0005-0000-0000-00005A520000}"/>
    <cellStyle name="표준 25 3 4 2 5 5" xfId="21109" xr:uid="{00000000-0005-0000-0000-00005B520000}"/>
    <cellStyle name="표준 25 3 4 2 6" xfId="21110" xr:uid="{00000000-0005-0000-0000-00005C520000}"/>
    <cellStyle name="표준 25 3 4 2 6 2" xfId="21111" xr:uid="{00000000-0005-0000-0000-00005D520000}"/>
    <cellStyle name="표준 25 3 4 2 6 2 2" xfId="21112" xr:uid="{00000000-0005-0000-0000-00005E520000}"/>
    <cellStyle name="표준 25 3 4 2 6 2 2 2" xfId="21113" xr:uid="{00000000-0005-0000-0000-00005F520000}"/>
    <cellStyle name="표준 25 3 4 2 6 2 3" xfId="21114" xr:uid="{00000000-0005-0000-0000-000060520000}"/>
    <cellStyle name="표준 25 3 4 2 6 3" xfId="21115" xr:uid="{00000000-0005-0000-0000-000061520000}"/>
    <cellStyle name="표준 25 3 4 2 6 3 2" xfId="21116" xr:uid="{00000000-0005-0000-0000-000062520000}"/>
    <cellStyle name="표준 25 3 4 2 6 4" xfId="21117" xr:uid="{00000000-0005-0000-0000-000063520000}"/>
    <cellStyle name="표준 25 3 4 2 7" xfId="21118" xr:uid="{00000000-0005-0000-0000-000064520000}"/>
    <cellStyle name="표준 25 3 4 2 7 2" xfId="21119" xr:uid="{00000000-0005-0000-0000-000065520000}"/>
    <cellStyle name="표준 25 3 4 2 7 2 2" xfId="21120" xr:uid="{00000000-0005-0000-0000-000066520000}"/>
    <cellStyle name="표준 25 3 4 2 7 3" xfId="21121" xr:uid="{00000000-0005-0000-0000-000067520000}"/>
    <cellStyle name="표준 25 3 4 2 8" xfId="21122" xr:uid="{00000000-0005-0000-0000-000068520000}"/>
    <cellStyle name="표준 25 3 4 2 8 2" xfId="21123" xr:uid="{00000000-0005-0000-0000-000069520000}"/>
    <cellStyle name="표준 25 3 4 2 9" xfId="21124" xr:uid="{00000000-0005-0000-0000-00006A520000}"/>
    <cellStyle name="표준 25 3 4 3" xfId="21125" xr:uid="{00000000-0005-0000-0000-00006B520000}"/>
    <cellStyle name="표준 25 3 4 3 2" xfId="21126" xr:uid="{00000000-0005-0000-0000-00006C520000}"/>
    <cellStyle name="표준 25 3 4 3 2 2" xfId="21127" xr:uid="{00000000-0005-0000-0000-00006D520000}"/>
    <cellStyle name="표준 25 3 4 3 2 2 2" xfId="21128" xr:uid="{00000000-0005-0000-0000-00006E520000}"/>
    <cellStyle name="표준 25 3 4 3 2 2 2 2" xfId="21129" xr:uid="{00000000-0005-0000-0000-00006F520000}"/>
    <cellStyle name="표준 25 3 4 3 2 2 2 2 2" xfId="21130" xr:uid="{00000000-0005-0000-0000-000070520000}"/>
    <cellStyle name="표준 25 3 4 3 2 2 2 2 2 2" xfId="21131" xr:uid="{00000000-0005-0000-0000-000071520000}"/>
    <cellStyle name="표준 25 3 4 3 2 2 2 2 2 2 2" xfId="21132" xr:uid="{00000000-0005-0000-0000-000072520000}"/>
    <cellStyle name="표준 25 3 4 3 2 2 2 2 2 3" xfId="21133" xr:uid="{00000000-0005-0000-0000-000073520000}"/>
    <cellStyle name="표준 25 3 4 3 2 2 2 2 3" xfId="21134" xr:uid="{00000000-0005-0000-0000-000074520000}"/>
    <cellStyle name="표준 25 3 4 3 2 2 2 2 3 2" xfId="21135" xr:uid="{00000000-0005-0000-0000-000075520000}"/>
    <cellStyle name="표준 25 3 4 3 2 2 2 2 4" xfId="21136" xr:uid="{00000000-0005-0000-0000-000076520000}"/>
    <cellStyle name="표준 25 3 4 3 2 2 2 3" xfId="21137" xr:uid="{00000000-0005-0000-0000-000077520000}"/>
    <cellStyle name="표준 25 3 4 3 2 2 2 3 2" xfId="21138" xr:uid="{00000000-0005-0000-0000-000078520000}"/>
    <cellStyle name="표준 25 3 4 3 2 2 2 3 2 2" xfId="21139" xr:uid="{00000000-0005-0000-0000-000079520000}"/>
    <cellStyle name="표준 25 3 4 3 2 2 2 3 3" xfId="21140" xr:uid="{00000000-0005-0000-0000-00007A520000}"/>
    <cellStyle name="표준 25 3 4 3 2 2 2 4" xfId="21141" xr:uid="{00000000-0005-0000-0000-00007B520000}"/>
    <cellStyle name="표준 25 3 4 3 2 2 2 4 2" xfId="21142" xr:uid="{00000000-0005-0000-0000-00007C520000}"/>
    <cellStyle name="표준 25 3 4 3 2 2 2 5" xfId="21143" xr:uid="{00000000-0005-0000-0000-00007D520000}"/>
    <cellStyle name="표준 25 3 4 3 2 2 3" xfId="21144" xr:uid="{00000000-0005-0000-0000-00007E520000}"/>
    <cellStyle name="표준 25 3 4 3 2 2 3 2" xfId="21145" xr:uid="{00000000-0005-0000-0000-00007F520000}"/>
    <cellStyle name="표준 25 3 4 3 2 2 3 2 2" xfId="21146" xr:uid="{00000000-0005-0000-0000-000080520000}"/>
    <cellStyle name="표준 25 3 4 3 2 2 3 2 2 2" xfId="21147" xr:uid="{00000000-0005-0000-0000-000081520000}"/>
    <cellStyle name="표준 25 3 4 3 2 2 3 2 3" xfId="21148" xr:uid="{00000000-0005-0000-0000-000082520000}"/>
    <cellStyle name="표준 25 3 4 3 2 2 3 3" xfId="21149" xr:uid="{00000000-0005-0000-0000-000083520000}"/>
    <cellStyle name="표준 25 3 4 3 2 2 3 3 2" xfId="21150" xr:uid="{00000000-0005-0000-0000-000084520000}"/>
    <cellStyle name="표준 25 3 4 3 2 2 3 4" xfId="21151" xr:uid="{00000000-0005-0000-0000-000085520000}"/>
    <cellStyle name="표준 25 3 4 3 2 2 4" xfId="21152" xr:uid="{00000000-0005-0000-0000-000086520000}"/>
    <cellStyle name="표준 25 3 4 3 2 2 4 2" xfId="21153" xr:uid="{00000000-0005-0000-0000-000087520000}"/>
    <cellStyle name="표준 25 3 4 3 2 2 4 2 2" xfId="21154" xr:uid="{00000000-0005-0000-0000-000088520000}"/>
    <cellStyle name="표준 25 3 4 3 2 2 4 3" xfId="21155" xr:uid="{00000000-0005-0000-0000-000089520000}"/>
    <cellStyle name="표준 25 3 4 3 2 2 5" xfId="21156" xr:uid="{00000000-0005-0000-0000-00008A520000}"/>
    <cellStyle name="표준 25 3 4 3 2 2 5 2" xfId="21157" xr:uid="{00000000-0005-0000-0000-00008B520000}"/>
    <cellStyle name="표준 25 3 4 3 2 2 6" xfId="21158" xr:uid="{00000000-0005-0000-0000-00008C520000}"/>
    <cellStyle name="표준 25 3 4 3 2 3" xfId="21159" xr:uid="{00000000-0005-0000-0000-00008D520000}"/>
    <cellStyle name="표준 25 3 4 3 2 3 2" xfId="21160" xr:uid="{00000000-0005-0000-0000-00008E520000}"/>
    <cellStyle name="표준 25 3 4 3 2 3 2 2" xfId="21161" xr:uid="{00000000-0005-0000-0000-00008F520000}"/>
    <cellStyle name="표준 25 3 4 3 2 3 2 2 2" xfId="21162" xr:uid="{00000000-0005-0000-0000-000090520000}"/>
    <cellStyle name="표준 25 3 4 3 2 3 2 2 2 2" xfId="21163" xr:uid="{00000000-0005-0000-0000-000091520000}"/>
    <cellStyle name="표준 25 3 4 3 2 3 2 2 3" xfId="21164" xr:uid="{00000000-0005-0000-0000-000092520000}"/>
    <cellStyle name="표준 25 3 4 3 2 3 2 3" xfId="21165" xr:uid="{00000000-0005-0000-0000-000093520000}"/>
    <cellStyle name="표준 25 3 4 3 2 3 2 3 2" xfId="21166" xr:uid="{00000000-0005-0000-0000-000094520000}"/>
    <cellStyle name="표준 25 3 4 3 2 3 2 4" xfId="21167" xr:uid="{00000000-0005-0000-0000-000095520000}"/>
    <cellStyle name="표준 25 3 4 3 2 3 3" xfId="21168" xr:uid="{00000000-0005-0000-0000-000096520000}"/>
    <cellStyle name="표준 25 3 4 3 2 3 3 2" xfId="21169" xr:uid="{00000000-0005-0000-0000-000097520000}"/>
    <cellStyle name="표준 25 3 4 3 2 3 3 2 2" xfId="21170" xr:uid="{00000000-0005-0000-0000-000098520000}"/>
    <cellStyle name="표준 25 3 4 3 2 3 3 3" xfId="21171" xr:uid="{00000000-0005-0000-0000-000099520000}"/>
    <cellStyle name="표준 25 3 4 3 2 3 4" xfId="21172" xr:uid="{00000000-0005-0000-0000-00009A520000}"/>
    <cellStyle name="표준 25 3 4 3 2 3 4 2" xfId="21173" xr:uid="{00000000-0005-0000-0000-00009B520000}"/>
    <cellStyle name="표준 25 3 4 3 2 3 5" xfId="21174" xr:uid="{00000000-0005-0000-0000-00009C520000}"/>
    <cellStyle name="표준 25 3 4 3 2 4" xfId="21175" xr:uid="{00000000-0005-0000-0000-00009D520000}"/>
    <cellStyle name="표준 25 3 4 3 2 4 2" xfId="21176" xr:uid="{00000000-0005-0000-0000-00009E520000}"/>
    <cellStyle name="표준 25 3 4 3 2 4 2 2" xfId="21177" xr:uid="{00000000-0005-0000-0000-00009F520000}"/>
    <cellStyle name="표준 25 3 4 3 2 4 2 2 2" xfId="21178" xr:uid="{00000000-0005-0000-0000-0000A0520000}"/>
    <cellStyle name="표준 25 3 4 3 2 4 2 3" xfId="21179" xr:uid="{00000000-0005-0000-0000-0000A1520000}"/>
    <cellStyle name="표준 25 3 4 3 2 4 3" xfId="21180" xr:uid="{00000000-0005-0000-0000-0000A2520000}"/>
    <cellStyle name="표준 25 3 4 3 2 4 3 2" xfId="21181" xr:uid="{00000000-0005-0000-0000-0000A3520000}"/>
    <cellStyle name="표준 25 3 4 3 2 4 4" xfId="21182" xr:uid="{00000000-0005-0000-0000-0000A4520000}"/>
    <cellStyle name="표준 25 3 4 3 2 5" xfId="21183" xr:uid="{00000000-0005-0000-0000-0000A5520000}"/>
    <cellStyle name="표준 25 3 4 3 2 5 2" xfId="21184" xr:uid="{00000000-0005-0000-0000-0000A6520000}"/>
    <cellStyle name="표준 25 3 4 3 2 5 2 2" xfId="21185" xr:uid="{00000000-0005-0000-0000-0000A7520000}"/>
    <cellStyle name="표준 25 3 4 3 2 5 3" xfId="21186" xr:uid="{00000000-0005-0000-0000-0000A8520000}"/>
    <cellStyle name="표준 25 3 4 3 2 6" xfId="21187" xr:uid="{00000000-0005-0000-0000-0000A9520000}"/>
    <cellStyle name="표준 25 3 4 3 2 6 2" xfId="21188" xr:uid="{00000000-0005-0000-0000-0000AA520000}"/>
    <cellStyle name="표준 25 3 4 3 2 7" xfId="21189" xr:uid="{00000000-0005-0000-0000-0000AB520000}"/>
    <cellStyle name="표준 25 3 4 3 2 8" xfId="21190" xr:uid="{00000000-0005-0000-0000-0000AC520000}"/>
    <cellStyle name="표준 25 3 4 3 3" xfId="21191" xr:uid="{00000000-0005-0000-0000-0000AD520000}"/>
    <cellStyle name="표준 25 3 4 3 3 2" xfId="21192" xr:uid="{00000000-0005-0000-0000-0000AE520000}"/>
    <cellStyle name="표준 25 3 4 3 3 2 2" xfId="21193" xr:uid="{00000000-0005-0000-0000-0000AF520000}"/>
    <cellStyle name="표준 25 3 4 3 3 2 2 2" xfId="21194" xr:uid="{00000000-0005-0000-0000-0000B0520000}"/>
    <cellStyle name="표준 25 3 4 3 3 2 2 2 2" xfId="21195" xr:uid="{00000000-0005-0000-0000-0000B1520000}"/>
    <cellStyle name="표준 25 3 4 3 3 2 2 2 2 2" xfId="21196" xr:uid="{00000000-0005-0000-0000-0000B2520000}"/>
    <cellStyle name="표준 25 3 4 3 3 2 2 2 3" xfId="21197" xr:uid="{00000000-0005-0000-0000-0000B3520000}"/>
    <cellStyle name="표준 25 3 4 3 3 2 2 3" xfId="21198" xr:uid="{00000000-0005-0000-0000-0000B4520000}"/>
    <cellStyle name="표준 25 3 4 3 3 2 2 3 2" xfId="21199" xr:uid="{00000000-0005-0000-0000-0000B5520000}"/>
    <cellStyle name="표준 25 3 4 3 3 2 2 4" xfId="21200" xr:uid="{00000000-0005-0000-0000-0000B6520000}"/>
    <cellStyle name="표준 25 3 4 3 3 2 3" xfId="21201" xr:uid="{00000000-0005-0000-0000-0000B7520000}"/>
    <cellStyle name="표준 25 3 4 3 3 2 3 2" xfId="21202" xr:uid="{00000000-0005-0000-0000-0000B8520000}"/>
    <cellStyle name="표준 25 3 4 3 3 2 3 2 2" xfId="21203" xr:uid="{00000000-0005-0000-0000-0000B9520000}"/>
    <cellStyle name="표준 25 3 4 3 3 2 3 3" xfId="21204" xr:uid="{00000000-0005-0000-0000-0000BA520000}"/>
    <cellStyle name="표준 25 3 4 3 3 2 4" xfId="21205" xr:uid="{00000000-0005-0000-0000-0000BB520000}"/>
    <cellStyle name="표준 25 3 4 3 3 2 4 2" xfId="21206" xr:uid="{00000000-0005-0000-0000-0000BC520000}"/>
    <cellStyle name="표준 25 3 4 3 3 2 5" xfId="21207" xr:uid="{00000000-0005-0000-0000-0000BD520000}"/>
    <cellStyle name="표준 25 3 4 3 3 3" xfId="21208" xr:uid="{00000000-0005-0000-0000-0000BE520000}"/>
    <cellStyle name="표준 25 3 4 3 3 3 2" xfId="21209" xr:uid="{00000000-0005-0000-0000-0000BF520000}"/>
    <cellStyle name="표준 25 3 4 3 3 3 2 2" xfId="21210" xr:uid="{00000000-0005-0000-0000-0000C0520000}"/>
    <cellStyle name="표준 25 3 4 3 3 3 2 2 2" xfId="21211" xr:uid="{00000000-0005-0000-0000-0000C1520000}"/>
    <cellStyle name="표준 25 3 4 3 3 3 2 3" xfId="21212" xr:uid="{00000000-0005-0000-0000-0000C2520000}"/>
    <cellStyle name="표준 25 3 4 3 3 3 3" xfId="21213" xr:uid="{00000000-0005-0000-0000-0000C3520000}"/>
    <cellStyle name="표준 25 3 4 3 3 3 3 2" xfId="21214" xr:uid="{00000000-0005-0000-0000-0000C4520000}"/>
    <cellStyle name="표준 25 3 4 3 3 3 4" xfId="21215" xr:uid="{00000000-0005-0000-0000-0000C5520000}"/>
    <cellStyle name="표준 25 3 4 3 3 4" xfId="21216" xr:uid="{00000000-0005-0000-0000-0000C6520000}"/>
    <cellStyle name="표준 25 3 4 3 3 4 2" xfId="21217" xr:uid="{00000000-0005-0000-0000-0000C7520000}"/>
    <cellStyle name="표준 25 3 4 3 3 4 2 2" xfId="21218" xr:uid="{00000000-0005-0000-0000-0000C8520000}"/>
    <cellStyle name="표준 25 3 4 3 3 4 3" xfId="21219" xr:uid="{00000000-0005-0000-0000-0000C9520000}"/>
    <cellStyle name="표준 25 3 4 3 3 5" xfId="21220" xr:uid="{00000000-0005-0000-0000-0000CA520000}"/>
    <cellStyle name="표준 25 3 4 3 3 5 2" xfId="21221" xr:uid="{00000000-0005-0000-0000-0000CB520000}"/>
    <cellStyle name="표준 25 3 4 3 3 6" xfId="21222" xr:uid="{00000000-0005-0000-0000-0000CC520000}"/>
    <cellStyle name="표준 25 3 4 3 4" xfId="21223" xr:uid="{00000000-0005-0000-0000-0000CD520000}"/>
    <cellStyle name="표준 25 3 4 3 4 2" xfId="21224" xr:uid="{00000000-0005-0000-0000-0000CE520000}"/>
    <cellStyle name="표준 25 3 4 3 4 2 2" xfId="21225" xr:uid="{00000000-0005-0000-0000-0000CF520000}"/>
    <cellStyle name="표준 25 3 4 3 4 2 2 2" xfId="21226" xr:uid="{00000000-0005-0000-0000-0000D0520000}"/>
    <cellStyle name="표준 25 3 4 3 4 2 2 2 2" xfId="21227" xr:uid="{00000000-0005-0000-0000-0000D1520000}"/>
    <cellStyle name="표준 25 3 4 3 4 2 2 3" xfId="21228" xr:uid="{00000000-0005-0000-0000-0000D2520000}"/>
    <cellStyle name="표준 25 3 4 3 4 2 3" xfId="21229" xr:uid="{00000000-0005-0000-0000-0000D3520000}"/>
    <cellStyle name="표준 25 3 4 3 4 2 3 2" xfId="21230" xr:uid="{00000000-0005-0000-0000-0000D4520000}"/>
    <cellStyle name="표준 25 3 4 3 4 2 4" xfId="21231" xr:uid="{00000000-0005-0000-0000-0000D5520000}"/>
    <cellStyle name="표준 25 3 4 3 4 3" xfId="21232" xr:uid="{00000000-0005-0000-0000-0000D6520000}"/>
    <cellStyle name="표준 25 3 4 3 4 3 2" xfId="21233" xr:uid="{00000000-0005-0000-0000-0000D7520000}"/>
    <cellStyle name="표준 25 3 4 3 4 3 2 2" xfId="21234" xr:uid="{00000000-0005-0000-0000-0000D8520000}"/>
    <cellStyle name="표준 25 3 4 3 4 3 3" xfId="21235" xr:uid="{00000000-0005-0000-0000-0000D9520000}"/>
    <cellStyle name="표준 25 3 4 3 4 4" xfId="21236" xr:uid="{00000000-0005-0000-0000-0000DA520000}"/>
    <cellStyle name="표준 25 3 4 3 4 4 2" xfId="21237" xr:uid="{00000000-0005-0000-0000-0000DB520000}"/>
    <cellStyle name="표준 25 3 4 3 4 5" xfId="21238" xr:uid="{00000000-0005-0000-0000-0000DC520000}"/>
    <cellStyle name="표준 25 3 4 3 5" xfId="21239" xr:uid="{00000000-0005-0000-0000-0000DD520000}"/>
    <cellStyle name="표준 25 3 4 3 5 2" xfId="21240" xr:uid="{00000000-0005-0000-0000-0000DE520000}"/>
    <cellStyle name="표준 25 3 4 3 5 2 2" xfId="21241" xr:uid="{00000000-0005-0000-0000-0000DF520000}"/>
    <cellStyle name="표준 25 3 4 3 5 2 2 2" xfId="21242" xr:uid="{00000000-0005-0000-0000-0000E0520000}"/>
    <cellStyle name="표준 25 3 4 3 5 2 3" xfId="21243" xr:uid="{00000000-0005-0000-0000-0000E1520000}"/>
    <cellStyle name="표준 25 3 4 3 5 3" xfId="21244" xr:uid="{00000000-0005-0000-0000-0000E2520000}"/>
    <cellStyle name="표준 25 3 4 3 5 3 2" xfId="21245" xr:uid="{00000000-0005-0000-0000-0000E3520000}"/>
    <cellStyle name="표준 25 3 4 3 5 4" xfId="21246" xr:uid="{00000000-0005-0000-0000-0000E4520000}"/>
    <cellStyle name="표준 25 3 4 3 6" xfId="21247" xr:uid="{00000000-0005-0000-0000-0000E5520000}"/>
    <cellStyle name="표준 25 3 4 3 6 2" xfId="21248" xr:uid="{00000000-0005-0000-0000-0000E6520000}"/>
    <cellStyle name="표준 25 3 4 3 6 2 2" xfId="21249" xr:uid="{00000000-0005-0000-0000-0000E7520000}"/>
    <cellStyle name="표준 25 3 4 3 6 3" xfId="21250" xr:uid="{00000000-0005-0000-0000-0000E8520000}"/>
    <cellStyle name="표준 25 3 4 3 7" xfId="21251" xr:uid="{00000000-0005-0000-0000-0000E9520000}"/>
    <cellStyle name="표준 25 3 4 3 7 2" xfId="21252" xr:uid="{00000000-0005-0000-0000-0000EA520000}"/>
    <cellStyle name="표준 25 3 4 3 8" xfId="21253" xr:uid="{00000000-0005-0000-0000-0000EB520000}"/>
    <cellStyle name="표준 25 3 4 3 9" xfId="21254" xr:uid="{00000000-0005-0000-0000-0000EC520000}"/>
    <cellStyle name="표준 25 3 4 4" xfId="21255" xr:uid="{00000000-0005-0000-0000-0000ED520000}"/>
    <cellStyle name="표준 25 3 4 4 2" xfId="21256" xr:uid="{00000000-0005-0000-0000-0000EE520000}"/>
    <cellStyle name="표준 25 3 4 4 2 2" xfId="21257" xr:uid="{00000000-0005-0000-0000-0000EF520000}"/>
    <cellStyle name="표준 25 3 4 4 2 2 2" xfId="21258" xr:uid="{00000000-0005-0000-0000-0000F0520000}"/>
    <cellStyle name="표준 25 3 4 4 2 2 2 2" xfId="21259" xr:uid="{00000000-0005-0000-0000-0000F1520000}"/>
    <cellStyle name="표준 25 3 4 4 2 2 2 2 2" xfId="21260" xr:uid="{00000000-0005-0000-0000-0000F2520000}"/>
    <cellStyle name="표준 25 3 4 4 2 2 2 2 2 2" xfId="21261" xr:uid="{00000000-0005-0000-0000-0000F3520000}"/>
    <cellStyle name="표준 25 3 4 4 2 2 2 2 3" xfId="21262" xr:uid="{00000000-0005-0000-0000-0000F4520000}"/>
    <cellStyle name="표준 25 3 4 4 2 2 2 3" xfId="21263" xr:uid="{00000000-0005-0000-0000-0000F5520000}"/>
    <cellStyle name="표준 25 3 4 4 2 2 2 3 2" xfId="21264" xr:uid="{00000000-0005-0000-0000-0000F6520000}"/>
    <cellStyle name="표준 25 3 4 4 2 2 2 4" xfId="21265" xr:uid="{00000000-0005-0000-0000-0000F7520000}"/>
    <cellStyle name="표준 25 3 4 4 2 2 3" xfId="21266" xr:uid="{00000000-0005-0000-0000-0000F8520000}"/>
    <cellStyle name="표준 25 3 4 4 2 2 3 2" xfId="21267" xr:uid="{00000000-0005-0000-0000-0000F9520000}"/>
    <cellStyle name="표준 25 3 4 4 2 2 3 2 2" xfId="21268" xr:uid="{00000000-0005-0000-0000-0000FA520000}"/>
    <cellStyle name="표준 25 3 4 4 2 2 3 3" xfId="21269" xr:uid="{00000000-0005-0000-0000-0000FB520000}"/>
    <cellStyle name="표준 25 3 4 4 2 2 4" xfId="21270" xr:uid="{00000000-0005-0000-0000-0000FC520000}"/>
    <cellStyle name="표준 25 3 4 4 2 2 4 2" xfId="21271" xr:uid="{00000000-0005-0000-0000-0000FD520000}"/>
    <cellStyle name="표준 25 3 4 4 2 2 5" xfId="21272" xr:uid="{00000000-0005-0000-0000-0000FE520000}"/>
    <cellStyle name="표준 25 3 4 4 2 3" xfId="21273" xr:uid="{00000000-0005-0000-0000-0000FF520000}"/>
    <cellStyle name="표준 25 3 4 4 2 3 2" xfId="21274" xr:uid="{00000000-0005-0000-0000-000000530000}"/>
    <cellStyle name="표준 25 3 4 4 2 3 2 2" xfId="21275" xr:uid="{00000000-0005-0000-0000-000001530000}"/>
    <cellStyle name="표준 25 3 4 4 2 3 2 2 2" xfId="21276" xr:uid="{00000000-0005-0000-0000-000002530000}"/>
    <cellStyle name="표준 25 3 4 4 2 3 2 3" xfId="21277" xr:uid="{00000000-0005-0000-0000-000003530000}"/>
    <cellStyle name="표준 25 3 4 4 2 3 3" xfId="21278" xr:uid="{00000000-0005-0000-0000-000004530000}"/>
    <cellStyle name="표준 25 3 4 4 2 3 3 2" xfId="21279" xr:uid="{00000000-0005-0000-0000-000005530000}"/>
    <cellStyle name="표준 25 3 4 4 2 3 4" xfId="21280" xr:uid="{00000000-0005-0000-0000-000006530000}"/>
    <cellStyle name="표준 25 3 4 4 2 4" xfId="21281" xr:uid="{00000000-0005-0000-0000-000007530000}"/>
    <cellStyle name="표준 25 3 4 4 2 4 2" xfId="21282" xr:uid="{00000000-0005-0000-0000-000008530000}"/>
    <cellStyle name="표준 25 3 4 4 2 4 2 2" xfId="21283" xr:uid="{00000000-0005-0000-0000-000009530000}"/>
    <cellStyle name="표준 25 3 4 4 2 4 3" xfId="21284" xr:uid="{00000000-0005-0000-0000-00000A530000}"/>
    <cellStyle name="표준 25 3 4 4 2 5" xfId="21285" xr:uid="{00000000-0005-0000-0000-00000B530000}"/>
    <cellStyle name="표준 25 3 4 4 2 5 2" xfId="21286" xr:uid="{00000000-0005-0000-0000-00000C530000}"/>
    <cellStyle name="표준 25 3 4 4 2 6" xfId="21287" xr:uid="{00000000-0005-0000-0000-00000D530000}"/>
    <cellStyle name="표준 25 3 4 4 3" xfId="21288" xr:uid="{00000000-0005-0000-0000-00000E530000}"/>
    <cellStyle name="표준 25 3 4 4 3 2" xfId="21289" xr:uid="{00000000-0005-0000-0000-00000F530000}"/>
    <cellStyle name="표준 25 3 4 4 3 2 2" xfId="21290" xr:uid="{00000000-0005-0000-0000-000010530000}"/>
    <cellStyle name="표준 25 3 4 4 3 2 2 2" xfId="21291" xr:uid="{00000000-0005-0000-0000-000011530000}"/>
    <cellStyle name="표준 25 3 4 4 3 2 2 2 2" xfId="21292" xr:uid="{00000000-0005-0000-0000-000012530000}"/>
    <cellStyle name="표준 25 3 4 4 3 2 2 3" xfId="21293" xr:uid="{00000000-0005-0000-0000-000013530000}"/>
    <cellStyle name="표준 25 3 4 4 3 2 3" xfId="21294" xr:uid="{00000000-0005-0000-0000-000014530000}"/>
    <cellStyle name="표준 25 3 4 4 3 2 3 2" xfId="21295" xr:uid="{00000000-0005-0000-0000-000015530000}"/>
    <cellStyle name="표준 25 3 4 4 3 2 4" xfId="21296" xr:uid="{00000000-0005-0000-0000-000016530000}"/>
    <cellStyle name="표준 25 3 4 4 3 3" xfId="21297" xr:uid="{00000000-0005-0000-0000-000017530000}"/>
    <cellStyle name="표준 25 3 4 4 3 3 2" xfId="21298" xr:uid="{00000000-0005-0000-0000-000018530000}"/>
    <cellStyle name="표준 25 3 4 4 3 3 2 2" xfId="21299" xr:uid="{00000000-0005-0000-0000-000019530000}"/>
    <cellStyle name="표준 25 3 4 4 3 3 3" xfId="21300" xr:uid="{00000000-0005-0000-0000-00001A530000}"/>
    <cellStyle name="표준 25 3 4 4 3 4" xfId="21301" xr:uid="{00000000-0005-0000-0000-00001B530000}"/>
    <cellStyle name="표준 25 3 4 4 3 4 2" xfId="21302" xr:uid="{00000000-0005-0000-0000-00001C530000}"/>
    <cellStyle name="표준 25 3 4 4 3 5" xfId="21303" xr:uid="{00000000-0005-0000-0000-00001D530000}"/>
    <cellStyle name="표준 25 3 4 4 4" xfId="21304" xr:uid="{00000000-0005-0000-0000-00001E530000}"/>
    <cellStyle name="표준 25 3 4 4 4 2" xfId="21305" xr:uid="{00000000-0005-0000-0000-00001F530000}"/>
    <cellStyle name="표준 25 3 4 4 4 2 2" xfId="21306" xr:uid="{00000000-0005-0000-0000-000020530000}"/>
    <cellStyle name="표준 25 3 4 4 4 2 2 2" xfId="21307" xr:uid="{00000000-0005-0000-0000-000021530000}"/>
    <cellStyle name="표준 25 3 4 4 4 2 3" xfId="21308" xr:uid="{00000000-0005-0000-0000-000022530000}"/>
    <cellStyle name="표준 25 3 4 4 4 3" xfId="21309" xr:uid="{00000000-0005-0000-0000-000023530000}"/>
    <cellStyle name="표준 25 3 4 4 4 3 2" xfId="21310" xr:uid="{00000000-0005-0000-0000-000024530000}"/>
    <cellStyle name="표준 25 3 4 4 4 4" xfId="21311" xr:uid="{00000000-0005-0000-0000-000025530000}"/>
    <cellStyle name="표준 25 3 4 4 5" xfId="21312" xr:uid="{00000000-0005-0000-0000-000026530000}"/>
    <cellStyle name="표준 25 3 4 4 5 2" xfId="21313" xr:uid="{00000000-0005-0000-0000-000027530000}"/>
    <cellStyle name="표준 25 3 4 4 5 2 2" xfId="21314" xr:uid="{00000000-0005-0000-0000-000028530000}"/>
    <cellStyle name="표준 25 3 4 4 5 3" xfId="21315" xr:uid="{00000000-0005-0000-0000-000029530000}"/>
    <cellStyle name="표준 25 3 4 4 6" xfId="21316" xr:uid="{00000000-0005-0000-0000-00002A530000}"/>
    <cellStyle name="표준 25 3 4 4 6 2" xfId="21317" xr:uid="{00000000-0005-0000-0000-00002B530000}"/>
    <cellStyle name="표준 25 3 4 4 7" xfId="21318" xr:uid="{00000000-0005-0000-0000-00002C530000}"/>
    <cellStyle name="표준 25 3 4 4 8" xfId="21319" xr:uid="{00000000-0005-0000-0000-00002D530000}"/>
    <cellStyle name="표준 25 3 4 5" xfId="21320" xr:uid="{00000000-0005-0000-0000-00002E530000}"/>
    <cellStyle name="표준 25 3 4 5 2" xfId="21321" xr:uid="{00000000-0005-0000-0000-00002F530000}"/>
    <cellStyle name="표준 25 3 4 5 2 2" xfId="21322" xr:uid="{00000000-0005-0000-0000-000030530000}"/>
    <cellStyle name="표준 25 3 4 5 2 2 2" xfId="21323" xr:uid="{00000000-0005-0000-0000-000031530000}"/>
    <cellStyle name="표준 25 3 4 5 2 2 2 2" xfId="21324" xr:uid="{00000000-0005-0000-0000-000032530000}"/>
    <cellStyle name="표준 25 3 4 5 2 2 2 2 2" xfId="21325" xr:uid="{00000000-0005-0000-0000-000033530000}"/>
    <cellStyle name="표준 25 3 4 5 2 2 2 3" xfId="21326" xr:uid="{00000000-0005-0000-0000-000034530000}"/>
    <cellStyle name="표준 25 3 4 5 2 2 3" xfId="21327" xr:uid="{00000000-0005-0000-0000-000035530000}"/>
    <cellStyle name="표준 25 3 4 5 2 2 3 2" xfId="21328" xr:uid="{00000000-0005-0000-0000-000036530000}"/>
    <cellStyle name="표준 25 3 4 5 2 2 4" xfId="21329" xr:uid="{00000000-0005-0000-0000-000037530000}"/>
    <cellStyle name="표준 25 3 4 5 2 3" xfId="21330" xr:uid="{00000000-0005-0000-0000-000038530000}"/>
    <cellStyle name="표준 25 3 4 5 2 3 2" xfId="21331" xr:uid="{00000000-0005-0000-0000-000039530000}"/>
    <cellStyle name="표준 25 3 4 5 2 3 2 2" xfId="21332" xr:uid="{00000000-0005-0000-0000-00003A530000}"/>
    <cellStyle name="표준 25 3 4 5 2 3 3" xfId="21333" xr:uid="{00000000-0005-0000-0000-00003B530000}"/>
    <cellStyle name="표준 25 3 4 5 2 4" xfId="21334" xr:uid="{00000000-0005-0000-0000-00003C530000}"/>
    <cellStyle name="표준 25 3 4 5 2 4 2" xfId="21335" xr:uid="{00000000-0005-0000-0000-00003D530000}"/>
    <cellStyle name="표준 25 3 4 5 2 5" xfId="21336" xr:uid="{00000000-0005-0000-0000-00003E530000}"/>
    <cellStyle name="표준 25 3 4 5 3" xfId="21337" xr:uid="{00000000-0005-0000-0000-00003F530000}"/>
    <cellStyle name="표준 25 3 4 5 3 2" xfId="21338" xr:uid="{00000000-0005-0000-0000-000040530000}"/>
    <cellStyle name="표준 25 3 4 5 3 2 2" xfId="21339" xr:uid="{00000000-0005-0000-0000-000041530000}"/>
    <cellStyle name="표준 25 3 4 5 3 2 2 2" xfId="21340" xr:uid="{00000000-0005-0000-0000-000042530000}"/>
    <cellStyle name="표준 25 3 4 5 3 2 3" xfId="21341" xr:uid="{00000000-0005-0000-0000-000043530000}"/>
    <cellStyle name="표준 25 3 4 5 3 3" xfId="21342" xr:uid="{00000000-0005-0000-0000-000044530000}"/>
    <cellStyle name="표준 25 3 4 5 3 3 2" xfId="21343" xr:uid="{00000000-0005-0000-0000-000045530000}"/>
    <cellStyle name="표준 25 3 4 5 3 4" xfId="21344" xr:uid="{00000000-0005-0000-0000-000046530000}"/>
    <cellStyle name="표준 25 3 4 5 4" xfId="21345" xr:uid="{00000000-0005-0000-0000-000047530000}"/>
    <cellStyle name="표준 25 3 4 5 4 2" xfId="21346" xr:uid="{00000000-0005-0000-0000-000048530000}"/>
    <cellStyle name="표준 25 3 4 5 4 2 2" xfId="21347" xr:uid="{00000000-0005-0000-0000-000049530000}"/>
    <cellStyle name="표준 25 3 4 5 4 3" xfId="21348" xr:uid="{00000000-0005-0000-0000-00004A530000}"/>
    <cellStyle name="표준 25 3 4 5 5" xfId="21349" xr:uid="{00000000-0005-0000-0000-00004B530000}"/>
    <cellStyle name="표준 25 3 4 5 5 2" xfId="21350" xr:uid="{00000000-0005-0000-0000-00004C530000}"/>
    <cellStyle name="표준 25 3 4 5 6" xfId="21351" xr:uid="{00000000-0005-0000-0000-00004D530000}"/>
    <cellStyle name="표준 25 3 4 6" xfId="21352" xr:uid="{00000000-0005-0000-0000-00004E530000}"/>
    <cellStyle name="표준 25 3 4 6 2" xfId="21353" xr:uid="{00000000-0005-0000-0000-00004F530000}"/>
    <cellStyle name="표준 25 3 4 6 2 2" xfId="21354" xr:uid="{00000000-0005-0000-0000-000050530000}"/>
    <cellStyle name="표준 25 3 4 6 2 2 2" xfId="21355" xr:uid="{00000000-0005-0000-0000-000051530000}"/>
    <cellStyle name="표준 25 3 4 6 2 2 2 2" xfId="21356" xr:uid="{00000000-0005-0000-0000-000052530000}"/>
    <cellStyle name="표준 25 3 4 6 2 2 3" xfId="21357" xr:uid="{00000000-0005-0000-0000-000053530000}"/>
    <cellStyle name="표준 25 3 4 6 2 3" xfId="21358" xr:uid="{00000000-0005-0000-0000-000054530000}"/>
    <cellStyle name="표준 25 3 4 6 2 3 2" xfId="21359" xr:uid="{00000000-0005-0000-0000-000055530000}"/>
    <cellStyle name="표준 25 3 4 6 2 4" xfId="21360" xr:uid="{00000000-0005-0000-0000-000056530000}"/>
    <cellStyle name="표준 25 3 4 6 3" xfId="21361" xr:uid="{00000000-0005-0000-0000-000057530000}"/>
    <cellStyle name="표준 25 3 4 6 3 2" xfId="21362" xr:uid="{00000000-0005-0000-0000-000058530000}"/>
    <cellStyle name="표준 25 3 4 6 3 2 2" xfId="21363" xr:uid="{00000000-0005-0000-0000-000059530000}"/>
    <cellStyle name="표준 25 3 4 6 3 3" xfId="21364" xr:uid="{00000000-0005-0000-0000-00005A530000}"/>
    <cellStyle name="표준 25 3 4 6 4" xfId="21365" xr:uid="{00000000-0005-0000-0000-00005B530000}"/>
    <cellStyle name="표준 25 3 4 6 4 2" xfId="21366" xr:uid="{00000000-0005-0000-0000-00005C530000}"/>
    <cellStyle name="표준 25 3 4 6 5" xfId="21367" xr:uid="{00000000-0005-0000-0000-00005D530000}"/>
    <cellStyle name="표준 25 3 4 7" xfId="21368" xr:uid="{00000000-0005-0000-0000-00005E530000}"/>
    <cellStyle name="표준 25 3 4 7 2" xfId="21369" xr:uid="{00000000-0005-0000-0000-00005F530000}"/>
    <cellStyle name="표준 25 3 4 7 2 2" xfId="21370" xr:uid="{00000000-0005-0000-0000-000060530000}"/>
    <cellStyle name="표준 25 3 4 7 2 2 2" xfId="21371" xr:uid="{00000000-0005-0000-0000-000061530000}"/>
    <cellStyle name="표준 25 3 4 7 2 3" xfId="21372" xr:uid="{00000000-0005-0000-0000-000062530000}"/>
    <cellStyle name="표준 25 3 4 7 3" xfId="21373" xr:uid="{00000000-0005-0000-0000-000063530000}"/>
    <cellStyle name="표준 25 3 4 7 3 2" xfId="21374" xr:uid="{00000000-0005-0000-0000-000064530000}"/>
    <cellStyle name="표준 25 3 4 7 4" xfId="21375" xr:uid="{00000000-0005-0000-0000-000065530000}"/>
    <cellStyle name="표준 25 3 4 8" xfId="21376" xr:uid="{00000000-0005-0000-0000-000066530000}"/>
    <cellStyle name="표준 25 3 4 8 2" xfId="21377" xr:uid="{00000000-0005-0000-0000-000067530000}"/>
    <cellStyle name="표준 25 3 4 8 2 2" xfId="21378" xr:uid="{00000000-0005-0000-0000-000068530000}"/>
    <cellStyle name="표준 25 3 4 8 3" xfId="21379" xr:uid="{00000000-0005-0000-0000-000069530000}"/>
    <cellStyle name="표준 25 3 4 9" xfId="21380" xr:uid="{00000000-0005-0000-0000-00006A530000}"/>
    <cellStyle name="표준 25 3 4 9 2" xfId="21381" xr:uid="{00000000-0005-0000-0000-00006B530000}"/>
    <cellStyle name="표준 25 3 5" xfId="21382" xr:uid="{00000000-0005-0000-0000-00006C530000}"/>
    <cellStyle name="표준 25 3 5 10" xfId="21383" xr:uid="{00000000-0005-0000-0000-00006D530000}"/>
    <cellStyle name="표준 25 3 5 11" xfId="21384" xr:uid="{00000000-0005-0000-0000-00006E530000}"/>
    <cellStyle name="표준 25 3 5 2" xfId="21385" xr:uid="{00000000-0005-0000-0000-00006F530000}"/>
    <cellStyle name="표준 25 3 5 2 10" xfId="21386" xr:uid="{00000000-0005-0000-0000-000070530000}"/>
    <cellStyle name="표준 25 3 5 2 2" xfId="21387" xr:uid="{00000000-0005-0000-0000-000071530000}"/>
    <cellStyle name="표준 25 3 5 2 2 2" xfId="21388" xr:uid="{00000000-0005-0000-0000-000072530000}"/>
    <cellStyle name="표준 25 3 5 2 2 2 2" xfId="21389" xr:uid="{00000000-0005-0000-0000-000073530000}"/>
    <cellStyle name="표준 25 3 5 2 2 2 2 2" xfId="21390" xr:uid="{00000000-0005-0000-0000-000074530000}"/>
    <cellStyle name="표준 25 3 5 2 2 2 2 2 2" xfId="21391" xr:uid="{00000000-0005-0000-0000-000075530000}"/>
    <cellStyle name="표준 25 3 5 2 2 2 2 2 2 2" xfId="21392" xr:uid="{00000000-0005-0000-0000-000076530000}"/>
    <cellStyle name="표준 25 3 5 2 2 2 2 2 2 2 2" xfId="21393" xr:uid="{00000000-0005-0000-0000-000077530000}"/>
    <cellStyle name="표준 25 3 5 2 2 2 2 2 2 2 2 2" xfId="21394" xr:uid="{00000000-0005-0000-0000-000078530000}"/>
    <cellStyle name="표준 25 3 5 2 2 2 2 2 2 2 3" xfId="21395" xr:uid="{00000000-0005-0000-0000-000079530000}"/>
    <cellStyle name="표준 25 3 5 2 2 2 2 2 2 3" xfId="21396" xr:uid="{00000000-0005-0000-0000-00007A530000}"/>
    <cellStyle name="표준 25 3 5 2 2 2 2 2 2 3 2" xfId="21397" xr:uid="{00000000-0005-0000-0000-00007B530000}"/>
    <cellStyle name="표준 25 3 5 2 2 2 2 2 2 4" xfId="21398" xr:uid="{00000000-0005-0000-0000-00007C530000}"/>
    <cellStyle name="표준 25 3 5 2 2 2 2 2 3" xfId="21399" xr:uid="{00000000-0005-0000-0000-00007D530000}"/>
    <cellStyle name="표준 25 3 5 2 2 2 2 2 3 2" xfId="21400" xr:uid="{00000000-0005-0000-0000-00007E530000}"/>
    <cellStyle name="표준 25 3 5 2 2 2 2 2 3 2 2" xfId="21401" xr:uid="{00000000-0005-0000-0000-00007F530000}"/>
    <cellStyle name="표준 25 3 5 2 2 2 2 2 3 3" xfId="21402" xr:uid="{00000000-0005-0000-0000-000080530000}"/>
    <cellStyle name="표준 25 3 5 2 2 2 2 2 4" xfId="21403" xr:uid="{00000000-0005-0000-0000-000081530000}"/>
    <cellStyle name="표준 25 3 5 2 2 2 2 2 4 2" xfId="21404" xr:uid="{00000000-0005-0000-0000-000082530000}"/>
    <cellStyle name="표준 25 3 5 2 2 2 2 2 5" xfId="21405" xr:uid="{00000000-0005-0000-0000-000083530000}"/>
    <cellStyle name="표준 25 3 5 2 2 2 2 3" xfId="21406" xr:uid="{00000000-0005-0000-0000-000084530000}"/>
    <cellStyle name="표준 25 3 5 2 2 2 2 3 2" xfId="21407" xr:uid="{00000000-0005-0000-0000-000085530000}"/>
    <cellStyle name="표준 25 3 5 2 2 2 2 3 2 2" xfId="21408" xr:uid="{00000000-0005-0000-0000-000086530000}"/>
    <cellStyle name="표준 25 3 5 2 2 2 2 3 2 2 2" xfId="21409" xr:uid="{00000000-0005-0000-0000-000087530000}"/>
    <cellStyle name="표준 25 3 5 2 2 2 2 3 2 3" xfId="21410" xr:uid="{00000000-0005-0000-0000-000088530000}"/>
    <cellStyle name="표준 25 3 5 2 2 2 2 3 3" xfId="21411" xr:uid="{00000000-0005-0000-0000-000089530000}"/>
    <cellStyle name="표준 25 3 5 2 2 2 2 3 3 2" xfId="21412" xr:uid="{00000000-0005-0000-0000-00008A530000}"/>
    <cellStyle name="표준 25 3 5 2 2 2 2 3 4" xfId="21413" xr:uid="{00000000-0005-0000-0000-00008B530000}"/>
    <cellStyle name="표준 25 3 5 2 2 2 2 4" xfId="21414" xr:uid="{00000000-0005-0000-0000-00008C530000}"/>
    <cellStyle name="표준 25 3 5 2 2 2 2 4 2" xfId="21415" xr:uid="{00000000-0005-0000-0000-00008D530000}"/>
    <cellStyle name="표준 25 3 5 2 2 2 2 4 2 2" xfId="21416" xr:uid="{00000000-0005-0000-0000-00008E530000}"/>
    <cellStyle name="표준 25 3 5 2 2 2 2 4 3" xfId="21417" xr:uid="{00000000-0005-0000-0000-00008F530000}"/>
    <cellStyle name="표준 25 3 5 2 2 2 2 5" xfId="21418" xr:uid="{00000000-0005-0000-0000-000090530000}"/>
    <cellStyle name="표준 25 3 5 2 2 2 2 5 2" xfId="21419" xr:uid="{00000000-0005-0000-0000-000091530000}"/>
    <cellStyle name="표준 25 3 5 2 2 2 2 6" xfId="21420" xr:uid="{00000000-0005-0000-0000-000092530000}"/>
    <cellStyle name="표준 25 3 5 2 2 2 3" xfId="21421" xr:uid="{00000000-0005-0000-0000-000093530000}"/>
    <cellStyle name="표준 25 3 5 2 2 2 3 2" xfId="21422" xr:uid="{00000000-0005-0000-0000-000094530000}"/>
    <cellStyle name="표준 25 3 5 2 2 2 3 2 2" xfId="21423" xr:uid="{00000000-0005-0000-0000-000095530000}"/>
    <cellStyle name="표준 25 3 5 2 2 2 3 2 2 2" xfId="21424" xr:uid="{00000000-0005-0000-0000-000096530000}"/>
    <cellStyle name="표준 25 3 5 2 2 2 3 2 2 2 2" xfId="21425" xr:uid="{00000000-0005-0000-0000-000097530000}"/>
    <cellStyle name="표준 25 3 5 2 2 2 3 2 2 3" xfId="21426" xr:uid="{00000000-0005-0000-0000-000098530000}"/>
    <cellStyle name="표준 25 3 5 2 2 2 3 2 3" xfId="21427" xr:uid="{00000000-0005-0000-0000-000099530000}"/>
    <cellStyle name="표준 25 3 5 2 2 2 3 2 3 2" xfId="21428" xr:uid="{00000000-0005-0000-0000-00009A530000}"/>
    <cellStyle name="표준 25 3 5 2 2 2 3 2 4" xfId="21429" xr:uid="{00000000-0005-0000-0000-00009B530000}"/>
    <cellStyle name="표준 25 3 5 2 2 2 3 3" xfId="21430" xr:uid="{00000000-0005-0000-0000-00009C530000}"/>
    <cellStyle name="표준 25 3 5 2 2 2 3 3 2" xfId="21431" xr:uid="{00000000-0005-0000-0000-00009D530000}"/>
    <cellStyle name="표준 25 3 5 2 2 2 3 3 2 2" xfId="21432" xr:uid="{00000000-0005-0000-0000-00009E530000}"/>
    <cellStyle name="표준 25 3 5 2 2 2 3 3 3" xfId="21433" xr:uid="{00000000-0005-0000-0000-00009F530000}"/>
    <cellStyle name="표준 25 3 5 2 2 2 3 4" xfId="21434" xr:uid="{00000000-0005-0000-0000-0000A0530000}"/>
    <cellStyle name="표준 25 3 5 2 2 2 3 4 2" xfId="21435" xr:uid="{00000000-0005-0000-0000-0000A1530000}"/>
    <cellStyle name="표준 25 3 5 2 2 2 3 5" xfId="21436" xr:uid="{00000000-0005-0000-0000-0000A2530000}"/>
    <cellStyle name="표준 25 3 5 2 2 2 4" xfId="21437" xr:uid="{00000000-0005-0000-0000-0000A3530000}"/>
    <cellStyle name="표준 25 3 5 2 2 2 4 2" xfId="21438" xr:uid="{00000000-0005-0000-0000-0000A4530000}"/>
    <cellStyle name="표준 25 3 5 2 2 2 4 2 2" xfId="21439" xr:uid="{00000000-0005-0000-0000-0000A5530000}"/>
    <cellStyle name="표준 25 3 5 2 2 2 4 2 2 2" xfId="21440" xr:uid="{00000000-0005-0000-0000-0000A6530000}"/>
    <cellStyle name="표준 25 3 5 2 2 2 4 2 3" xfId="21441" xr:uid="{00000000-0005-0000-0000-0000A7530000}"/>
    <cellStyle name="표준 25 3 5 2 2 2 4 3" xfId="21442" xr:uid="{00000000-0005-0000-0000-0000A8530000}"/>
    <cellStyle name="표준 25 3 5 2 2 2 4 3 2" xfId="21443" xr:uid="{00000000-0005-0000-0000-0000A9530000}"/>
    <cellStyle name="표준 25 3 5 2 2 2 4 4" xfId="21444" xr:uid="{00000000-0005-0000-0000-0000AA530000}"/>
    <cellStyle name="표준 25 3 5 2 2 2 5" xfId="21445" xr:uid="{00000000-0005-0000-0000-0000AB530000}"/>
    <cellStyle name="표준 25 3 5 2 2 2 5 2" xfId="21446" xr:uid="{00000000-0005-0000-0000-0000AC530000}"/>
    <cellStyle name="표준 25 3 5 2 2 2 5 2 2" xfId="21447" xr:uid="{00000000-0005-0000-0000-0000AD530000}"/>
    <cellStyle name="표준 25 3 5 2 2 2 5 3" xfId="21448" xr:uid="{00000000-0005-0000-0000-0000AE530000}"/>
    <cellStyle name="표준 25 3 5 2 2 2 6" xfId="21449" xr:uid="{00000000-0005-0000-0000-0000AF530000}"/>
    <cellStyle name="표준 25 3 5 2 2 2 6 2" xfId="21450" xr:uid="{00000000-0005-0000-0000-0000B0530000}"/>
    <cellStyle name="표준 25 3 5 2 2 2 7" xfId="21451" xr:uid="{00000000-0005-0000-0000-0000B1530000}"/>
    <cellStyle name="표준 25 3 5 2 2 2 8" xfId="21452" xr:uid="{00000000-0005-0000-0000-0000B2530000}"/>
    <cellStyle name="표준 25 3 5 2 2 3" xfId="21453" xr:uid="{00000000-0005-0000-0000-0000B3530000}"/>
    <cellStyle name="표준 25 3 5 2 2 3 2" xfId="21454" xr:uid="{00000000-0005-0000-0000-0000B4530000}"/>
    <cellStyle name="표준 25 3 5 2 2 3 2 2" xfId="21455" xr:uid="{00000000-0005-0000-0000-0000B5530000}"/>
    <cellStyle name="표준 25 3 5 2 2 3 2 2 2" xfId="21456" xr:uid="{00000000-0005-0000-0000-0000B6530000}"/>
    <cellStyle name="표준 25 3 5 2 2 3 2 2 2 2" xfId="21457" xr:uid="{00000000-0005-0000-0000-0000B7530000}"/>
    <cellStyle name="표준 25 3 5 2 2 3 2 2 2 2 2" xfId="21458" xr:uid="{00000000-0005-0000-0000-0000B8530000}"/>
    <cellStyle name="표준 25 3 5 2 2 3 2 2 2 3" xfId="21459" xr:uid="{00000000-0005-0000-0000-0000B9530000}"/>
    <cellStyle name="표준 25 3 5 2 2 3 2 2 3" xfId="21460" xr:uid="{00000000-0005-0000-0000-0000BA530000}"/>
    <cellStyle name="표준 25 3 5 2 2 3 2 2 3 2" xfId="21461" xr:uid="{00000000-0005-0000-0000-0000BB530000}"/>
    <cellStyle name="표준 25 3 5 2 2 3 2 2 4" xfId="21462" xr:uid="{00000000-0005-0000-0000-0000BC530000}"/>
    <cellStyle name="표준 25 3 5 2 2 3 2 3" xfId="21463" xr:uid="{00000000-0005-0000-0000-0000BD530000}"/>
    <cellStyle name="표준 25 3 5 2 2 3 2 3 2" xfId="21464" xr:uid="{00000000-0005-0000-0000-0000BE530000}"/>
    <cellStyle name="표준 25 3 5 2 2 3 2 3 2 2" xfId="21465" xr:uid="{00000000-0005-0000-0000-0000BF530000}"/>
    <cellStyle name="표준 25 3 5 2 2 3 2 3 3" xfId="21466" xr:uid="{00000000-0005-0000-0000-0000C0530000}"/>
    <cellStyle name="표준 25 3 5 2 2 3 2 4" xfId="21467" xr:uid="{00000000-0005-0000-0000-0000C1530000}"/>
    <cellStyle name="표준 25 3 5 2 2 3 2 4 2" xfId="21468" xr:uid="{00000000-0005-0000-0000-0000C2530000}"/>
    <cellStyle name="표준 25 3 5 2 2 3 2 5" xfId="21469" xr:uid="{00000000-0005-0000-0000-0000C3530000}"/>
    <cellStyle name="표준 25 3 5 2 2 3 3" xfId="21470" xr:uid="{00000000-0005-0000-0000-0000C4530000}"/>
    <cellStyle name="표준 25 3 5 2 2 3 3 2" xfId="21471" xr:uid="{00000000-0005-0000-0000-0000C5530000}"/>
    <cellStyle name="표준 25 3 5 2 2 3 3 2 2" xfId="21472" xr:uid="{00000000-0005-0000-0000-0000C6530000}"/>
    <cellStyle name="표준 25 3 5 2 2 3 3 2 2 2" xfId="21473" xr:uid="{00000000-0005-0000-0000-0000C7530000}"/>
    <cellStyle name="표준 25 3 5 2 2 3 3 2 3" xfId="21474" xr:uid="{00000000-0005-0000-0000-0000C8530000}"/>
    <cellStyle name="표준 25 3 5 2 2 3 3 3" xfId="21475" xr:uid="{00000000-0005-0000-0000-0000C9530000}"/>
    <cellStyle name="표준 25 3 5 2 2 3 3 3 2" xfId="21476" xr:uid="{00000000-0005-0000-0000-0000CA530000}"/>
    <cellStyle name="표준 25 3 5 2 2 3 3 4" xfId="21477" xr:uid="{00000000-0005-0000-0000-0000CB530000}"/>
    <cellStyle name="표준 25 3 5 2 2 3 4" xfId="21478" xr:uid="{00000000-0005-0000-0000-0000CC530000}"/>
    <cellStyle name="표준 25 3 5 2 2 3 4 2" xfId="21479" xr:uid="{00000000-0005-0000-0000-0000CD530000}"/>
    <cellStyle name="표준 25 3 5 2 2 3 4 2 2" xfId="21480" xr:uid="{00000000-0005-0000-0000-0000CE530000}"/>
    <cellStyle name="표준 25 3 5 2 2 3 4 3" xfId="21481" xr:uid="{00000000-0005-0000-0000-0000CF530000}"/>
    <cellStyle name="표준 25 3 5 2 2 3 5" xfId="21482" xr:uid="{00000000-0005-0000-0000-0000D0530000}"/>
    <cellStyle name="표준 25 3 5 2 2 3 5 2" xfId="21483" xr:uid="{00000000-0005-0000-0000-0000D1530000}"/>
    <cellStyle name="표준 25 3 5 2 2 3 6" xfId="21484" xr:uid="{00000000-0005-0000-0000-0000D2530000}"/>
    <cellStyle name="표준 25 3 5 2 2 4" xfId="21485" xr:uid="{00000000-0005-0000-0000-0000D3530000}"/>
    <cellStyle name="표준 25 3 5 2 2 4 2" xfId="21486" xr:uid="{00000000-0005-0000-0000-0000D4530000}"/>
    <cellStyle name="표준 25 3 5 2 2 4 2 2" xfId="21487" xr:uid="{00000000-0005-0000-0000-0000D5530000}"/>
    <cellStyle name="표준 25 3 5 2 2 4 2 2 2" xfId="21488" xr:uid="{00000000-0005-0000-0000-0000D6530000}"/>
    <cellStyle name="표준 25 3 5 2 2 4 2 2 2 2" xfId="21489" xr:uid="{00000000-0005-0000-0000-0000D7530000}"/>
    <cellStyle name="표준 25 3 5 2 2 4 2 2 3" xfId="21490" xr:uid="{00000000-0005-0000-0000-0000D8530000}"/>
    <cellStyle name="표준 25 3 5 2 2 4 2 3" xfId="21491" xr:uid="{00000000-0005-0000-0000-0000D9530000}"/>
    <cellStyle name="표준 25 3 5 2 2 4 2 3 2" xfId="21492" xr:uid="{00000000-0005-0000-0000-0000DA530000}"/>
    <cellStyle name="표준 25 3 5 2 2 4 2 4" xfId="21493" xr:uid="{00000000-0005-0000-0000-0000DB530000}"/>
    <cellStyle name="표준 25 3 5 2 2 4 3" xfId="21494" xr:uid="{00000000-0005-0000-0000-0000DC530000}"/>
    <cellStyle name="표준 25 3 5 2 2 4 3 2" xfId="21495" xr:uid="{00000000-0005-0000-0000-0000DD530000}"/>
    <cellStyle name="표준 25 3 5 2 2 4 3 2 2" xfId="21496" xr:uid="{00000000-0005-0000-0000-0000DE530000}"/>
    <cellStyle name="표준 25 3 5 2 2 4 3 3" xfId="21497" xr:uid="{00000000-0005-0000-0000-0000DF530000}"/>
    <cellStyle name="표준 25 3 5 2 2 4 4" xfId="21498" xr:uid="{00000000-0005-0000-0000-0000E0530000}"/>
    <cellStyle name="표준 25 3 5 2 2 4 4 2" xfId="21499" xr:uid="{00000000-0005-0000-0000-0000E1530000}"/>
    <cellStyle name="표준 25 3 5 2 2 4 5" xfId="21500" xr:uid="{00000000-0005-0000-0000-0000E2530000}"/>
    <cellStyle name="표준 25 3 5 2 2 5" xfId="21501" xr:uid="{00000000-0005-0000-0000-0000E3530000}"/>
    <cellStyle name="표준 25 3 5 2 2 5 2" xfId="21502" xr:uid="{00000000-0005-0000-0000-0000E4530000}"/>
    <cellStyle name="표준 25 3 5 2 2 5 2 2" xfId="21503" xr:uid="{00000000-0005-0000-0000-0000E5530000}"/>
    <cellStyle name="표준 25 3 5 2 2 5 2 2 2" xfId="21504" xr:uid="{00000000-0005-0000-0000-0000E6530000}"/>
    <cellStyle name="표준 25 3 5 2 2 5 2 3" xfId="21505" xr:uid="{00000000-0005-0000-0000-0000E7530000}"/>
    <cellStyle name="표준 25 3 5 2 2 5 3" xfId="21506" xr:uid="{00000000-0005-0000-0000-0000E8530000}"/>
    <cellStyle name="표준 25 3 5 2 2 5 3 2" xfId="21507" xr:uid="{00000000-0005-0000-0000-0000E9530000}"/>
    <cellStyle name="표준 25 3 5 2 2 5 4" xfId="21508" xr:uid="{00000000-0005-0000-0000-0000EA530000}"/>
    <cellStyle name="표준 25 3 5 2 2 6" xfId="21509" xr:uid="{00000000-0005-0000-0000-0000EB530000}"/>
    <cellStyle name="표준 25 3 5 2 2 6 2" xfId="21510" xr:uid="{00000000-0005-0000-0000-0000EC530000}"/>
    <cellStyle name="표준 25 3 5 2 2 6 2 2" xfId="21511" xr:uid="{00000000-0005-0000-0000-0000ED530000}"/>
    <cellStyle name="표준 25 3 5 2 2 6 3" xfId="21512" xr:uid="{00000000-0005-0000-0000-0000EE530000}"/>
    <cellStyle name="표준 25 3 5 2 2 7" xfId="21513" xr:uid="{00000000-0005-0000-0000-0000EF530000}"/>
    <cellStyle name="표준 25 3 5 2 2 7 2" xfId="21514" xr:uid="{00000000-0005-0000-0000-0000F0530000}"/>
    <cellStyle name="표준 25 3 5 2 2 8" xfId="21515" xr:uid="{00000000-0005-0000-0000-0000F1530000}"/>
    <cellStyle name="표준 25 3 5 2 2 9" xfId="21516" xr:uid="{00000000-0005-0000-0000-0000F2530000}"/>
    <cellStyle name="표준 25 3 5 2 3" xfId="21517" xr:uid="{00000000-0005-0000-0000-0000F3530000}"/>
    <cellStyle name="표준 25 3 5 2 3 2" xfId="21518" xr:uid="{00000000-0005-0000-0000-0000F4530000}"/>
    <cellStyle name="표준 25 3 5 2 3 2 2" xfId="21519" xr:uid="{00000000-0005-0000-0000-0000F5530000}"/>
    <cellStyle name="표준 25 3 5 2 3 2 2 2" xfId="21520" xr:uid="{00000000-0005-0000-0000-0000F6530000}"/>
    <cellStyle name="표준 25 3 5 2 3 2 2 2 2" xfId="21521" xr:uid="{00000000-0005-0000-0000-0000F7530000}"/>
    <cellStyle name="표준 25 3 5 2 3 2 2 2 2 2" xfId="21522" xr:uid="{00000000-0005-0000-0000-0000F8530000}"/>
    <cellStyle name="표준 25 3 5 2 3 2 2 2 2 2 2" xfId="21523" xr:uid="{00000000-0005-0000-0000-0000F9530000}"/>
    <cellStyle name="표준 25 3 5 2 3 2 2 2 2 3" xfId="21524" xr:uid="{00000000-0005-0000-0000-0000FA530000}"/>
    <cellStyle name="표준 25 3 5 2 3 2 2 2 3" xfId="21525" xr:uid="{00000000-0005-0000-0000-0000FB530000}"/>
    <cellStyle name="표준 25 3 5 2 3 2 2 2 3 2" xfId="21526" xr:uid="{00000000-0005-0000-0000-0000FC530000}"/>
    <cellStyle name="표준 25 3 5 2 3 2 2 2 4" xfId="21527" xr:uid="{00000000-0005-0000-0000-0000FD530000}"/>
    <cellStyle name="표준 25 3 5 2 3 2 2 3" xfId="21528" xr:uid="{00000000-0005-0000-0000-0000FE530000}"/>
    <cellStyle name="표준 25 3 5 2 3 2 2 3 2" xfId="21529" xr:uid="{00000000-0005-0000-0000-0000FF530000}"/>
    <cellStyle name="표준 25 3 5 2 3 2 2 3 2 2" xfId="21530" xr:uid="{00000000-0005-0000-0000-000000540000}"/>
    <cellStyle name="표준 25 3 5 2 3 2 2 3 3" xfId="21531" xr:uid="{00000000-0005-0000-0000-000001540000}"/>
    <cellStyle name="표준 25 3 5 2 3 2 2 4" xfId="21532" xr:uid="{00000000-0005-0000-0000-000002540000}"/>
    <cellStyle name="표준 25 3 5 2 3 2 2 4 2" xfId="21533" xr:uid="{00000000-0005-0000-0000-000003540000}"/>
    <cellStyle name="표준 25 3 5 2 3 2 2 5" xfId="21534" xr:uid="{00000000-0005-0000-0000-000004540000}"/>
    <cellStyle name="표준 25 3 5 2 3 2 3" xfId="21535" xr:uid="{00000000-0005-0000-0000-000005540000}"/>
    <cellStyle name="표준 25 3 5 2 3 2 3 2" xfId="21536" xr:uid="{00000000-0005-0000-0000-000006540000}"/>
    <cellStyle name="표준 25 3 5 2 3 2 3 2 2" xfId="21537" xr:uid="{00000000-0005-0000-0000-000007540000}"/>
    <cellStyle name="표준 25 3 5 2 3 2 3 2 2 2" xfId="21538" xr:uid="{00000000-0005-0000-0000-000008540000}"/>
    <cellStyle name="표준 25 3 5 2 3 2 3 2 3" xfId="21539" xr:uid="{00000000-0005-0000-0000-000009540000}"/>
    <cellStyle name="표준 25 3 5 2 3 2 3 3" xfId="21540" xr:uid="{00000000-0005-0000-0000-00000A540000}"/>
    <cellStyle name="표준 25 3 5 2 3 2 3 3 2" xfId="21541" xr:uid="{00000000-0005-0000-0000-00000B540000}"/>
    <cellStyle name="표준 25 3 5 2 3 2 3 4" xfId="21542" xr:uid="{00000000-0005-0000-0000-00000C540000}"/>
    <cellStyle name="표준 25 3 5 2 3 2 4" xfId="21543" xr:uid="{00000000-0005-0000-0000-00000D540000}"/>
    <cellStyle name="표준 25 3 5 2 3 2 4 2" xfId="21544" xr:uid="{00000000-0005-0000-0000-00000E540000}"/>
    <cellStyle name="표준 25 3 5 2 3 2 4 2 2" xfId="21545" xr:uid="{00000000-0005-0000-0000-00000F540000}"/>
    <cellStyle name="표준 25 3 5 2 3 2 4 3" xfId="21546" xr:uid="{00000000-0005-0000-0000-000010540000}"/>
    <cellStyle name="표준 25 3 5 2 3 2 5" xfId="21547" xr:uid="{00000000-0005-0000-0000-000011540000}"/>
    <cellStyle name="표준 25 3 5 2 3 2 5 2" xfId="21548" xr:uid="{00000000-0005-0000-0000-000012540000}"/>
    <cellStyle name="표준 25 3 5 2 3 2 6" xfId="21549" xr:uid="{00000000-0005-0000-0000-000013540000}"/>
    <cellStyle name="표준 25 3 5 2 3 3" xfId="21550" xr:uid="{00000000-0005-0000-0000-000014540000}"/>
    <cellStyle name="표준 25 3 5 2 3 3 2" xfId="21551" xr:uid="{00000000-0005-0000-0000-000015540000}"/>
    <cellStyle name="표준 25 3 5 2 3 3 2 2" xfId="21552" xr:uid="{00000000-0005-0000-0000-000016540000}"/>
    <cellStyle name="표준 25 3 5 2 3 3 2 2 2" xfId="21553" xr:uid="{00000000-0005-0000-0000-000017540000}"/>
    <cellStyle name="표준 25 3 5 2 3 3 2 2 2 2" xfId="21554" xr:uid="{00000000-0005-0000-0000-000018540000}"/>
    <cellStyle name="표준 25 3 5 2 3 3 2 2 3" xfId="21555" xr:uid="{00000000-0005-0000-0000-000019540000}"/>
    <cellStyle name="표준 25 3 5 2 3 3 2 3" xfId="21556" xr:uid="{00000000-0005-0000-0000-00001A540000}"/>
    <cellStyle name="표준 25 3 5 2 3 3 2 3 2" xfId="21557" xr:uid="{00000000-0005-0000-0000-00001B540000}"/>
    <cellStyle name="표준 25 3 5 2 3 3 2 4" xfId="21558" xr:uid="{00000000-0005-0000-0000-00001C540000}"/>
    <cellStyle name="표준 25 3 5 2 3 3 3" xfId="21559" xr:uid="{00000000-0005-0000-0000-00001D540000}"/>
    <cellStyle name="표준 25 3 5 2 3 3 3 2" xfId="21560" xr:uid="{00000000-0005-0000-0000-00001E540000}"/>
    <cellStyle name="표준 25 3 5 2 3 3 3 2 2" xfId="21561" xr:uid="{00000000-0005-0000-0000-00001F540000}"/>
    <cellStyle name="표준 25 3 5 2 3 3 3 3" xfId="21562" xr:uid="{00000000-0005-0000-0000-000020540000}"/>
    <cellStyle name="표준 25 3 5 2 3 3 4" xfId="21563" xr:uid="{00000000-0005-0000-0000-000021540000}"/>
    <cellStyle name="표준 25 3 5 2 3 3 4 2" xfId="21564" xr:uid="{00000000-0005-0000-0000-000022540000}"/>
    <cellStyle name="표준 25 3 5 2 3 3 5" xfId="21565" xr:uid="{00000000-0005-0000-0000-000023540000}"/>
    <cellStyle name="표준 25 3 5 2 3 4" xfId="21566" xr:uid="{00000000-0005-0000-0000-000024540000}"/>
    <cellStyle name="표준 25 3 5 2 3 4 2" xfId="21567" xr:uid="{00000000-0005-0000-0000-000025540000}"/>
    <cellStyle name="표준 25 3 5 2 3 4 2 2" xfId="21568" xr:uid="{00000000-0005-0000-0000-000026540000}"/>
    <cellStyle name="표준 25 3 5 2 3 4 2 2 2" xfId="21569" xr:uid="{00000000-0005-0000-0000-000027540000}"/>
    <cellStyle name="표준 25 3 5 2 3 4 2 3" xfId="21570" xr:uid="{00000000-0005-0000-0000-000028540000}"/>
    <cellStyle name="표준 25 3 5 2 3 4 3" xfId="21571" xr:uid="{00000000-0005-0000-0000-000029540000}"/>
    <cellStyle name="표준 25 3 5 2 3 4 3 2" xfId="21572" xr:uid="{00000000-0005-0000-0000-00002A540000}"/>
    <cellStyle name="표준 25 3 5 2 3 4 4" xfId="21573" xr:uid="{00000000-0005-0000-0000-00002B540000}"/>
    <cellStyle name="표준 25 3 5 2 3 5" xfId="21574" xr:uid="{00000000-0005-0000-0000-00002C540000}"/>
    <cellStyle name="표준 25 3 5 2 3 5 2" xfId="21575" xr:uid="{00000000-0005-0000-0000-00002D540000}"/>
    <cellStyle name="표준 25 3 5 2 3 5 2 2" xfId="21576" xr:uid="{00000000-0005-0000-0000-00002E540000}"/>
    <cellStyle name="표준 25 3 5 2 3 5 3" xfId="21577" xr:uid="{00000000-0005-0000-0000-00002F540000}"/>
    <cellStyle name="표준 25 3 5 2 3 6" xfId="21578" xr:uid="{00000000-0005-0000-0000-000030540000}"/>
    <cellStyle name="표준 25 3 5 2 3 6 2" xfId="21579" xr:uid="{00000000-0005-0000-0000-000031540000}"/>
    <cellStyle name="표준 25 3 5 2 3 7" xfId="21580" xr:uid="{00000000-0005-0000-0000-000032540000}"/>
    <cellStyle name="표준 25 3 5 2 3 8" xfId="21581" xr:uid="{00000000-0005-0000-0000-000033540000}"/>
    <cellStyle name="표준 25 3 5 2 4" xfId="21582" xr:uid="{00000000-0005-0000-0000-000034540000}"/>
    <cellStyle name="표준 25 3 5 2 4 2" xfId="21583" xr:uid="{00000000-0005-0000-0000-000035540000}"/>
    <cellStyle name="표준 25 3 5 2 4 2 2" xfId="21584" xr:uid="{00000000-0005-0000-0000-000036540000}"/>
    <cellStyle name="표준 25 3 5 2 4 2 2 2" xfId="21585" xr:uid="{00000000-0005-0000-0000-000037540000}"/>
    <cellStyle name="표준 25 3 5 2 4 2 2 2 2" xfId="21586" xr:uid="{00000000-0005-0000-0000-000038540000}"/>
    <cellStyle name="표준 25 3 5 2 4 2 2 2 2 2" xfId="21587" xr:uid="{00000000-0005-0000-0000-000039540000}"/>
    <cellStyle name="표준 25 3 5 2 4 2 2 2 3" xfId="21588" xr:uid="{00000000-0005-0000-0000-00003A540000}"/>
    <cellStyle name="표준 25 3 5 2 4 2 2 3" xfId="21589" xr:uid="{00000000-0005-0000-0000-00003B540000}"/>
    <cellStyle name="표준 25 3 5 2 4 2 2 3 2" xfId="21590" xr:uid="{00000000-0005-0000-0000-00003C540000}"/>
    <cellStyle name="표준 25 3 5 2 4 2 2 4" xfId="21591" xr:uid="{00000000-0005-0000-0000-00003D540000}"/>
    <cellStyle name="표준 25 3 5 2 4 2 3" xfId="21592" xr:uid="{00000000-0005-0000-0000-00003E540000}"/>
    <cellStyle name="표준 25 3 5 2 4 2 3 2" xfId="21593" xr:uid="{00000000-0005-0000-0000-00003F540000}"/>
    <cellStyle name="표준 25 3 5 2 4 2 3 2 2" xfId="21594" xr:uid="{00000000-0005-0000-0000-000040540000}"/>
    <cellStyle name="표준 25 3 5 2 4 2 3 3" xfId="21595" xr:uid="{00000000-0005-0000-0000-000041540000}"/>
    <cellStyle name="표준 25 3 5 2 4 2 4" xfId="21596" xr:uid="{00000000-0005-0000-0000-000042540000}"/>
    <cellStyle name="표준 25 3 5 2 4 2 4 2" xfId="21597" xr:uid="{00000000-0005-0000-0000-000043540000}"/>
    <cellStyle name="표준 25 3 5 2 4 2 5" xfId="21598" xr:uid="{00000000-0005-0000-0000-000044540000}"/>
    <cellStyle name="표준 25 3 5 2 4 3" xfId="21599" xr:uid="{00000000-0005-0000-0000-000045540000}"/>
    <cellStyle name="표준 25 3 5 2 4 3 2" xfId="21600" xr:uid="{00000000-0005-0000-0000-000046540000}"/>
    <cellStyle name="표준 25 3 5 2 4 3 2 2" xfId="21601" xr:uid="{00000000-0005-0000-0000-000047540000}"/>
    <cellStyle name="표준 25 3 5 2 4 3 2 2 2" xfId="21602" xr:uid="{00000000-0005-0000-0000-000048540000}"/>
    <cellStyle name="표준 25 3 5 2 4 3 2 3" xfId="21603" xr:uid="{00000000-0005-0000-0000-000049540000}"/>
    <cellStyle name="표준 25 3 5 2 4 3 3" xfId="21604" xr:uid="{00000000-0005-0000-0000-00004A540000}"/>
    <cellStyle name="표준 25 3 5 2 4 3 3 2" xfId="21605" xr:uid="{00000000-0005-0000-0000-00004B540000}"/>
    <cellStyle name="표준 25 3 5 2 4 3 4" xfId="21606" xr:uid="{00000000-0005-0000-0000-00004C540000}"/>
    <cellStyle name="표준 25 3 5 2 4 4" xfId="21607" xr:uid="{00000000-0005-0000-0000-00004D540000}"/>
    <cellStyle name="표준 25 3 5 2 4 4 2" xfId="21608" xr:uid="{00000000-0005-0000-0000-00004E540000}"/>
    <cellStyle name="표준 25 3 5 2 4 4 2 2" xfId="21609" xr:uid="{00000000-0005-0000-0000-00004F540000}"/>
    <cellStyle name="표준 25 3 5 2 4 4 3" xfId="21610" xr:uid="{00000000-0005-0000-0000-000050540000}"/>
    <cellStyle name="표준 25 3 5 2 4 5" xfId="21611" xr:uid="{00000000-0005-0000-0000-000051540000}"/>
    <cellStyle name="표준 25 3 5 2 4 5 2" xfId="21612" xr:uid="{00000000-0005-0000-0000-000052540000}"/>
    <cellStyle name="표준 25 3 5 2 4 6" xfId="21613" xr:uid="{00000000-0005-0000-0000-000053540000}"/>
    <cellStyle name="표준 25 3 5 2 5" xfId="21614" xr:uid="{00000000-0005-0000-0000-000054540000}"/>
    <cellStyle name="표준 25 3 5 2 5 2" xfId="21615" xr:uid="{00000000-0005-0000-0000-000055540000}"/>
    <cellStyle name="표준 25 3 5 2 5 2 2" xfId="21616" xr:uid="{00000000-0005-0000-0000-000056540000}"/>
    <cellStyle name="표준 25 3 5 2 5 2 2 2" xfId="21617" xr:uid="{00000000-0005-0000-0000-000057540000}"/>
    <cellStyle name="표준 25 3 5 2 5 2 2 2 2" xfId="21618" xr:uid="{00000000-0005-0000-0000-000058540000}"/>
    <cellStyle name="표준 25 3 5 2 5 2 2 3" xfId="21619" xr:uid="{00000000-0005-0000-0000-000059540000}"/>
    <cellStyle name="표준 25 3 5 2 5 2 3" xfId="21620" xr:uid="{00000000-0005-0000-0000-00005A540000}"/>
    <cellStyle name="표준 25 3 5 2 5 2 3 2" xfId="21621" xr:uid="{00000000-0005-0000-0000-00005B540000}"/>
    <cellStyle name="표준 25 3 5 2 5 2 4" xfId="21622" xr:uid="{00000000-0005-0000-0000-00005C540000}"/>
    <cellStyle name="표준 25 3 5 2 5 3" xfId="21623" xr:uid="{00000000-0005-0000-0000-00005D540000}"/>
    <cellStyle name="표준 25 3 5 2 5 3 2" xfId="21624" xr:uid="{00000000-0005-0000-0000-00005E540000}"/>
    <cellStyle name="표준 25 3 5 2 5 3 2 2" xfId="21625" xr:uid="{00000000-0005-0000-0000-00005F540000}"/>
    <cellStyle name="표준 25 3 5 2 5 3 3" xfId="21626" xr:uid="{00000000-0005-0000-0000-000060540000}"/>
    <cellStyle name="표준 25 3 5 2 5 4" xfId="21627" xr:uid="{00000000-0005-0000-0000-000061540000}"/>
    <cellStyle name="표준 25 3 5 2 5 4 2" xfId="21628" xr:uid="{00000000-0005-0000-0000-000062540000}"/>
    <cellStyle name="표준 25 3 5 2 5 5" xfId="21629" xr:uid="{00000000-0005-0000-0000-000063540000}"/>
    <cellStyle name="표준 25 3 5 2 6" xfId="21630" xr:uid="{00000000-0005-0000-0000-000064540000}"/>
    <cellStyle name="표준 25 3 5 2 6 2" xfId="21631" xr:uid="{00000000-0005-0000-0000-000065540000}"/>
    <cellStyle name="표준 25 3 5 2 6 2 2" xfId="21632" xr:uid="{00000000-0005-0000-0000-000066540000}"/>
    <cellStyle name="표준 25 3 5 2 6 2 2 2" xfId="21633" xr:uid="{00000000-0005-0000-0000-000067540000}"/>
    <cellStyle name="표준 25 3 5 2 6 2 3" xfId="21634" xr:uid="{00000000-0005-0000-0000-000068540000}"/>
    <cellStyle name="표준 25 3 5 2 6 3" xfId="21635" xr:uid="{00000000-0005-0000-0000-000069540000}"/>
    <cellStyle name="표준 25 3 5 2 6 3 2" xfId="21636" xr:uid="{00000000-0005-0000-0000-00006A540000}"/>
    <cellStyle name="표준 25 3 5 2 6 4" xfId="21637" xr:uid="{00000000-0005-0000-0000-00006B540000}"/>
    <cellStyle name="표준 25 3 5 2 7" xfId="21638" xr:uid="{00000000-0005-0000-0000-00006C540000}"/>
    <cellStyle name="표준 25 3 5 2 7 2" xfId="21639" xr:uid="{00000000-0005-0000-0000-00006D540000}"/>
    <cellStyle name="표준 25 3 5 2 7 2 2" xfId="21640" xr:uid="{00000000-0005-0000-0000-00006E540000}"/>
    <cellStyle name="표준 25 3 5 2 7 3" xfId="21641" xr:uid="{00000000-0005-0000-0000-00006F540000}"/>
    <cellStyle name="표준 25 3 5 2 8" xfId="21642" xr:uid="{00000000-0005-0000-0000-000070540000}"/>
    <cellStyle name="표준 25 3 5 2 8 2" xfId="21643" xr:uid="{00000000-0005-0000-0000-000071540000}"/>
    <cellStyle name="표준 25 3 5 2 9" xfId="21644" xr:uid="{00000000-0005-0000-0000-000072540000}"/>
    <cellStyle name="표준 25 3 5 3" xfId="21645" xr:uid="{00000000-0005-0000-0000-000073540000}"/>
    <cellStyle name="표준 25 3 5 3 2" xfId="21646" xr:uid="{00000000-0005-0000-0000-000074540000}"/>
    <cellStyle name="표준 25 3 5 3 2 2" xfId="21647" xr:uid="{00000000-0005-0000-0000-000075540000}"/>
    <cellStyle name="표준 25 3 5 3 2 2 2" xfId="21648" xr:uid="{00000000-0005-0000-0000-000076540000}"/>
    <cellStyle name="표준 25 3 5 3 2 2 2 2" xfId="21649" xr:uid="{00000000-0005-0000-0000-000077540000}"/>
    <cellStyle name="표준 25 3 5 3 2 2 2 2 2" xfId="21650" xr:uid="{00000000-0005-0000-0000-000078540000}"/>
    <cellStyle name="표준 25 3 5 3 2 2 2 2 2 2" xfId="21651" xr:uid="{00000000-0005-0000-0000-000079540000}"/>
    <cellStyle name="표준 25 3 5 3 2 2 2 2 2 2 2" xfId="21652" xr:uid="{00000000-0005-0000-0000-00007A540000}"/>
    <cellStyle name="표준 25 3 5 3 2 2 2 2 2 3" xfId="21653" xr:uid="{00000000-0005-0000-0000-00007B540000}"/>
    <cellStyle name="표준 25 3 5 3 2 2 2 2 3" xfId="21654" xr:uid="{00000000-0005-0000-0000-00007C540000}"/>
    <cellStyle name="표준 25 3 5 3 2 2 2 2 3 2" xfId="21655" xr:uid="{00000000-0005-0000-0000-00007D540000}"/>
    <cellStyle name="표준 25 3 5 3 2 2 2 2 4" xfId="21656" xr:uid="{00000000-0005-0000-0000-00007E540000}"/>
    <cellStyle name="표준 25 3 5 3 2 2 2 3" xfId="21657" xr:uid="{00000000-0005-0000-0000-00007F540000}"/>
    <cellStyle name="표준 25 3 5 3 2 2 2 3 2" xfId="21658" xr:uid="{00000000-0005-0000-0000-000080540000}"/>
    <cellStyle name="표준 25 3 5 3 2 2 2 3 2 2" xfId="21659" xr:uid="{00000000-0005-0000-0000-000081540000}"/>
    <cellStyle name="표준 25 3 5 3 2 2 2 3 3" xfId="21660" xr:uid="{00000000-0005-0000-0000-000082540000}"/>
    <cellStyle name="표준 25 3 5 3 2 2 2 4" xfId="21661" xr:uid="{00000000-0005-0000-0000-000083540000}"/>
    <cellStyle name="표준 25 3 5 3 2 2 2 4 2" xfId="21662" xr:uid="{00000000-0005-0000-0000-000084540000}"/>
    <cellStyle name="표준 25 3 5 3 2 2 2 5" xfId="21663" xr:uid="{00000000-0005-0000-0000-000085540000}"/>
    <cellStyle name="표준 25 3 5 3 2 2 3" xfId="21664" xr:uid="{00000000-0005-0000-0000-000086540000}"/>
    <cellStyle name="표준 25 3 5 3 2 2 3 2" xfId="21665" xr:uid="{00000000-0005-0000-0000-000087540000}"/>
    <cellStyle name="표준 25 3 5 3 2 2 3 2 2" xfId="21666" xr:uid="{00000000-0005-0000-0000-000088540000}"/>
    <cellStyle name="표준 25 3 5 3 2 2 3 2 2 2" xfId="21667" xr:uid="{00000000-0005-0000-0000-000089540000}"/>
    <cellStyle name="표준 25 3 5 3 2 2 3 2 3" xfId="21668" xr:uid="{00000000-0005-0000-0000-00008A540000}"/>
    <cellStyle name="표준 25 3 5 3 2 2 3 3" xfId="21669" xr:uid="{00000000-0005-0000-0000-00008B540000}"/>
    <cellStyle name="표준 25 3 5 3 2 2 3 3 2" xfId="21670" xr:uid="{00000000-0005-0000-0000-00008C540000}"/>
    <cellStyle name="표준 25 3 5 3 2 2 3 4" xfId="21671" xr:uid="{00000000-0005-0000-0000-00008D540000}"/>
    <cellStyle name="표준 25 3 5 3 2 2 4" xfId="21672" xr:uid="{00000000-0005-0000-0000-00008E540000}"/>
    <cellStyle name="표준 25 3 5 3 2 2 4 2" xfId="21673" xr:uid="{00000000-0005-0000-0000-00008F540000}"/>
    <cellStyle name="표준 25 3 5 3 2 2 4 2 2" xfId="21674" xr:uid="{00000000-0005-0000-0000-000090540000}"/>
    <cellStyle name="표준 25 3 5 3 2 2 4 3" xfId="21675" xr:uid="{00000000-0005-0000-0000-000091540000}"/>
    <cellStyle name="표준 25 3 5 3 2 2 5" xfId="21676" xr:uid="{00000000-0005-0000-0000-000092540000}"/>
    <cellStyle name="표준 25 3 5 3 2 2 5 2" xfId="21677" xr:uid="{00000000-0005-0000-0000-000093540000}"/>
    <cellStyle name="표준 25 3 5 3 2 2 6" xfId="21678" xr:uid="{00000000-0005-0000-0000-000094540000}"/>
    <cellStyle name="표준 25 3 5 3 2 3" xfId="21679" xr:uid="{00000000-0005-0000-0000-000095540000}"/>
    <cellStyle name="표준 25 3 5 3 2 3 2" xfId="21680" xr:uid="{00000000-0005-0000-0000-000096540000}"/>
    <cellStyle name="표준 25 3 5 3 2 3 2 2" xfId="21681" xr:uid="{00000000-0005-0000-0000-000097540000}"/>
    <cellStyle name="표준 25 3 5 3 2 3 2 2 2" xfId="21682" xr:uid="{00000000-0005-0000-0000-000098540000}"/>
    <cellStyle name="표준 25 3 5 3 2 3 2 2 2 2" xfId="21683" xr:uid="{00000000-0005-0000-0000-000099540000}"/>
    <cellStyle name="표준 25 3 5 3 2 3 2 2 3" xfId="21684" xr:uid="{00000000-0005-0000-0000-00009A540000}"/>
    <cellStyle name="표준 25 3 5 3 2 3 2 3" xfId="21685" xr:uid="{00000000-0005-0000-0000-00009B540000}"/>
    <cellStyle name="표준 25 3 5 3 2 3 2 3 2" xfId="21686" xr:uid="{00000000-0005-0000-0000-00009C540000}"/>
    <cellStyle name="표준 25 3 5 3 2 3 2 4" xfId="21687" xr:uid="{00000000-0005-0000-0000-00009D540000}"/>
    <cellStyle name="표준 25 3 5 3 2 3 3" xfId="21688" xr:uid="{00000000-0005-0000-0000-00009E540000}"/>
    <cellStyle name="표준 25 3 5 3 2 3 3 2" xfId="21689" xr:uid="{00000000-0005-0000-0000-00009F540000}"/>
    <cellStyle name="표준 25 3 5 3 2 3 3 2 2" xfId="21690" xr:uid="{00000000-0005-0000-0000-0000A0540000}"/>
    <cellStyle name="표준 25 3 5 3 2 3 3 3" xfId="21691" xr:uid="{00000000-0005-0000-0000-0000A1540000}"/>
    <cellStyle name="표준 25 3 5 3 2 3 4" xfId="21692" xr:uid="{00000000-0005-0000-0000-0000A2540000}"/>
    <cellStyle name="표준 25 3 5 3 2 3 4 2" xfId="21693" xr:uid="{00000000-0005-0000-0000-0000A3540000}"/>
    <cellStyle name="표준 25 3 5 3 2 3 5" xfId="21694" xr:uid="{00000000-0005-0000-0000-0000A4540000}"/>
    <cellStyle name="표준 25 3 5 3 2 4" xfId="21695" xr:uid="{00000000-0005-0000-0000-0000A5540000}"/>
    <cellStyle name="표준 25 3 5 3 2 4 2" xfId="21696" xr:uid="{00000000-0005-0000-0000-0000A6540000}"/>
    <cellStyle name="표준 25 3 5 3 2 4 2 2" xfId="21697" xr:uid="{00000000-0005-0000-0000-0000A7540000}"/>
    <cellStyle name="표준 25 3 5 3 2 4 2 2 2" xfId="21698" xr:uid="{00000000-0005-0000-0000-0000A8540000}"/>
    <cellStyle name="표준 25 3 5 3 2 4 2 3" xfId="21699" xr:uid="{00000000-0005-0000-0000-0000A9540000}"/>
    <cellStyle name="표준 25 3 5 3 2 4 3" xfId="21700" xr:uid="{00000000-0005-0000-0000-0000AA540000}"/>
    <cellStyle name="표준 25 3 5 3 2 4 3 2" xfId="21701" xr:uid="{00000000-0005-0000-0000-0000AB540000}"/>
    <cellStyle name="표준 25 3 5 3 2 4 4" xfId="21702" xr:uid="{00000000-0005-0000-0000-0000AC540000}"/>
    <cellStyle name="표준 25 3 5 3 2 5" xfId="21703" xr:uid="{00000000-0005-0000-0000-0000AD540000}"/>
    <cellStyle name="표준 25 3 5 3 2 5 2" xfId="21704" xr:uid="{00000000-0005-0000-0000-0000AE540000}"/>
    <cellStyle name="표준 25 3 5 3 2 5 2 2" xfId="21705" xr:uid="{00000000-0005-0000-0000-0000AF540000}"/>
    <cellStyle name="표준 25 3 5 3 2 5 3" xfId="21706" xr:uid="{00000000-0005-0000-0000-0000B0540000}"/>
    <cellStyle name="표준 25 3 5 3 2 6" xfId="21707" xr:uid="{00000000-0005-0000-0000-0000B1540000}"/>
    <cellStyle name="표준 25 3 5 3 2 6 2" xfId="21708" xr:uid="{00000000-0005-0000-0000-0000B2540000}"/>
    <cellStyle name="표준 25 3 5 3 2 7" xfId="21709" xr:uid="{00000000-0005-0000-0000-0000B3540000}"/>
    <cellStyle name="표준 25 3 5 3 2 8" xfId="21710" xr:uid="{00000000-0005-0000-0000-0000B4540000}"/>
    <cellStyle name="표준 25 3 5 3 3" xfId="21711" xr:uid="{00000000-0005-0000-0000-0000B5540000}"/>
    <cellStyle name="표준 25 3 5 3 3 2" xfId="21712" xr:uid="{00000000-0005-0000-0000-0000B6540000}"/>
    <cellStyle name="표준 25 3 5 3 3 2 2" xfId="21713" xr:uid="{00000000-0005-0000-0000-0000B7540000}"/>
    <cellStyle name="표준 25 3 5 3 3 2 2 2" xfId="21714" xr:uid="{00000000-0005-0000-0000-0000B8540000}"/>
    <cellStyle name="표준 25 3 5 3 3 2 2 2 2" xfId="21715" xr:uid="{00000000-0005-0000-0000-0000B9540000}"/>
    <cellStyle name="표준 25 3 5 3 3 2 2 2 2 2" xfId="21716" xr:uid="{00000000-0005-0000-0000-0000BA540000}"/>
    <cellStyle name="표준 25 3 5 3 3 2 2 2 3" xfId="21717" xr:uid="{00000000-0005-0000-0000-0000BB540000}"/>
    <cellStyle name="표준 25 3 5 3 3 2 2 3" xfId="21718" xr:uid="{00000000-0005-0000-0000-0000BC540000}"/>
    <cellStyle name="표준 25 3 5 3 3 2 2 3 2" xfId="21719" xr:uid="{00000000-0005-0000-0000-0000BD540000}"/>
    <cellStyle name="표준 25 3 5 3 3 2 2 4" xfId="21720" xr:uid="{00000000-0005-0000-0000-0000BE540000}"/>
    <cellStyle name="표준 25 3 5 3 3 2 3" xfId="21721" xr:uid="{00000000-0005-0000-0000-0000BF540000}"/>
    <cellStyle name="표준 25 3 5 3 3 2 3 2" xfId="21722" xr:uid="{00000000-0005-0000-0000-0000C0540000}"/>
    <cellStyle name="표준 25 3 5 3 3 2 3 2 2" xfId="21723" xr:uid="{00000000-0005-0000-0000-0000C1540000}"/>
    <cellStyle name="표준 25 3 5 3 3 2 3 3" xfId="21724" xr:uid="{00000000-0005-0000-0000-0000C2540000}"/>
    <cellStyle name="표준 25 3 5 3 3 2 4" xfId="21725" xr:uid="{00000000-0005-0000-0000-0000C3540000}"/>
    <cellStyle name="표준 25 3 5 3 3 2 4 2" xfId="21726" xr:uid="{00000000-0005-0000-0000-0000C4540000}"/>
    <cellStyle name="표준 25 3 5 3 3 2 5" xfId="21727" xr:uid="{00000000-0005-0000-0000-0000C5540000}"/>
    <cellStyle name="표준 25 3 5 3 3 3" xfId="21728" xr:uid="{00000000-0005-0000-0000-0000C6540000}"/>
    <cellStyle name="표준 25 3 5 3 3 3 2" xfId="21729" xr:uid="{00000000-0005-0000-0000-0000C7540000}"/>
    <cellStyle name="표준 25 3 5 3 3 3 2 2" xfId="21730" xr:uid="{00000000-0005-0000-0000-0000C8540000}"/>
    <cellStyle name="표준 25 3 5 3 3 3 2 2 2" xfId="21731" xr:uid="{00000000-0005-0000-0000-0000C9540000}"/>
    <cellStyle name="표준 25 3 5 3 3 3 2 3" xfId="21732" xr:uid="{00000000-0005-0000-0000-0000CA540000}"/>
    <cellStyle name="표준 25 3 5 3 3 3 3" xfId="21733" xr:uid="{00000000-0005-0000-0000-0000CB540000}"/>
    <cellStyle name="표준 25 3 5 3 3 3 3 2" xfId="21734" xr:uid="{00000000-0005-0000-0000-0000CC540000}"/>
    <cellStyle name="표준 25 3 5 3 3 3 4" xfId="21735" xr:uid="{00000000-0005-0000-0000-0000CD540000}"/>
    <cellStyle name="표준 25 3 5 3 3 4" xfId="21736" xr:uid="{00000000-0005-0000-0000-0000CE540000}"/>
    <cellStyle name="표준 25 3 5 3 3 4 2" xfId="21737" xr:uid="{00000000-0005-0000-0000-0000CF540000}"/>
    <cellStyle name="표준 25 3 5 3 3 4 2 2" xfId="21738" xr:uid="{00000000-0005-0000-0000-0000D0540000}"/>
    <cellStyle name="표준 25 3 5 3 3 4 3" xfId="21739" xr:uid="{00000000-0005-0000-0000-0000D1540000}"/>
    <cellStyle name="표준 25 3 5 3 3 5" xfId="21740" xr:uid="{00000000-0005-0000-0000-0000D2540000}"/>
    <cellStyle name="표준 25 3 5 3 3 5 2" xfId="21741" xr:uid="{00000000-0005-0000-0000-0000D3540000}"/>
    <cellStyle name="표준 25 3 5 3 3 6" xfId="21742" xr:uid="{00000000-0005-0000-0000-0000D4540000}"/>
    <cellStyle name="표준 25 3 5 3 4" xfId="21743" xr:uid="{00000000-0005-0000-0000-0000D5540000}"/>
    <cellStyle name="표준 25 3 5 3 4 2" xfId="21744" xr:uid="{00000000-0005-0000-0000-0000D6540000}"/>
    <cellStyle name="표준 25 3 5 3 4 2 2" xfId="21745" xr:uid="{00000000-0005-0000-0000-0000D7540000}"/>
    <cellStyle name="표준 25 3 5 3 4 2 2 2" xfId="21746" xr:uid="{00000000-0005-0000-0000-0000D8540000}"/>
    <cellStyle name="표준 25 3 5 3 4 2 2 2 2" xfId="21747" xr:uid="{00000000-0005-0000-0000-0000D9540000}"/>
    <cellStyle name="표준 25 3 5 3 4 2 2 3" xfId="21748" xr:uid="{00000000-0005-0000-0000-0000DA540000}"/>
    <cellStyle name="표준 25 3 5 3 4 2 3" xfId="21749" xr:uid="{00000000-0005-0000-0000-0000DB540000}"/>
    <cellStyle name="표준 25 3 5 3 4 2 3 2" xfId="21750" xr:uid="{00000000-0005-0000-0000-0000DC540000}"/>
    <cellStyle name="표준 25 3 5 3 4 2 4" xfId="21751" xr:uid="{00000000-0005-0000-0000-0000DD540000}"/>
    <cellStyle name="표준 25 3 5 3 4 3" xfId="21752" xr:uid="{00000000-0005-0000-0000-0000DE540000}"/>
    <cellStyle name="표준 25 3 5 3 4 3 2" xfId="21753" xr:uid="{00000000-0005-0000-0000-0000DF540000}"/>
    <cellStyle name="표준 25 3 5 3 4 3 2 2" xfId="21754" xr:uid="{00000000-0005-0000-0000-0000E0540000}"/>
    <cellStyle name="표준 25 3 5 3 4 3 3" xfId="21755" xr:uid="{00000000-0005-0000-0000-0000E1540000}"/>
    <cellStyle name="표준 25 3 5 3 4 4" xfId="21756" xr:uid="{00000000-0005-0000-0000-0000E2540000}"/>
    <cellStyle name="표준 25 3 5 3 4 4 2" xfId="21757" xr:uid="{00000000-0005-0000-0000-0000E3540000}"/>
    <cellStyle name="표준 25 3 5 3 4 5" xfId="21758" xr:uid="{00000000-0005-0000-0000-0000E4540000}"/>
    <cellStyle name="표준 25 3 5 3 5" xfId="21759" xr:uid="{00000000-0005-0000-0000-0000E5540000}"/>
    <cellStyle name="표준 25 3 5 3 5 2" xfId="21760" xr:uid="{00000000-0005-0000-0000-0000E6540000}"/>
    <cellStyle name="표준 25 3 5 3 5 2 2" xfId="21761" xr:uid="{00000000-0005-0000-0000-0000E7540000}"/>
    <cellStyle name="표준 25 3 5 3 5 2 2 2" xfId="21762" xr:uid="{00000000-0005-0000-0000-0000E8540000}"/>
    <cellStyle name="표준 25 3 5 3 5 2 3" xfId="21763" xr:uid="{00000000-0005-0000-0000-0000E9540000}"/>
    <cellStyle name="표준 25 3 5 3 5 3" xfId="21764" xr:uid="{00000000-0005-0000-0000-0000EA540000}"/>
    <cellStyle name="표준 25 3 5 3 5 3 2" xfId="21765" xr:uid="{00000000-0005-0000-0000-0000EB540000}"/>
    <cellStyle name="표준 25 3 5 3 5 4" xfId="21766" xr:uid="{00000000-0005-0000-0000-0000EC540000}"/>
    <cellStyle name="표준 25 3 5 3 6" xfId="21767" xr:uid="{00000000-0005-0000-0000-0000ED540000}"/>
    <cellStyle name="표준 25 3 5 3 6 2" xfId="21768" xr:uid="{00000000-0005-0000-0000-0000EE540000}"/>
    <cellStyle name="표준 25 3 5 3 6 2 2" xfId="21769" xr:uid="{00000000-0005-0000-0000-0000EF540000}"/>
    <cellStyle name="표준 25 3 5 3 6 3" xfId="21770" xr:uid="{00000000-0005-0000-0000-0000F0540000}"/>
    <cellStyle name="표준 25 3 5 3 7" xfId="21771" xr:uid="{00000000-0005-0000-0000-0000F1540000}"/>
    <cellStyle name="표준 25 3 5 3 7 2" xfId="21772" xr:uid="{00000000-0005-0000-0000-0000F2540000}"/>
    <cellStyle name="표준 25 3 5 3 8" xfId="21773" xr:uid="{00000000-0005-0000-0000-0000F3540000}"/>
    <cellStyle name="표준 25 3 5 3 9" xfId="21774" xr:uid="{00000000-0005-0000-0000-0000F4540000}"/>
    <cellStyle name="표준 25 3 5 4" xfId="21775" xr:uid="{00000000-0005-0000-0000-0000F5540000}"/>
    <cellStyle name="표준 25 3 5 4 2" xfId="21776" xr:uid="{00000000-0005-0000-0000-0000F6540000}"/>
    <cellStyle name="표준 25 3 5 4 2 2" xfId="21777" xr:uid="{00000000-0005-0000-0000-0000F7540000}"/>
    <cellStyle name="표준 25 3 5 4 2 2 2" xfId="21778" xr:uid="{00000000-0005-0000-0000-0000F8540000}"/>
    <cellStyle name="표준 25 3 5 4 2 2 2 2" xfId="21779" xr:uid="{00000000-0005-0000-0000-0000F9540000}"/>
    <cellStyle name="표준 25 3 5 4 2 2 2 2 2" xfId="21780" xr:uid="{00000000-0005-0000-0000-0000FA540000}"/>
    <cellStyle name="표준 25 3 5 4 2 2 2 2 2 2" xfId="21781" xr:uid="{00000000-0005-0000-0000-0000FB540000}"/>
    <cellStyle name="표준 25 3 5 4 2 2 2 2 3" xfId="21782" xr:uid="{00000000-0005-0000-0000-0000FC540000}"/>
    <cellStyle name="표준 25 3 5 4 2 2 2 3" xfId="21783" xr:uid="{00000000-0005-0000-0000-0000FD540000}"/>
    <cellStyle name="표준 25 3 5 4 2 2 2 3 2" xfId="21784" xr:uid="{00000000-0005-0000-0000-0000FE540000}"/>
    <cellStyle name="표준 25 3 5 4 2 2 2 4" xfId="21785" xr:uid="{00000000-0005-0000-0000-0000FF540000}"/>
    <cellStyle name="표준 25 3 5 4 2 2 3" xfId="21786" xr:uid="{00000000-0005-0000-0000-000000550000}"/>
    <cellStyle name="표준 25 3 5 4 2 2 3 2" xfId="21787" xr:uid="{00000000-0005-0000-0000-000001550000}"/>
    <cellStyle name="표준 25 3 5 4 2 2 3 2 2" xfId="21788" xr:uid="{00000000-0005-0000-0000-000002550000}"/>
    <cellStyle name="표준 25 3 5 4 2 2 3 3" xfId="21789" xr:uid="{00000000-0005-0000-0000-000003550000}"/>
    <cellStyle name="표준 25 3 5 4 2 2 4" xfId="21790" xr:uid="{00000000-0005-0000-0000-000004550000}"/>
    <cellStyle name="표준 25 3 5 4 2 2 4 2" xfId="21791" xr:uid="{00000000-0005-0000-0000-000005550000}"/>
    <cellStyle name="표준 25 3 5 4 2 2 5" xfId="21792" xr:uid="{00000000-0005-0000-0000-000006550000}"/>
    <cellStyle name="표준 25 3 5 4 2 3" xfId="21793" xr:uid="{00000000-0005-0000-0000-000007550000}"/>
    <cellStyle name="표준 25 3 5 4 2 3 2" xfId="21794" xr:uid="{00000000-0005-0000-0000-000008550000}"/>
    <cellStyle name="표준 25 3 5 4 2 3 2 2" xfId="21795" xr:uid="{00000000-0005-0000-0000-000009550000}"/>
    <cellStyle name="표준 25 3 5 4 2 3 2 2 2" xfId="21796" xr:uid="{00000000-0005-0000-0000-00000A550000}"/>
    <cellStyle name="표준 25 3 5 4 2 3 2 3" xfId="21797" xr:uid="{00000000-0005-0000-0000-00000B550000}"/>
    <cellStyle name="표준 25 3 5 4 2 3 3" xfId="21798" xr:uid="{00000000-0005-0000-0000-00000C550000}"/>
    <cellStyle name="표준 25 3 5 4 2 3 3 2" xfId="21799" xr:uid="{00000000-0005-0000-0000-00000D550000}"/>
    <cellStyle name="표준 25 3 5 4 2 3 4" xfId="21800" xr:uid="{00000000-0005-0000-0000-00000E550000}"/>
    <cellStyle name="표준 25 3 5 4 2 4" xfId="21801" xr:uid="{00000000-0005-0000-0000-00000F550000}"/>
    <cellStyle name="표준 25 3 5 4 2 4 2" xfId="21802" xr:uid="{00000000-0005-0000-0000-000010550000}"/>
    <cellStyle name="표준 25 3 5 4 2 4 2 2" xfId="21803" xr:uid="{00000000-0005-0000-0000-000011550000}"/>
    <cellStyle name="표준 25 3 5 4 2 4 3" xfId="21804" xr:uid="{00000000-0005-0000-0000-000012550000}"/>
    <cellStyle name="표준 25 3 5 4 2 5" xfId="21805" xr:uid="{00000000-0005-0000-0000-000013550000}"/>
    <cellStyle name="표준 25 3 5 4 2 5 2" xfId="21806" xr:uid="{00000000-0005-0000-0000-000014550000}"/>
    <cellStyle name="표준 25 3 5 4 2 6" xfId="21807" xr:uid="{00000000-0005-0000-0000-000015550000}"/>
    <cellStyle name="표준 25 3 5 4 3" xfId="21808" xr:uid="{00000000-0005-0000-0000-000016550000}"/>
    <cellStyle name="표준 25 3 5 4 3 2" xfId="21809" xr:uid="{00000000-0005-0000-0000-000017550000}"/>
    <cellStyle name="표준 25 3 5 4 3 2 2" xfId="21810" xr:uid="{00000000-0005-0000-0000-000018550000}"/>
    <cellStyle name="표준 25 3 5 4 3 2 2 2" xfId="21811" xr:uid="{00000000-0005-0000-0000-000019550000}"/>
    <cellStyle name="표준 25 3 5 4 3 2 2 2 2" xfId="21812" xr:uid="{00000000-0005-0000-0000-00001A550000}"/>
    <cellStyle name="표준 25 3 5 4 3 2 2 3" xfId="21813" xr:uid="{00000000-0005-0000-0000-00001B550000}"/>
    <cellStyle name="표준 25 3 5 4 3 2 3" xfId="21814" xr:uid="{00000000-0005-0000-0000-00001C550000}"/>
    <cellStyle name="표준 25 3 5 4 3 2 3 2" xfId="21815" xr:uid="{00000000-0005-0000-0000-00001D550000}"/>
    <cellStyle name="표준 25 3 5 4 3 2 4" xfId="21816" xr:uid="{00000000-0005-0000-0000-00001E550000}"/>
    <cellStyle name="표준 25 3 5 4 3 3" xfId="21817" xr:uid="{00000000-0005-0000-0000-00001F550000}"/>
    <cellStyle name="표준 25 3 5 4 3 3 2" xfId="21818" xr:uid="{00000000-0005-0000-0000-000020550000}"/>
    <cellStyle name="표준 25 3 5 4 3 3 2 2" xfId="21819" xr:uid="{00000000-0005-0000-0000-000021550000}"/>
    <cellStyle name="표준 25 3 5 4 3 3 3" xfId="21820" xr:uid="{00000000-0005-0000-0000-000022550000}"/>
    <cellStyle name="표준 25 3 5 4 3 4" xfId="21821" xr:uid="{00000000-0005-0000-0000-000023550000}"/>
    <cellStyle name="표준 25 3 5 4 3 4 2" xfId="21822" xr:uid="{00000000-0005-0000-0000-000024550000}"/>
    <cellStyle name="표준 25 3 5 4 3 5" xfId="21823" xr:uid="{00000000-0005-0000-0000-000025550000}"/>
    <cellStyle name="표준 25 3 5 4 4" xfId="21824" xr:uid="{00000000-0005-0000-0000-000026550000}"/>
    <cellStyle name="표준 25 3 5 4 4 2" xfId="21825" xr:uid="{00000000-0005-0000-0000-000027550000}"/>
    <cellStyle name="표준 25 3 5 4 4 2 2" xfId="21826" xr:uid="{00000000-0005-0000-0000-000028550000}"/>
    <cellStyle name="표준 25 3 5 4 4 2 2 2" xfId="21827" xr:uid="{00000000-0005-0000-0000-000029550000}"/>
    <cellStyle name="표준 25 3 5 4 4 2 3" xfId="21828" xr:uid="{00000000-0005-0000-0000-00002A550000}"/>
    <cellStyle name="표준 25 3 5 4 4 3" xfId="21829" xr:uid="{00000000-0005-0000-0000-00002B550000}"/>
    <cellStyle name="표준 25 3 5 4 4 3 2" xfId="21830" xr:uid="{00000000-0005-0000-0000-00002C550000}"/>
    <cellStyle name="표준 25 3 5 4 4 4" xfId="21831" xr:uid="{00000000-0005-0000-0000-00002D550000}"/>
    <cellStyle name="표준 25 3 5 4 5" xfId="21832" xr:uid="{00000000-0005-0000-0000-00002E550000}"/>
    <cellStyle name="표준 25 3 5 4 5 2" xfId="21833" xr:uid="{00000000-0005-0000-0000-00002F550000}"/>
    <cellStyle name="표준 25 3 5 4 5 2 2" xfId="21834" xr:uid="{00000000-0005-0000-0000-000030550000}"/>
    <cellStyle name="표준 25 3 5 4 5 3" xfId="21835" xr:uid="{00000000-0005-0000-0000-000031550000}"/>
    <cellStyle name="표준 25 3 5 4 6" xfId="21836" xr:uid="{00000000-0005-0000-0000-000032550000}"/>
    <cellStyle name="표준 25 3 5 4 6 2" xfId="21837" xr:uid="{00000000-0005-0000-0000-000033550000}"/>
    <cellStyle name="표준 25 3 5 4 7" xfId="21838" xr:uid="{00000000-0005-0000-0000-000034550000}"/>
    <cellStyle name="표준 25 3 5 4 8" xfId="21839" xr:uid="{00000000-0005-0000-0000-000035550000}"/>
    <cellStyle name="표준 25 3 5 5" xfId="21840" xr:uid="{00000000-0005-0000-0000-000036550000}"/>
    <cellStyle name="표준 25 3 5 5 2" xfId="21841" xr:uid="{00000000-0005-0000-0000-000037550000}"/>
    <cellStyle name="표준 25 3 5 5 2 2" xfId="21842" xr:uid="{00000000-0005-0000-0000-000038550000}"/>
    <cellStyle name="표준 25 3 5 5 2 2 2" xfId="21843" xr:uid="{00000000-0005-0000-0000-000039550000}"/>
    <cellStyle name="표준 25 3 5 5 2 2 2 2" xfId="21844" xr:uid="{00000000-0005-0000-0000-00003A550000}"/>
    <cellStyle name="표준 25 3 5 5 2 2 2 2 2" xfId="21845" xr:uid="{00000000-0005-0000-0000-00003B550000}"/>
    <cellStyle name="표준 25 3 5 5 2 2 2 3" xfId="21846" xr:uid="{00000000-0005-0000-0000-00003C550000}"/>
    <cellStyle name="표준 25 3 5 5 2 2 3" xfId="21847" xr:uid="{00000000-0005-0000-0000-00003D550000}"/>
    <cellStyle name="표준 25 3 5 5 2 2 3 2" xfId="21848" xr:uid="{00000000-0005-0000-0000-00003E550000}"/>
    <cellStyle name="표준 25 3 5 5 2 2 4" xfId="21849" xr:uid="{00000000-0005-0000-0000-00003F550000}"/>
    <cellStyle name="표준 25 3 5 5 2 3" xfId="21850" xr:uid="{00000000-0005-0000-0000-000040550000}"/>
    <cellStyle name="표준 25 3 5 5 2 3 2" xfId="21851" xr:uid="{00000000-0005-0000-0000-000041550000}"/>
    <cellStyle name="표준 25 3 5 5 2 3 2 2" xfId="21852" xr:uid="{00000000-0005-0000-0000-000042550000}"/>
    <cellStyle name="표준 25 3 5 5 2 3 3" xfId="21853" xr:uid="{00000000-0005-0000-0000-000043550000}"/>
    <cellStyle name="표준 25 3 5 5 2 4" xfId="21854" xr:uid="{00000000-0005-0000-0000-000044550000}"/>
    <cellStyle name="표준 25 3 5 5 2 4 2" xfId="21855" xr:uid="{00000000-0005-0000-0000-000045550000}"/>
    <cellStyle name="표준 25 3 5 5 2 5" xfId="21856" xr:uid="{00000000-0005-0000-0000-000046550000}"/>
    <cellStyle name="표준 25 3 5 5 3" xfId="21857" xr:uid="{00000000-0005-0000-0000-000047550000}"/>
    <cellStyle name="표준 25 3 5 5 3 2" xfId="21858" xr:uid="{00000000-0005-0000-0000-000048550000}"/>
    <cellStyle name="표준 25 3 5 5 3 2 2" xfId="21859" xr:uid="{00000000-0005-0000-0000-000049550000}"/>
    <cellStyle name="표준 25 3 5 5 3 2 2 2" xfId="21860" xr:uid="{00000000-0005-0000-0000-00004A550000}"/>
    <cellStyle name="표준 25 3 5 5 3 2 3" xfId="21861" xr:uid="{00000000-0005-0000-0000-00004B550000}"/>
    <cellStyle name="표준 25 3 5 5 3 3" xfId="21862" xr:uid="{00000000-0005-0000-0000-00004C550000}"/>
    <cellStyle name="표준 25 3 5 5 3 3 2" xfId="21863" xr:uid="{00000000-0005-0000-0000-00004D550000}"/>
    <cellStyle name="표준 25 3 5 5 3 4" xfId="21864" xr:uid="{00000000-0005-0000-0000-00004E550000}"/>
    <cellStyle name="표준 25 3 5 5 4" xfId="21865" xr:uid="{00000000-0005-0000-0000-00004F550000}"/>
    <cellStyle name="표준 25 3 5 5 4 2" xfId="21866" xr:uid="{00000000-0005-0000-0000-000050550000}"/>
    <cellStyle name="표준 25 3 5 5 4 2 2" xfId="21867" xr:uid="{00000000-0005-0000-0000-000051550000}"/>
    <cellStyle name="표준 25 3 5 5 4 3" xfId="21868" xr:uid="{00000000-0005-0000-0000-000052550000}"/>
    <cellStyle name="표준 25 3 5 5 5" xfId="21869" xr:uid="{00000000-0005-0000-0000-000053550000}"/>
    <cellStyle name="표준 25 3 5 5 5 2" xfId="21870" xr:uid="{00000000-0005-0000-0000-000054550000}"/>
    <cellStyle name="표준 25 3 5 5 6" xfId="21871" xr:uid="{00000000-0005-0000-0000-000055550000}"/>
    <cellStyle name="표준 25 3 5 6" xfId="21872" xr:uid="{00000000-0005-0000-0000-000056550000}"/>
    <cellStyle name="표준 25 3 5 6 2" xfId="21873" xr:uid="{00000000-0005-0000-0000-000057550000}"/>
    <cellStyle name="표준 25 3 5 6 2 2" xfId="21874" xr:uid="{00000000-0005-0000-0000-000058550000}"/>
    <cellStyle name="표준 25 3 5 6 2 2 2" xfId="21875" xr:uid="{00000000-0005-0000-0000-000059550000}"/>
    <cellStyle name="표준 25 3 5 6 2 2 2 2" xfId="21876" xr:uid="{00000000-0005-0000-0000-00005A550000}"/>
    <cellStyle name="표준 25 3 5 6 2 2 3" xfId="21877" xr:uid="{00000000-0005-0000-0000-00005B550000}"/>
    <cellStyle name="표준 25 3 5 6 2 3" xfId="21878" xr:uid="{00000000-0005-0000-0000-00005C550000}"/>
    <cellStyle name="표준 25 3 5 6 2 3 2" xfId="21879" xr:uid="{00000000-0005-0000-0000-00005D550000}"/>
    <cellStyle name="표준 25 3 5 6 2 4" xfId="21880" xr:uid="{00000000-0005-0000-0000-00005E550000}"/>
    <cellStyle name="표준 25 3 5 6 3" xfId="21881" xr:uid="{00000000-0005-0000-0000-00005F550000}"/>
    <cellStyle name="표준 25 3 5 6 3 2" xfId="21882" xr:uid="{00000000-0005-0000-0000-000060550000}"/>
    <cellStyle name="표준 25 3 5 6 3 2 2" xfId="21883" xr:uid="{00000000-0005-0000-0000-000061550000}"/>
    <cellStyle name="표준 25 3 5 6 3 3" xfId="21884" xr:uid="{00000000-0005-0000-0000-000062550000}"/>
    <cellStyle name="표준 25 3 5 6 4" xfId="21885" xr:uid="{00000000-0005-0000-0000-000063550000}"/>
    <cellStyle name="표준 25 3 5 6 4 2" xfId="21886" xr:uid="{00000000-0005-0000-0000-000064550000}"/>
    <cellStyle name="표준 25 3 5 6 5" xfId="21887" xr:uid="{00000000-0005-0000-0000-000065550000}"/>
    <cellStyle name="표준 25 3 5 7" xfId="21888" xr:uid="{00000000-0005-0000-0000-000066550000}"/>
    <cellStyle name="표준 25 3 5 7 2" xfId="21889" xr:uid="{00000000-0005-0000-0000-000067550000}"/>
    <cellStyle name="표준 25 3 5 7 2 2" xfId="21890" xr:uid="{00000000-0005-0000-0000-000068550000}"/>
    <cellStyle name="표준 25 3 5 7 2 2 2" xfId="21891" xr:uid="{00000000-0005-0000-0000-000069550000}"/>
    <cellStyle name="표준 25 3 5 7 2 3" xfId="21892" xr:uid="{00000000-0005-0000-0000-00006A550000}"/>
    <cellStyle name="표준 25 3 5 7 3" xfId="21893" xr:uid="{00000000-0005-0000-0000-00006B550000}"/>
    <cellStyle name="표준 25 3 5 7 3 2" xfId="21894" xr:uid="{00000000-0005-0000-0000-00006C550000}"/>
    <cellStyle name="표준 25 3 5 7 4" xfId="21895" xr:uid="{00000000-0005-0000-0000-00006D550000}"/>
    <cellStyle name="표준 25 3 5 8" xfId="21896" xr:uid="{00000000-0005-0000-0000-00006E550000}"/>
    <cellStyle name="표준 25 3 5 8 2" xfId="21897" xr:uid="{00000000-0005-0000-0000-00006F550000}"/>
    <cellStyle name="표준 25 3 5 8 2 2" xfId="21898" xr:uid="{00000000-0005-0000-0000-000070550000}"/>
    <cellStyle name="표준 25 3 5 8 3" xfId="21899" xr:uid="{00000000-0005-0000-0000-000071550000}"/>
    <cellStyle name="표준 25 3 5 9" xfId="21900" xr:uid="{00000000-0005-0000-0000-000072550000}"/>
    <cellStyle name="표준 25 3 5 9 2" xfId="21901" xr:uid="{00000000-0005-0000-0000-000073550000}"/>
    <cellStyle name="표준 25 3 6" xfId="21902" xr:uid="{00000000-0005-0000-0000-000074550000}"/>
    <cellStyle name="표준 25 3 6 10" xfId="21903" xr:uid="{00000000-0005-0000-0000-000075550000}"/>
    <cellStyle name="표준 25 3 6 2" xfId="21904" xr:uid="{00000000-0005-0000-0000-000076550000}"/>
    <cellStyle name="표준 25 3 6 2 2" xfId="21905" xr:uid="{00000000-0005-0000-0000-000077550000}"/>
    <cellStyle name="표준 25 3 6 2 2 2" xfId="21906" xr:uid="{00000000-0005-0000-0000-000078550000}"/>
    <cellStyle name="표준 25 3 6 2 2 2 2" xfId="21907" xr:uid="{00000000-0005-0000-0000-000079550000}"/>
    <cellStyle name="표준 25 3 6 2 2 2 2 2" xfId="21908" xr:uid="{00000000-0005-0000-0000-00007A550000}"/>
    <cellStyle name="표준 25 3 6 2 2 2 2 2 2" xfId="21909" xr:uid="{00000000-0005-0000-0000-00007B550000}"/>
    <cellStyle name="표준 25 3 6 2 2 2 2 2 2 2" xfId="21910" xr:uid="{00000000-0005-0000-0000-00007C550000}"/>
    <cellStyle name="표준 25 3 6 2 2 2 2 2 2 2 2" xfId="21911" xr:uid="{00000000-0005-0000-0000-00007D550000}"/>
    <cellStyle name="표준 25 3 6 2 2 2 2 2 2 3" xfId="21912" xr:uid="{00000000-0005-0000-0000-00007E550000}"/>
    <cellStyle name="표준 25 3 6 2 2 2 2 2 3" xfId="21913" xr:uid="{00000000-0005-0000-0000-00007F550000}"/>
    <cellStyle name="표준 25 3 6 2 2 2 2 2 3 2" xfId="21914" xr:uid="{00000000-0005-0000-0000-000080550000}"/>
    <cellStyle name="표준 25 3 6 2 2 2 2 2 4" xfId="21915" xr:uid="{00000000-0005-0000-0000-000081550000}"/>
    <cellStyle name="표준 25 3 6 2 2 2 2 3" xfId="21916" xr:uid="{00000000-0005-0000-0000-000082550000}"/>
    <cellStyle name="표준 25 3 6 2 2 2 2 3 2" xfId="21917" xr:uid="{00000000-0005-0000-0000-000083550000}"/>
    <cellStyle name="표준 25 3 6 2 2 2 2 3 2 2" xfId="21918" xr:uid="{00000000-0005-0000-0000-000084550000}"/>
    <cellStyle name="표준 25 3 6 2 2 2 2 3 3" xfId="21919" xr:uid="{00000000-0005-0000-0000-000085550000}"/>
    <cellStyle name="표준 25 3 6 2 2 2 2 4" xfId="21920" xr:uid="{00000000-0005-0000-0000-000086550000}"/>
    <cellStyle name="표준 25 3 6 2 2 2 2 4 2" xfId="21921" xr:uid="{00000000-0005-0000-0000-000087550000}"/>
    <cellStyle name="표준 25 3 6 2 2 2 2 5" xfId="21922" xr:uid="{00000000-0005-0000-0000-000088550000}"/>
    <cellStyle name="표준 25 3 6 2 2 2 3" xfId="21923" xr:uid="{00000000-0005-0000-0000-000089550000}"/>
    <cellStyle name="표준 25 3 6 2 2 2 3 2" xfId="21924" xr:uid="{00000000-0005-0000-0000-00008A550000}"/>
    <cellStyle name="표준 25 3 6 2 2 2 3 2 2" xfId="21925" xr:uid="{00000000-0005-0000-0000-00008B550000}"/>
    <cellStyle name="표준 25 3 6 2 2 2 3 2 2 2" xfId="21926" xr:uid="{00000000-0005-0000-0000-00008C550000}"/>
    <cellStyle name="표준 25 3 6 2 2 2 3 2 3" xfId="21927" xr:uid="{00000000-0005-0000-0000-00008D550000}"/>
    <cellStyle name="표준 25 3 6 2 2 2 3 3" xfId="21928" xr:uid="{00000000-0005-0000-0000-00008E550000}"/>
    <cellStyle name="표준 25 3 6 2 2 2 3 3 2" xfId="21929" xr:uid="{00000000-0005-0000-0000-00008F550000}"/>
    <cellStyle name="표준 25 3 6 2 2 2 3 4" xfId="21930" xr:uid="{00000000-0005-0000-0000-000090550000}"/>
    <cellStyle name="표준 25 3 6 2 2 2 4" xfId="21931" xr:uid="{00000000-0005-0000-0000-000091550000}"/>
    <cellStyle name="표준 25 3 6 2 2 2 4 2" xfId="21932" xr:uid="{00000000-0005-0000-0000-000092550000}"/>
    <cellStyle name="표준 25 3 6 2 2 2 4 2 2" xfId="21933" xr:uid="{00000000-0005-0000-0000-000093550000}"/>
    <cellStyle name="표준 25 3 6 2 2 2 4 3" xfId="21934" xr:uid="{00000000-0005-0000-0000-000094550000}"/>
    <cellStyle name="표준 25 3 6 2 2 2 5" xfId="21935" xr:uid="{00000000-0005-0000-0000-000095550000}"/>
    <cellStyle name="표준 25 3 6 2 2 2 5 2" xfId="21936" xr:uid="{00000000-0005-0000-0000-000096550000}"/>
    <cellStyle name="표준 25 3 6 2 2 2 6" xfId="21937" xr:uid="{00000000-0005-0000-0000-000097550000}"/>
    <cellStyle name="표준 25 3 6 2 2 3" xfId="21938" xr:uid="{00000000-0005-0000-0000-000098550000}"/>
    <cellStyle name="표준 25 3 6 2 2 3 2" xfId="21939" xr:uid="{00000000-0005-0000-0000-000099550000}"/>
    <cellStyle name="표준 25 3 6 2 2 3 2 2" xfId="21940" xr:uid="{00000000-0005-0000-0000-00009A550000}"/>
    <cellStyle name="표준 25 3 6 2 2 3 2 2 2" xfId="21941" xr:uid="{00000000-0005-0000-0000-00009B550000}"/>
    <cellStyle name="표준 25 3 6 2 2 3 2 2 2 2" xfId="21942" xr:uid="{00000000-0005-0000-0000-00009C550000}"/>
    <cellStyle name="표준 25 3 6 2 2 3 2 2 3" xfId="21943" xr:uid="{00000000-0005-0000-0000-00009D550000}"/>
    <cellStyle name="표준 25 3 6 2 2 3 2 3" xfId="21944" xr:uid="{00000000-0005-0000-0000-00009E550000}"/>
    <cellStyle name="표준 25 3 6 2 2 3 2 3 2" xfId="21945" xr:uid="{00000000-0005-0000-0000-00009F550000}"/>
    <cellStyle name="표준 25 3 6 2 2 3 2 4" xfId="21946" xr:uid="{00000000-0005-0000-0000-0000A0550000}"/>
    <cellStyle name="표준 25 3 6 2 2 3 3" xfId="21947" xr:uid="{00000000-0005-0000-0000-0000A1550000}"/>
    <cellStyle name="표준 25 3 6 2 2 3 3 2" xfId="21948" xr:uid="{00000000-0005-0000-0000-0000A2550000}"/>
    <cellStyle name="표준 25 3 6 2 2 3 3 2 2" xfId="21949" xr:uid="{00000000-0005-0000-0000-0000A3550000}"/>
    <cellStyle name="표준 25 3 6 2 2 3 3 3" xfId="21950" xr:uid="{00000000-0005-0000-0000-0000A4550000}"/>
    <cellStyle name="표준 25 3 6 2 2 3 4" xfId="21951" xr:uid="{00000000-0005-0000-0000-0000A5550000}"/>
    <cellStyle name="표준 25 3 6 2 2 3 4 2" xfId="21952" xr:uid="{00000000-0005-0000-0000-0000A6550000}"/>
    <cellStyle name="표준 25 3 6 2 2 3 5" xfId="21953" xr:uid="{00000000-0005-0000-0000-0000A7550000}"/>
    <cellStyle name="표준 25 3 6 2 2 4" xfId="21954" xr:uid="{00000000-0005-0000-0000-0000A8550000}"/>
    <cellStyle name="표준 25 3 6 2 2 4 2" xfId="21955" xr:uid="{00000000-0005-0000-0000-0000A9550000}"/>
    <cellStyle name="표준 25 3 6 2 2 4 2 2" xfId="21956" xr:uid="{00000000-0005-0000-0000-0000AA550000}"/>
    <cellStyle name="표준 25 3 6 2 2 4 2 2 2" xfId="21957" xr:uid="{00000000-0005-0000-0000-0000AB550000}"/>
    <cellStyle name="표준 25 3 6 2 2 4 2 3" xfId="21958" xr:uid="{00000000-0005-0000-0000-0000AC550000}"/>
    <cellStyle name="표준 25 3 6 2 2 4 3" xfId="21959" xr:uid="{00000000-0005-0000-0000-0000AD550000}"/>
    <cellStyle name="표준 25 3 6 2 2 4 3 2" xfId="21960" xr:uid="{00000000-0005-0000-0000-0000AE550000}"/>
    <cellStyle name="표준 25 3 6 2 2 4 4" xfId="21961" xr:uid="{00000000-0005-0000-0000-0000AF550000}"/>
    <cellStyle name="표준 25 3 6 2 2 5" xfId="21962" xr:uid="{00000000-0005-0000-0000-0000B0550000}"/>
    <cellStyle name="표준 25 3 6 2 2 5 2" xfId="21963" xr:uid="{00000000-0005-0000-0000-0000B1550000}"/>
    <cellStyle name="표준 25 3 6 2 2 5 2 2" xfId="21964" xr:uid="{00000000-0005-0000-0000-0000B2550000}"/>
    <cellStyle name="표준 25 3 6 2 2 5 3" xfId="21965" xr:uid="{00000000-0005-0000-0000-0000B3550000}"/>
    <cellStyle name="표준 25 3 6 2 2 6" xfId="21966" xr:uid="{00000000-0005-0000-0000-0000B4550000}"/>
    <cellStyle name="표준 25 3 6 2 2 6 2" xfId="21967" xr:uid="{00000000-0005-0000-0000-0000B5550000}"/>
    <cellStyle name="표준 25 3 6 2 2 7" xfId="21968" xr:uid="{00000000-0005-0000-0000-0000B6550000}"/>
    <cellStyle name="표준 25 3 6 2 2 8" xfId="21969" xr:uid="{00000000-0005-0000-0000-0000B7550000}"/>
    <cellStyle name="표준 25 3 6 2 3" xfId="21970" xr:uid="{00000000-0005-0000-0000-0000B8550000}"/>
    <cellStyle name="표준 25 3 6 2 3 2" xfId="21971" xr:uid="{00000000-0005-0000-0000-0000B9550000}"/>
    <cellStyle name="표준 25 3 6 2 3 2 2" xfId="21972" xr:uid="{00000000-0005-0000-0000-0000BA550000}"/>
    <cellStyle name="표준 25 3 6 2 3 2 2 2" xfId="21973" xr:uid="{00000000-0005-0000-0000-0000BB550000}"/>
    <cellStyle name="표준 25 3 6 2 3 2 2 2 2" xfId="21974" xr:uid="{00000000-0005-0000-0000-0000BC550000}"/>
    <cellStyle name="표준 25 3 6 2 3 2 2 2 2 2" xfId="21975" xr:uid="{00000000-0005-0000-0000-0000BD550000}"/>
    <cellStyle name="표준 25 3 6 2 3 2 2 2 3" xfId="21976" xr:uid="{00000000-0005-0000-0000-0000BE550000}"/>
    <cellStyle name="표준 25 3 6 2 3 2 2 3" xfId="21977" xr:uid="{00000000-0005-0000-0000-0000BF550000}"/>
    <cellStyle name="표준 25 3 6 2 3 2 2 3 2" xfId="21978" xr:uid="{00000000-0005-0000-0000-0000C0550000}"/>
    <cellStyle name="표준 25 3 6 2 3 2 2 4" xfId="21979" xr:uid="{00000000-0005-0000-0000-0000C1550000}"/>
    <cellStyle name="표준 25 3 6 2 3 2 3" xfId="21980" xr:uid="{00000000-0005-0000-0000-0000C2550000}"/>
    <cellStyle name="표준 25 3 6 2 3 2 3 2" xfId="21981" xr:uid="{00000000-0005-0000-0000-0000C3550000}"/>
    <cellStyle name="표준 25 3 6 2 3 2 3 2 2" xfId="21982" xr:uid="{00000000-0005-0000-0000-0000C4550000}"/>
    <cellStyle name="표준 25 3 6 2 3 2 3 3" xfId="21983" xr:uid="{00000000-0005-0000-0000-0000C5550000}"/>
    <cellStyle name="표준 25 3 6 2 3 2 4" xfId="21984" xr:uid="{00000000-0005-0000-0000-0000C6550000}"/>
    <cellStyle name="표준 25 3 6 2 3 2 4 2" xfId="21985" xr:uid="{00000000-0005-0000-0000-0000C7550000}"/>
    <cellStyle name="표준 25 3 6 2 3 2 5" xfId="21986" xr:uid="{00000000-0005-0000-0000-0000C8550000}"/>
    <cellStyle name="표준 25 3 6 2 3 3" xfId="21987" xr:uid="{00000000-0005-0000-0000-0000C9550000}"/>
    <cellStyle name="표준 25 3 6 2 3 3 2" xfId="21988" xr:uid="{00000000-0005-0000-0000-0000CA550000}"/>
    <cellStyle name="표준 25 3 6 2 3 3 2 2" xfId="21989" xr:uid="{00000000-0005-0000-0000-0000CB550000}"/>
    <cellStyle name="표준 25 3 6 2 3 3 2 2 2" xfId="21990" xr:uid="{00000000-0005-0000-0000-0000CC550000}"/>
    <cellStyle name="표준 25 3 6 2 3 3 2 3" xfId="21991" xr:uid="{00000000-0005-0000-0000-0000CD550000}"/>
    <cellStyle name="표준 25 3 6 2 3 3 3" xfId="21992" xr:uid="{00000000-0005-0000-0000-0000CE550000}"/>
    <cellStyle name="표준 25 3 6 2 3 3 3 2" xfId="21993" xr:uid="{00000000-0005-0000-0000-0000CF550000}"/>
    <cellStyle name="표준 25 3 6 2 3 3 4" xfId="21994" xr:uid="{00000000-0005-0000-0000-0000D0550000}"/>
    <cellStyle name="표준 25 3 6 2 3 4" xfId="21995" xr:uid="{00000000-0005-0000-0000-0000D1550000}"/>
    <cellStyle name="표준 25 3 6 2 3 4 2" xfId="21996" xr:uid="{00000000-0005-0000-0000-0000D2550000}"/>
    <cellStyle name="표준 25 3 6 2 3 4 2 2" xfId="21997" xr:uid="{00000000-0005-0000-0000-0000D3550000}"/>
    <cellStyle name="표준 25 3 6 2 3 4 3" xfId="21998" xr:uid="{00000000-0005-0000-0000-0000D4550000}"/>
    <cellStyle name="표준 25 3 6 2 3 5" xfId="21999" xr:uid="{00000000-0005-0000-0000-0000D5550000}"/>
    <cellStyle name="표준 25 3 6 2 3 5 2" xfId="22000" xr:uid="{00000000-0005-0000-0000-0000D6550000}"/>
    <cellStyle name="표준 25 3 6 2 3 6" xfId="22001" xr:uid="{00000000-0005-0000-0000-0000D7550000}"/>
    <cellStyle name="표준 25 3 6 2 4" xfId="22002" xr:uid="{00000000-0005-0000-0000-0000D8550000}"/>
    <cellStyle name="표준 25 3 6 2 4 2" xfId="22003" xr:uid="{00000000-0005-0000-0000-0000D9550000}"/>
    <cellStyle name="표준 25 3 6 2 4 2 2" xfId="22004" xr:uid="{00000000-0005-0000-0000-0000DA550000}"/>
    <cellStyle name="표준 25 3 6 2 4 2 2 2" xfId="22005" xr:uid="{00000000-0005-0000-0000-0000DB550000}"/>
    <cellStyle name="표준 25 3 6 2 4 2 2 2 2" xfId="22006" xr:uid="{00000000-0005-0000-0000-0000DC550000}"/>
    <cellStyle name="표준 25 3 6 2 4 2 2 3" xfId="22007" xr:uid="{00000000-0005-0000-0000-0000DD550000}"/>
    <cellStyle name="표준 25 3 6 2 4 2 3" xfId="22008" xr:uid="{00000000-0005-0000-0000-0000DE550000}"/>
    <cellStyle name="표준 25 3 6 2 4 2 3 2" xfId="22009" xr:uid="{00000000-0005-0000-0000-0000DF550000}"/>
    <cellStyle name="표준 25 3 6 2 4 2 4" xfId="22010" xr:uid="{00000000-0005-0000-0000-0000E0550000}"/>
    <cellStyle name="표준 25 3 6 2 4 3" xfId="22011" xr:uid="{00000000-0005-0000-0000-0000E1550000}"/>
    <cellStyle name="표준 25 3 6 2 4 3 2" xfId="22012" xr:uid="{00000000-0005-0000-0000-0000E2550000}"/>
    <cellStyle name="표준 25 3 6 2 4 3 2 2" xfId="22013" xr:uid="{00000000-0005-0000-0000-0000E3550000}"/>
    <cellStyle name="표준 25 3 6 2 4 3 3" xfId="22014" xr:uid="{00000000-0005-0000-0000-0000E4550000}"/>
    <cellStyle name="표준 25 3 6 2 4 4" xfId="22015" xr:uid="{00000000-0005-0000-0000-0000E5550000}"/>
    <cellStyle name="표준 25 3 6 2 4 4 2" xfId="22016" xr:uid="{00000000-0005-0000-0000-0000E6550000}"/>
    <cellStyle name="표준 25 3 6 2 4 5" xfId="22017" xr:uid="{00000000-0005-0000-0000-0000E7550000}"/>
    <cellStyle name="표준 25 3 6 2 5" xfId="22018" xr:uid="{00000000-0005-0000-0000-0000E8550000}"/>
    <cellStyle name="표준 25 3 6 2 5 2" xfId="22019" xr:uid="{00000000-0005-0000-0000-0000E9550000}"/>
    <cellStyle name="표준 25 3 6 2 5 2 2" xfId="22020" xr:uid="{00000000-0005-0000-0000-0000EA550000}"/>
    <cellStyle name="표준 25 3 6 2 5 2 2 2" xfId="22021" xr:uid="{00000000-0005-0000-0000-0000EB550000}"/>
    <cellStyle name="표준 25 3 6 2 5 2 3" xfId="22022" xr:uid="{00000000-0005-0000-0000-0000EC550000}"/>
    <cellStyle name="표준 25 3 6 2 5 3" xfId="22023" xr:uid="{00000000-0005-0000-0000-0000ED550000}"/>
    <cellStyle name="표준 25 3 6 2 5 3 2" xfId="22024" xr:uid="{00000000-0005-0000-0000-0000EE550000}"/>
    <cellStyle name="표준 25 3 6 2 5 4" xfId="22025" xr:uid="{00000000-0005-0000-0000-0000EF550000}"/>
    <cellStyle name="표준 25 3 6 2 6" xfId="22026" xr:uid="{00000000-0005-0000-0000-0000F0550000}"/>
    <cellStyle name="표준 25 3 6 2 6 2" xfId="22027" xr:uid="{00000000-0005-0000-0000-0000F1550000}"/>
    <cellStyle name="표준 25 3 6 2 6 2 2" xfId="22028" xr:uid="{00000000-0005-0000-0000-0000F2550000}"/>
    <cellStyle name="표준 25 3 6 2 6 3" xfId="22029" xr:uid="{00000000-0005-0000-0000-0000F3550000}"/>
    <cellStyle name="표준 25 3 6 2 7" xfId="22030" xr:uid="{00000000-0005-0000-0000-0000F4550000}"/>
    <cellStyle name="표준 25 3 6 2 7 2" xfId="22031" xr:uid="{00000000-0005-0000-0000-0000F5550000}"/>
    <cellStyle name="표준 25 3 6 2 8" xfId="22032" xr:uid="{00000000-0005-0000-0000-0000F6550000}"/>
    <cellStyle name="표준 25 3 6 2 9" xfId="22033" xr:uid="{00000000-0005-0000-0000-0000F7550000}"/>
    <cellStyle name="표준 25 3 6 3" xfId="22034" xr:uid="{00000000-0005-0000-0000-0000F8550000}"/>
    <cellStyle name="표준 25 3 6 3 2" xfId="22035" xr:uid="{00000000-0005-0000-0000-0000F9550000}"/>
    <cellStyle name="표준 25 3 6 3 2 2" xfId="22036" xr:uid="{00000000-0005-0000-0000-0000FA550000}"/>
    <cellStyle name="표준 25 3 6 3 2 2 2" xfId="22037" xr:uid="{00000000-0005-0000-0000-0000FB550000}"/>
    <cellStyle name="표준 25 3 6 3 2 2 2 2" xfId="22038" xr:uid="{00000000-0005-0000-0000-0000FC550000}"/>
    <cellStyle name="표준 25 3 6 3 2 2 2 2 2" xfId="22039" xr:uid="{00000000-0005-0000-0000-0000FD550000}"/>
    <cellStyle name="표준 25 3 6 3 2 2 2 2 2 2" xfId="22040" xr:uid="{00000000-0005-0000-0000-0000FE550000}"/>
    <cellStyle name="표준 25 3 6 3 2 2 2 2 3" xfId="22041" xr:uid="{00000000-0005-0000-0000-0000FF550000}"/>
    <cellStyle name="표준 25 3 6 3 2 2 2 3" xfId="22042" xr:uid="{00000000-0005-0000-0000-000000560000}"/>
    <cellStyle name="표준 25 3 6 3 2 2 2 3 2" xfId="22043" xr:uid="{00000000-0005-0000-0000-000001560000}"/>
    <cellStyle name="표준 25 3 6 3 2 2 2 4" xfId="22044" xr:uid="{00000000-0005-0000-0000-000002560000}"/>
    <cellStyle name="표준 25 3 6 3 2 2 3" xfId="22045" xr:uid="{00000000-0005-0000-0000-000003560000}"/>
    <cellStyle name="표준 25 3 6 3 2 2 3 2" xfId="22046" xr:uid="{00000000-0005-0000-0000-000004560000}"/>
    <cellStyle name="표준 25 3 6 3 2 2 3 2 2" xfId="22047" xr:uid="{00000000-0005-0000-0000-000005560000}"/>
    <cellStyle name="표준 25 3 6 3 2 2 3 3" xfId="22048" xr:uid="{00000000-0005-0000-0000-000006560000}"/>
    <cellStyle name="표준 25 3 6 3 2 2 4" xfId="22049" xr:uid="{00000000-0005-0000-0000-000007560000}"/>
    <cellStyle name="표준 25 3 6 3 2 2 4 2" xfId="22050" xr:uid="{00000000-0005-0000-0000-000008560000}"/>
    <cellStyle name="표준 25 3 6 3 2 2 5" xfId="22051" xr:uid="{00000000-0005-0000-0000-000009560000}"/>
    <cellStyle name="표준 25 3 6 3 2 3" xfId="22052" xr:uid="{00000000-0005-0000-0000-00000A560000}"/>
    <cellStyle name="표준 25 3 6 3 2 3 2" xfId="22053" xr:uid="{00000000-0005-0000-0000-00000B560000}"/>
    <cellStyle name="표준 25 3 6 3 2 3 2 2" xfId="22054" xr:uid="{00000000-0005-0000-0000-00000C560000}"/>
    <cellStyle name="표준 25 3 6 3 2 3 2 2 2" xfId="22055" xr:uid="{00000000-0005-0000-0000-00000D560000}"/>
    <cellStyle name="표준 25 3 6 3 2 3 2 3" xfId="22056" xr:uid="{00000000-0005-0000-0000-00000E560000}"/>
    <cellStyle name="표준 25 3 6 3 2 3 3" xfId="22057" xr:uid="{00000000-0005-0000-0000-00000F560000}"/>
    <cellStyle name="표준 25 3 6 3 2 3 3 2" xfId="22058" xr:uid="{00000000-0005-0000-0000-000010560000}"/>
    <cellStyle name="표준 25 3 6 3 2 3 4" xfId="22059" xr:uid="{00000000-0005-0000-0000-000011560000}"/>
    <cellStyle name="표준 25 3 6 3 2 4" xfId="22060" xr:uid="{00000000-0005-0000-0000-000012560000}"/>
    <cellStyle name="표준 25 3 6 3 2 4 2" xfId="22061" xr:uid="{00000000-0005-0000-0000-000013560000}"/>
    <cellStyle name="표준 25 3 6 3 2 4 2 2" xfId="22062" xr:uid="{00000000-0005-0000-0000-000014560000}"/>
    <cellStyle name="표준 25 3 6 3 2 4 3" xfId="22063" xr:uid="{00000000-0005-0000-0000-000015560000}"/>
    <cellStyle name="표준 25 3 6 3 2 5" xfId="22064" xr:uid="{00000000-0005-0000-0000-000016560000}"/>
    <cellStyle name="표준 25 3 6 3 2 5 2" xfId="22065" xr:uid="{00000000-0005-0000-0000-000017560000}"/>
    <cellStyle name="표준 25 3 6 3 2 6" xfId="22066" xr:uid="{00000000-0005-0000-0000-000018560000}"/>
    <cellStyle name="표준 25 3 6 3 3" xfId="22067" xr:uid="{00000000-0005-0000-0000-000019560000}"/>
    <cellStyle name="표준 25 3 6 3 3 2" xfId="22068" xr:uid="{00000000-0005-0000-0000-00001A560000}"/>
    <cellStyle name="표준 25 3 6 3 3 2 2" xfId="22069" xr:uid="{00000000-0005-0000-0000-00001B560000}"/>
    <cellStyle name="표준 25 3 6 3 3 2 2 2" xfId="22070" xr:uid="{00000000-0005-0000-0000-00001C560000}"/>
    <cellStyle name="표준 25 3 6 3 3 2 2 2 2" xfId="22071" xr:uid="{00000000-0005-0000-0000-00001D560000}"/>
    <cellStyle name="표준 25 3 6 3 3 2 2 3" xfId="22072" xr:uid="{00000000-0005-0000-0000-00001E560000}"/>
    <cellStyle name="표준 25 3 6 3 3 2 3" xfId="22073" xr:uid="{00000000-0005-0000-0000-00001F560000}"/>
    <cellStyle name="표준 25 3 6 3 3 2 3 2" xfId="22074" xr:uid="{00000000-0005-0000-0000-000020560000}"/>
    <cellStyle name="표준 25 3 6 3 3 2 4" xfId="22075" xr:uid="{00000000-0005-0000-0000-000021560000}"/>
    <cellStyle name="표준 25 3 6 3 3 3" xfId="22076" xr:uid="{00000000-0005-0000-0000-000022560000}"/>
    <cellStyle name="표준 25 3 6 3 3 3 2" xfId="22077" xr:uid="{00000000-0005-0000-0000-000023560000}"/>
    <cellStyle name="표준 25 3 6 3 3 3 2 2" xfId="22078" xr:uid="{00000000-0005-0000-0000-000024560000}"/>
    <cellStyle name="표준 25 3 6 3 3 3 3" xfId="22079" xr:uid="{00000000-0005-0000-0000-000025560000}"/>
    <cellStyle name="표준 25 3 6 3 3 4" xfId="22080" xr:uid="{00000000-0005-0000-0000-000026560000}"/>
    <cellStyle name="표준 25 3 6 3 3 4 2" xfId="22081" xr:uid="{00000000-0005-0000-0000-000027560000}"/>
    <cellStyle name="표준 25 3 6 3 3 5" xfId="22082" xr:uid="{00000000-0005-0000-0000-000028560000}"/>
    <cellStyle name="표준 25 3 6 3 4" xfId="22083" xr:uid="{00000000-0005-0000-0000-000029560000}"/>
    <cellStyle name="표준 25 3 6 3 4 2" xfId="22084" xr:uid="{00000000-0005-0000-0000-00002A560000}"/>
    <cellStyle name="표준 25 3 6 3 4 2 2" xfId="22085" xr:uid="{00000000-0005-0000-0000-00002B560000}"/>
    <cellStyle name="표준 25 3 6 3 4 2 2 2" xfId="22086" xr:uid="{00000000-0005-0000-0000-00002C560000}"/>
    <cellStyle name="표준 25 3 6 3 4 2 3" xfId="22087" xr:uid="{00000000-0005-0000-0000-00002D560000}"/>
    <cellStyle name="표준 25 3 6 3 4 3" xfId="22088" xr:uid="{00000000-0005-0000-0000-00002E560000}"/>
    <cellStyle name="표준 25 3 6 3 4 3 2" xfId="22089" xr:uid="{00000000-0005-0000-0000-00002F560000}"/>
    <cellStyle name="표준 25 3 6 3 4 4" xfId="22090" xr:uid="{00000000-0005-0000-0000-000030560000}"/>
    <cellStyle name="표준 25 3 6 3 5" xfId="22091" xr:uid="{00000000-0005-0000-0000-000031560000}"/>
    <cellStyle name="표준 25 3 6 3 5 2" xfId="22092" xr:uid="{00000000-0005-0000-0000-000032560000}"/>
    <cellStyle name="표준 25 3 6 3 5 2 2" xfId="22093" xr:uid="{00000000-0005-0000-0000-000033560000}"/>
    <cellStyle name="표준 25 3 6 3 5 3" xfId="22094" xr:uid="{00000000-0005-0000-0000-000034560000}"/>
    <cellStyle name="표준 25 3 6 3 6" xfId="22095" xr:uid="{00000000-0005-0000-0000-000035560000}"/>
    <cellStyle name="표준 25 3 6 3 6 2" xfId="22096" xr:uid="{00000000-0005-0000-0000-000036560000}"/>
    <cellStyle name="표준 25 3 6 3 7" xfId="22097" xr:uid="{00000000-0005-0000-0000-000037560000}"/>
    <cellStyle name="표준 25 3 6 3 8" xfId="22098" xr:uid="{00000000-0005-0000-0000-000038560000}"/>
    <cellStyle name="표준 25 3 6 4" xfId="22099" xr:uid="{00000000-0005-0000-0000-000039560000}"/>
    <cellStyle name="표준 25 3 6 4 2" xfId="22100" xr:uid="{00000000-0005-0000-0000-00003A560000}"/>
    <cellStyle name="표준 25 3 6 4 2 2" xfId="22101" xr:uid="{00000000-0005-0000-0000-00003B560000}"/>
    <cellStyle name="표준 25 3 6 4 2 2 2" xfId="22102" xr:uid="{00000000-0005-0000-0000-00003C560000}"/>
    <cellStyle name="표준 25 3 6 4 2 2 2 2" xfId="22103" xr:uid="{00000000-0005-0000-0000-00003D560000}"/>
    <cellStyle name="표준 25 3 6 4 2 2 2 2 2" xfId="22104" xr:uid="{00000000-0005-0000-0000-00003E560000}"/>
    <cellStyle name="표준 25 3 6 4 2 2 2 3" xfId="22105" xr:uid="{00000000-0005-0000-0000-00003F560000}"/>
    <cellStyle name="표준 25 3 6 4 2 2 3" xfId="22106" xr:uid="{00000000-0005-0000-0000-000040560000}"/>
    <cellStyle name="표준 25 3 6 4 2 2 3 2" xfId="22107" xr:uid="{00000000-0005-0000-0000-000041560000}"/>
    <cellStyle name="표준 25 3 6 4 2 2 4" xfId="22108" xr:uid="{00000000-0005-0000-0000-000042560000}"/>
    <cellStyle name="표준 25 3 6 4 2 3" xfId="22109" xr:uid="{00000000-0005-0000-0000-000043560000}"/>
    <cellStyle name="표준 25 3 6 4 2 3 2" xfId="22110" xr:uid="{00000000-0005-0000-0000-000044560000}"/>
    <cellStyle name="표준 25 3 6 4 2 3 2 2" xfId="22111" xr:uid="{00000000-0005-0000-0000-000045560000}"/>
    <cellStyle name="표준 25 3 6 4 2 3 3" xfId="22112" xr:uid="{00000000-0005-0000-0000-000046560000}"/>
    <cellStyle name="표준 25 3 6 4 2 4" xfId="22113" xr:uid="{00000000-0005-0000-0000-000047560000}"/>
    <cellStyle name="표준 25 3 6 4 2 4 2" xfId="22114" xr:uid="{00000000-0005-0000-0000-000048560000}"/>
    <cellStyle name="표준 25 3 6 4 2 5" xfId="22115" xr:uid="{00000000-0005-0000-0000-000049560000}"/>
    <cellStyle name="표준 25 3 6 4 3" xfId="22116" xr:uid="{00000000-0005-0000-0000-00004A560000}"/>
    <cellStyle name="표준 25 3 6 4 3 2" xfId="22117" xr:uid="{00000000-0005-0000-0000-00004B560000}"/>
    <cellStyle name="표준 25 3 6 4 3 2 2" xfId="22118" xr:uid="{00000000-0005-0000-0000-00004C560000}"/>
    <cellStyle name="표준 25 3 6 4 3 2 2 2" xfId="22119" xr:uid="{00000000-0005-0000-0000-00004D560000}"/>
    <cellStyle name="표준 25 3 6 4 3 2 3" xfId="22120" xr:uid="{00000000-0005-0000-0000-00004E560000}"/>
    <cellStyle name="표준 25 3 6 4 3 3" xfId="22121" xr:uid="{00000000-0005-0000-0000-00004F560000}"/>
    <cellStyle name="표준 25 3 6 4 3 3 2" xfId="22122" xr:uid="{00000000-0005-0000-0000-000050560000}"/>
    <cellStyle name="표준 25 3 6 4 3 4" xfId="22123" xr:uid="{00000000-0005-0000-0000-000051560000}"/>
    <cellStyle name="표준 25 3 6 4 4" xfId="22124" xr:uid="{00000000-0005-0000-0000-000052560000}"/>
    <cellStyle name="표준 25 3 6 4 4 2" xfId="22125" xr:uid="{00000000-0005-0000-0000-000053560000}"/>
    <cellStyle name="표준 25 3 6 4 4 2 2" xfId="22126" xr:uid="{00000000-0005-0000-0000-000054560000}"/>
    <cellStyle name="표준 25 3 6 4 4 3" xfId="22127" xr:uid="{00000000-0005-0000-0000-000055560000}"/>
    <cellStyle name="표준 25 3 6 4 5" xfId="22128" xr:uid="{00000000-0005-0000-0000-000056560000}"/>
    <cellStyle name="표준 25 3 6 4 5 2" xfId="22129" xr:uid="{00000000-0005-0000-0000-000057560000}"/>
    <cellStyle name="표준 25 3 6 4 6" xfId="22130" xr:uid="{00000000-0005-0000-0000-000058560000}"/>
    <cellStyle name="표준 25 3 6 5" xfId="22131" xr:uid="{00000000-0005-0000-0000-000059560000}"/>
    <cellStyle name="표준 25 3 6 5 2" xfId="22132" xr:uid="{00000000-0005-0000-0000-00005A560000}"/>
    <cellStyle name="표준 25 3 6 5 2 2" xfId="22133" xr:uid="{00000000-0005-0000-0000-00005B560000}"/>
    <cellStyle name="표준 25 3 6 5 2 2 2" xfId="22134" xr:uid="{00000000-0005-0000-0000-00005C560000}"/>
    <cellStyle name="표준 25 3 6 5 2 2 2 2" xfId="22135" xr:uid="{00000000-0005-0000-0000-00005D560000}"/>
    <cellStyle name="표준 25 3 6 5 2 2 3" xfId="22136" xr:uid="{00000000-0005-0000-0000-00005E560000}"/>
    <cellStyle name="표준 25 3 6 5 2 3" xfId="22137" xr:uid="{00000000-0005-0000-0000-00005F560000}"/>
    <cellStyle name="표준 25 3 6 5 2 3 2" xfId="22138" xr:uid="{00000000-0005-0000-0000-000060560000}"/>
    <cellStyle name="표준 25 3 6 5 2 4" xfId="22139" xr:uid="{00000000-0005-0000-0000-000061560000}"/>
    <cellStyle name="표준 25 3 6 5 3" xfId="22140" xr:uid="{00000000-0005-0000-0000-000062560000}"/>
    <cellStyle name="표준 25 3 6 5 3 2" xfId="22141" xr:uid="{00000000-0005-0000-0000-000063560000}"/>
    <cellStyle name="표준 25 3 6 5 3 2 2" xfId="22142" xr:uid="{00000000-0005-0000-0000-000064560000}"/>
    <cellStyle name="표준 25 3 6 5 3 3" xfId="22143" xr:uid="{00000000-0005-0000-0000-000065560000}"/>
    <cellStyle name="표준 25 3 6 5 4" xfId="22144" xr:uid="{00000000-0005-0000-0000-000066560000}"/>
    <cellStyle name="표준 25 3 6 5 4 2" xfId="22145" xr:uid="{00000000-0005-0000-0000-000067560000}"/>
    <cellStyle name="표준 25 3 6 5 5" xfId="22146" xr:uid="{00000000-0005-0000-0000-000068560000}"/>
    <cellStyle name="표준 25 3 6 6" xfId="22147" xr:uid="{00000000-0005-0000-0000-000069560000}"/>
    <cellStyle name="표준 25 3 6 6 2" xfId="22148" xr:uid="{00000000-0005-0000-0000-00006A560000}"/>
    <cellStyle name="표준 25 3 6 6 2 2" xfId="22149" xr:uid="{00000000-0005-0000-0000-00006B560000}"/>
    <cellStyle name="표준 25 3 6 6 2 2 2" xfId="22150" xr:uid="{00000000-0005-0000-0000-00006C560000}"/>
    <cellStyle name="표준 25 3 6 6 2 3" xfId="22151" xr:uid="{00000000-0005-0000-0000-00006D560000}"/>
    <cellStyle name="표준 25 3 6 6 3" xfId="22152" xr:uid="{00000000-0005-0000-0000-00006E560000}"/>
    <cellStyle name="표준 25 3 6 6 3 2" xfId="22153" xr:uid="{00000000-0005-0000-0000-00006F560000}"/>
    <cellStyle name="표준 25 3 6 6 4" xfId="22154" xr:uid="{00000000-0005-0000-0000-000070560000}"/>
    <cellStyle name="표준 25 3 6 7" xfId="22155" xr:uid="{00000000-0005-0000-0000-000071560000}"/>
    <cellStyle name="표준 25 3 6 7 2" xfId="22156" xr:uid="{00000000-0005-0000-0000-000072560000}"/>
    <cellStyle name="표준 25 3 6 7 2 2" xfId="22157" xr:uid="{00000000-0005-0000-0000-000073560000}"/>
    <cellStyle name="표준 25 3 6 7 3" xfId="22158" xr:uid="{00000000-0005-0000-0000-000074560000}"/>
    <cellStyle name="표준 25 3 6 8" xfId="22159" xr:uid="{00000000-0005-0000-0000-000075560000}"/>
    <cellStyle name="표준 25 3 6 8 2" xfId="22160" xr:uid="{00000000-0005-0000-0000-000076560000}"/>
    <cellStyle name="표준 25 3 6 9" xfId="22161" xr:uid="{00000000-0005-0000-0000-000077560000}"/>
    <cellStyle name="표준 25 3 7" xfId="22162" xr:uid="{00000000-0005-0000-0000-000078560000}"/>
    <cellStyle name="표준 25 3 7 2" xfId="22163" xr:uid="{00000000-0005-0000-0000-000079560000}"/>
    <cellStyle name="표준 25 3 7 2 2" xfId="22164" xr:uid="{00000000-0005-0000-0000-00007A560000}"/>
    <cellStyle name="표준 25 3 7 2 2 2" xfId="22165" xr:uid="{00000000-0005-0000-0000-00007B560000}"/>
    <cellStyle name="표준 25 3 7 2 2 2 2" xfId="22166" xr:uid="{00000000-0005-0000-0000-00007C560000}"/>
    <cellStyle name="표준 25 3 7 2 2 2 2 2" xfId="22167" xr:uid="{00000000-0005-0000-0000-00007D560000}"/>
    <cellStyle name="표준 25 3 7 2 2 2 2 2 2" xfId="22168" xr:uid="{00000000-0005-0000-0000-00007E560000}"/>
    <cellStyle name="표준 25 3 7 2 2 2 2 2 2 2" xfId="22169" xr:uid="{00000000-0005-0000-0000-00007F560000}"/>
    <cellStyle name="표준 25 3 7 2 2 2 2 2 3" xfId="22170" xr:uid="{00000000-0005-0000-0000-000080560000}"/>
    <cellStyle name="표준 25 3 7 2 2 2 2 3" xfId="22171" xr:uid="{00000000-0005-0000-0000-000081560000}"/>
    <cellStyle name="표준 25 3 7 2 2 2 2 3 2" xfId="22172" xr:uid="{00000000-0005-0000-0000-000082560000}"/>
    <cellStyle name="표준 25 3 7 2 2 2 2 4" xfId="22173" xr:uid="{00000000-0005-0000-0000-000083560000}"/>
    <cellStyle name="표준 25 3 7 2 2 2 3" xfId="22174" xr:uid="{00000000-0005-0000-0000-000084560000}"/>
    <cellStyle name="표준 25 3 7 2 2 2 3 2" xfId="22175" xr:uid="{00000000-0005-0000-0000-000085560000}"/>
    <cellStyle name="표준 25 3 7 2 2 2 3 2 2" xfId="22176" xr:uid="{00000000-0005-0000-0000-000086560000}"/>
    <cellStyle name="표준 25 3 7 2 2 2 3 3" xfId="22177" xr:uid="{00000000-0005-0000-0000-000087560000}"/>
    <cellStyle name="표준 25 3 7 2 2 2 4" xfId="22178" xr:uid="{00000000-0005-0000-0000-000088560000}"/>
    <cellStyle name="표준 25 3 7 2 2 2 4 2" xfId="22179" xr:uid="{00000000-0005-0000-0000-000089560000}"/>
    <cellStyle name="표준 25 3 7 2 2 2 5" xfId="22180" xr:uid="{00000000-0005-0000-0000-00008A560000}"/>
    <cellStyle name="표준 25 3 7 2 2 3" xfId="22181" xr:uid="{00000000-0005-0000-0000-00008B560000}"/>
    <cellStyle name="표준 25 3 7 2 2 3 2" xfId="22182" xr:uid="{00000000-0005-0000-0000-00008C560000}"/>
    <cellStyle name="표준 25 3 7 2 2 3 2 2" xfId="22183" xr:uid="{00000000-0005-0000-0000-00008D560000}"/>
    <cellStyle name="표준 25 3 7 2 2 3 2 2 2" xfId="22184" xr:uid="{00000000-0005-0000-0000-00008E560000}"/>
    <cellStyle name="표준 25 3 7 2 2 3 2 3" xfId="22185" xr:uid="{00000000-0005-0000-0000-00008F560000}"/>
    <cellStyle name="표준 25 3 7 2 2 3 3" xfId="22186" xr:uid="{00000000-0005-0000-0000-000090560000}"/>
    <cellStyle name="표준 25 3 7 2 2 3 3 2" xfId="22187" xr:uid="{00000000-0005-0000-0000-000091560000}"/>
    <cellStyle name="표준 25 3 7 2 2 3 4" xfId="22188" xr:uid="{00000000-0005-0000-0000-000092560000}"/>
    <cellStyle name="표준 25 3 7 2 2 4" xfId="22189" xr:uid="{00000000-0005-0000-0000-000093560000}"/>
    <cellStyle name="표준 25 3 7 2 2 4 2" xfId="22190" xr:uid="{00000000-0005-0000-0000-000094560000}"/>
    <cellStyle name="표준 25 3 7 2 2 4 2 2" xfId="22191" xr:uid="{00000000-0005-0000-0000-000095560000}"/>
    <cellStyle name="표준 25 3 7 2 2 4 3" xfId="22192" xr:uid="{00000000-0005-0000-0000-000096560000}"/>
    <cellStyle name="표준 25 3 7 2 2 5" xfId="22193" xr:uid="{00000000-0005-0000-0000-000097560000}"/>
    <cellStyle name="표준 25 3 7 2 2 5 2" xfId="22194" xr:uid="{00000000-0005-0000-0000-000098560000}"/>
    <cellStyle name="표준 25 3 7 2 2 6" xfId="22195" xr:uid="{00000000-0005-0000-0000-000099560000}"/>
    <cellStyle name="표준 25 3 7 2 3" xfId="22196" xr:uid="{00000000-0005-0000-0000-00009A560000}"/>
    <cellStyle name="표준 25 3 7 2 3 2" xfId="22197" xr:uid="{00000000-0005-0000-0000-00009B560000}"/>
    <cellStyle name="표준 25 3 7 2 3 2 2" xfId="22198" xr:uid="{00000000-0005-0000-0000-00009C560000}"/>
    <cellStyle name="표준 25 3 7 2 3 2 2 2" xfId="22199" xr:uid="{00000000-0005-0000-0000-00009D560000}"/>
    <cellStyle name="표준 25 3 7 2 3 2 2 2 2" xfId="22200" xr:uid="{00000000-0005-0000-0000-00009E560000}"/>
    <cellStyle name="표준 25 3 7 2 3 2 2 3" xfId="22201" xr:uid="{00000000-0005-0000-0000-00009F560000}"/>
    <cellStyle name="표준 25 3 7 2 3 2 3" xfId="22202" xr:uid="{00000000-0005-0000-0000-0000A0560000}"/>
    <cellStyle name="표준 25 3 7 2 3 2 3 2" xfId="22203" xr:uid="{00000000-0005-0000-0000-0000A1560000}"/>
    <cellStyle name="표준 25 3 7 2 3 2 4" xfId="22204" xr:uid="{00000000-0005-0000-0000-0000A2560000}"/>
    <cellStyle name="표준 25 3 7 2 3 3" xfId="22205" xr:uid="{00000000-0005-0000-0000-0000A3560000}"/>
    <cellStyle name="표준 25 3 7 2 3 3 2" xfId="22206" xr:uid="{00000000-0005-0000-0000-0000A4560000}"/>
    <cellStyle name="표준 25 3 7 2 3 3 2 2" xfId="22207" xr:uid="{00000000-0005-0000-0000-0000A5560000}"/>
    <cellStyle name="표준 25 3 7 2 3 3 3" xfId="22208" xr:uid="{00000000-0005-0000-0000-0000A6560000}"/>
    <cellStyle name="표준 25 3 7 2 3 4" xfId="22209" xr:uid="{00000000-0005-0000-0000-0000A7560000}"/>
    <cellStyle name="표준 25 3 7 2 3 4 2" xfId="22210" xr:uid="{00000000-0005-0000-0000-0000A8560000}"/>
    <cellStyle name="표준 25 3 7 2 3 5" xfId="22211" xr:uid="{00000000-0005-0000-0000-0000A9560000}"/>
    <cellStyle name="표준 25 3 7 2 4" xfId="22212" xr:uid="{00000000-0005-0000-0000-0000AA560000}"/>
    <cellStyle name="표준 25 3 7 2 4 2" xfId="22213" xr:uid="{00000000-0005-0000-0000-0000AB560000}"/>
    <cellStyle name="표준 25 3 7 2 4 2 2" xfId="22214" xr:uid="{00000000-0005-0000-0000-0000AC560000}"/>
    <cellStyle name="표준 25 3 7 2 4 2 2 2" xfId="22215" xr:uid="{00000000-0005-0000-0000-0000AD560000}"/>
    <cellStyle name="표준 25 3 7 2 4 2 3" xfId="22216" xr:uid="{00000000-0005-0000-0000-0000AE560000}"/>
    <cellStyle name="표준 25 3 7 2 4 3" xfId="22217" xr:uid="{00000000-0005-0000-0000-0000AF560000}"/>
    <cellStyle name="표준 25 3 7 2 4 3 2" xfId="22218" xr:uid="{00000000-0005-0000-0000-0000B0560000}"/>
    <cellStyle name="표준 25 3 7 2 4 4" xfId="22219" xr:uid="{00000000-0005-0000-0000-0000B1560000}"/>
    <cellStyle name="표준 25 3 7 2 5" xfId="22220" xr:uid="{00000000-0005-0000-0000-0000B2560000}"/>
    <cellStyle name="표준 25 3 7 2 5 2" xfId="22221" xr:uid="{00000000-0005-0000-0000-0000B3560000}"/>
    <cellStyle name="표준 25 3 7 2 5 2 2" xfId="22222" xr:uid="{00000000-0005-0000-0000-0000B4560000}"/>
    <cellStyle name="표준 25 3 7 2 5 3" xfId="22223" xr:uid="{00000000-0005-0000-0000-0000B5560000}"/>
    <cellStyle name="표준 25 3 7 2 6" xfId="22224" xr:uid="{00000000-0005-0000-0000-0000B6560000}"/>
    <cellStyle name="표준 25 3 7 2 6 2" xfId="22225" xr:uid="{00000000-0005-0000-0000-0000B7560000}"/>
    <cellStyle name="표준 25 3 7 2 7" xfId="22226" xr:uid="{00000000-0005-0000-0000-0000B8560000}"/>
    <cellStyle name="표준 25 3 7 2 8" xfId="22227" xr:uid="{00000000-0005-0000-0000-0000B9560000}"/>
    <cellStyle name="표준 25 3 7 3" xfId="22228" xr:uid="{00000000-0005-0000-0000-0000BA560000}"/>
    <cellStyle name="표준 25 3 7 3 2" xfId="22229" xr:uid="{00000000-0005-0000-0000-0000BB560000}"/>
    <cellStyle name="표준 25 3 7 3 2 2" xfId="22230" xr:uid="{00000000-0005-0000-0000-0000BC560000}"/>
    <cellStyle name="표준 25 3 7 3 2 2 2" xfId="22231" xr:uid="{00000000-0005-0000-0000-0000BD560000}"/>
    <cellStyle name="표준 25 3 7 3 2 2 2 2" xfId="22232" xr:uid="{00000000-0005-0000-0000-0000BE560000}"/>
    <cellStyle name="표준 25 3 7 3 2 2 2 2 2" xfId="22233" xr:uid="{00000000-0005-0000-0000-0000BF560000}"/>
    <cellStyle name="표준 25 3 7 3 2 2 2 3" xfId="22234" xr:uid="{00000000-0005-0000-0000-0000C0560000}"/>
    <cellStyle name="표준 25 3 7 3 2 2 3" xfId="22235" xr:uid="{00000000-0005-0000-0000-0000C1560000}"/>
    <cellStyle name="표준 25 3 7 3 2 2 3 2" xfId="22236" xr:uid="{00000000-0005-0000-0000-0000C2560000}"/>
    <cellStyle name="표준 25 3 7 3 2 2 4" xfId="22237" xr:uid="{00000000-0005-0000-0000-0000C3560000}"/>
    <cellStyle name="표준 25 3 7 3 2 3" xfId="22238" xr:uid="{00000000-0005-0000-0000-0000C4560000}"/>
    <cellStyle name="표준 25 3 7 3 2 3 2" xfId="22239" xr:uid="{00000000-0005-0000-0000-0000C5560000}"/>
    <cellStyle name="표준 25 3 7 3 2 3 2 2" xfId="22240" xr:uid="{00000000-0005-0000-0000-0000C6560000}"/>
    <cellStyle name="표준 25 3 7 3 2 3 3" xfId="22241" xr:uid="{00000000-0005-0000-0000-0000C7560000}"/>
    <cellStyle name="표준 25 3 7 3 2 4" xfId="22242" xr:uid="{00000000-0005-0000-0000-0000C8560000}"/>
    <cellStyle name="표준 25 3 7 3 2 4 2" xfId="22243" xr:uid="{00000000-0005-0000-0000-0000C9560000}"/>
    <cellStyle name="표준 25 3 7 3 2 5" xfId="22244" xr:uid="{00000000-0005-0000-0000-0000CA560000}"/>
    <cellStyle name="표준 25 3 7 3 3" xfId="22245" xr:uid="{00000000-0005-0000-0000-0000CB560000}"/>
    <cellStyle name="표준 25 3 7 3 3 2" xfId="22246" xr:uid="{00000000-0005-0000-0000-0000CC560000}"/>
    <cellStyle name="표준 25 3 7 3 3 2 2" xfId="22247" xr:uid="{00000000-0005-0000-0000-0000CD560000}"/>
    <cellStyle name="표준 25 3 7 3 3 2 2 2" xfId="22248" xr:uid="{00000000-0005-0000-0000-0000CE560000}"/>
    <cellStyle name="표준 25 3 7 3 3 2 3" xfId="22249" xr:uid="{00000000-0005-0000-0000-0000CF560000}"/>
    <cellStyle name="표준 25 3 7 3 3 3" xfId="22250" xr:uid="{00000000-0005-0000-0000-0000D0560000}"/>
    <cellStyle name="표준 25 3 7 3 3 3 2" xfId="22251" xr:uid="{00000000-0005-0000-0000-0000D1560000}"/>
    <cellStyle name="표준 25 3 7 3 3 4" xfId="22252" xr:uid="{00000000-0005-0000-0000-0000D2560000}"/>
    <cellStyle name="표준 25 3 7 3 4" xfId="22253" xr:uid="{00000000-0005-0000-0000-0000D3560000}"/>
    <cellStyle name="표준 25 3 7 3 4 2" xfId="22254" xr:uid="{00000000-0005-0000-0000-0000D4560000}"/>
    <cellStyle name="표준 25 3 7 3 4 2 2" xfId="22255" xr:uid="{00000000-0005-0000-0000-0000D5560000}"/>
    <cellStyle name="표준 25 3 7 3 4 3" xfId="22256" xr:uid="{00000000-0005-0000-0000-0000D6560000}"/>
    <cellStyle name="표준 25 3 7 3 5" xfId="22257" xr:uid="{00000000-0005-0000-0000-0000D7560000}"/>
    <cellStyle name="표준 25 3 7 3 5 2" xfId="22258" xr:uid="{00000000-0005-0000-0000-0000D8560000}"/>
    <cellStyle name="표준 25 3 7 3 6" xfId="22259" xr:uid="{00000000-0005-0000-0000-0000D9560000}"/>
    <cellStyle name="표준 25 3 7 4" xfId="22260" xr:uid="{00000000-0005-0000-0000-0000DA560000}"/>
    <cellStyle name="표준 25 3 7 4 2" xfId="22261" xr:uid="{00000000-0005-0000-0000-0000DB560000}"/>
    <cellStyle name="표준 25 3 7 4 2 2" xfId="22262" xr:uid="{00000000-0005-0000-0000-0000DC560000}"/>
    <cellStyle name="표준 25 3 7 4 2 2 2" xfId="22263" xr:uid="{00000000-0005-0000-0000-0000DD560000}"/>
    <cellStyle name="표준 25 3 7 4 2 2 2 2" xfId="22264" xr:uid="{00000000-0005-0000-0000-0000DE560000}"/>
    <cellStyle name="표준 25 3 7 4 2 2 3" xfId="22265" xr:uid="{00000000-0005-0000-0000-0000DF560000}"/>
    <cellStyle name="표준 25 3 7 4 2 3" xfId="22266" xr:uid="{00000000-0005-0000-0000-0000E0560000}"/>
    <cellStyle name="표준 25 3 7 4 2 3 2" xfId="22267" xr:uid="{00000000-0005-0000-0000-0000E1560000}"/>
    <cellStyle name="표준 25 3 7 4 2 4" xfId="22268" xr:uid="{00000000-0005-0000-0000-0000E2560000}"/>
    <cellStyle name="표준 25 3 7 4 3" xfId="22269" xr:uid="{00000000-0005-0000-0000-0000E3560000}"/>
    <cellStyle name="표준 25 3 7 4 3 2" xfId="22270" xr:uid="{00000000-0005-0000-0000-0000E4560000}"/>
    <cellStyle name="표준 25 3 7 4 3 2 2" xfId="22271" xr:uid="{00000000-0005-0000-0000-0000E5560000}"/>
    <cellStyle name="표준 25 3 7 4 3 3" xfId="22272" xr:uid="{00000000-0005-0000-0000-0000E6560000}"/>
    <cellStyle name="표준 25 3 7 4 4" xfId="22273" xr:uid="{00000000-0005-0000-0000-0000E7560000}"/>
    <cellStyle name="표준 25 3 7 4 4 2" xfId="22274" xr:uid="{00000000-0005-0000-0000-0000E8560000}"/>
    <cellStyle name="표준 25 3 7 4 5" xfId="22275" xr:uid="{00000000-0005-0000-0000-0000E9560000}"/>
    <cellStyle name="표준 25 3 7 5" xfId="22276" xr:uid="{00000000-0005-0000-0000-0000EA560000}"/>
    <cellStyle name="표준 25 3 7 5 2" xfId="22277" xr:uid="{00000000-0005-0000-0000-0000EB560000}"/>
    <cellStyle name="표준 25 3 7 5 2 2" xfId="22278" xr:uid="{00000000-0005-0000-0000-0000EC560000}"/>
    <cellStyle name="표준 25 3 7 5 2 2 2" xfId="22279" xr:uid="{00000000-0005-0000-0000-0000ED560000}"/>
    <cellStyle name="표준 25 3 7 5 2 3" xfId="22280" xr:uid="{00000000-0005-0000-0000-0000EE560000}"/>
    <cellStyle name="표준 25 3 7 5 3" xfId="22281" xr:uid="{00000000-0005-0000-0000-0000EF560000}"/>
    <cellStyle name="표준 25 3 7 5 3 2" xfId="22282" xr:uid="{00000000-0005-0000-0000-0000F0560000}"/>
    <cellStyle name="표준 25 3 7 5 4" xfId="22283" xr:uid="{00000000-0005-0000-0000-0000F1560000}"/>
    <cellStyle name="표준 25 3 7 6" xfId="22284" xr:uid="{00000000-0005-0000-0000-0000F2560000}"/>
    <cellStyle name="표준 25 3 7 6 2" xfId="22285" xr:uid="{00000000-0005-0000-0000-0000F3560000}"/>
    <cellStyle name="표준 25 3 7 6 2 2" xfId="22286" xr:uid="{00000000-0005-0000-0000-0000F4560000}"/>
    <cellStyle name="표준 25 3 7 6 3" xfId="22287" xr:uid="{00000000-0005-0000-0000-0000F5560000}"/>
    <cellStyle name="표준 25 3 7 7" xfId="22288" xr:uid="{00000000-0005-0000-0000-0000F6560000}"/>
    <cellStyle name="표준 25 3 7 7 2" xfId="22289" xr:uid="{00000000-0005-0000-0000-0000F7560000}"/>
    <cellStyle name="표준 25 3 7 8" xfId="22290" xr:uid="{00000000-0005-0000-0000-0000F8560000}"/>
    <cellStyle name="표준 25 3 7 9" xfId="22291" xr:uid="{00000000-0005-0000-0000-0000F9560000}"/>
    <cellStyle name="표준 25 3 8" xfId="22292" xr:uid="{00000000-0005-0000-0000-0000FA560000}"/>
    <cellStyle name="표준 25 3 8 2" xfId="22293" xr:uid="{00000000-0005-0000-0000-0000FB560000}"/>
    <cellStyle name="표준 25 3 8 2 2" xfId="22294" xr:uid="{00000000-0005-0000-0000-0000FC560000}"/>
    <cellStyle name="표준 25 3 8 2 2 2" xfId="22295" xr:uid="{00000000-0005-0000-0000-0000FD560000}"/>
    <cellStyle name="표준 25 3 8 2 2 2 2" xfId="22296" xr:uid="{00000000-0005-0000-0000-0000FE560000}"/>
    <cellStyle name="표준 25 3 8 2 2 2 2 2" xfId="22297" xr:uid="{00000000-0005-0000-0000-0000FF560000}"/>
    <cellStyle name="표준 25 3 8 2 2 2 2 2 2" xfId="22298" xr:uid="{00000000-0005-0000-0000-000000570000}"/>
    <cellStyle name="표준 25 3 8 2 2 2 2 3" xfId="22299" xr:uid="{00000000-0005-0000-0000-000001570000}"/>
    <cellStyle name="표준 25 3 8 2 2 2 3" xfId="22300" xr:uid="{00000000-0005-0000-0000-000002570000}"/>
    <cellStyle name="표준 25 3 8 2 2 2 3 2" xfId="22301" xr:uid="{00000000-0005-0000-0000-000003570000}"/>
    <cellStyle name="표준 25 3 8 2 2 2 4" xfId="22302" xr:uid="{00000000-0005-0000-0000-000004570000}"/>
    <cellStyle name="표준 25 3 8 2 2 3" xfId="22303" xr:uid="{00000000-0005-0000-0000-000005570000}"/>
    <cellStyle name="표준 25 3 8 2 2 3 2" xfId="22304" xr:uid="{00000000-0005-0000-0000-000006570000}"/>
    <cellStyle name="표준 25 3 8 2 2 3 2 2" xfId="22305" xr:uid="{00000000-0005-0000-0000-000007570000}"/>
    <cellStyle name="표준 25 3 8 2 2 3 3" xfId="22306" xr:uid="{00000000-0005-0000-0000-000008570000}"/>
    <cellStyle name="표준 25 3 8 2 2 4" xfId="22307" xr:uid="{00000000-0005-0000-0000-000009570000}"/>
    <cellStyle name="표준 25 3 8 2 2 4 2" xfId="22308" xr:uid="{00000000-0005-0000-0000-00000A570000}"/>
    <cellStyle name="표준 25 3 8 2 2 5" xfId="22309" xr:uid="{00000000-0005-0000-0000-00000B570000}"/>
    <cellStyle name="표준 25 3 8 2 3" xfId="22310" xr:uid="{00000000-0005-0000-0000-00000C570000}"/>
    <cellStyle name="표준 25 3 8 2 3 2" xfId="22311" xr:uid="{00000000-0005-0000-0000-00000D570000}"/>
    <cellStyle name="표준 25 3 8 2 3 2 2" xfId="22312" xr:uid="{00000000-0005-0000-0000-00000E570000}"/>
    <cellStyle name="표준 25 3 8 2 3 2 2 2" xfId="22313" xr:uid="{00000000-0005-0000-0000-00000F570000}"/>
    <cellStyle name="표준 25 3 8 2 3 2 3" xfId="22314" xr:uid="{00000000-0005-0000-0000-000010570000}"/>
    <cellStyle name="표준 25 3 8 2 3 3" xfId="22315" xr:uid="{00000000-0005-0000-0000-000011570000}"/>
    <cellStyle name="표준 25 3 8 2 3 3 2" xfId="22316" xr:uid="{00000000-0005-0000-0000-000012570000}"/>
    <cellStyle name="표준 25 3 8 2 3 4" xfId="22317" xr:uid="{00000000-0005-0000-0000-000013570000}"/>
    <cellStyle name="표준 25 3 8 2 4" xfId="22318" xr:uid="{00000000-0005-0000-0000-000014570000}"/>
    <cellStyle name="표준 25 3 8 2 4 2" xfId="22319" xr:uid="{00000000-0005-0000-0000-000015570000}"/>
    <cellStyle name="표준 25 3 8 2 4 2 2" xfId="22320" xr:uid="{00000000-0005-0000-0000-000016570000}"/>
    <cellStyle name="표준 25 3 8 2 4 3" xfId="22321" xr:uid="{00000000-0005-0000-0000-000017570000}"/>
    <cellStyle name="표준 25 3 8 2 5" xfId="22322" xr:uid="{00000000-0005-0000-0000-000018570000}"/>
    <cellStyle name="표준 25 3 8 2 5 2" xfId="22323" xr:uid="{00000000-0005-0000-0000-000019570000}"/>
    <cellStyle name="표준 25 3 8 2 6" xfId="22324" xr:uid="{00000000-0005-0000-0000-00001A570000}"/>
    <cellStyle name="표준 25 3 8 3" xfId="22325" xr:uid="{00000000-0005-0000-0000-00001B570000}"/>
    <cellStyle name="표준 25 3 8 3 2" xfId="22326" xr:uid="{00000000-0005-0000-0000-00001C570000}"/>
    <cellStyle name="표준 25 3 8 3 2 2" xfId="22327" xr:uid="{00000000-0005-0000-0000-00001D570000}"/>
    <cellStyle name="표준 25 3 8 3 2 2 2" xfId="22328" xr:uid="{00000000-0005-0000-0000-00001E570000}"/>
    <cellStyle name="표준 25 3 8 3 2 2 2 2" xfId="22329" xr:uid="{00000000-0005-0000-0000-00001F570000}"/>
    <cellStyle name="표준 25 3 8 3 2 2 3" xfId="22330" xr:uid="{00000000-0005-0000-0000-000020570000}"/>
    <cellStyle name="표준 25 3 8 3 2 3" xfId="22331" xr:uid="{00000000-0005-0000-0000-000021570000}"/>
    <cellStyle name="표준 25 3 8 3 2 3 2" xfId="22332" xr:uid="{00000000-0005-0000-0000-000022570000}"/>
    <cellStyle name="표준 25 3 8 3 2 4" xfId="22333" xr:uid="{00000000-0005-0000-0000-000023570000}"/>
    <cellStyle name="표준 25 3 8 3 3" xfId="22334" xr:uid="{00000000-0005-0000-0000-000024570000}"/>
    <cellStyle name="표준 25 3 8 3 3 2" xfId="22335" xr:uid="{00000000-0005-0000-0000-000025570000}"/>
    <cellStyle name="표준 25 3 8 3 3 2 2" xfId="22336" xr:uid="{00000000-0005-0000-0000-000026570000}"/>
    <cellStyle name="표준 25 3 8 3 3 3" xfId="22337" xr:uid="{00000000-0005-0000-0000-000027570000}"/>
    <cellStyle name="표준 25 3 8 3 4" xfId="22338" xr:uid="{00000000-0005-0000-0000-000028570000}"/>
    <cellStyle name="표준 25 3 8 3 4 2" xfId="22339" xr:uid="{00000000-0005-0000-0000-000029570000}"/>
    <cellStyle name="표준 25 3 8 3 5" xfId="22340" xr:uid="{00000000-0005-0000-0000-00002A570000}"/>
    <cellStyle name="표준 25 3 8 4" xfId="22341" xr:uid="{00000000-0005-0000-0000-00002B570000}"/>
    <cellStyle name="표준 25 3 8 4 2" xfId="22342" xr:uid="{00000000-0005-0000-0000-00002C570000}"/>
    <cellStyle name="표준 25 3 8 4 2 2" xfId="22343" xr:uid="{00000000-0005-0000-0000-00002D570000}"/>
    <cellStyle name="표준 25 3 8 4 2 2 2" xfId="22344" xr:uid="{00000000-0005-0000-0000-00002E570000}"/>
    <cellStyle name="표준 25 3 8 4 2 3" xfId="22345" xr:uid="{00000000-0005-0000-0000-00002F570000}"/>
    <cellStyle name="표준 25 3 8 4 3" xfId="22346" xr:uid="{00000000-0005-0000-0000-000030570000}"/>
    <cellStyle name="표준 25 3 8 4 3 2" xfId="22347" xr:uid="{00000000-0005-0000-0000-000031570000}"/>
    <cellStyle name="표준 25 3 8 4 4" xfId="22348" xr:uid="{00000000-0005-0000-0000-000032570000}"/>
    <cellStyle name="표준 25 3 8 5" xfId="22349" xr:uid="{00000000-0005-0000-0000-000033570000}"/>
    <cellStyle name="표준 25 3 8 5 2" xfId="22350" xr:uid="{00000000-0005-0000-0000-000034570000}"/>
    <cellStyle name="표준 25 3 8 5 2 2" xfId="22351" xr:uid="{00000000-0005-0000-0000-000035570000}"/>
    <cellStyle name="표준 25 3 8 5 3" xfId="22352" xr:uid="{00000000-0005-0000-0000-000036570000}"/>
    <cellStyle name="표준 25 3 8 6" xfId="22353" xr:uid="{00000000-0005-0000-0000-000037570000}"/>
    <cellStyle name="표준 25 3 8 6 2" xfId="22354" xr:uid="{00000000-0005-0000-0000-000038570000}"/>
    <cellStyle name="표준 25 3 8 7" xfId="22355" xr:uid="{00000000-0005-0000-0000-000039570000}"/>
    <cellStyle name="표준 25 3 8 8" xfId="22356" xr:uid="{00000000-0005-0000-0000-00003A570000}"/>
    <cellStyle name="표준 25 3 9" xfId="22357" xr:uid="{00000000-0005-0000-0000-00003B570000}"/>
    <cellStyle name="표준 25 3 9 2" xfId="22358" xr:uid="{00000000-0005-0000-0000-00003C570000}"/>
    <cellStyle name="표준 25 3 9 2 2" xfId="22359" xr:uid="{00000000-0005-0000-0000-00003D570000}"/>
    <cellStyle name="표준 25 3 9 2 2 2" xfId="22360" xr:uid="{00000000-0005-0000-0000-00003E570000}"/>
    <cellStyle name="표준 25 3 9 2 2 2 2" xfId="22361" xr:uid="{00000000-0005-0000-0000-00003F570000}"/>
    <cellStyle name="표준 25 3 9 2 2 2 2 2" xfId="22362" xr:uid="{00000000-0005-0000-0000-000040570000}"/>
    <cellStyle name="표준 25 3 9 2 2 2 3" xfId="22363" xr:uid="{00000000-0005-0000-0000-000041570000}"/>
    <cellStyle name="표준 25 3 9 2 2 3" xfId="22364" xr:uid="{00000000-0005-0000-0000-000042570000}"/>
    <cellStyle name="표준 25 3 9 2 2 3 2" xfId="22365" xr:uid="{00000000-0005-0000-0000-000043570000}"/>
    <cellStyle name="표준 25 3 9 2 2 4" xfId="22366" xr:uid="{00000000-0005-0000-0000-000044570000}"/>
    <cellStyle name="표준 25 3 9 2 3" xfId="22367" xr:uid="{00000000-0005-0000-0000-000045570000}"/>
    <cellStyle name="표준 25 3 9 2 3 2" xfId="22368" xr:uid="{00000000-0005-0000-0000-000046570000}"/>
    <cellStyle name="표준 25 3 9 2 3 2 2" xfId="22369" xr:uid="{00000000-0005-0000-0000-000047570000}"/>
    <cellStyle name="표준 25 3 9 2 3 3" xfId="22370" xr:uid="{00000000-0005-0000-0000-000048570000}"/>
    <cellStyle name="표준 25 3 9 2 4" xfId="22371" xr:uid="{00000000-0005-0000-0000-000049570000}"/>
    <cellStyle name="표준 25 3 9 2 4 2" xfId="22372" xr:uid="{00000000-0005-0000-0000-00004A570000}"/>
    <cellStyle name="표준 25 3 9 2 5" xfId="22373" xr:uid="{00000000-0005-0000-0000-00004B570000}"/>
    <cellStyle name="표준 25 3 9 3" xfId="22374" xr:uid="{00000000-0005-0000-0000-00004C570000}"/>
    <cellStyle name="표준 25 3 9 3 2" xfId="22375" xr:uid="{00000000-0005-0000-0000-00004D570000}"/>
    <cellStyle name="표준 25 3 9 3 2 2" xfId="22376" xr:uid="{00000000-0005-0000-0000-00004E570000}"/>
    <cellStyle name="표준 25 3 9 3 2 2 2" xfId="22377" xr:uid="{00000000-0005-0000-0000-00004F570000}"/>
    <cellStyle name="표준 25 3 9 3 2 3" xfId="22378" xr:uid="{00000000-0005-0000-0000-000050570000}"/>
    <cellStyle name="표준 25 3 9 3 3" xfId="22379" xr:uid="{00000000-0005-0000-0000-000051570000}"/>
    <cellStyle name="표준 25 3 9 3 3 2" xfId="22380" xr:uid="{00000000-0005-0000-0000-000052570000}"/>
    <cellStyle name="표준 25 3 9 3 4" xfId="22381" xr:uid="{00000000-0005-0000-0000-000053570000}"/>
    <cellStyle name="표준 25 3 9 4" xfId="22382" xr:uid="{00000000-0005-0000-0000-000054570000}"/>
    <cellStyle name="표준 25 3 9 4 2" xfId="22383" xr:uid="{00000000-0005-0000-0000-000055570000}"/>
    <cellStyle name="표준 25 3 9 4 2 2" xfId="22384" xr:uid="{00000000-0005-0000-0000-000056570000}"/>
    <cellStyle name="표준 25 3 9 4 3" xfId="22385" xr:uid="{00000000-0005-0000-0000-000057570000}"/>
    <cellStyle name="표준 25 3 9 5" xfId="22386" xr:uid="{00000000-0005-0000-0000-000058570000}"/>
    <cellStyle name="표준 25 3 9 5 2" xfId="22387" xr:uid="{00000000-0005-0000-0000-000059570000}"/>
    <cellStyle name="표준 25 3 9 6" xfId="22388" xr:uid="{00000000-0005-0000-0000-00005A570000}"/>
    <cellStyle name="표준 25 4" xfId="22389" xr:uid="{00000000-0005-0000-0000-00005B570000}"/>
    <cellStyle name="표준 25 4 10" xfId="22390" xr:uid="{00000000-0005-0000-0000-00005C570000}"/>
    <cellStyle name="표준 25 4 11" xfId="22391" xr:uid="{00000000-0005-0000-0000-00005D570000}"/>
    <cellStyle name="표준 25 4 2" xfId="22392" xr:uid="{00000000-0005-0000-0000-00005E570000}"/>
    <cellStyle name="표준 25 4 2 10" xfId="22393" xr:uid="{00000000-0005-0000-0000-00005F570000}"/>
    <cellStyle name="표준 25 4 2 2" xfId="22394" xr:uid="{00000000-0005-0000-0000-000060570000}"/>
    <cellStyle name="표준 25 4 2 2 2" xfId="22395" xr:uid="{00000000-0005-0000-0000-000061570000}"/>
    <cellStyle name="표준 25 4 2 2 2 2" xfId="22396" xr:uid="{00000000-0005-0000-0000-000062570000}"/>
    <cellStyle name="표준 25 4 2 2 2 2 2" xfId="22397" xr:uid="{00000000-0005-0000-0000-000063570000}"/>
    <cellStyle name="표준 25 4 2 2 2 2 2 2" xfId="22398" xr:uid="{00000000-0005-0000-0000-000064570000}"/>
    <cellStyle name="표준 25 4 2 2 2 2 2 2 2" xfId="22399" xr:uid="{00000000-0005-0000-0000-000065570000}"/>
    <cellStyle name="표준 25 4 2 2 2 2 2 2 2 2" xfId="22400" xr:uid="{00000000-0005-0000-0000-000066570000}"/>
    <cellStyle name="표준 25 4 2 2 2 2 2 2 2 2 2" xfId="22401" xr:uid="{00000000-0005-0000-0000-000067570000}"/>
    <cellStyle name="표준 25 4 2 2 2 2 2 2 2 3" xfId="22402" xr:uid="{00000000-0005-0000-0000-000068570000}"/>
    <cellStyle name="표준 25 4 2 2 2 2 2 2 3" xfId="22403" xr:uid="{00000000-0005-0000-0000-000069570000}"/>
    <cellStyle name="표준 25 4 2 2 2 2 2 2 3 2" xfId="22404" xr:uid="{00000000-0005-0000-0000-00006A570000}"/>
    <cellStyle name="표준 25 4 2 2 2 2 2 2 4" xfId="22405" xr:uid="{00000000-0005-0000-0000-00006B570000}"/>
    <cellStyle name="표준 25 4 2 2 2 2 2 3" xfId="22406" xr:uid="{00000000-0005-0000-0000-00006C570000}"/>
    <cellStyle name="표준 25 4 2 2 2 2 2 3 2" xfId="22407" xr:uid="{00000000-0005-0000-0000-00006D570000}"/>
    <cellStyle name="표준 25 4 2 2 2 2 2 3 2 2" xfId="22408" xr:uid="{00000000-0005-0000-0000-00006E570000}"/>
    <cellStyle name="표준 25 4 2 2 2 2 2 3 3" xfId="22409" xr:uid="{00000000-0005-0000-0000-00006F570000}"/>
    <cellStyle name="표준 25 4 2 2 2 2 2 4" xfId="22410" xr:uid="{00000000-0005-0000-0000-000070570000}"/>
    <cellStyle name="표준 25 4 2 2 2 2 2 4 2" xfId="22411" xr:uid="{00000000-0005-0000-0000-000071570000}"/>
    <cellStyle name="표준 25 4 2 2 2 2 2 5" xfId="22412" xr:uid="{00000000-0005-0000-0000-000072570000}"/>
    <cellStyle name="표준 25 4 2 2 2 2 3" xfId="22413" xr:uid="{00000000-0005-0000-0000-000073570000}"/>
    <cellStyle name="표준 25 4 2 2 2 2 3 2" xfId="22414" xr:uid="{00000000-0005-0000-0000-000074570000}"/>
    <cellStyle name="표준 25 4 2 2 2 2 3 2 2" xfId="22415" xr:uid="{00000000-0005-0000-0000-000075570000}"/>
    <cellStyle name="표준 25 4 2 2 2 2 3 2 2 2" xfId="22416" xr:uid="{00000000-0005-0000-0000-000076570000}"/>
    <cellStyle name="표준 25 4 2 2 2 2 3 2 3" xfId="22417" xr:uid="{00000000-0005-0000-0000-000077570000}"/>
    <cellStyle name="표준 25 4 2 2 2 2 3 3" xfId="22418" xr:uid="{00000000-0005-0000-0000-000078570000}"/>
    <cellStyle name="표준 25 4 2 2 2 2 3 3 2" xfId="22419" xr:uid="{00000000-0005-0000-0000-000079570000}"/>
    <cellStyle name="표준 25 4 2 2 2 2 3 4" xfId="22420" xr:uid="{00000000-0005-0000-0000-00007A570000}"/>
    <cellStyle name="표준 25 4 2 2 2 2 4" xfId="22421" xr:uid="{00000000-0005-0000-0000-00007B570000}"/>
    <cellStyle name="표준 25 4 2 2 2 2 4 2" xfId="22422" xr:uid="{00000000-0005-0000-0000-00007C570000}"/>
    <cellStyle name="표준 25 4 2 2 2 2 4 2 2" xfId="22423" xr:uid="{00000000-0005-0000-0000-00007D570000}"/>
    <cellStyle name="표준 25 4 2 2 2 2 4 3" xfId="22424" xr:uid="{00000000-0005-0000-0000-00007E570000}"/>
    <cellStyle name="표준 25 4 2 2 2 2 5" xfId="22425" xr:uid="{00000000-0005-0000-0000-00007F570000}"/>
    <cellStyle name="표준 25 4 2 2 2 2 5 2" xfId="22426" xr:uid="{00000000-0005-0000-0000-000080570000}"/>
    <cellStyle name="표준 25 4 2 2 2 2 6" xfId="22427" xr:uid="{00000000-0005-0000-0000-000081570000}"/>
    <cellStyle name="표준 25 4 2 2 2 3" xfId="22428" xr:uid="{00000000-0005-0000-0000-000082570000}"/>
    <cellStyle name="표준 25 4 2 2 2 3 2" xfId="22429" xr:uid="{00000000-0005-0000-0000-000083570000}"/>
    <cellStyle name="표준 25 4 2 2 2 3 2 2" xfId="22430" xr:uid="{00000000-0005-0000-0000-000084570000}"/>
    <cellStyle name="표준 25 4 2 2 2 3 2 2 2" xfId="22431" xr:uid="{00000000-0005-0000-0000-000085570000}"/>
    <cellStyle name="표준 25 4 2 2 2 3 2 2 2 2" xfId="22432" xr:uid="{00000000-0005-0000-0000-000086570000}"/>
    <cellStyle name="표준 25 4 2 2 2 3 2 2 3" xfId="22433" xr:uid="{00000000-0005-0000-0000-000087570000}"/>
    <cellStyle name="표준 25 4 2 2 2 3 2 3" xfId="22434" xr:uid="{00000000-0005-0000-0000-000088570000}"/>
    <cellStyle name="표준 25 4 2 2 2 3 2 3 2" xfId="22435" xr:uid="{00000000-0005-0000-0000-000089570000}"/>
    <cellStyle name="표준 25 4 2 2 2 3 2 4" xfId="22436" xr:uid="{00000000-0005-0000-0000-00008A570000}"/>
    <cellStyle name="표준 25 4 2 2 2 3 3" xfId="22437" xr:uid="{00000000-0005-0000-0000-00008B570000}"/>
    <cellStyle name="표준 25 4 2 2 2 3 3 2" xfId="22438" xr:uid="{00000000-0005-0000-0000-00008C570000}"/>
    <cellStyle name="표준 25 4 2 2 2 3 3 2 2" xfId="22439" xr:uid="{00000000-0005-0000-0000-00008D570000}"/>
    <cellStyle name="표준 25 4 2 2 2 3 3 3" xfId="22440" xr:uid="{00000000-0005-0000-0000-00008E570000}"/>
    <cellStyle name="표준 25 4 2 2 2 3 4" xfId="22441" xr:uid="{00000000-0005-0000-0000-00008F570000}"/>
    <cellStyle name="표준 25 4 2 2 2 3 4 2" xfId="22442" xr:uid="{00000000-0005-0000-0000-000090570000}"/>
    <cellStyle name="표준 25 4 2 2 2 3 5" xfId="22443" xr:uid="{00000000-0005-0000-0000-000091570000}"/>
    <cellStyle name="표준 25 4 2 2 2 4" xfId="22444" xr:uid="{00000000-0005-0000-0000-000092570000}"/>
    <cellStyle name="표준 25 4 2 2 2 4 2" xfId="22445" xr:uid="{00000000-0005-0000-0000-000093570000}"/>
    <cellStyle name="표준 25 4 2 2 2 4 2 2" xfId="22446" xr:uid="{00000000-0005-0000-0000-000094570000}"/>
    <cellStyle name="표준 25 4 2 2 2 4 2 2 2" xfId="22447" xr:uid="{00000000-0005-0000-0000-000095570000}"/>
    <cellStyle name="표준 25 4 2 2 2 4 2 3" xfId="22448" xr:uid="{00000000-0005-0000-0000-000096570000}"/>
    <cellStyle name="표준 25 4 2 2 2 4 3" xfId="22449" xr:uid="{00000000-0005-0000-0000-000097570000}"/>
    <cellStyle name="표준 25 4 2 2 2 4 3 2" xfId="22450" xr:uid="{00000000-0005-0000-0000-000098570000}"/>
    <cellStyle name="표준 25 4 2 2 2 4 4" xfId="22451" xr:uid="{00000000-0005-0000-0000-000099570000}"/>
    <cellStyle name="표준 25 4 2 2 2 5" xfId="22452" xr:uid="{00000000-0005-0000-0000-00009A570000}"/>
    <cellStyle name="표준 25 4 2 2 2 5 2" xfId="22453" xr:uid="{00000000-0005-0000-0000-00009B570000}"/>
    <cellStyle name="표준 25 4 2 2 2 5 2 2" xfId="22454" xr:uid="{00000000-0005-0000-0000-00009C570000}"/>
    <cellStyle name="표준 25 4 2 2 2 5 3" xfId="22455" xr:uid="{00000000-0005-0000-0000-00009D570000}"/>
    <cellStyle name="표준 25 4 2 2 2 6" xfId="22456" xr:uid="{00000000-0005-0000-0000-00009E570000}"/>
    <cellStyle name="표준 25 4 2 2 2 6 2" xfId="22457" xr:uid="{00000000-0005-0000-0000-00009F570000}"/>
    <cellStyle name="표준 25 4 2 2 2 7" xfId="22458" xr:uid="{00000000-0005-0000-0000-0000A0570000}"/>
    <cellStyle name="표준 25 4 2 2 2 8" xfId="22459" xr:uid="{00000000-0005-0000-0000-0000A1570000}"/>
    <cellStyle name="표준 25 4 2 2 3" xfId="22460" xr:uid="{00000000-0005-0000-0000-0000A2570000}"/>
    <cellStyle name="표준 25 4 2 2 3 2" xfId="22461" xr:uid="{00000000-0005-0000-0000-0000A3570000}"/>
    <cellStyle name="표준 25 4 2 2 3 2 2" xfId="22462" xr:uid="{00000000-0005-0000-0000-0000A4570000}"/>
    <cellStyle name="표준 25 4 2 2 3 2 2 2" xfId="22463" xr:uid="{00000000-0005-0000-0000-0000A5570000}"/>
    <cellStyle name="표준 25 4 2 2 3 2 2 2 2" xfId="22464" xr:uid="{00000000-0005-0000-0000-0000A6570000}"/>
    <cellStyle name="표준 25 4 2 2 3 2 2 2 2 2" xfId="22465" xr:uid="{00000000-0005-0000-0000-0000A7570000}"/>
    <cellStyle name="표준 25 4 2 2 3 2 2 2 3" xfId="22466" xr:uid="{00000000-0005-0000-0000-0000A8570000}"/>
    <cellStyle name="표준 25 4 2 2 3 2 2 3" xfId="22467" xr:uid="{00000000-0005-0000-0000-0000A9570000}"/>
    <cellStyle name="표준 25 4 2 2 3 2 2 3 2" xfId="22468" xr:uid="{00000000-0005-0000-0000-0000AA570000}"/>
    <cellStyle name="표준 25 4 2 2 3 2 2 4" xfId="22469" xr:uid="{00000000-0005-0000-0000-0000AB570000}"/>
    <cellStyle name="표준 25 4 2 2 3 2 3" xfId="22470" xr:uid="{00000000-0005-0000-0000-0000AC570000}"/>
    <cellStyle name="표준 25 4 2 2 3 2 3 2" xfId="22471" xr:uid="{00000000-0005-0000-0000-0000AD570000}"/>
    <cellStyle name="표준 25 4 2 2 3 2 3 2 2" xfId="22472" xr:uid="{00000000-0005-0000-0000-0000AE570000}"/>
    <cellStyle name="표준 25 4 2 2 3 2 3 3" xfId="22473" xr:uid="{00000000-0005-0000-0000-0000AF570000}"/>
    <cellStyle name="표준 25 4 2 2 3 2 4" xfId="22474" xr:uid="{00000000-0005-0000-0000-0000B0570000}"/>
    <cellStyle name="표준 25 4 2 2 3 2 4 2" xfId="22475" xr:uid="{00000000-0005-0000-0000-0000B1570000}"/>
    <cellStyle name="표준 25 4 2 2 3 2 5" xfId="22476" xr:uid="{00000000-0005-0000-0000-0000B2570000}"/>
    <cellStyle name="표준 25 4 2 2 3 3" xfId="22477" xr:uid="{00000000-0005-0000-0000-0000B3570000}"/>
    <cellStyle name="표준 25 4 2 2 3 3 2" xfId="22478" xr:uid="{00000000-0005-0000-0000-0000B4570000}"/>
    <cellStyle name="표준 25 4 2 2 3 3 2 2" xfId="22479" xr:uid="{00000000-0005-0000-0000-0000B5570000}"/>
    <cellStyle name="표준 25 4 2 2 3 3 2 2 2" xfId="22480" xr:uid="{00000000-0005-0000-0000-0000B6570000}"/>
    <cellStyle name="표준 25 4 2 2 3 3 2 3" xfId="22481" xr:uid="{00000000-0005-0000-0000-0000B7570000}"/>
    <cellStyle name="표준 25 4 2 2 3 3 3" xfId="22482" xr:uid="{00000000-0005-0000-0000-0000B8570000}"/>
    <cellStyle name="표준 25 4 2 2 3 3 3 2" xfId="22483" xr:uid="{00000000-0005-0000-0000-0000B9570000}"/>
    <cellStyle name="표준 25 4 2 2 3 3 4" xfId="22484" xr:uid="{00000000-0005-0000-0000-0000BA570000}"/>
    <cellStyle name="표준 25 4 2 2 3 4" xfId="22485" xr:uid="{00000000-0005-0000-0000-0000BB570000}"/>
    <cellStyle name="표준 25 4 2 2 3 4 2" xfId="22486" xr:uid="{00000000-0005-0000-0000-0000BC570000}"/>
    <cellStyle name="표준 25 4 2 2 3 4 2 2" xfId="22487" xr:uid="{00000000-0005-0000-0000-0000BD570000}"/>
    <cellStyle name="표준 25 4 2 2 3 4 3" xfId="22488" xr:uid="{00000000-0005-0000-0000-0000BE570000}"/>
    <cellStyle name="표준 25 4 2 2 3 5" xfId="22489" xr:uid="{00000000-0005-0000-0000-0000BF570000}"/>
    <cellStyle name="표준 25 4 2 2 3 5 2" xfId="22490" xr:uid="{00000000-0005-0000-0000-0000C0570000}"/>
    <cellStyle name="표준 25 4 2 2 3 6" xfId="22491" xr:uid="{00000000-0005-0000-0000-0000C1570000}"/>
    <cellStyle name="표준 25 4 2 2 4" xfId="22492" xr:uid="{00000000-0005-0000-0000-0000C2570000}"/>
    <cellStyle name="표준 25 4 2 2 4 2" xfId="22493" xr:uid="{00000000-0005-0000-0000-0000C3570000}"/>
    <cellStyle name="표준 25 4 2 2 4 2 2" xfId="22494" xr:uid="{00000000-0005-0000-0000-0000C4570000}"/>
    <cellStyle name="표준 25 4 2 2 4 2 2 2" xfId="22495" xr:uid="{00000000-0005-0000-0000-0000C5570000}"/>
    <cellStyle name="표준 25 4 2 2 4 2 2 2 2" xfId="22496" xr:uid="{00000000-0005-0000-0000-0000C6570000}"/>
    <cellStyle name="표준 25 4 2 2 4 2 2 3" xfId="22497" xr:uid="{00000000-0005-0000-0000-0000C7570000}"/>
    <cellStyle name="표준 25 4 2 2 4 2 3" xfId="22498" xr:uid="{00000000-0005-0000-0000-0000C8570000}"/>
    <cellStyle name="표준 25 4 2 2 4 2 3 2" xfId="22499" xr:uid="{00000000-0005-0000-0000-0000C9570000}"/>
    <cellStyle name="표준 25 4 2 2 4 2 4" xfId="22500" xr:uid="{00000000-0005-0000-0000-0000CA570000}"/>
    <cellStyle name="표준 25 4 2 2 4 3" xfId="22501" xr:uid="{00000000-0005-0000-0000-0000CB570000}"/>
    <cellStyle name="표준 25 4 2 2 4 3 2" xfId="22502" xr:uid="{00000000-0005-0000-0000-0000CC570000}"/>
    <cellStyle name="표준 25 4 2 2 4 3 2 2" xfId="22503" xr:uid="{00000000-0005-0000-0000-0000CD570000}"/>
    <cellStyle name="표준 25 4 2 2 4 3 3" xfId="22504" xr:uid="{00000000-0005-0000-0000-0000CE570000}"/>
    <cellStyle name="표준 25 4 2 2 4 4" xfId="22505" xr:uid="{00000000-0005-0000-0000-0000CF570000}"/>
    <cellStyle name="표준 25 4 2 2 4 4 2" xfId="22506" xr:uid="{00000000-0005-0000-0000-0000D0570000}"/>
    <cellStyle name="표준 25 4 2 2 4 5" xfId="22507" xr:uid="{00000000-0005-0000-0000-0000D1570000}"/>
    <cellStyle name="표준 25 4 2 2 5" xfId="22508" xr:uid="{00000000-0005-0000-0000-0000D2570000}"/>
    <cellStyle name="표준 25 4 2 2 5 2" xfId="22509" xr:uid="{00000000-0005-0000-0000-0000D3570000}"/>
    <cellStyle name="표준 25 4 2 2 5 2 2" xfId="22510" xr:uid="{00000000-0005-0000-0000-0000D4570000}"/>
    <cellStyle name="표준 25 4 2 2 5 2 2 2" xfId="22511" xr:uid="{00000000-0005-0000-0000-0000D5570000}"/>
    <cellStyle name="표준 25 4 2 2 5 2 3" xfId="22512" xr:uid="{00000000-0005-0000-0000-0000D6570000}"/>
    <cellStyle name="표준 25 4 2 2 5 3" xfId="22513" xr:uid="{00000000-0005-0000-0000-0000D7570000}"/>
    <cellStyle name="표준 25 4 2 2 5 3 2" xfId="22514" xr:uid="{00000000-0005-0000-0000-0000D8570000}"/>
    <cellStyle name="표준 25 4 2 2 5 4" xfId="22515" xr:uid="{00000000-0005-0000-0000-0000D9570000}"/>
    <cellStyle name="표준 25 4 2 2 6" xfId="22516" xr:uid="{00000000-0005-0000-0000-0000DA570000}"/>
    <cellStyle name="표준 25 4 2 2 6 2" xfId="22517" xr:uid="{00000000-0005-0000-0000-0000DB570000}"/>
    <cellStyle name="표준 25 4 2 2 6 2 2" xfId="22518" xr:uid="{00000000-0005-0000-0000-0000DC570000}"/>
    <cellStyle name="표준 25 4 2 2 6 3" xfId="22519" xr:uid="{00000000-0005-0000-0000-0000DD570000}"/>
    <cellStyle name="표준 25 4 2 2 7" xfId="22520" xr:uid="{00000000-0005-0000-0000-0000DE570000}"/>
    <cellStyle name="표준 25 4 2 2 7 2" xfId="22521" xr:uid="{00000000-0005-0000-0000-0000DF570000}"/>
    <cellStyle name="표준 25 4 2 2 8" xfId="22522" xr:uid="{00000000-0005-0000-0000-0000E0570000}"/>
    <cellStyle name="표준 25 4 2 2 9" xfId="22523" xr:uid="{00000000-0005-0000-0000-0000E1570000}"/>
    <cellStyle name="표준 25 4 2 3" xfId="22524" xr:uid="{00000000-0005-0000-0000-0000E2570000}"/>
    <cellStyle name="표준 25 4 2 3 2" xfId="22525" xr:uid="{00000000-0005-0000-0000-0000E3570000}"/>
    <cellStyle name="표준 25 4 2 3 2 2" xfId="22526" xr:uid="{00000000-0005-0000-0000-0000E4570000}"/>
    <cellStyle name="표준 25 4 2 3 2 2 2" xfId="22527" xr:uid="{00000000-0005-0000-0000-0000E5570000}"/>
    <cellStyle name="표준 25 4 2 3 2 2 2 2" xfId="22528" xr:uid="{00000000-0005-0000-0000-0000E6570000}"/>
    <cellStyle name="표준 25 4 2 3 2 2 2 2 2" xfId="22529" xr:uid="{00000000-0005-0000-0000-0000E7570000}"/>
    <cellStyle name="표준 25 4 2 3 2 2 2 2 2 2" xfId="22530" xr:uid="{00000000-0005-0000-0000-0000E8570000}"/>
    <cellStyle name="표준 25 4 2 3 2 2 2 2 3" xfId="22531" xr:uid="{00000000-0005-0000-0000-0000E9570000}"/>
    <cellStyle name="표준 25 4 2 3 2 2 2 3" xfId="22532" xr:uid="{00000000-0005-0000-0000-0000EA570000}"/>
    <cellStyle name="표준 25 4 2 3 2 2 2 3 2" xfId="22533" xr:uid="{00000000-0005-0000-0000-0000EB570000}"/>
    <cellStyle name="표준 25 4 2 3 2 2 2 4" xfId="22534" xr:uid="{00000000-0005-0000-0000-0000EC570000}"/>
    <cellStyle name="표준 25 4 2 3 2 2 3" xfId="22535" xr:uid="{00000000-0005-0000-0000-0000ED570000}"/>
    <cellStyle name="표준 25 4 2 3 2 2 3 2" xfId="22536" xr:uid="{00000000-0005-0000-0000-0000EE570000}"/>
    <cellStyle name="표준 25 4 2 3 2 2 3 2 2" xfId="22537" xr:uid="{00000000-0005-0000-0000-0000EF570000}"/>
    <cellStyle name="표준 25 4 2 3 2 2 3 3" xfId="22538" xr:uid="{00000000-0005-0000-0000-0000F0570000}"/>
    <cellStyle name="표준 25 4 2 3 2 2 4" xfId="22539" xr:uid="{00000000-0005-0000-0000-0000F1570000}"/>
    <cellStyle name="표준 25 4 2 3 2 2 4 2" xfId="22540" xr:uid="{00000000-0005-0000-0000-0000F2570000}"/>
    <cellStyle name="표준 25 4 2 3 2 2 5" xfId="22541" xr:uid="{00000000-0005-0000-0000-0000F3570000}"/>
    <cellStyle name="표준 25 4 2 3 2 3" xfId="22542" xr:uid="{00000000-0005-0000-0000-0000F4570000}"/>
    <cellStyle name="표준 25 4 2 3 2 3 2" xfId="22543" xr:uid="{00000000-0005-0000-0000-0000F5570000}"/>
    <cellStyle name="표준 25 4 2 3 2 3 2 2" xfId="22544" xr:uid="{00000000-0005-0000-0000-0000F6570000}"/>
    <cellStyle name="표준 25 4 2 3 2 3 2 2 2" xfId="22545" xr:uid="{00000000-0005-0000-0000-0000F7570000}"/>
    <cellStyle name="표준 25 4 2 3 2 3 2 3" xfId="22546" xr:uid="{00000000-0005-0000-0000-0000F8570000}"/>
    <cellStyle name="표준 25 4 2 3 2 3 3" xfId="22547" xr:uid="{00000000-0005-0000-0000-0000F9570000}"/>
    <cellStyle name="표준 25 4 2 3 2 3 3 2" xfId="22548" xr:uid="{00000000-0005-0000-0000-0000FA570000}"/>
    <cellStyle name="표준 25 4 2 3 2 3 4" xfId="22549" xr:uid="{00000000-0005-0000-0000-0000FB570000}"/>
    <cellStyle name="표준 25 4 2 3 2 4" xfId="22550" xr:uid="{00000000-0005-0000-0000-0000FC570000}"/>
    <cellStyle name="표준 25 4 2 3 2 4 2" xfId="22551" xr:uid="{00000000-0005-0000-0000-0000FD570000}"/>
    <cellStyle name="표준 25 4 2 3 2 4 2 2" xfId="22552" xr:uid="{00000000-0005-0000-0000-0000FE570000}"/>
    <cellStyle name="표준 25 4 2 3 2 4 3" xfId="22553" xr:uid="{00000000-0005-0000-0000-0000FF570000}"/>
    <cellStyle name="표준 25 4 2 3 2 5" xfId="22554" xr:uid="{00000000-0005-0000-0000-000000580000}"/>
    <cellStyle name="표준 25 4 2 3 2 5 2" xfId="22555" xr:uid="{00000000-0005-0000-0000-000001580000}"/>
    <cellStyle name="표준 25 4 2 3 2 6" xfId="22556" xr:uid="{00000000-0005-0000-0000-000002580000}"/>
    <cellStyle name="표준 25 4 2 3 3" xfId="22557" xr:uid="{00000000-0005-0000-0000-000003580000}"/>
    <cellStyle name="표준 25 4 2 3 3 2" xfId="22558" xr:uid="{00000000-0005-0000-0000-000004580000}"/>
    <cellStyle name="표준 25 4 2 3 3 2 2" xfId="22559" xr:uid="{00000000-0005-0000-0000-000005580000}"/>
    <cellStyle name="표준 25 4 2 3 3 2 2 2" xfId="22560" xr:uid="{00000000-0005-0000-0000-000006580000}"/>
    <cellStyle name="표준 25 4 2 3 3 2 2 2 2" xfId="22561" xr:uid="{00000000-0005-0000-0000-000007580000}"/>
    <cellStyle name="표준 25 4 2 3 3 2 2 3" xfId="22562" xr:uid="{00000000-0005-0000-0000-000008580000}"/>
    <cellStyle name="표준 25 4 2 3 3 2 3" xfId="22563" xr:uid="{00000000-0005-0000-0000-000009580000}"/>
    <cellStyle name="표준 25 4 2 3 3 2 3 2" xfId="22564" xr:uid="{00000000-0005-0000-0000-00000A580000}"/>
    <cellStyle name="표준 25 4 2 3 3 2 4" xfId="22565" xr:uid="{00000000-0005-0000-0000-00000B580000}"/>
    <cellStyle name="표준 25 4 2 3 3 3" xfId="22566" xr:uid="{00000000-0005-0000-0000-00000C580000}"/>
    <cellStyle name="표준 25 4 2 3 3 3 2" xfId="22567" xr:uid="{00000000-0005-0000-0000-00000D580000}"/>
    <cellStyle name="표준 25 4 2 3 3 3 2 2" xfId="22568" xr:uid="{00000000-0005-0000-0000-00000E580000}"/>
    <cellStyle name="표준 25 4 2 3 3 3 3" xfId="22569" xr:uid="{00000000-0005-0000-0000-00000F580000}"/>
    <cellStyle name="표준 25 4 2 3 3 4" xfId="22570" xr:uid="{00000000-0005-0000-0000-000010580000}"/>
    <cellStyle name="표준 25 4 2 3 3 4 2" xfId="22571" xr:uid="{00000000-0005-0000-0000-000011580000}"/>
    <cellStyle name="표준 25 4 2 3 3 5" xfId="22572" xr:uid="{00000000-0005-0000-0000-000012580000}"/>
    <cellStyle name="표준 25 4 2 3 4" xfId="22573" xr:uid="{00000000-0005-0000-0000-000013580000}"/>
    <cellStyle name="표준 25 4 2 3 4 2" xfId="22574" xr:uid="{00000000-0005-0000-0000-000014580000}"/>
    <cellStyle name="표준 25 4 2 3 4 2 2" xfId="22575" xr:uid="{00000000-0005-0000-0000-000015580000}"/>
    <cellStyle name="표준 25 4 2 3 4 2 2 2" xfId="22576" xr:uid="{00000000-0005-0000-0000-000016580000}"/>
    <cellStyle name="표준 25 4 2 3 4 2 3" xfId="22577" xr:uid="{00000000-0005-0000-0000-000017580000}"/>
    <cellStyle name="표준 25 4 2 3 4 3" xfId="22578" xr:uid="{00000000-0005-0000-0000-000018580000}"/>
    <cellStyle name="표준 25 4 2 3 4 3 2" xfId="22579" xr:uid="{00000000-0005-0000-0000-000019580000}"/>
    <cellStyle name="표준 25 4 2 3 4 4" xfId="22580" xr:uid="{00000000-0005-0000-0000-00001A580000}"/>
    <cellStyle name="표준 25 4 2 3 5" xfId="22581" xr:uid="{00000000-0005-0000-0000-00001B580000}"/>
    <cellStyle name="표준 25 4 2 3 5 2" xfId="22582" xr:uid="{00000000-0005-0000-0000-00001C580000}"/>
    <cellStyle name="표준 25 4 2 3 5 2 2" xfId="22583" xr:uid="{00000000-0005-0000-0000-00001D580000}"/>
    <cellStyle name="표준 25 4 2 3 5 3" xfId="22584" xr:uid="{00000000-0005-0000-0000-00001E580000}"/>
    <cellStyle name="표준 25 4 2 3 6" xfId="22585" xr:uid="{00000000-0005-0000-0000-00001F580000}"/>
    <cellStyle name="표준 25 4 2 3 6 2" xfId="22586" xr:uid="{00000000-0005-0000-0000-000020580000}"/>
    <cellStyle name="표준 25 4 2 3 7" xfId="22587" xr:uid="{00000000-0005-0000-0000-000021580000}"/>
    <cellStyle name="표준 25 4 2 3 8" xfId="22588" xr:uid="{00000000-0005-0000-0000-000022580000}"/>
    <cellStyle name="표준 25 4 2 4" xfId="22589" xr:uid="{00000000-0005-0000-0000-000023580000}"/>
    <cellStyle name="표준 25 4 2 4 2" xfId="22590" xr:uid="{00000000-0005-0000-0000-000024580000}"/>
    <cellStyle name="표준 25 4 2 4 2 2" xfId="22591" xr:uid="{00000000-0005-0000-0000-000025580000}"/>
    <cellStyle name="표준 25 4 2 4 2 2 2" xfId="22592" xr:uid="{00000000-0005-0000-0000-000026580000}"/>
    <cellStyle name="표준 25 4 2 4 2 2 2 2" xfId="22593" xr:uid="{00000000-0005-0000-0000-000027580000}"/>
    <cellStyle name="표준 25 4 2 4 2 2 2 2 2" xfId="22594" xr:uid="{00000000-0005-0000-0000-000028580000}"/>
    <cellStyle name="표준 25 4 2 4 2 2 2 3" xfId="22595" xr:uid="{00000000-0005-0000-0000-000029580000}"/>
    <cellStyle name="표준 25 4 2 4 2 2 3" xfId="22596" xr:uid="{00000000-0005-0000-0000-00002A580000}"/>
    <cellStyle name="표준 25 4 2 4 2 2 3 2" xfId="22597" xr:uid="{00000000-0005-0000-0000-00002B580000}"/>
    <cellStyle name="표준 25 4 2 4 2 2 4" xfId="22598" xr:uid="{00000000-0005-0000-0000-00002C580000}"/>
    <cellStyle name="표준 25 4 2 4 2 3" xfId="22599" xr:uid="{00000000-0005-0000-0000-00002D580000}"/>
    <cellStyle name="표준 25 4 2 4 2 3 2" xfId="22600" xr:uid="{00000000-0005-0000-0000-00002E580000}"/>
    <cellStyle name="표준 25 4 2 4 2 3 2 2" xfId="22601" xr:uid="{00000000-0005-0000-0000-00002F580000}"/>
    <cellStyle name="표준 25 4 2 4 2 3 3" xfId="22602" xr:uid="{00000000-0005-0000-0000-000030580000}"/>
    <cellStyle name="표준 25 4 2 4 2 4" xfId="22603" xr:uid="{00000000-0005-0000-0000-000031580000}"/>
    <cellStyle name="표준 25 4 2 4 2 4 2" xfId="22604" xr:uid="{00000000-0005-0000-0000-000032580000}"/>
    <cellStyle name="표준 25 4 2 4 2 5" xfId="22605" xr:uid="{00000000-0005-0000-0000-000033580000}"/>
    <cellStyle name="표준 25 4 2 4 3" xfId="22606" xr:uid="{00000000-0005-0000-0000-000034580000}"/>
    <cellStyle name="표준 25 4 2 4 3 2" xfId="22607" xr:uid="{00000000-0005-0000-0000-000035580000}"/>
    <cellStyle name="표준 25 4 2 4 3 2 2" xfId="22608" xr:uid="{00000000-0005-0000-0000-000036580000}"/>
    <cellStyle name="표준 25 4 2 4 3 2 2 2" xfId="22609" xr:uid="{00000000-0005-0000-0000-000037580000}"/>
    <cellStyle name="표준 25 4 2 4 3 2 3" xfId="22610" xr:uid="{00000000-0005-0000-0000-000038580000}"/>
    <cellStyle name="표준 25 4 2 4 3 3" xfId="22611" xr:uid="{00000000-0005-0000-0000-000039580000}"/>
    <cellStyle name="표준 25 4 2 4 3 3 2" xfId="22612" xr:uid="{00000000-0005-0000-0000-00003A580000}"/>
    <cellStyle name="표준 25 4 2 4 3 4" xfId="22613" xr:uid="{00000000-0005-0000-0000-00003B580000}"/>
    <cellStyle name="표준 25 4 2 4 4" xfId="22614" xr:uid="{00000000-0005-0000-0000-00003C580000}"/>
    <cellStyle name="표준 25 4 2 4 4 2" xfId="22615" xr:uid="{00000000-0005-0000-0000-00003D580000}"/>
    <cellStyle name="표준 25 4 2 4 4 2 2" xfId="22616" xr:uid="{00000000-0005-0000-0000-00003E580000}"/>
    <cellStyle name="표준 25 4 2 4 4 3" xfId="22617" xr:uid="{00000000-0005-0000-0000-00003F580000}"/>
    <cellStyle name="표준 25 4 2 4 5" xfId="22618" xr:uid="{00000000-0005-0000-0000-000040580000}"/>
    <cellStyle name="표준 25 4 2 4 5 2" xfId="22619" xr:uid="{00000000-0005-0000-0000-000041580000}"/>
    <cellStyle name="표준 25 4 2 4 6" xfId="22620" xr:uid="{00000000-0005-0000-0000-000042580000}"/>
    <cellStyle name="표준 25 4 2 5" xfId="22621" xr:uid="{00000000-0005-0000-0000-000043580000}"/>
    <cellStyle name="표준 25 4 2 5 2" xfId="22622" xr:uid="{00000000-0005-0000-0000-000044580000}"/>
    <cellStyle name="표준 25 4 2 5 2 2" xfId="22623" xr:uid="{00000000-0005-0000-0000-000045580000}"/>
    <cellStyle name="표준 25 4 2 5 2 2 2" xfId="22624" xr:uid="{00000000-0005-0000-0000-000046580000}"/>
    <cellStyle name="표준 25 4 2 5 2 2 2 2" xfId="22625" xr:uid="{00000000-0005-0000-0000-000047580000}"/>
    <cellStyle name="표준 25 4 2 5 2 2 3" xfId="22626" xr:uid="{00000000-0005-0000-0000-000048580000}"/>
    <cellStyle name="표준 25 4 2 5 2 3" xfId="22627" xr:uid="{00000000-0005-0000-0000-000049580000}"/>
    <cellStyle name="표준 25 4 2 5 2 3 2" xfId="22628" xr:uid="{00000000-0005-0000-0000-00004A580000}"/>
    <cellStyle name="표준 25 4 2 5 2 4" xfId="22629" xr:uid="{00000000-0005-0000-0000-00004B580000}"/>
    <cellStyle name="표준 25 4 2 5 3" xfId="22630" xr:uid="{00000000-0005-0000-0000-00004C580000}"/>
    <cellStyle name="표준 25 4 2 5 3 2" xfId="22631" xr:uid="{00000000-0005-0000-0000-00004D580000}"/>
    <cellStyle name="표준 25 4 2 5 3 2 2" xfId="22632" xr:uid="{00000000-0005-0000-0000-00004E580000}"/>
    <cellStyle name="표준 25 4 2 5 3 3" xfId="22633" xr:uid="{00000000-0005-0000-0000-00004F580000}"/>
    <cellStyle name="표준 25 4 2 5 4" xfId="22634" xr:uid="{00000000-0005-0000-0000-000050580000}"/>
    <cellStyle name="표준 25 4 2 5 4 2" xfId="22635" xr:uid="{00000000-0005-0000-0000-000051580000}"/>
    <cellStyle name="표준 25 4 2 5 5" xfId="22636" xr:uid="{00000000-0005-0000-0000-000052580000}"/>
    <cellStyle name="표준 25 4 2 6" xfId="22637" xr:uid="{00000000-0005-0000-0000-000053580000}"/>
    <cellStyle name="표준 25 4 2 6 2" xfId="22638" xr:uid="{00000000-0005-0000-0000-000054580000}"/>
    <cellStyle name="표준 25 4 2 6 2 2" xfId="22639" xr:uid="{00000000-0005-0000-0000-000055580000}"/>
    <cellStyle name="표준 25 4 2 6 2 2 2" xfId="22640" xr:uid="{00000000-0005-0000-0000-000056580000}"/>
    <cellStyle name="표준 25 4 2 6 2 3" xfId="22641" xr:uid="{00000000-0005-0000-0000-000057580000}"/>
    <cellStyle name="표준 25 4 2 6 3" xfId="22642" xr:uid="{00000000-0005-0000-0000-000058580000}"/>
    <cellStyle name="표준 25 4 2 6 3 2" xfId="22643" xr:uid="{00000000-0005-0000-0000-000059580000}"/>
    <cellStyle name="표준 25 4 2 6 4" xfId="22644" xr:uid="{00000000-0005-0000-0000-00005A580000}"/>
    <cellStyle name="표준 25 4 2 7" xfId="22645" xr:uid="{00000000-0005-0000-0000-00005B580000}"/>
    <cellStyle name="표준 25 4 2 7 2" xfId="22646" xr:uid="{00000000-0005-0000-0000-00005C580000}"/>
    <cellStyle name="표준 25 4 2 7 2 2" xfId="22647" xr:uid="{00000000-0005-0000-0000-00005D580000}"/>
    <cellStyle name="표준 25 4 2 7 3" xfId="22648" xr:uid="{00000000-0005-0000-0000-00005E580000}"/>
    <cellStyle name="표준 25 4 2 8" xfId="22649" xr:uid="{00000000-0005-0000-0000-00005F580000}"/>
    <cellStyle name="표준 25 4 2 8 2" xfId="22650" xr:uid="{00000000-0005-0000-0000-000060580000}"/>
    <cellStyle name="표준 25 4 2 9" xfId="22651" xr:uid="{00000000-0005-0000-0000-000061580000}"/>
    <cellStyle name="표준 25 4 3" xfId="22652" xr:uid="{00000000-0005-0000-0000-000062580000}"/>
    <cellStyle name="표준 25 4 3 2" xfId="22653" xr:uid="{00000000-0005-0000-0000-000063580000}"/>
    <cellStyle name="표준 25 4 3 2 2" xfId="22654" xr:uid="{00000000-0005-0000-0000-000064580000}"/>
    <cellStyle name="표준 25 4 3 2 2 2" xfId="22655" xr:uid="{00000000-0005-0000-0000-000065580000}"/>
    <cellStyle name="표준 25 4 3 2 2 2 2" xfId="22656" xr:uid="{00000000-0005-0000-0000-000066580000}"/>
    <cellStyle name="표준 25 4 3 2 2 2 2 2" xfId="22657" xr:uid="{00000000-0005-0000-0000-000067580000}"/>
    <cellStyle name="표준 25 4 3 2 2 2 2 2 2" xfId="22658" xr:uid="{00000000-0005-0000-0000-000068580000}"/>
    <cellStyle name="표준 25 4 3 2 2 2 2 2 2 2" xfId="22659" xr:uid="{00000000-0005-0000-0000-000069580000}"/>
    <cellStyle name="표준 25 4 3 2 2 2 2 2 3" xfId="22660" xr:uid="{00000000-0005-0000-0000-00006A580000}"/>
    <cellStyle name="표준 25 4 3 2 2 2 2 3" xfId="22661" xr:uid="{00000000-0005-0000-0000-00006B580000}"/>
    <cellStyle name="표준 25 4 3 2 2 2 2 3 2" xfId="22662" xr:uid="{00000000-0005-0000-0000-00006C580000}"/>
    <cellStyle name="표준 25 4 3 2 2 2 2 4" xfId="22663" xr:uid="{00000000-0005-0000-0000-00006D580000}"/>
    <cellStyle name="표준 25 4 3 2 2 2 3" xfId="22664" xr:uid="{00000000-0005-0000-0000-00006E580000}"/>
    <cellStyle name="표준 25 4 3 2 2 2 3 2" xfId="22665" xr:uid="{00000000-0005-0000-0000-00006F580000}"/>
    <cellStyle name="표준 25 4 3 2 2 2 3 2 2" xfId="22666" xr:uid="{00000000-0005-0000-0000-000070580000}"/>
    <cellStyle name="표준 25 4 3 2 2 2 3 3" xfId="22667" xr:uid="{00000000-0005-0000-0000-000071580000}"/>
    <cellStyle name="표준 25 4 3 2 2 2 4" xfId="22668" xr:uid="{00000000-0005-0000-0000-000072580000}"/>
    <cellStyle name="표준 25 4 3 2 2 2 4 2" xfId="22669" xr:uid="{00000000-0005-0000-0000-000073580000}"/>
    <cellStyle name="표준 25 4 3 2 2 2 5" xfId="22670" xr:uid="{00000000-0005-0000-0000-000074580000}"/>
    <cellStyle name="표준 25 4 3 2 2 3" xfId="22671" xr:uid="{00000000-0005-0000-0000-000075580000}"/>
    <cellStyle name="표준 25 4 3 2 2 3 2" xfId="22672" xr:uid="{00000000-0005-0000-0000-000076580000}"/>
    <cellStyle name="표준 25 4 3 2 2 3 2 2" xfId="22673" xr:uid="{00000000-0005-0000-0000-000077580000}"/>
    <cellStyle name="표준 25 4 3 2 2 3 2 2 2" xfId="22674" xr:uid="{00000000-0005-0000-0000-000078580000}"/>
    <cellStyle name="표준 25 4 3 2 2 3 2 3" xfId="22675" xr:uid="{00000000-0005-0000-0000-000079580000}"/>
    <cellStyle name="표준 25 4 3 2 2 3 3" xfId="22676" xr:uid="{00000000-0005-0000-0000-00007A580000}"/>
    <cellStyle name="표준 25 4 3 2 2 3 3 2" xfId="22677" xr:uid="{00000000-0005-0000-0000-00007B580000}"/>
    <cellStyle name="표준 25 4 3 2 2 3 4" xfId="22678" xr:uid="{00000000-0005-0000-0000-00007C580000}"/>
    <cellStyle name="표준 25 4 3 2 2 4" xfId="22679" xr:uid="{00000000-0005-0000-0000-00007D580000}"/>
    <cellStyle name="표준 25 4 3 2 2 4 2" xfId="22680" xr:uid="{00000000-0005-0000-0000-00007E580000}"/>
    <cellStyle name="표준 25 4 3 2 2 4 2 2" xfId="22681" xr:uid="{00000000-0005-0000-0000-00007F580000}"/>
    <cellStyle name="표준 25 4 3 2 2 4 3" xfId="22682" xr:uid="{00000000-0005-0000-0000-000080580000}"/>
    <cellStyle name="표준 25 4 3 2 2 5" xfId="22683" xr:uid="{00000000-0005-0000-0000-000081580000}"/>
    <cellStyle name="표준 25 4 3 2 2 5 2" xfId="22684" xr:uid="{00000000-0005-0000-0000-000082580000}"/>
    <cellStyle name="표준 25 4 3 2 2 6" xfId="22685" xr:uid="{00000000-0005-0000-0000-000083580000}"/>
    <cellStyle name="표준 25 4 3 2 3" xfId="22686" xr:uid="{00000000-0005-0000-0000-000084580000}"/>
    <cellStyle name="표준 25 4 3 2 3 2" xfId="22687" xr:uid="{00000000-0005-0000-0000-000085580000}"/>
    <cellStyle name="표준 25 4 3 2 3 2 2" xfId="22688" xr:uid="{00000000-0005-0000-0000-000086580000}"/>
    <cellStyle name="표준 25 4 3 2 3 2 2 2" xfId="22689" xr:uid="{00000000-0005-0000-0000-000087580000}"/>
    <cellStyle name="표준 25 4 3 2 3 2 2 2 2" xfId="22690" xr:uid="{00000000-0005-0000-0000-000088580000}"/>
    <cellStyle name="표준 25 4 3 2 3 2 2 3" xfId="22691" xr:uid="{00000000-0005-0000-0000-000089580000}"/>
    <cellStyle name="표준 25 4 3 2 3 2 3" xfId="22692" xr:uid="{00000000-0005-0000-0000-00008A580000}"/>
    <cellStyle name="표준 25 4 3 2 3 2 3 2" xfId="22693" xr:uid="{00000000-0005-0000-0000-00008B580000}"/>
    <cellStyle name="표준 25 4 3 2 3 2 4" xfId="22694" xr:uid="{00000000-0005-0000-0000-00008C580000}"/>
    <cellStyle name="표준 25 4 3 2 3 3" xfId="22695" xr:uid="{00000000-0005-0000-0000-00008D580000}"/>
    <cellStyle name="표준 25 4 3 2 3 3 2" xfId="22696" xr:uid="{00000000-0005-0000-0000-00008E580000}"/>
    <cellStyle name="표준 25 4 3 2 3 3 2 2" xfId="22697" xr:uid="{00000000-0005-0000-0000-00008F580000}"/>
    <cellStyle name="표준 25 4 3 2 3 3 3" xfId="22698" xr:uid="{00000000-0005-0000-0000-000090580000}"/>
    <cellStyle name="표준 25 4 3 2 3 4" xfId="22699" xr:uid="{00000000-0005-0000-0000-000091580000}"/>
    <cellStyle name="표준 25 4 3 2 3 4 2" xfId="22700" xr:uid="{00000000-0005-0000-0000-000092580000}"/>
    <cellStyle name="표준 25 4 3 2 3 5" xfId="22701" xr:uid="{00000000-0005-0000-0000-000093580000}"/>
    <cellStyle name="표준 25 4 3 2 4" xfId="22702" xr:uid="{00000000-0005-0000-0000-000094580000}"/>
    <cellStyle name="표준 25 4 3 2 4 2" xfId="22703" xr:uid="{00000000-0005-0000-0000-000095580000}"/>
    <cellStyle name="표준 25 4 3 2 4 2 2" xfId="22704" xr:uid="{00000000-0005-0000-0000-000096580000}"/>
    <cellStyle name="표준 25 4 3 2 4 2 2 2" xfId="22705" xr:uid="{00000000-0005-0000-0000-000097580000}"/>
    <cellStyle name="표준 25 4 3 2 4 2 3" xfId="22706" xr:uid="{00000000-0005-0000-0000-000098580000}"/>
    <cellStyle name="표준 25 4 3 2 4 3" xfId="22707" xr:uid="{00000000-0005-0000-0000-000099580000}"/>
    <cellStyle name="표준 25 4 3 2 4 3 2" xfId="22708" xr:uid="{00000000-0005-0000-0000-00009A580000}"/>
    <cellStyle name="표준 25 4 3 2 4 4" xfId="22709" xr:uid="{00000000-0005-0000-0000-00009B580000}"/>
    <cellStyle name="표준 25 4 3 2 5" xfId="22710" xr:uid="{00000000-0005-0000-0000-00009C580000}"/>
    <cellStyle name="표준 25 4 3 2 5 2" xfId="22711" xr:uid="{00000000-0005-0000-0000-00009D580000}"/>
    <cellStyle name="표준 25 4 3 2 5 2 2" xfId="22712" xr:uid="{00000000-0005-0000-0000-00009E580000}"/>
    <cellStyle name="표준 25 4 3 2 5 3" xfId="22713" xr:uid="{00000000-0005-0000-0000-00009F580000}"/>
    <cellStyle name="표준 25 4 3 2 6" xfId="22714" xr:uid="{00000000-0005-0000-0000-0000A0580000}"/>
    <cellStyle name="표준 25 4 3 2 6 2" xfId="22715" xr:uid="{00000000-0005-0000-0000-0000A1580000}"/>
    <cellStyle name="표준 25 4 3 2 7" xfId="22716" xr:uid="{00000000-0005-0000-0000-0000A2580000}"/>
    <cellStyle name="표준 25 4 3 2 8" xfId="22717" xr:uid="{00000000-0005-0000-0000-0000A3580000}"/>
    <cellStyle name="표준 25 4 3 3" xfId="22718" xr:uid="{00000000-0005-0000-0000-0000A4580000}"/>
    <cellStyle name="표준 25 4 3 3 2" xfId="22719" xr:uid="{00000000-0005-0000-0000-0000A5580000}"/>
    <cellStyle name="표준 25 4 3 3 2 2" xfId="22720" xr:uid="{00000000-0005-0000-0000-0000A6580000}"/>
    <cellStyle name="표준 25 4 3 3 2 2 2" xfId="22721" xr:uid="{00000000-0005-0000-0000-0000A7580000}"/>
    <cellStyle name="표준 25 4 3 3 2 2 2 2" xfId="22722" xr:uid="{00000000-0005-0000-0000-0000A8580000}"/>
    <cellStyle name="표준 25 4 3 3 2 2 2 2 2" xfId="22723" xr:uid="{00000000-0005-0000-0000-0000A9580000}"/>
    <cellStyle name="표준 25 4 3 3 2 2 2 3" xfId="22724" xr:uid="{00000000-0005-0000-0000-0000AA580000}"/>
    <cellStyle name="표준 25 4 3 3 2 2 3" xfId="22725" xr:uid="{00000000-0005-0000-0000-0000AB580000}"/>
    <cellStyle name="표준 25 4 3 3 2 2 3 2" xfId="22726" xr:uid="{00000000-0005-0000-0000-0000AC580000}"/>
    <cellStyle name="표준 25 4 3 3 2 2 4" xfId="22727" xr:uid="{00000000-0005-0000-0000-0000AD580000}"/>
    <cellStyle name="표준 25 4 3 3 2 3" xfId="22728" xr:uid="{00000000-0005-0000-0000-0000AE580000}"/>
    <cellStyle name="표준 25 4 3 3 2 3 2" xfId="22729" xr:uid="{00000000-0005-0000-0000-0000AF580000}"/>
    <cellStyle name="표준 25 4 3 3 2 3 2 2" xfId="22730" xr:uid="{00000000-0005-0000-0000-0000B0580000}"/>
    <cellStyle name="표준 25 4 3 3 2 3 3" xfId="22731" xr:uid="{00000000-0005-0000-0000-0000B1580000}"/>
    <cellStyle name="표준 25 4 3 3 2 4" xfId="22732" xr:uid="{00000000-0005-0000-0000-0000B2580000}"/>
    <cellStyle name="표준 25 4 3 3 2 4 2" xfId="22733" xr:uid="{00000000-0005-0000-0000-0000B3580000}"/>
    <cellStyle name="표준 25 4 3 3 2 5" xfId="22734" xr:uid="{00000000-0005-0000-0000-0000B4580000}"/>
    <cellStyle name="표준 25 4 3 3 3" xfId="22735" xr:uid="{00000000-0005-0000-0000-0000B5580000}"/>
    <cellStyle name="표준 25 4 3 3 3 2" xfId="22736" xr:uid="{00000000-0005-0000-0000-0000B6580000}"/>
    <cellStyle name="표준 25 4 3 3 3 2 2" xfId="22737" xr:uid="{00000000-0005-0000-0000-0000B7580000}"/>
    <cellStyle name="표준 25 4 3 3 3 2 2 2" xfId="22738" xr:uid="{00000000-0005-0000-0000-0000B8580000}"/>
    <cellStyle name="표준 25 4 3 3 3 2 3" xfId="22739" xr:uid="{00000000-0005-0000-0000-0000B9580000}"/>
    <cellStyle name="표준 25 4 3 3 3 3" xfId="22740" xr:uid="{00000000-0005-0000-0000-0000BA580000}"/>
    <cellStyle name="표준 25 4 3 3 3 3 2" xfId="22741" xr:uid="{00000000-0005-0000-0000-0000BB580000}"/>
    <cellStyle name="표준 25 4 3 3 3 4" xfId="22742" xr:uid="{00000000-0005-0000-0000-0000BC580000}"/>
    <cellStyle name="표준 25 4 3 3 4" xfId="22743" xr:uid="{00000000-0005-0000-0000-0000BD580000}"/>
    <cellStyle name="표준 25 4 3 3 4 2" xfId="22744" xr:uid="{00000000-0005-0000-0000-0000BE580000}"/>
    <cellStyle name="표준 25 4 3 3 4 2 2" xfId="22745" xr:uid="{00000000-0005-0000-0000-0000BF580000}"/>
    <cellStyle name="표준 25 4 3 3 4 3" xfId="22746" xr:uid="{00000000-0005-0000-0000-0000C0580000}"/>
    <cellStyle name="표준 25 4 3 3 5" xfId="22747" xr:uid="{00000000-0005-0000-0000-0000C1580000}"/>
    <cellStyle name="표준 25 4 3 3 5 2" xfId="22748" xr:uid="{00000000-0005-0000-0000-0000C2580000}"/>
    <cellStyle name="표준 25 4 3 3 6" xfId="22749" xr:uid="{00000000-0005-0000-0000-0000C3580000}"/>
    <cellStyle name="표준 25 4 3 4" xfId="22750" xr:uid="{00000000-0005-0000-0000-0000C4580000}"/>
    <cellStyle name="표준 25 4 3 4 2" xfId="22751" xr:uid="{00000000-0005-0000-0000-0000C5580000}"/>
    <cellStyle name="표준 25 4 3 4 2 2" xfId="22752" xr:uid="{00000000-0005-0000-0000-0000C6580000}"/>
    <cellStyle name="표준 25 4 3 4 2 2 2" xfId="22753" xr:uid="{00000000-0005-0000-0000-0000C7580000}"/>
    <cellStyle name="표준 25 4 3 4 2 2 2 2" xfId="22754" xr:uid="{00000000-0005-0000-0000-0000C8580000}"/>
    <cellStyle name="표준 25 4 3 4 2 2 3" xfId="22755" xr:uid="{00000000-0005-0000-0000-0000C9580000}"/>
    <cellStyle name="표준 25 4 3 4 2 3" xfId="22756" xr:uid="{00000000-0005-0000-0000-0000CA580000}"/>
    <cellStyle name="표준 25 4 3 4 2 3 2" xfId="22757" xr:uid="{00000000-0005-0000-0000-0000CB580000}"/>
    <cellStyle name="표준 25 4 3 4 2 4" xfId="22758" xr:uid="{00000000-0005-0000-0000-0000CC580000}"/>
    <cellStyle name="표준 25 4 3 4 3" xfId="22759" xr:uid="{00000000-0005-0000-0000-0000CD580000}"/>
    <cellStyle name="표준 25 4 3 4 3 2" xfId="22760" xr:uid="{00000000-0005-0000-0000-0000CE580000}"/>
    <cellStyle name="표준 25 4 3 4 3 2 2" xfId="22761" xr:uid="{00000000-0005-0000-0000-0000CF580000}"/>
    <cellStyle name="표준 25 4 3 4 3 3" xfId="22762" xr:uid="{00000000-0005-0000-0000-0000D0580000}"/>
    <cellStyle name="표준 25 4 3 4 4" xfId="22763" xr:uid="{00000000-0005-0000-0000-0000D1580000}"/>
    <cellStyle name="표준 25 4 3 4 4 2" xfId="22764" xr:uid="{00000000-0005-0000-0000-0000D2580000}"/>
    <cellStyle name="표준 25 4 3 4 5" xfId="22765" xr:uid="{00000000-0005-0000-0000-0000D3580000}"/>
    <cellStyle name="표준 25 4 3 5" xfId="22766" xr:uid="{00000000-0005-0000-0000-0000D4580000}"/>
    <cellStyle name="표준 25 4 3 5 2" xfId="22767" xr:uid="{00000000-0005-0000-0000-0000D5580000}"/>
    <cellStyle name="표준 25 4 3 5 2 2" xfId="22768" xr:uid="{00000000-0005-0000-0000-0000D6580000}"/>
    <cellStyle name="표준 25 4 3 5 2 2 2" xfId="22769" xr:uid="{00000000-0005-0000-0000-0000D7580000}"/>
    <cellStyle name="표준 25 4 3 5 2 3" xfId="22770" xr:uid="{00000000-0005-0000-0000-0000D8580000}"/>
    <cellStyle name="표준 25 4 3 5 3" xfId="22771" xr:uid="{00000000-0005-0000-0000-0000D9580000}"/>
    <cellStyle name="표준 25 4 3 5 3 2" xfId="22772" xr:uid="{00000000-0005-0000-0000-0000DA580000}"/>
    <cellStyle name="표준 25 4 3 5 4" xfId="22773" xr:uid="{00000000-0005-0000-0000-0000DB580000}"/>
    <cellStyle name="표준 25 4 3 6" xfId="22774" xr:uid="{00000000-0005-0000-0000-0000DC580000}"/>
    <cellStyle name="표준 25 4 3 6 2" xfId="22775" xr:uid="{00000000-0005-0000-0000-0000DD580000}"/>
    <cellStyle name="표준 25 4 3 6 2 2" xfId="22776" xr:uid="{00000000-0005-0000-0000-0000DE580000}"/>
    <cellStyle name="표준 25 4 3 6 3" xfId="22777" xr:uid="{00000000-0005-0000-0000-0000DF580000}"/>
    <cellStyle name="표준 25 4 3 7" xfId="22778" xr:uid="{00000000-0005-0000-0000-0000E0580000}"/>
    <cellStyle name="표준 25 4 3 7 2" xfId="22779" xr:uid="{00000000-0005-0000-0000-0000E1580000}"/>
    <cellStyle name="표준 25 4 3 8" xfId="22780" xr:uid="{00000000-0005-0000-0000-0000E2580000}"/>
    <cellStyle name="표준 25 4 3 9" xfId="22781" xr:uid="{00000000-0005-0000-0000-0000E3580000}"/>
    <cellStyle name="표준 25 4 4" xfId="22782" xr:uid="{00000000-0005-0000-0000-0000E4580000}"/>
    <cellStyle name="표준 25 4 4 2" xfId="22783" xr:uid="{00000000-0005-0000-0000-0000E5580000}"/>
    <cellStyle name="표준 25 4 4 2 2" xfId="22784" xr:uid="{00000000-0005-0000-0000-0000E6580000}"/>
    <cellStyle name="표준 25 4 4 2 2 2" xfId="22785" xr:uid="{00000000-0005-0000-0000-0000E7580000}"/>
    <cellStyle name="표준 25 4 4 2 2 2 2" xfId="22786" xr:uid="{00000000-0005-0000-0000-0000E8580000}"/>
    <cellStyle name="표준 25 4 4 2 2 2 2 2" xfId="22787" xr:uid="{00000000-0005-0000-0000-0000E9580000}"/>
    <cellStyle name="표준 25 4 4 2 2 2 2 2 2" xfId="22788" xr:uid="{00000000-0005-0000-0000-0000EA580000}"/>
    <cellStyle name="표준 25 4 4 2 2 2 2 3" xfId="22789" xr:uid="{00000000-0005-0000-0000-0000EB580000}"/>
    <cellStyle name="표준 25 4 4 2 2 2 3" xfId="22790" xr:uid="{00000000-0005-0000-0000-0000EC580000}"/>
    <cellStyle name="표준 25 4 4 2 2 2 3 2" xfId="22791" xr:uid="{00000000-0005-0000-0000-0000ED580000}"/>
    <cellStyle name="표준 25 4 4 2 2 2 4" xfId="22792" xr:uid="{00000000-0005-0000-0000-0000EE580000}"/>
    <cellStyle name="표준 25 4 4 2 2 3" xfId="22793" xr:uid="{00000000-0005-0000-0000-0000EF580000}"/>
    <cellStyle name="표준 25 4 4 2 2 3 2" xfId="22794" xr:uid="{00000000-0005-0000-0000-0000F0580000}"/>
    <cellStyle name="표준 25 4 4 2 2 3 2 2" xfId="22795" xr:uid="{00000000-0005-0000-0000-0000F1580000}"/>
    <cellStyle name="표준 25 4 4 2 2 3 3" xfId="22796" xr:uid="{00000000-0005-0000-0000-0000F2580000}"/>
    <cellStyle name="표준 25 4 4 2 2 4" xfId="22797" xr:uid="{00000000-0005-0000-0000-0000F3580000}"/>
    <cellStyle name="표준 25 4 4 2 2 4 2" xfId="22798" xr:uid="{00000000-0005-0000-0000-0000F4580000}"/>
    <cellStyle name="표준 25 4 4 2 2 5" xfId="22799" xr:uid="{00000000-0005-0000-0000-0000F5580000}"/>
    <cellStyle name="표준 25 4 4 2 3" xfId="22800" xr:uid="{00000000-0005-0000-0000-0000F6580000}"/>
    <cellStyle name="표준 25 4 4 2 3 2" xfId="22801" xr:uid="{00000000-0005-0000-0000-0000F7580000}"/>
    <cellStyle name="표준 25 4 4 2 3 2 2" xfId="22802" xr:uid="{00000000-0005-0000-0000-0000F8580000}"/>
    <cellStyle name="표준 25 4 4 2 3 2 2 2" xfId="22803" xr:uid="{00000000-0005-0000-0000-0000F9580000}"/>
    <cellStyle name="표준 25 4 4 2 3 2 3" xfId="22804" xr:uid="{00000000-0005-0000-0000-0000FA580000}"/>
    <cellStyle name="표준 25 4 4 2 3 3" xfId="22805" xr:uid="{00000000-0005-0000-0000-0000FB580000}"/>
    <cellStyle name="표준 25 4 4 2 3 3 2" xfId="22806" xr:uid="{00000000-0005-0000-0000-0000FC580000}"/>
    <cellStyle name="표준 25 4 4 2 3 4" xfId="22807" xr:uid="{00000000-0005-0000-0000-0000FD580000}"/>
    <cellStyle name="표준 25 4 4 2 4" xfId="22808" xr:uid="{00000000-0005-0000-0000-0000FE580000}"/>
    <cellStyle name="표준 25 4 4 2 4 2" xfId="22809" xr:uid="{00000000-0005-0000-0000-0000FF580000}"/>
    <cellStyle name="표준 25 4 4 2 4 2 2" xfId="22810" xr:uid="{00000000-0005-0000-0000-000000590000}"/>
    <cellStyle name="표준 25 4 4 2 4 3" xfId="22811" xr:uid="{00000000-0005-0000-0000-000001590000}"/>
    <cellStyle name="표준 25 4 4 2 5" xfId="22812" xr:uid="{00000000-0005-0000-0000-000002590000}"/>
    <cellStyle name="표준 25 4 4 2 5 2" xfId="22813" xr:uid="{00000000-0005-0000-0000-000003590000}"/>
    <cellStyle name="표준 25 4 4 2 6" xfId="22814" xr:uid="{00000000-0005-0000-0000-000004590000}"/>
    <cellStyle name="표준 25 4 4 3" xfId="22815" xr:uid="{00000000-0005-0000-0000-000005590000}"/>
    <cellStyle name="표준 25 4 4 3 2" xfId="22816" xr:uid="{00000000-0005-0000-0000-000006590000}"/>
    <cellStyle name="표준 25 4 4 3 2 2" xfId="22817" xr:uid="{00000000-0005-0000-0000-000007590000}"/>
    <cellStyle name="표준 25 4 4 3 2 2 2" xfId="22818" xr:uid="{00000000-0005-0000-0000-000008590000}"/>
    <cellStyle name="표준 25 4 4 3 2 2 2 2" xfId="22819" xr:uid="{00000000-0005-0000-0000-000009590000}"/>
    <cellStyle name="표준 25 4 4 3 2 2 3" xfId="22820" xr:uid="{00000000-0005-0000-0000-00000A590000}"/>
    <cellStyle name="표준 25 4 4 3 2 3" xfId="22821" xr:uid="{00000000-0005-0000-0000-00000B590000}"/>
    <cellStyle name="표준 25 4 4 3 2 3 2" xfId="22822" xr:uid="{00000000-0005-0000-0000-00000C590000}"/>
    <cellStyle name="표준 25 4 4 3 2 4" xfId="22823" xr:uid="{00000000-0005-0000-0000-00000D590000}"/>
    <cellStyle name="표준 25 4 4 3 3" xfId="22824" xr:uid="{00000000-0005-0000-0000-00000E590000}"/>
    <cellStyle name="표준 25 4 4 3 3 2" xfId="22825" xr:uid="{00000000-0005-0000-0000-00000F590000}"/>
    <cellStyle name="표준 25 4 4 3 3 2 2" xfId="22826" xr:uid="{00000000-0005-0000-0000-000010590000}"/>
    <cellStyle name="표준 25 4 4 3 3 3" xfId="22827" xr:uid="{00000000-0005-0000-0000-000011590000}"/>
    <cellStyle name="표준 25 4 4 3 4" xfId="22828" xr:uid="{00000000-0005-0000-0000-000012590000}"/>
    <cellStyle name="표준 25 4 4 3 4 2" xfId="22829" xr:uid="{00000000-0005-0000-0000-000013590000}"/>
    <cellStyle name="표준 25 4 4 3 5" xfId="22830" xr:uid="{00000000-0005-0000-0000-000014590000}"/>
    <cellStyle name="표준 25 4 4 4" xfId="22831" xr:uid="{00000000-0005-0000-0000-000015590000}"/>
    <cellStyle name="표준 25 4 4 4 2" xfId="22832" xr:uid="{00000000-0005-0000-0000-000016590000}"/>
    <cellStyle name="표준 25 4 4 4 2 2" xfId="22833" xr:uid="{00000000-0005-0000-0000-000017590000}"/>
    <cellStyle name="표준 25 4 4 4 2 2 2" xfId="22834" xr:uid="{00000000-0005-0000-0000-000018590000}"/>
    <cellStyle name="표준 25 4 4 4 2 3" xfId="22835" xr:uid="{00000000-0005-0000-0000-000019590000}"/>
    <cellStyle name="표준 25 4 4 4 3" xfId="22836" xr:uid="{00000000-0005-0000-0000-00001A590000}"/>
    <cellStyle name="표준 25 4 4 4 3 2" xfId="22837" xr:uid="{00000000-0005-0000-0000-00001B590000}"/>
    <cellStyle name="표준 25 4 4 4 4" xfId="22838" xr:uid="{00000000-0005-0000-0000-00001C590000}"/>
    <cellStyle name="표준 25 4 4 5" xfId="22839" xr:uid="{00000000-0005-0000-0000-00001D590000}"/>
    <cellStyle name="표준 25 4 4 5 2" xfId="22840" xr:uid="{00000000-0005-0000-0000-00001E590000}"/>
    <cellStyle name="표준 25 4 4 5 2 2" xfId="22841" xr:uid="{00000000-0005-0000-0000-00001F590000}"/>
    <cellStyle name="표준 25 4 4 5 3" xfId="22842" xr:uid="{00000000-0005-0000-0000-000020590000}"/>
    <cellStyle name="표준 25 4 4 6" xfId="22843" xr:uid="{00000000-0005-0000-0000-000021590000}"/>
    <cellStyle name="표준 25 4 4 6 2" xfId="22844" xr:uid="{00000000-0005-0000-0000-000022590000}"/>
    <cellStyle name="표준 25 4 4 7" xfId="22845" xr:uid="{00000000-0005-0000-0000-000023590000}"/>
    <cellStyle name="표준 25 4 4 8" xfId="22846" xr:uid="{00000000-0005-0000-0000-000024590000}"/>
    <cellStyle name="표준 25 4 5" xfId="22847" xr:uid="{00000000-0005-0000-0000-000025590000}"/>
    <cellStyle name="표준 25 4 5 2" xfId="22848" xr:uid="{00000000-0005-0000-0000-000026590000}"/>
    <cellStyle name="표준 25 4 5 2 2" xfId="22849" xr:uid="{00000000-0005-0000-0000-000027590000}"/>
    <cellStyle name="표준 25 4 5 2 2 2" xfId="22850" xr:uid="{00000000-0005-0000-0000-000028590000}"/>
    <cellStyle name="표준 25 4 5 2 2 2 2" xfId="22851" xr:uid="{00000000-0005-0000-0000-000029590000}"/>
    <cellStyle name="표준 25 4 5 2 2 2 2 2" xfId="22852" xr:uid="{00000000-0005-0000-0000-00002A590000}"/>
    <cellStyle name="표준 25 4 5 2 2 2 3" xfId="22853" xr:uid="{00000000-0005-0000-0000-00002B590000}"/>
    <cellStyle name="표준 25 4 5 2 2 3" xfId="22854" xr:uid="{00000000-0005-0000-0000-00002C590000}"/>
    <cellStyle name="표준 25 4 5 2 2 3 2" xfId="22855" xr:uid="{00000000-0005-0000-0000-00002D590000}"/>
    <cellStyle name="표준 25 4 5 2 2 4" xfId="22856" xr:uid="{00000000-0005-0000-0000-00002E590000}"/>
    <cellStyle name="표준 25 4 5 2 3" xfId="22857" xr:uid="{00000000-0005-0000-0000-00002F590000}"/>
    <cellStyle name="표준 25 4 5 2 3 2" xfId="22858" xr:uid="{00000000-0005-0000-0000-000030590000}"/>
    <cellStyle name="표준 25 4 5 2 3 2 2" xfId="22859" xr:uid="{00000000-0005-0000-0000-000031590000}"/>
    <cellStyle name="표준 25 4 5 2 3 3" xfId="22860" xr:uid="{00000000-0005-0000-0000-000032590000}"/>
    <cellStyle name="표준 25 4 5 2 4" xfId="22861" xr:uid="{00000000-0005-0000-0000-000033590000}"/>
    <cellStyle name="표준 25 4 5 2 4 2" xfId="22862" xr:uid="{00000000-0005-0000-0000-000034590000}"/>
    <cellStyle name="표준 25 4 5 2 5" xfId="22863" xr:uid="{00000000-0005-0000-0000-000035590000}"/>
    <cellStyle name="표준 25 4 5 3" xfId="22864" xr:uid="{00000000-0005-0000-0000-000036590000}"/>
    <cellStyle name="표준 25 4 5 3 2" xfId="22865" xr:uid="{00000000-0005-0000-0000-000037590000}"/>
    <cellStyle name="표준 25 4 5 3 2 2" xfId="22866" xr:uid="{00000000-0005-0000-0000-000038590000}"/>
    <cellStyle name="표준 25 4 5 3 2 2 2" xfId="22867" xr:uid="{00000000-0005-0000-0000-000039590000}"/>
    <cellStyle name="표준 25 4 5 3 2 3" xfId="22868" xr:uid="{00000000-0005-0000-0000-00003A590000}"/>
    <cellStyle name="표준 25 4 5 3 3" xfId="22869" xr:uid="{00000000-0005-0000-0000-00003B590000}"/>
    <cellStyle name="표준 25 4 5 3 3 2" xfId="22870" xr:uid="{00000000-0005-0000-0000-00003C590000}"/>
    <cellStyle name="표준 25 4 5 3 4" xfId="22871" xr:uid="{00000000-0005-0000-0000-00003D590000}"/>
    <cellStyle name="표준 25 4 5 4" xfId="22872" xr:uid="{00000000-0005-0000-0000-00003E590000}"/>
    <cellStyle name="표준 25 4 5 4 2" xfId="22873" xr:uid="{00000000-0005-0000-0000-00003F590000}"/>
    <cellStyle name="표준 25 4 5 4 2 2" xfId="22874" xr:uid="{00000000-0005-0000-0000-000040590000}"/>
    <cellStyle name="표준 25 4 5 4 3" xfId="22875" xr:uid="{00000000-0005-0000-0000-000041590000}"/>
    <cellStyle name="표준 25 4 5 5" xfId="22876" xr:uid="{00000000-0005-0000-0000-000042590000}"/>
    <cellStyle name="표준 25 4 5 5 2" xfId="22877" xr:uid="{00000000-0005-0000-0000-000043590000}"/>
    <cellStyle name="표준 25 4 5 6" xfId="22878" xr:uid="{00000000-0005-0000-0000-000044590000}"/>
    <cellStyle name="표준 25 4 6" xfId="22879" xr:uid="{00000000-0005-0000-0000-000045590000}"/>
    <cellStyle name="표준 25 4 6 2" xfId="22880" xr:uid="{00000000-0005-0000-0000-000046590000}"/>
    <cellStyle name="표준 25 4 6 2 2" xfId="22881" xr:uid="{00000000-0005-0000-0000-000047590000}"/>
    <cellStyle name="표준 25 4 6 2 2 2" xfId="22882" xr:uid="{00000000-0005-0000-0000-000048590000}"/>
    <cellStyle name="표준 25 4 6 2 2 2 2" xfId="22883" xr:uid="{00000000-0005-0000-0000-000049590000}"/>
    <cellStyle name="표준 25 4 6 2 2 3" xfId="22884" xr:uid="{00000000-0005-0000-0000-00004A590000}"/>
    <cellStyle name="표준 25 4 6 2 3" xfId="22885" xr:uid="{00000000-0005-0000-0000-00004B590000}"/>
    <cellStyle name="표준 25 4 6 2 3 2" xfId="22886" xr:uid="{00000000-0005-0000-0000-00004C590000}"/>
    <cellStyle name="표준 25 4 6 2 4" xfId="22887" xr:uid="{00000000-0005-0000-0000-00004D590000}"/>
    <cellStyle name="표준 25 4 6 3" xfId="22888" xr:uid="{00000000-0005-0000-0000-00004E590000}"/>
    <cellStyle name="표준 25 4 6 3 2" xfId="22889" xr:uid="{00000000-0005-0000-0000-00004F590000}"/>
    <cellStyle name="표준 25 4 6 3 2 2" xfId="22890" xr:uid="{00000000-0005-0000-0000-000050590000}"/>
    <cellStyle name="표준 25 4 6 3 3" xfId="22891" xr:uid="{00000000-0005-0000-0000-000051590000}"/>
    <cellStyle name="표준 25 4 6 4" xfId="22892" xr:uid="{00000000-0005-0000-0000-000052590000}"/>
    <cellStyle name="표준 25 4 6 4 2" xfId="22893" xr:uid="{00000000-0005-0000-0000-000053590000}"/>
    <cellStyle name="표준 25 4 6 5" xfId="22894" xr:uid="{00000000-0005-0000-0000-000054590000}"/>
    <cellStyle name="표준 25 4 7" xfId="22895" xr:uid="{00000000-0005-0000-0000-000055590000}"/>
    <cellStyle name="표준 25 4 7 2" xfId="22896" xr:uid="{00000000-0005-0000-0000-000056590000}"/>
    <cellStyle name="표준 25 4 7 2 2" xfId="22897" xr:uid="{00000000-0005-0000-0000-000057590000}"/>
    <cellStyle name="표준 25 4 7 2 2 2" xfId="22898" xr:uid="{00000000-0005-0000-0000-000058590000}"/>
    <cellStyle name="표준 25 4 7 2 3" xfId="22899" xr:uid="{00000000-0005-0000-0000-000059590000}"/>
    <cellStyle name="표준 25 4 7 3" xfId="22900" xr:uid="{00000000-0005-0000-0000-00005A590000}"/>
    <cellStyle name="표준 25 4 7 3 2" xfId="22901" xr:uid="{00000000-0005-0000-0000-00005B590000}"/>
    <cellStyle name="표준 25 4 7 4" xfId="22902" xr:uid="{00000000-0005-0000-0000-00005C590000}"/>
    <cellStyle name="표준 25 4 8" xfId="22903" xr:uid="{00000000-0005-0000-0000-00005D590000}"/>
    <cellStyle name="표준 25 4 8 2" xfId="22904" xr:uid="{00000000-0005-0000-0000-00005E590000}"/>
    <cellStyle name="표준 25 4 8 2 2" xfId="22905" xr:uid="{00000000-0005-0000-0000-00005F590000}"/>
    <cellStyle name="표준 25 4 8 3" xfId="22906" xr:uid="{00000000-0005-0000-0000-000060590000}"/>
    <cellStyle name="표준 25 4 9" xfId="22907" xr:uid="{00000000-0005-0000-0000-000061590000}"/>
    <cellStyle name="표준 25 4 9 2" xfId="22908" xr:uid="{00000000-0005-0000-0000-000062590000}"/>
    <cellStyle name="표준 26" xfId="28" xr:uid="{00000000-0005-0000-0000-000063590000}"/>
    <cellStyle name="표준 26 2" xfId="50" xr:uid="{00000000-0005-0000-0000-000064590000}"/>
    <cellStyle name="표준 27" xfId="29" xr:uid="{00000000-0005-0000-0000-000065590000}"/>
    <cellStyle name="표준 27 2" xfId="51" xr:uid="{00000000-0005-0000-0000-000066590000}"/>
    <cellStyle name="표준 28" xfId="30" xr:uid="{00000000-0005-0000-0000-000067590000}"/>
    <cellStyle name="표준 29" xfId="31" xr:uid="{00000000-0005-0000-0000-000068590000}"/>
    <cellStyle name="표준 3" xfId="32" xr:uid="{00000000-0005-0000-0000-000069590000}"/>
    <cellStyle name="표준 3 2" xfId="22909" xr:uid="{00000000-0005-0000-0000-00006A590000}"/>
    <cellStyle name="표준 3 3" xfId="22910" xr:uid="{00000000-0005-0000-0000-00006B590000}"/>
    <cellStyle name="표준 3 4" xfId="22911" xr:uid="{00000000-0005-0000-0000-00006C590000}"/>
    <cellStyle name="표준 3 5" xfId="22912" xr:uid="{00000000-0005-0000-0000-00006D590000}"/>
    <cellStyle name="표준 3 6" xfId="22913" xr:uid="{00000000-0005-0000-0000-00006E590000}"/>
    <cellStyle name="표준 3 7" xfId="22914" xr:uid="{00000000-0005-0000-0000-00006F590000}"/>
    <cellStyle name="표준 3 8" xfId="22915" xr:uid="{00000000-0005-0000-0000-000070590000}"/>
    <cellStyle name="표준 3 9" xfId="22916" xr:uid="{00000000-0005-0000-0000-000071590000}"/>
    <cellStyle name="표준 30" xfId="33" xr:uid="{00000000-0005-0000-0000-000072590000}"/>
    <cellStyle name="표준 31" xfId="34" xr:uid="{00000000-0005-0000-0000-000073590000}"/>
    <cellStyle name="표준 32" xfId="35" xr:uid="{00000000-0005-0000-0000-000074590000}"/>
    <cellStyle name="표준 33" xfId="36" xr:uid="{00000000-0005-0000-0000-000075590000}"/>
    <cellStyle name="표준 34" xfId="37" xr:uid="{00000000-0005-0000-0000-000076590000}"/>
    <cellStyle name="표준 34 2" xfId="65" xr:uid="{00000000-0005-0000-0000-000077590000}"/>
    <cellStyle name="표준 35" xfId="38" xr:uid="{00000000-0005-0000-0000-000078590000}"/>
    <cellStyle name="표준 36" xfId="39" xr:uid="{00000000-0005-0000-0000-000079590000}"/>
    <cellStyle name="표준 37" xfId="40" xr:uid="{00000000-0005-0000-0000-00007A590000}"/>
    <cellStyle name="표준 38" xfId="47" xr:uid="{00000000-0005-0000-0000-00007B590000}"/>
    <cellStyle name="표준 39" xfId="66" xr:uid="{00000000-0005-0000-0000-00007C590000}"/>
    <cellStyle name="표준 4" xfId="41" xr:uid="{00000000-0005-0000-0000-00007D590000}"/>
    <cellStyle name="표준 4 10" xfId="22917" xr:uid="{00000000-0005-0000-0000-00007E590000}"/>
    <cellStyle name="표준 4 10 2" xfId="22918" xr:uid="{00000000-0005-0000-0000-00007F590000}"/>
    <cellStyle name="표준 4 10 2 2" xfId="22919" xr:uid="{00000000-0005-0000-0000-000080590000}"/>
    <cellStyle name="표준 4 10 2 2 2" xfId="22920" xr:uid="{00000000-0005-0000-0000-000081590000}"/>
    <cellStyle name="표준 4 10 2 3" xfId="22921" xr:uid="{00000000-0005-0000-0000-000082590000}"/>
    <cellStyle name="표준 4 10 3" xfId="22922" xr:uid="{00000000-0005-0000-0000-000083590000}"/>
    <cellStyle name="표준 4 10 3 2" xfId="22923" xr:uid="{00000000-0005-0000-0000-000084590000}"/>
    <cellStyle name="표준 4 10 4" xfId="22924" xr:uid="{00000000-0005-0000-0000-000085590000}"/>
    <cellStyle name="표준 4 11" xfId="22925" xr:uid="{00000000-0005-0000-0000-000086590000}"/>
    <cellStyle name="표준 4 11 2" xfId="22926" xr:uid="{00000000-0005-0000-0000-000087590000}"/>
    <cellStyle name="표준 4 11 2 2" xfId="22927" xr:uid="{00000000-0005-0000-0000-000088590000}"/>
    <cellStyle name="표준 4 11 3" xfId="22928" xr:uid="{00000000-0005-0000-0000-000089590000}"/>
    <cellStyle name="표준 4 12" xfId="22929" xr:uid="{00000000-0005-0000-0000-00008A590000}"/>
    <cellStyle name="표준 4 12 2" xfId="22930" xr:uid="{00000000-0005-0000-0000-00008B590000}"/>
    <cellStyle name="표준 4 13" xfId="22931" xr:uid="{00000000-0005-0000-0000-00008C590000}"/>
    <cellStyle name="표준 4 14" xfId="22932" xr:uid="{00000000-0005-0000-0000-00008D590000}"/>
    <cellStyle name="표준 4 2" xfId="22933" xr:uid="{00000000-0005-0000-0000-00008E590000}"/>
    <cellStyle name="표준 4 3" xfId="22934" xr:uid="{00000000-0005-0000-0000-00008F590000}"/>
    <cellStyle name="표준 4 3 10" xfId="22935" xr:uid="{00000000-0005-0000-0000-000090590000}"/>
    <cellStyle name="표준 4 3 11" xfId="22936" xr:uid="{00000000-0005-0000-0000-000091590000}"/>
    <cellStyle name="표준 4 3 2" xfId="22937" xr:uid="{00000000-0005-0000-0000-000092590000}"/>
    <cellStyle name="표준 4 3 2 10" xfId="22938" xr:uid="{00000000-0005-0000-0000-000093590000}"/>
    <cellStyle name="표준 4 3 2 2" xfId="22939" xr:uid="{00000000-0005-0000-0000-000094590000}"/>
    <cellStyle name="표준 4 3 2 2 2" xfId="22940" xr:uid="{00000000-0005-0000-0000-000095590000}"/>
    <cellStyle name="표준 4 3 2 2 2 2" xfId="22941" xr:uid="{00000000-0005-0000-0000-000096590000}"/>
    <cellStyle name="표준 4 3 2 2 2 2 2" xfId="22942" xr:uid="{00000000-0005-0000-0000-000097590000}"/>
    <cellStyle name="표준 4 3 2 2 2 2 2 2" xfId="22943" xr:uid="{00000000-0005-0000-0000-000098590000}"/>
    <cellStyle name="표준 4 3 2 2 2 2 2 2 2" xfId="22944" xr:uid="{00000000-0005-0000-0000-000099590000}"/>
    <cellStyle name="표준 4 3 2 2 2 2 2 2 2 2" xfId="22945" xr:uid="{00000000-0005-0000-0000-00009A590000}"/>
    <cellStyle name="표준 4 3 2 2 2 2 2 2 2 2 2" xfId="22946" xr:uid="{00000000-0005-0000-0000-00009B590000}"/>
    <cellStyle name="표준 4 3 2 2 2 2 2 2 2 3" xfId="22947" xr:uid="{00000000-0005-0000-0000-00009C590000}"/>
    <cellStyle name="표준 4 3 2 2 2 2 2 2 3" xfId="22948" xr:uid="{00000000-0005-0000-0000-00009D590000}"/>
    <cellStyle name="표준 4 3 2 2 2 2 2 2 3 2" xfId="22949" xr:uid="{00000000-0005-0000-0000-00009E590000}"/>
    <cellStyle name="표준 4 3 2 2 2 2 2 2 4" xfId="22950" xr:uid="{00000000-0005-0000-0000-00009F590000}"/>
    <cellStyle name="표준 4 3 2 2 2 2 2 3" xfId="22951" xr:uid="{00000000-0005-0000-0000-0000A0590000}"/>
    <cellStyle name="표준 4 3 2 2 2 2 2 3 2" xfId="22952" xr:uid="{00000000-0005-0000-0000-0000A1590000}"/>
    <cellStyle name="표준 4 3 2 2 2 2 2 3 2 2" xfId="22953" xr:uid="{00000000-0005-0000-0000-0000A2590000}"/>
    <cellStyle name="표준 4 3 2 2 2 2 2 3 3" xfId="22954" xr:uid="{00000000-0005-0000-0000-0000A3590000}"/>
    <cellStyle name="표준 4 3 2 2 2 2 2 4" xfId="22955" xr:uid="{00000000-0005-0000-0000-0000A4590000}"/>
    <cellStyle name="표준 4 3 2 2 2 2 2 4 2" xfId="22956" xr:uid="{00000000-0005-0000-0000-0000A5590000}"/>
    <cellStyle name="표준 4 3 2 2 2 2 2 5" xfId="22957" xr:uid="{00000000-0005-0000-0000-0000A6590000}"/>
    <cellStyle name="표준 4 3 2 2 2 2 3" xfId="22958" xr:uid="{00000000-0005-0000-0000-0000A7590000}"/>
    <cellStyle name="표준 4 3 2 2 2 2 3 2" xfId="22959" xr:uid="{00000000-0005-0000-0000-0000A8590000}"/>
    <cellStyle name="표준 4 3 2 2 2 2 3 2 2" xfId="22960" xr:uid="{00000000-0005-0000-0000-0000A9590000}"/>
    <cellStyle name="표준 4 3 2 2 2 2 3 2 2 2" xfId="22961" xr:uid="{00000000-0005-0000-0000-0000AA590000}"/>
    <cellStyle name="표준 4 3 2 2 2 2 3 2 3" xfId="22962" xr:uid="{00000000-0005-0000-0000-0000AB590000}"/>
    <cellStyle name="표준 4 3 2 2 2 2 3 3" xfId="22963" xr:uid="{00000000-0005-0000-0000-0000AC590000}"/>
    <cellStyle name="표준 4 3 2 2 2 2 3 3 2" xfId="22964" xr:uid="{00000000-0005-0000-0000-0000AD590000}"/>
    <cellStyle name="표준 4 3 2 2 2 2 3 4" xfId="22965" xr:uid="{00000000-0005-0000-0000-0000AE590000}"/>
    <cellStyle name="표준 4 3 2 2 2 2 4" xfId="22966" xr:uid="{00000000-0005-0000-0000-0000AF590000}"/>
    <cellStyle name="표준 4 3 2 2 2 2 4 2" xfId="22967" xr:uid="{00000000-0005-0000-0000-0000B0590000}"/>
    <cellStyle name="표준 4 3 2 2 2 2 4 2 2" xfId="22968" xr:uid="{00000000-0005-0000-0000-0000B1590000}"/>
    <cellStyle name="표준 4 3 2 2 2 2 4 3" xfId="22969" xr:uid="{00000000-0005-0000-0000-0000B2590000}"/>
    <cellStyle name="표준 4 3 2 2 2 2 5" xfId="22970" xr:uid="{00000000-0005-0000-0000-0000B3590000}"/>
    <cellStyle name="표준 4 3 2 2 2 2 5 2" xfId="22971" xr:uid="{00000000-0005-0000-0000-0000B4590000}"/>
    <cellStyle name="표준 4 3 2 2 2 2 6" xfId="22972" xr:uid="{00000000-0005-0000-0000-0000B5590000}"/>
    <cellStyle name="표준 4 3 2 2 2 3" xfId="22973" xr:uid="{00000000-0005-0000-0000-0000B6590000}"/>
    <cellStyle name="표준 4 3 2 2 2 3 2" xfId="22974" xr:uid="{00000000-0005-0000-0000-0000B7590000}"/>
    <cellStyle name="표준 4 3 2 2 2 3 2 2" xfId="22975" xr:uid="{00000000-0005-0000-0000-0000B8590000}"/>
    <cellStyle name="표준 4 3 2 2 2 3 2 2 2" xfId="22976" xr:uid="{00000000-0005-0000-0000-0000B9590000}"/>
    <cellStyle name="표준 4 3 2 2 2 3 2 2 2 2" xfId="22977" xr:uid="{00000000-0005-0000-0000-0000BA590000}"/>
    <cellStyle name="표준 4 3 2 2 2 3 2 2 3" xfId="22978" xr:uid="{00000000-0005-0000-0000-0000BB590000}"/>
    <cellStyle name="표준 4 3 2 2 2 3 2 3" xfId="22979" xr:uid="{00000000-0005-0000-0000-0000BC590000}"/>
    <cellStyle name="표준 4 3 2 2 2 3 2 3 2" xfId="22980" xr:uid="{00000000-0005-0000-0000-0000BD590000}"/>
    <cellStyle name="표준 4 3 2 2 2 3 2 4" xfId="22981" xr:uid="{00000000-0005-0000-0000-0000BE590000}"/>
    <cellStyle name="표준 4 3 2 2 2 3 3" xfId="22982" xr:uid="{00000000-0005-0000-0000-0000BF590000}"/>
    <cellStyle name="표준 4 3 2 2 2 3 3 2" xfId="22983" xr:uid="{00000000-0005-0000-0000-0000C0590000}"/>
    <cellStyle name="표준 4 3 2 2 2 3 3 2 2" xfId="22984" xr:uid="{00000000-0005-0000-0000-0000C1590000}"/>
    <cellStyle name="표준 4 3 2 2 2 3 3 3" xfId="22985" xr:uid="{00000000-0005-0000-0000-0000C2590000}"/>
    <cellStyle name="표준 4 3 2 2 2 3 4" xfId="22986" xr:uid="{00000000-0005-0000-0000-0000C3590000}"/>
    <cellStyle name="표준 4 3 2 2 2 3 4 2" xfId="22987" xr:uid="{00000000-0005-0000-0000-0000C4590000}"/>
    <cellStyle name="표준 4 3 2 2 2 3 5" xfId="22988" xr:uid="{00000000-0005-0000-0000-0000C5590000}"/>
    <cellStyle name="표준 4 3 2 2 2 4" xfId="22989" xr:uid="{00000000-0005-0000-0000-0000C6590000}"/>
    <cellStyle name="표준 4 3 2 2 2 4 2" xfId="22990" xr:uid="{00000000-0005-0000-0000-0000C7590000}"/>
    <cellStyle name="표준 4 3 2 2 2 4 2 2" xfId="22991" xr:uid="{00000000-0005-0000-0000-0000C8590000}"/>
    <cellStyle name="표준 4 3 2 2 2 4 2 2 2" xfId="22992" xr:uid="{00000000-0005-0000-0000-0000C9590000}"/>
    <cellStyle name="표준 4 3 2 2 2 4 2 3" xfId="22993" xr:uid="{00000000-0005-0000-0000-0000CA590000}"/>
    <cellStyle name="표준 4 3 2 2 2 4 3" xfId="22994" xr:uid="{00000000-0005-0000-0000-0000CB590000}"/>
    <cellStyle name="표준 4 3 2 2 2 4 3 2" xfId="22995" xr:uid="{00000000-0005-0000-0000-0000CC590000}"/>
    <cellStyle name="표준 4 3 2 2 2 4 4" xfId="22996" xr:uid="{00000000-0005-0000-0000-0000CD590000}"/>
    <cellStyle name="표준 4 3 2 2 2 5" xfId="22997" xr:uid="{00000000-0005-0000-0000-0000CE590000}"/>
    <cellStyle name="표준 4 3 2 2 2 5 2" xfId="22998" xr:uid="{00000000-0005-0000-0000-0000CF590000}"/>
    <cellStyle name="표준 4 3 2 2 2 5 2 2" xfId="22999" xr:uid="{00000000-0005-0000-0000-0000D0590000}"/>
    <cellStyle name="표준 4 3 2 2 2 5 3" xfId="23000" xr:uid="{00000000-0005-0000-0000-0000D1590000}"/>
    <cellStyle name="표준 4 3 2 2 2 6" xfId="23001" xr:uid="{00000000-0005-0000-0000-0000D2590000}"/>
    <cellStyle name="표준 4 3 2 2 2 6 2" xfId="23002" xr:uid="{00000000-0005-0000-0000-0000D3590000}"/>
    <cellStyle name="표준 4 3 2 2 2 7" xfId="23003" xr:uid="{00000000-0005-0000-0000-0000D4590000}"/>
    <cellStyle name="표준 4 3 2 2 2 8" xfId="23004" xr:uid="{00000000-0005-0000-0000-0000D5590000}"/>
    <cellStyle name="표준 4 3 2 2 3" xfId="23005" xr:uid="{00000000-0005-0000-0000-0000D6590000}"/>
    <cellStyle name="표준 4 3 2 2 3 2" xfId="23006" xr:uid="{00000000-0005-0000-0000-0000D7590000}"/>
    <cellStyle name="표준 4 3 2 2 3 2 2" xfId="23007" xr:uid="{00000000-0005-0000-0000-0000D8590000}"/>
    <cellStyle name="표준 4 3 2 2 3 2 2 2" xfId="23008" xr:uid="{00000000-0005-0000-0000-0000D9590000}"/>
    <cellStyle name="표준 4 3 2 2 3 2 2 2 2" xfId="23009" xr:uid="{00000000-0005-0000-0000-0000DA590000}"/>
    <cellStyle name="표준 4 3 2 2 3 2 2 2 2 2" xfId="23010" xr:uid="{00000000-0005-0000-0000-0000DB590000}"/>
    <cellStyle name="표준 4 3 2 2 3 2 2 2 3" xfId="23011" xr:uid="{00000000-0005-0000-0000-0000DC590000}"/>
    <cellStyle name="표준 4 3 2 2 3 2 2 3" xfId="23012" xr:uid="{00000000-0005-0000-0000-0000DD590000}"/>
    <cellStyle name="표준 4 3 2 2 3 2 2 3 2" xfId="23013" xr:uid="{00000000-0005-0000-0000-0000DE590000}"/>
    <cellStyle name="표준 4 3 2 2 3 2 2 4" xfId="23014" xr:uid="{00000000-0005-0000-0000-0000DF590000}"/>
    <cellStyle name="표준 4 3 2 2 3 2 3" xfId="23015" xr:uid="{00000000-0005-0000-0000-0000E0590000}"/>
    <cellStyle name="표준 4 3 2 2 3 2 3 2" xfId="23016" xr:uid="{00000000-0005-0000-0000-0000E1590000}"/>
    <cellStyle name="표준 4 3 2 2 3 2 3 2 2" xfId="23017" xr:uid="{00000000-0005-0000-0000-0000E2590000}"/>
    <cellStyle name="표준 4 3 2 2 3 2 3 3" xfId="23018" xr:uid="{00000000-0005-0000-0000-0000E3590000}"/>
    <cellStyle name="표준 4 3 2 2 3 2 4" xfId="23019" xr:uid="{00000000-0005-0000-0000-0000E4590000}"/>
    <cellStyle name="표준 4 3 2 2 3 2 4 2" xfId="23020" xr:uid="{00000000-0005-0000-0000-0000E5590000}"/>
    <cellStyle name="표준 4 3 2 2 3 2 5" xfId="23021" xr:uid="{00000000-0005-0000-0000-0000E6590000}"/>
    <cellStyle name="표준 4 3 2 2 3 3" xfId="23022" xr:uid="{00000000-0005-0000-0000-0000E7590000}"/>
    <cellStyle name="표준 4 3 2 2 3 3 2" xfId="23023" xr:uid="{00000000-0005-0000-0000-0000E8590000}"/>
    <cellStyle name="표준 4 3 2 2 3 3 2 2" xfId="23024" xr:uid="{00000000-0005-0000-0000-0000E9590000}"/>
    <cellStyle name="표준 4 3 2 2 3 3 2 2 2" xfId="23025" xr:uid="{00000000-0005-0000-0000-0000EA590000}"/>
    <cellStyle name="표준 4 3 2 2 3 3 2 3" xfId="23026" xr:uid="{00000000-0005-0000-0000-0000EB590000}"/>
    <cellStyle name="표준 4 3 2 2 3 3 3" xfId="23027" xr:uid="{00000000-0005-0000-0000-0000EC590000}"/>
    <cellStyle name="표준 4 3 2 2 3 3 3 2" xfId="23028" xr:uid="{00000000-0005-0000-0000-0000ED590000}"/>
    <cellStyle name="표준 4 3 2 2 3 3 4" xfId="23029" xr:uid="{00000000-0005-0000-0000-0000EE590000}"/>
    <cellStyle name="표준 4 3 2 2 3 4" xfId="23030" xr:uid="{00000000-0005-0000-0000-0000EF590000}"/>
    <cellStyle name="표준 4 3 2 2 3 4 2" xfId="23031" xr:uid="{00000000-0005-0000-0000-0000F0590000}"/>
    <cellStyle name="표준 4 3 2 2 3 4 2 2" xfId="23032" xr:uid="{00000000-0005-0000-0000-0000F1590000}"/>
    <cellStyle name="표준 4 3 2 2 3 4 3" xfId="23033" xr:uid="{00000000-0005-0000-0000-0000F2590000}"/>
    <cellStyle name="표준 4 3 2 2 3 5" xfId="23034" xr:uid="{00000000-0005-0000-0000-0000F3590000}"/>
    <cellStyle name="표준 4 3 2 2 3 5 2" xfId="23035" xr:uid="{00000000-0005-0000-0000-0000F4590000}"/>
    <cellStyle name="표준 4 3 2 2 3 6" xfId="23036" xr:uid="{00000000-0005-0000-0000-0000F5590000}"/>
    <cellStyle name="표준 4 3 2 2 4" xfId="23037" xr:uid="{00000000-0005-0000-0000-0000F6590000}"/>
    <cellStyle name="표준 4 3 2 2 4 2" xfId="23038" xr:uid="{00000000-0005-0000-0000-0000F7590000}"/>
    <cellStyle name="표준 4 3 2 2 4 2 2" xfId="23039" xr:uid="{00000000-0005-0000-0000-0000F8590000}"/>
    <cellStyle name="표준 4 3 2 2 4 2 2 2" xfId="23040" xr:uid="{00000000-0005-0000-0000-0000F9590000}"/>
    <cellStyle name="표준 4 3 2 2 4 2 2 2 2" xfId="23041" xr:uid="{00000000-0005-0000-0000-0000FA590000}"/>
    <cellStyle name="표준 4 3 2 2 4 2 2 3" xfId="23042" xr:uid="{00000000-0005-0000-0000-0000FB590000}"/>
    <cellStyle name="표준 4 3 2 2 4 2 3" xfId="23043" xr:uid="{00000000-0005-0000-0000-0000FC590000}"/>
    <cellStyle name="표준 4 3 2 2 4 2 3 2" xfId="23044" xr:uid="{00000000-0005-0000-0000-0000FD590000}"/>
    <cellStyle name="표준 4 3 2 2 4 2 4" xfId="23045" xr:uid="{00000000-0005-0000-0000-0000FE590000}"/>
    <cellStyle name="표준 4 3 2 2 4 3" xfId="23046" xr:uid="{00000000-0005-0000-0000-0000FF590000}"/>
    <cellStyle name="표준 4 3 2 2 4 3 2" xfId="23047" xr:uid="{00000000-0005-0000-0000-0000005A0000}"/>
    <cellStyle name="표준 4 3 2 2 4 3 2 2" xfId="23048" xr:uid="{00000000-0005-0000-0000-0000015A0000}"/>
    <cellStyle name="표준 4 3 2 2 4 3 3" xfId="23049" xr:uid="{00000000-0005-0000-0000-0000025A0000}"/>
    <cellStyle name="표준 4 3 2 2 4 4" xfId="23050" xr:uid="{00000000-0005-0000-0000-0000035A0000}"/>
    <cellStyle name="표준 4 3 2 2 4 4 2" xfId="23051" xr:uid="{00000000-0005-0000-0000-0000045A0000}"/>
    <cellStyle name="표준 4 3 2 2 4 5" xfId="23052" xr:uid="{00000000-0005-0000-0000-0000055A0000}"/>
    <cellStyle name="표준 4 3 2 2 5" xfId="23053" xr:uid="{00000000-0005-0000-0000-0000065A0000}"/>
    <cellStyle name="표준 4 3 2 2 5 2" xfId="23054" xr:uid="{00000000-0005-0000-0000-0000075A0000}"/>
    <cellStyle name="표준 4 3 2 2 5 2 2" xfId="23055" xr:uid="{00000000-0005-0000-0000-0000085A0000}"/>
    <cellStyle name="표준 4 3 2 2 5 2 2 2" xfId="23056" xr:uid="{00000000-0005-0000-0000-0000095A0000}"/>
    <cellStyle name="표준 4 3 2 2 5 2 3" xfId="23057" xr:uid="{00000000-0005-0000-0000-00000A5A0000}"/>
    <cellStyle name="표준 4 3 2 2 5 3" xfId="23058" xr:uid="{00000000-0005-0000-0000-00000B5A0000}"/>
    <cellStyle name="표준 4 3 2 2 5 3 2" xfId="23059" xr:uid="{00000000-0005-0000-0000-00000C5A0000}"/>
    <cellStyle name="표준 4 3 2 2 5 4" xfId="23060" xr:uid="{00000000-0005-0000-0000-00000D5A0000}"/>
    <cellStyle name="표준 4 3 2 2 6" xfId="23061" xr:uid="{00000000-0005-0000-0000-00000E5A0000}"/>
    <cellStyle name="표준 4 3 2 2 6 2" xfId="23062" xr:uid="{00000000-0005-0000-0000-00000F5A0000}"/>
    <cellStyle name="표준 4 3 2 2 6 2 2" xfId="23063" xr:uid="{00000000-0005-0000-0000-0000105A0000}"/>
    <cellStyle name="표준 4 3 2 2 6 3" xfId="23064" xr:uid="{00000000-0005-0000-0000-0000115A0000}"/>
    <cellStyle name="표준 4 3 2 2 7" xfId="23065" xr:uid="{00000000-0005-0000-0000-0000125A0000}"/>
    <cellStyle name="표준 4 3 2 2 7 2" xfId="23066" xr:uid="{00000000-0005-0000-0000-0000135A0000}"/>
    <cellStyle name="표준 4 3 2 2 8" xfId="23067" xr:uid="{00000000-0005-0000-0000-0000145A0000}"/>
    <cellStyle name="표준 4 3 2 2 9" xfId="23068" xr:uid="{00000000-0005-0000-0000-0000155A0000}"/>
    <cellStyle name="표준 4 3 2 3" xfId="23069" xr:uid="{00000000-0005-0000-0000-0000165A0000}"/>
    <cellStyle name="표준 4 3 2 3 2" xfId="23070" xr:uid="{00000000-0005-0000-0000-0000175A0000}"/>
    <cellStyle name="표준 4 3 2 3 2 2" xfId="23071" xr:uid="{00000000-0005-0000-0000-0000185A0000}"/>
    <cellStyle name="표준 4 3 2 3 2 2 2" xfId="23072" xr:uid="{00000000-0005-0000-0000-0000195A0000}"/>
    <cellStyle name="표준 4 3 2 3 2 2 2 2" xfId="23073" xr:uid="{00000000-0005-0000-0000-00001A5A0000}"/>
    <cellStyle name="표준 4 3 2 3 2 2 2 2 2" xfId="23074" xr:uid="{00000000-0005-0000-0000-00001B5A0000}"/>
    <cellStyle name="표준 4 3 2 3 2 2 2 2 2 2" xfId="23075" xr:uid="{00000000-0005-0000-0000-00001C5A0000}"/>
    <cellStyle name="표준 4 3 2 3 2 2 2 2 3" xfId="23076" xr:uid="{00000000-0005-0000-0000-00001D5A0000}"/>
    <cellStyle name="표준 4 3 2 3 2 2 2 3" xfId="23077" xr:uid="{00000000-0005-0000-0000-00001E5A0000}"/>
    <cellStyle name="표준 4 3 2 3 2 2 2 3 2" xfId="23078" xr:uid="{00000000-0005-0000-0000-00001F5A0000}"/>
    <cellStyle name="표준 4 3 2 3 2 2 2 4" xfId="23079" xr:uid="{00000000-0005-0000-0000-0000205A0000}"/>
    <cellStyle name="표준 4 3 2 3 2 2 3" xfId="23080" xr:uid="{00000000-0005-0000-0000-0000215A0000}"/>
    <cellStyle name="표준 4 3 2 3 2 2 3 2" xfId="23081" xr:uid="{00000000-0005-0000-0000-0000225A0000}"/>
    <cellStyle name="표준 4 3 2 3 2 2 3 2 2" xfId="23082" xr:uid="{00000000-0005-0000-0000-0000235A0000}"/>
    <cellStyle name="표준 4 3 2 3 2 2 3 3" xfId="23083" xr:uid="{00000000-0005-0000-0000-0000245A0000}"/>
    <cellStyle name="표준 4 3 2 3 2 2 4" xfId="23084" xr:uid="{00000000-0005-0000-0000-0000255A0000}"/>
    <cellStyle name="표준 4 3 2 3 2 2 4 2" xfId="23085" xr:uid="{00000000-0005-0000-0000-0000265A0000}"/>
    <cellStyle name="표준 4 3 2 3 2 2 5" xfId="23086" xr:uid="{00000000-0005-0000-0000-0000275A0000}"/>
    <cellStyle name="표준 4 3 2 3 2 3" xfId="23087" xr:uid="{00000000-0005-0000-0000-0000285A0000}"/>
    <cellStyle name="표준 4 3 2 3 2 3 2" xfId="23088" xr:uid="{00000000-0005-0000-0000-0000295A0000}"/>
    <cellStyle name="표준 4 3 2 3 2 3 2 2" xfId="23089" xr:uid="{00000000-0005-0000-0000-00002A5A0000}"/>
    <cellStyle name="표준 4 3 2 3 2 3 2 2 2" xfId="23090" xr:uid="{00000000-0005-0000-0000-00002B5A0000}"/>
    <cellStyle name="표준 4 3 2 3 2 3 2 3" xfId="23091" xr:uid="{00000000-0005-0000-0000-00002C5A0000}"/>
    <cellStyle name="표준 4 3 2 3 2 3 3" xfId="23092" xr:uid="{00000000-0005-0000-0000-00002D5A0000}"/>
    <cellStyle name="표준 4 3 2 3 2 3 3 2" xfId="23093" xr:uid="{00000000-0005-0000-0000-00002E5A0000}"/>
    <cellStyle name="표준 4 3 2 3 2 3 4" xfId="23094" xr:uid="{00000000-0005-0000-0000-00002F5A0000}"/>
    <cellStyle name="표준 4 3 2 3 2 4" xfId="23095" xr:uid="{00000000-0005-0000-0000-0000305A0000}"/>
    <cellStyle name="표준 4 3 2 3 2 4 2" xfId="23096" xr:uid="{00000000-0005-0000-0000-0000315A0000}"/>
    <cellStyle name="표준 4 3 2 3 2 4 2 2" xfId="23097" xr:uid="{00000000-0005-0000-0000-0000325A0000}"/>
    <cellStyle name="표준 4 3 2 3 2 4 3" xfId="23098" xr:uid="{00000000-0005-0000-0000-0000335A0000}"/>
    <cellStyle name="표준 4 3 2 3 2 5" xfId="23099" xr:uid="{00000000-0005-0000-0000-0000345A0000}"/>
    <cellStyle name="표준 4 3 2 3 2 5 2" xfId="23100" xr:uid="{00000000-0005-0000-0000-0000355A0000}"/>
    <cellStyle name="표준 4 3 2 3 2 6" xfId="23101" xr:uid="{00000000-0005-0000-0000-0000365A0000}"/>
    <cellStyle name="표준 4 3 2 3 3" xfId="23102" xr:uid="{00000000-0005-0000-0000-0000375A0000}"/>
    <cellStyle name="표준 4 3 2 3 3 2" xfId="23103" xr:uid="{00000000-0005-0000-0000-0000385A0000}"/>
    <cellStyle name="표준 4 3 2 3 3 2 2" xfId="23104" xr:uid="{00000000-0005-0000-0000-0000395A0000}"/>
    <cellStyle name="표준 4 3 2 3 3 2 2 2" xfId="23105" xr:uid="{00000000-0005-0000-0000-00003A5A0000}"/>
    <cellStyle name="표준 4 3 2 3 3 2 2 2 2" xfId="23106" xr:uid="{00000000-0005-0000-0000-00003B5A0000}"/>
    <cellStyle name="표준 4 3 2 3 3 2 2 3" xfId="23107" xr:uid="{00000000-0005-0000-0000-00003C5A0000}"/>
    <cellStyle name="표준 4 3 2 3 3 2 3" xfId="23108" xr:uid="{00000000-0005-0000-0000-00003D5A0000}"/>
    <cellStyle name="표준 4 3 2 3 3 2 3 2" xfId="23109" xr:uid="{00000000-0005-0000-0000-00003E5A0000}"/>
    <cellStyle name="표준 4 3 2 3 3 2 4" xfId="23110" xr:uid="{00000000-0005-0000-0000-00003F5A0000}"/>
    <cellStyle name="표준 4 3 2 3 3 3" xfId="23111" xr:uid="{00000000-0005-0000-0000-0000405A0000}"/>
    <cellStyle name="표준 4 3 2 3 3 3 2" xfId="23112" xr:uid="{00000000-0005-0000-0000-0000415A0000}"/>
    <cellStyle name="표준 4 3 2 3 3 3 2 2" xfId="23113" xr:uid="{00000000-0005-0000-0000-0000425A0000}"/>
    <cellStyle name="표준 4 3 2 3 3 3 3" xfId="23114" xr:uid="{00000000-0005-0000-0000-0000435A0000}"/>
    <cellStyle name="표준 4 3 2 3 3 4" xfId="23115" xr:uid="{00000000-0005-0000-0000-0000445A0000}"/>
    <cellStyle name="표준 4 3 2 3 3 4 2" xfId="23116" xr:uid="{00000000-0005-0000-0000-0000455A0000}"/>
    <cellStyle name="표준 4 3 2 3 3 5" xfId="23117" xr:uid="{00000000-0005-0000-0000-0000465A0000}"/>
    <cellStyle name="표준 4 3 2 3 4" xfId="23118" xr:uid="{00000000-0005-0000-0000-0000475A0000}"/>
    <cellStyle name="표준 4 3 2 3 4 2" xfId="23119" xr:uid="{00000000-0005-0000-0000-0000485A0000}"/>
    <cellStyle name="표준 4 3 2 3 4 2 2" xfId="23120" xr:uid="{00000000-0005-0000-0000-0000495A0000}"/>
    <cellStyle name="표준 4 3 2 3 4 2 2 2" xfId="23121" xr:uid="{00000000-0005-0000-0000-00004A5A0000}"/>
    <cellStyle name="표준 4 3 2 3 4 2 3" xfId="23122" xr:uid="{00000000-0005-0000-0000-00004B5A0000}"/>
    <cellStyle name="표준 4 3 2 3 4 3" xfId="23123" xr:uid="{00000000-0005-0000-0000-00004C5A0000}"/>
    <cellStyle name="표준 4 3 2 3 4 3 2" xfId="23124" xr:uid="{00000000-0005-0000-0000-00004D5A0000}"/>
    <cellStyle name="표준 4 3 2 3 4 4" xfId="23125" xr:uid="{00000000-0005-0000-0000-00004E5A0000}"/>
    <cellStyle name="표준 4 3 2 3 5" xfId="23126" xr:uid="{00000000-0005-0000-0000-00004F5A0000}"/>
    <cellStyle name="표준 4 3 2 3 5 2" xfId="23127" xr:uid="{00000000-0005-0000-0000-0000505A0000}"/>
    <cellStyle name="표준 4 3 2 3 5 2 2" xfId="23128" xr:uid="{00000000-0005-0000-0000-0000515A0000}"/>
    <cellStyle name="표준 4 3 2 3 5 3" xfId="23129" xr:uid="{00000000-0005-0000-0000-0000525A0000}"/>
    <cellStyle name="표준 4 3 2 3 6" xfId="23130" xr:uid="{00000000-0005-0000-0000-0000535A0000}"/>
    <cellStyle name="표준 4 3 2 3 6 2" xfId="23131" xr:uid="{00000000-0005-0000-0000-0000545A0000}"/>
    <cellStyle name="표준 4 3 2 3 7" xfId="23132" xr:uid="{00000000-0005-0000-0000-0000555A0000}"/>
    <cellStyle name="표준 4 3 2 3 8" xfId="23133" xr:uid="{00000000-0005-0000-0000-0000565A0000}"/>
    <cellStyle name="표준 4 3 2 4" xfId="23134" xr:uid="{00000000-0005-0000-0000-0000575A0000}"/>
    <cellStyle name="표준 4 3 2 4 2" xfId="23135" xr:uid="{00000000-0005-0000-0000-0000585A0000}"/>
    <cellStyle name="표준 4 3 2 4 2 2" xfId="23136" xr:uid="{00000000-0005-0000-0000-0000595A0000}"/>
    <cellStyle name="표준 4 3 2 4 2 2 2" xfId="23137" xr:uid="{00000000-0005-0000-0000-00005A5A0000}"/>
    <cellStyle name="표준 4 3 2 4 2 2 2 2" xfId="23138" xr:uid="{00000000-0005-0000-0000-00005B5A0000}"/>
    <cellStyle name="표준 4 3 2 4 2 2 2 2 2" xfId="23139" xr:uid="{00000000-0005-0000-0000-00005C5A0000}"/>
    <cellStyle name="표준 4 3 2 4 2 2 2 3" xfId="23140" xr:uid="{00000000-0005-0000-0000-00005D5A0000}"/>
    <cellStyle name="표준 4 3 2 4 2 2 3" xfId="23141" xr:uid="{00000000-0005-0000-0000-00005E5A0000}"/>
    <cellStyle name="표준 4 3 2 4 2 2 3 2" xfId="23142" xr:uid="{00000000-0005-0000-0000-00005F5A0000}"/>
    <cellStyle name="표준 4 3 2 4 2 2 4" xfId="23143" xr:uid="{00000000-0005-0000-0000-0000605A0000}"/>
    <cellStyle name="표준 4 3 2 4 2 3" xfId="23144" xr:uid="{00000000-0005-0000-0000-0000615A0000}"/>
    <cellStyle name="표준 4 3 2 4 2 3 2" xfId="23145" xr:uid="{00000000-0005-0000-0000-0000625A0000}"/>
    <cellStyle name="표준 4 3 2 4 2 3 2 2" xfId="23146" xr:uid="{00000000-0005-0000-0000-0000635A0000}"/>
    <cellStyle name="표준 4 3 2 4 2 3 3" xfId="23147" xr:uid="{00000000-0005-0000-0000-0000645A0000}"/>
    <cellStyle name="표준 4 3 2 4 2 4" xfId="23148" xr:uid="{00000000-0005-0000-0000-0000655A0000}"/>
    <cellStyle name="표준 4 3 2 4 2 4 2" xfId="23149" xr:uid="{00000000-0005-0000-0000-0000665A0000}"/>
    <cellStyle name="표준 4 3 2 4 2 5" xfId="23150" xr:uid="{00000000-0005-0000-0000-0000675A0000}"/>
    <cellStyle name="표준 4 3 2 4 3" xfId="23151" xr:uid="{00000000-0005-0000-0000-0000685A0000}"/>
    <cellStyle name="표준 4 3 2 4 3 2" xfId="23152" xr:uid="{00000000-0005-0000-0000-0000695A0000}"/>
    <cellStyle name="표준 4 3 2 4 3 2 2" xfId="23153" xr:uid="{00000000-0005-0000-0000-00006A5A0000}"/>
    <cellStyle name="표준 4 3 2 4 3 2 2 2" xfId="23154" xr:uid="{00000000-0005-0000-0000-00006B5A0000}"/>
    <cellStyle name="표준 4 3 2 4 3 2 3" xfId="23155" xr:uid="{00000000-0005-0000-0000-00006C5A0000}"/>
    <cellStyle name="표준 4 3 2 4 3 3" xfId="23156" xr:uid="{00000000-0005-0000-0000-00006D5A0000}"/>
    <cellStyle name="표준 4 3 2 4 3 3 2" xfId="23157" xr:uid="{00000000-0005-0000-0000-00006E5A0000}"/>
    <cellStyle name="표준 4 3 2 4 3 4" xfId="23158" xr:uid="{00000000-0005-0000-0000-00006F5A0000}"/>
    <cellStyle name="표준 4 3 2 4 4" xfId="23159" xr:uid="{00000000-0005-0000-0000-0000705A0000}"/>
    <cellStyle name="표준 4 3 2 4 4 2" xfId="23160" xr:uid="{00000000-0005-0000-0000-0000715A0000}"/>
    <cellStyle name="표준 4 3 2 4 4 2 2" xfId="23161" xr:uid="{00000000-0005-0000-0000-0000725A0000}"/>
    <cellStyle name="표준 4 3 2 4 4 3" xfId="23162" xr:uid="{00000000-0005-0000-0000-0000735A0000}"/>
    <cellStyle name="표준 4 3 2 4 5" xfId="23163" xr:uid="{00000000-0005-0000-0000-0000745A0000}"/>
    <cellStyle name="표준 4 3 2 4 5 2" xfId="23164" xr:uid="{00000000-0005-0000-0000-0000755A0000}"/>
    <cellStyle name="표준 4 3 2 4 6" xfId="23165" xr:uid="{00000000-0005-0000-0000-0000765A0000}"/>
    <cellStyle name="표준 4 3 2 5" xfId="23166" xr:uid="{00000000-0005-0000-0000-0000775A0000}"/>
    <cellStyle name="표준 4 3 2 5 2" xfId="23167" xr:uid="{00000000-0005-0000-0000-0000785A0000}"/>
    <cellStyle name="표준 4 3 2 5 2 2" xfId="23168" xr:uid="{00000000-0005-0000-0000-0000795A0000}"/>
    <cellStyle name="표준 4 3 2 5 2 2 2" xfId="23169" xr:uid="{00000000-0005-0000-0000-00007A5A0000}"/>
    <cellStyle name="표준 4 3 2 5 2 2 2 2" xfId="23170" xr:uid="{00000000-0005-0000-0000-00007B5A0000}"/>
    <cellStyle name="표준 4 3 2 5 2 2 3" xfId="23171" xr:uid="{00000000-0005-0000-0000-00007C5A0000}"/>
    <cellStyle name="표준 4 3 2 5 2 3" xfId="23172" xr:uid="{00000000-0005-0000-0000-00007D5A0000}"/>
    <cellStyle name="표준 4 3 2 5 2 3 2" xfId="23173" xr:uid="{00000000-0005-0000-0000-00007E5A0000}"/>
    <cellStyle name="표준 4 3 2 5 2 4" xfId="23174" xr:uid="{00000000-0005-0000-0000-00007F5A0000}"/>
    <cellStyle name="표준 4 3 2 5 3" xfId="23175" xr:uid="{00000000-0005-0000-0000-0000805A0000}"/>
    <cellStyle name="표준 4 3 2 5 3 2" xfId="23176" xr:uid="{00000000-0005-0000-0000-0000815A0000}"/>
    <cellStyle name="표준 4 3 2 5 3 2 2" xfId="23177" xr:uid="{00000000-0005-0000-0000-0000825A0000}"/>
    <cellStyle name="표준 4 3 2 5 3 3" xfId="23178" xr:uid="{00000000-0005-0000-0000-0000835A0000}"/>
    <cellStyle name="표준 4 3 2 5 4" xfId="23179" xr:uid="{00000000-0005-0000-0000-0000845A0000}"/>
    <cellStyle name="표준 4 3 2 5 4 2" xfId="23180" xr:uid="{00000000-0005-0000-0000-0000855A0000}"/>
    <cellStyle name="표준 4 3 2 5 5" xfId="23181" xr:uid="{00000000-0005-0000-0000-0000865A0000}"/>
    <cellStyle name="표준 4 3 2 6" xfId="23182" xr:uid="{00000000-0005-0000-0000-0000875A0000}"/>
    <cellStyle name="표준 4 3 2 6 2" xfId="23183" xr:uid="{00000000-0005-0000-0000-0000885A0000}"/>
    <cellStyle name="표준 4 3 2 6 2 2" xfId="23184" xr:uid="{00000000-0005-0000-0000-0000895A0000}"/>
    <cellStyle name="표준 4 3 2 6 2 2 2" xfId="23185" xr:uid="{00000000-0005-0000-0000-00008A5A0000}"/>
    <cellStyle name="표준 4 3 2 6 2 3" xfId="23186" xr:uid="{00000000-0005-0000-0000-00008B5A0000}"/>
    <cellStyle name="표준 4 3 2 6 3" xfId="23187" xr:uid="{00000000-0005-0000-0000-00008C5A0000}"/>
    <cellStyle name="표준 4 3 2 6 3 2" xfId="23188" xr:uid="{00000000-0005-0000-0000-00008D5A0000}"/>
    <cellStyle name="표준 4 3 2 6 4" xfId="23189" xr:uid="{00000000-0005-0000-0000-00008E5A0000}"/>
    <cellStyle name="표준 4 3 2 7" xfId="23190" xr:uid="{00000000-0005-0000-0000-00008F5A0000}"/>
    <cellStyle name="표준 4 3 2 7 2" xfId="23191" xr:uid="{00000000-0005-0000-0000-0000905A0000}"/>
    <cellStyle name="표준 4 3 2 7 2 2" xfId="23192" xr:uid="{00000000-0005-0000-0000-0000915A0000}"/>
    <cellStyle name="표준 4 3 2 7 3" xfId="23193" xr:uid="{00000000-0005-0000-0000-0000925A0000}"/>
    <cellStyle name="표준 4 3 2 8" xfId="23194" xr:uid="{00000000-0005-0000-0000-0000935A0000}"/>
    <cellStyle name="표준 4 3 2 8 2" xfId="23195" xr:uid="{00000000-0005-0000-0000-0000945A0000}"/>
    <cellStyle name="표준 4 3 2 9" xfId="23196" xr:uid="{00000000-0005-0000-0000-0000955A0000}"/>
    <cellStyle name="표준 4 3 3" xfId="23197" xr:uid="{00000000-0005-0000-0000-0000965A0000}"/>
    <cellStyle name="표준 4 3 3 2" xfId="23198" xr:uid="{00000000-0005-0000-0000-0000975A0000}"/>
    <cellStyle name="표준 4 3 3 2 2" xfId="23199" xr:uid="{00000000-0005-0000-0000-0000985A0000}"/>
    <cellStyle name="표준 4 3 3 2 2 2" xfId="23200" xr:uid="{00000000-0005-0000-0000-0000995A0000}"/>
    <cellStyle name="표준 4 3 3 2 2 2 2" xfId="23201" xr:uid="{00000000-0005-0000-0000-00009A5A0000}"/>
    <cellStyle name="표준 4 3 3 2 2 2 2 2" xfId="23202" xr:uid="{00000000-0005-0000-0000-00009B5A0000}"/>
    <cellStyle name="표준 4 3 3 2 2 2 2 2 2" xfId="23203" xr:uid="{00000000-0005-0000-0000-00009C5A0000}"/>
    <cellStyle name="표준 4 3 3 2 2 2 2 2 2 2" xfId="23204" xr:uid="{00000000-0005-0000-0000-00009D5A0000}"/>
    <cellStyle name="표준 4 3 3 2 2 2 2 2 3" xfId="23205" xr:uid="{00000000-0005-0000-0000-00009E5A0000}"/>
    <cellStyle name="표준 4 3 3 2 2 2 2 3" xfId="23206" xr:uid="{00000000-0005-0000-0000-00009F5A0000}"/>
    <cellStyle name="표준 4 3 3 2 2 2 2 3 2" xfId="23207" xr:uid="{00000000-0005-0000-0000-0000A05A0000}"/>
    <cellStyle name="표준 4 3 3 2 2 2 2 4" xfId="23208" xr:uid="{00000000-0005-0000-0000-0000A15A0000}"/>
    <cellStyle name="표준 4 3 3 2 2 2 3" xfId="23209" xr:uid="{00000000-0005-0000-0000-0000A25A0000}"/>
    <cellStyle name="표준 4 3 3 2 2 2 3 2" xfId="23210" xr:uid="{00000000-0005-0000-0000-0000A35A0000}"/>
    <cellStyle name="표준 4 3 3 2 2 2 3 2 2" xfId="23211" xr:uid="{00000000-0005-0000-0000-0000A45A0000}"/>
    <cellStyle name="표준 4 3 3 2 2 2 3 3" xfId="23212" xr:uid="{00000000-0005-0000-0000-0000A55A0000}"/>
    <cellStyle name="표준 4 3 3 2 2 2 4" xfId="23213" xr:uid="{00000000-0005-0000-0000-0000A65A0000}"/>
    <cellStyle name="표준 4 3 3 2 2 2 4 2" xfId="23214" xr:uid="{00000000-0005-0000-0000-0000A75A0000}"/>
    <cellStyle name="표준 4 3 3 2 2 2 5" xfId="23215" xr:uid="{00000000-0005-0000-0000-0000A85A0000}"/>
    <cellStyle name="표준 4 3 3 2 2 3" xfId="23216" xr:uid="{00000000-0005-0000-0000-0000A95A0000}"/>
    <cellStyle name="표준 4 3 3 2 2 3 2" xfId="23217" xr:uid="{00000000-0005-0000-0000-0000AA5A0000}"/>
    <cellStyle name="표준 4 3 3 2 2 3 2 2" xfId="23218" xr:uid="{00000000-0005-0000-0000-0000AB5A0000}"/>
    <cellStyle name="표준 4 3 3 2 2 3 2 2 2" xfId="23219" xr:uid="{00000000-0005-0000-0000-0000AC5A0000}"/>
    <cellStyle name="표준 4 3 3 2 2 3 2 3" xfId="23220" xr:uid="{00000000-0005-0000-0000-0000AD5A0000}"/>
    <cellStyle name="표준 4 3 3 2 2 3 3" xfId="23221" xr:uid="{00000000-0005-0000-0000-0000AE5A0000}"/>
    <cellStyle name="표준 4 3 3 2 2 3 3 2" xfId="23222" xr:uid="{00000000-0005-0000-0000-0000AF5A0000}"/>
    <cellStyle name="표준 4 3 3 2 2 3 4" xfId="23223" xr:uid="{00000000-0005-0000-0000-0000B05A0000}"/>
    <cellStyle name="표준 4 3 3 2 2 4" xfId="23224" xr:uid="{00000000-0005-0000-0000-0000B15A0000}"/>
    <cellStyle name="표준 4 3 3 2 2 4 2" xfId="23225" xr:uid="{00000000-0005-0000-0000-0000B25A0000}"/>
    <cellStyle name="표준 4 3 3 2 2 4 2 2" xfId="23226" xr:uid="{00000000-0005-0000-0000-0000B35A0000}"/>
    <cellStyle name="표준 4 3 3 2 2 4 3" xfId="23227" xr:uid="{00000000-0005-0000-0000-0000B45A0000}"/>
    <cellStyle name="표준 4 3 3 2 2 5" xfId="23228" xr:uid="{00000000-0005-0000-0000-0000B55A0000}"/>
    <cellStyle name="표준 4 3 3 2 2 5 2" xfId="23229" xr:uid="{00000000-0005-0000-0000-0000B65A0000}"/>
    <cellStyle name="표준 4 3 3 2 2 6" xfId="23230" xr:uid="{00000000-0005-0000-0000-0000B75A0000}"/>
    <cellStyle name="표준 4 3 3 2 3" xfId="23231" xr:uid="{00000000-0005-0000-0000-0000B85A0000}"/>
    <cellStyle name="표준 4 3 3 2 3 2" xfId="23232" xr:uid="{00000000-0005-0000-0000-0000B95A0000}"/>
    <cellStyle name="표준 4 3 3 2 3 2 2" xfId="23233" xr:uid="{00000000-0005-0000-0000-0000BA5A0000}"/>
    <cellStyle name="표준 4 3 3 2 3 2 2 2" xfId="23234" xr:uid="{00000000-0005-0000-0000-0000BB5A0000}"/>
    <cellStyle name="표준 4 3 3 2 3 2 2 2 2" xfId="23235" xr:uid="{00000000-0005-0000-0000-0000BC5A0000}"/>
    <cellStyle name="표준 4 3 3 2 3 2 2 3" xfId="23236" xr:uid="{00000000-0005-0000-0000-0000BD5A0000}"/>
    <cellStyle name="표준 4 3 3 2 3 2 3" xfId="23237" xr:uid="{00000000-0005-0000-0000-0000BE5A0000}"/>
    <cellStyle name="표준 4 3 3 2 3 2 3 2" xfId="23238" xr:uid="{00000000-0005-0000-0000-0000BF5A0000}"/>
    <cellStyle name="표준 4 3 3 2 3 2 4" xfId="23239" xr:uid="{00000000-0005-0000-0000-0000C05A0000}"/>
    <cellStyle name="표준 4 3 3 2 3 3" xfId="23240" xr:uid="{00000000-0005-0000-0000-0000C15A0000}"/>
    <cellStyle name="표준 4 3 3 2 3 3 2" xfId="23241" xr:uid="{00000000-0005-0000-0000-0000C25A0000}"/>
    <cellStyle name="표준 4 3 3 2 3 3 2 2" xfId="23242" xr:uid="{00000000-0005-0000-0000-0000C35A0000}"/>
    <cellStyle name="표준 4 3 3 2 3 3 3" xfId="23243" xr:uid="{00000000-0005-0000-0000-0000C45A0000}"/>
    <cellStyle name="표준 4 3 3 2 3 4" xfId="23244" xr:uid="{00000000-0005-0000-0000-0000C55A0000}"/>
    <cellStyle name="표준 4 3 3 2 3 4 2" xfId="23245" xr:uid="{00000000-0005-0000-0000-0000C65A0000}"/>
    <cellStyle name="표준 4 3 3 2 3 5" xfId="23246" xr:uid="{00000000-0005-0000-0000-0000C75A0000}"/>
    <cellStyle name="표준 4 3 3 2 4" xfId="23247" xr:uid="{00000000-0005-0000-0000-0000C85A0000}"/>
    <cellStyle name="표준 4 3 3 2 4 2" xfId="23248" xr:uid="{00000000-0005-0000-0000-0000C95A0000}"/>
    <cellStyle name="표준 4 3 3 2 4 2 2" xfId="23249" xr:uid="{00000000-0005-0000-0000-0000CA5A0000}"/>
    <cellStyle name="표준 4 3 3 2 4 2 2 2" xfId="23250" xr:uid="{00000000-0005-0000-0000-0000CB5A0000}"/>
    <cellStyle name="표준 4 3 3 2 4 2 3" xfId="23251" xr:uid="{00000000-0005-0000-0000-0000CC5A0000}"/>
    <cellStyle name="표준 4 3 3 2 4 3" xfId="23252" xr:uid="{00000000-0005-0000-0000-0000CD5A0000}"/>
    <cellStyle name="표준 4 3 3 2 4 3 2" xfId="23253" xr:uid="{00000000-0005-0000-0000-0000CE5A0000}"/>
    <cellStyle name="표준 4 3 3 2 4 4" xfId="23254" xr:uid="{00000000-0005-0000-0000-0000CF5A0000}"/>
    <cellStyle name="표준 4 3 3 2 5" xfId="23255" xr:uid="{00000000-0005-0000-0000-0000D05A0000}"/>
    <cellStyle name="표준 4 3 3 2 5 2" xfId="23256" xr:uid="{00000000-0005-0000-0000-0000D15A0000}"/>
    <cellStyle name="표준 4 3 3 2 5 2 2" xfId="23257" xr:uid="{00000000-0005-0000-0000-0000D25A0000}"/>
    <cellStyle name="표준 4 3 3 2 5 3" xfId="23258" xr:uid="{00000000-0005-0000-0000-0000D35A0000}"/>
    <cellStyle name="표준 4 3 3 2 6" xfId="23259" xr:uid="{00000000-0005-0000-0000-0000D45A0000}"/>
    <cellStyle name="표준 4 3 3 2 6 2" xfId="23260" xr:uid="{00000000-0005-0000-0000-0000D55A0000}"/>
    <cellStyle name="표준 4 3 3 2 7" xfId="23261" xr:uid="{00000000-0005-0000-0000-0000D65A0000}"/>
    <cellStyle name="표준 4 3 3 2 8" xfId="23262" xr:uid="{00000000-0005-0000-0000-0000D75A0000}"/>
    <cellStyle name="표준 4 3 3 3" xfId="23263" xr:uid="{00000000-0005-0000-0000-0000D85A0000}"/>
    <cellStyle name="표준 4 3 3 3 2" xfId="23264" xr:uid="{00000000-0005-0000-0000-0000D95A0000}"/>
    <cellStyle name="표준 4 3 3 3 2 2" xfId="23265" xr:uid="{00000000-0005-0000-0000-0000DA5A0000}"/>
    <cellStyle name="표준 4 3 3 3 2 2 2" xfId="23266" xr:uid="{00000000-0005-0000-0000-0000DB5A0000}"/>
    <cellStyle name="표준 4 3 3 3 2 2 2 2" xfId="23267" xr:uid="{00000000-0005-0000-0000-0000DC5A0000}"/>
    <cellStyle name="표준 4 3 3 3 2 2 2 2 2" xfId="23268" xr:uid="{00000000-0005-0000-0000-0000DD5A0000}"/>
    <cellStyle name="표준 4 3 3 3 2 2 2 3" xfId="23269" xr:uid="{00000000-0005-0000-0000-0000DE5A0000}"/>
    <cellStyle name="표준 4 3 3 3 2 2 3" xfId="23270" xr:uid="{00000000-0005-0000-0000-0000DF5A0000}"/>
    <cellStyle name="표준 4 3 3 3 2 2 3 2" xfId="23271" xr:uid="{00000000-0005-0000-0000-0000E05A0000}"/>
    <cellStyle name="표준 4 3 3 3 2 2 4" xfId="23272" xr:uid="{00000000-0005-0000-0000-0000E15A0000}"/>
    <cellStyle name="표준 4 3 3 3 2 3" xfId="23273" xr:uid="{00000000-0005-0000-0000-0000E25A0000}"/>
    <cellStyle name="표준 4 3 3 3 2 3 2" xfId="23274" xr:uid="{00000000-0005-0000-0000-0000E35A0000}"/>
    <cellStyle name="표준 4 3 3 3 2 3 2 2" xfId="23275" xr:uid="{00000000-0005-0000-0000-0000E45A0000}"/>
    <cellStyle name="표준 4 3 3 3 2 3 3" xfId="23276" xr:uid="{00000000-0005-0000-0000-0000E55A0000}"/>
    <cellStyle name="표준 4 3 3 3 2 4" xfId="23277" xr:uid="{00000000-0005-0000-0000-0000E65A0000}"/>
    <cellStyle name="표준 4 3 3 3 2 4 2" xfId="23278" xr:uid="{00000000-0005-0000-0000-0000E75A0000}"/>
    <cellStyle name="표준 4 3 3 3 2 5" xfId="23279" xr:uid="{00000000-0005-0000-0000-0000E85A0000}"/>
    <cellStyle name="표준 4 3 3 3 3" xfId="23280" xr:uid="{00000000-0005-0000-0000-0000E95A0000}"/>
    <cellStyle name="표준 4 3 3 3 3 2" xfId="23281" xr:uid="{00000000-0005-0000-0000-0000EA5A0000}"/>
    <cellStyle name="표준 4 3 3 3 3 2 2" xfId="23282" xr:uid="{00000000-0005-0000-0000-0000EB5A0000}"/>
    <cellStyle name="표준 4 3 3 3 3 2 2 2" xfId="23283" xr:uid="{00000000-0005-0000-0000-0000EC5A0000}"/>
    <cellStyle name="표준 4 3 3 3 3 2 3" xfId="23284" xr:uid="{00000000-0005-0000-0000-0000ED5A0000}"/>
    <cellStyle name="표준 4 3 3 3 3 3" xfId="23285" xr:uid="{00000000-0005-0000-0000-0000EE5A0000}"/>
    <cellStyle name="표준 4 3 3 3 3 3 2" xfId="23286" xr:uid="{00000000-0005-0000-0000-0000EF5A0000}"/>
    <cellStyle name="표준 4 3 3 3 3 4" xfId="23287" xr:uid="{00000000-0005-0000-0000-0000F05A0000}"/>
    <cellStyle name="표준 4 3 3 3 4" xfId="23288" xr:uid="{00000000-0005-0000-0000-0000F15A0000}"/>
    <cellStyle name="표준 4 3 3 3 4 2" xfId="23289" xr:uid="{00000000-0005-0000-0000-0000F25A0000}"/>
    <cellStyle name="표준 4 3 3 3 4 2 2" xfId="23290" xr:uid="{00000000-0005-0000-0000-0000F35A0000}"/>
    <cellStyle name="표준 4 3 3 3 4 3" xfId="23291" xr:uid="{00000000-0005-0000-0000-0000F45A0000}"/>
    <cellStyle name="표준 4 3 3 3 5" xfId="23292" xr:uid="{00000000-0005-0000-0000-0000F55A0000}"/>
    <cellStyle name="표준 4 3 3 3 5 2" xfId="23293" xr:uid="{00000000-0005-0000-0000-0000F65A0000}"/>
    <cellStyle name="표준 4 3 3 3 6" xfId="23294" xr:uid="{00000000-0005-0000-0000-0000F75A0000}"/>
    <cellStyle name="표준 4 3 3 4" xfId="23295" xr:uid="{00000000-0005-0000-0000-0000F85A0000}"/>
    <cellStyle name="표준 4 3 3 4 2" xfId="23296" xr:uid="{00000000-0005-0000-0000-0000F95A0000}"/>
    <cellStyle name="표준 4 3 3 4 2 2" xfId="23297" xr:uid="{00000000-0005-0000-0000-0000FA5A0000}"/>
    <cellStyle name="표준 4 3 3 4 2 2 2" xfId="23298" xr:uid="{00000000-0005-0000-0000-0000FB5A0000}"/>
    <cellStyle name="표준 4 3 3 4 2 2 2 2" xfId="23299" xr:uid="{00000000-0005-0000-0000-0000FC5A0000}"/>
    <cellStyle name="표준 4 3 3 4 2 2 3" xfId="23300" xr:uid="{00000000-0005-0000-0000-0000FD5A0000}"/>
    <cellStyle name="표준 4 3 3 4 2 3" xfId="23301" xr:uid="{00000000-0005-0000-0000-0000FE5A0000}"/>
    <cellStyle name="표준 4 3 3 4 2 3 2" xfId="23302" xr:uid="{00000000-0005-0000-0000-0000FF5A0000}"/>
    <cellStyle name="표준 4 3 3 4 2 4" xfId="23303" xr:uid="{00000000-0005-0000-0000-0000005B0000}"/>
    <cellStyle name="표준 4 3 3 4 3" xfId="23304" xr:uid="{00000000-0005-0000-0000-0000015B0000}"/>
    <cellStyle name="표준 4 3 3 4 3 2" xfId="23305" xr:uid="{00000000-0005-0000-0000-0000025B0000}"/>
    <cellStyle name="표준 4 3 3 4 3 2 2" xfId="23306" xr:uid="{00000000-0005-0000-0000-0000035B0000}"/>
    <cellStyle name="표준 4 3 3 4 3 3" xfId="23307" xr:uid="{00000000-0005-0000-0000-0000045B0000}"/>
    <cellStyle name="표준 4 3 3 4 4" xfId="23308" xr:uid="{00000000-0005-0000-0000-0000055B0000}"/>
    <cellStyle name="표준 4 3 3 4 4 2" xfId="23309" xr:uid="{00000000-0005-0000-0000-0000065B0000}"/>
    <cellStyle name="표준 4 3 3 4 5" xfId="23310" xr:uid="{00000000-0005-0000-0000-0000075B0000}"/>
    <cellStyle name="표준 4 3 3 5" xfId="23311" xr:uid="{00000000-0005-0000-0000-0000085B0000}"/>
    <cellStyle name="표준 4 3 3 5 2" xfId="23312" xr:uid="{00000000-0005-0000-0000-0000095B0000}"/>
    <cellStyle name="표준 4 3 3 5 2 2" xfId="23313" xr:uid="{00000000-0005-0000-0000-00000A5B0000}"/>
    <cellStyle name="표준 4 3 3 5 2 2 2" xfId="23314" xr:uid="{00000000-0005-0000-0000-00000B5B0000}"/>
    <cellStyle name="표준 4 3 3 5 2 3" xfId="23315" xr:uid="{00000000-0005-0000-0000-00000C5B0000}"/>
    <cellStyle name="표준 4 3 3 5 3" xfId="23316" xr:uid="{00000000-0005-0000-0000-00000D5B0000}"/>
    <cellStyle name="표준 4 3 3 5 3 2" xfId="23317" xr:uid="{00000000-0005-0000-0000-00000E5B0000}"/>
    <cellStyle name="표준 4 3 3 5 4" xfId="23318" xr:uid="{00000000-0005-0000-0000-00000F5B0000}"/>
    <cellStyle name="표준 4 3 3 6" xfId="23319" xr:uid="{00000000-0005-0000-0000-0000105B0000}"/>
    <cellStyle name="표준 4 3 3 6 2" xfId="23320" xr:uid="{00000000-0005-0000-0000-0000115B0000}"/>
    <cellStyle name="표준 4 3 3 6 2 2" xfId="23321" xr:uid="{00000000-0005-0000-0000-0000125B0000}"/>
    <cellStyle name="표준 4 3 3 6 3" xfId="23322" xr:uid="{00000000-0005-0000-0000-0000135B0000}"/>
    <cellStyle name="표준 4 3 3 7" xfId="23323" xr:uid="{00000000-0005-0000-0000-0000145B0000}"/>
    <cellStyle name="표준 4 3 3 7 2" xfId="23324" xr:uid="{00000000-0005-0000-0000-0000155B0000}"/>
    <cellStyle name="표준 4 3 3 8" xfId="23325" xr:uid="{00000000-0005-0000-0000-0000165B0000}"/>
    <cellStyle name="표준 4 3 3 9" xfId="23326" xr:uid="{00000000-0005-0000-0000-0000175B0000}"/>
    <cellStyle name="표준 4 3 4" xfId="23327" xr:uid="{00000000-0005-0000-0000-0000185B0000}"/>
    <cellStyle name="표준 4 3 4 2" xfId="23328" xr:uid="{00000000-0005-0000-0000-0000195B0000}"/>
    <cellStyle name="표준 4 3 4 2 2" xfId="23329" xr:uid="{00000000-0005-0000-0000-00001A5B0000}"/>
    <cellStyle name="표준 4 3 4 2 2 2" xfId="23330" xr:uid="{00000000-0005-0000-0000-00001B5B0000}"/>
    <cellStyle name="표준 4 3 4 2 2 2 2" xfId="23331" xr:uid="{00000000-0005-0000-0000-00001C5B0000}"/>
    <cellStyle name="표준 4 3 4 2 2 2 2 2" xfId="23332" xr:uid="{00000000-0005-0000-0000-00001D5B0000}"/>
    <cellStyle name="표준 4 3 4 2 2 2 2 2 2" xfId="23333" xr:uid="{00000000-0005-0000-0000-00001E5B0000}"/>
    <cellStyle name="표준 4 3 4 2 2 2 2 3" xfId="23334" xr:uid="{00000000-0005-0000-0000-00001F5B0000}"/>
    <cellStyle name="표준 4 3 4 2 2 2 3" xfId="23335" xr:uid="{00000000-0005-0000-0000-0000205B0000}"/>
    <cellStyle name="표준 4 3 4 2 2 2 3 2" xfId="23336" xr:uid="{00000000-0005-0000-0000-0000215B0000}"/>
    <cellStyle name="표준 4 3 4 2 2 2 4" xfId="23337" xr:uid="{00000000-0005-0000-0000-0000225B0000}"/>
    <cellStyle name="표준 4 3 4 2 2 3" xfId="23338" xr:uid="{00000000-0005-0000-0000-0000235B0000}"/>
    <cellStyle name="표준 4 3 4 2 2 3 2" xfId="23339" xr:uid="{00000000-0005-0000-0000-0000245B0000}"/>
    <cellStyle name="표준 4 3 4 2 2 3 2 2" xfId="23340" xr:uid="{00000000-0005-0000-0000-0000255B0000}"/>
    <cellStyle name="표준 4 3 4 2 2 3 3" xfId="23341" xr:uid="{00000000-0005-0000-0000-0000265B0000}"/>
    <cellStyle name="표준 4 3 4 2 2 4" xfId="23342" xr:uid="{00000000-0005-0000-0000-0000275B0000}"/>
    <cellStyle name="표준 4 3 4 2 2 4 2" xfId="23343" xr:uid="{00000000-0005-0000-0000-0000285B0000}"/>
    <cellStyle name="표준 4 3 4 2 2 5" xfId="23344" xr:uid="{00000000-0005-0000-0000-0000295B0000}"/>
    <cellStyle name="표준 4 3 4 2 3" xfId="23345" xr:uid="{00000000-0005-0000-0000-00002A5B0000}"/>
    <cellStyle name="표준 4 3 4 2 3 2" xfId="23346" xr:uid="{00000000-0005-0000-0000-00002B5B0000}"/>
    <cellStyle name="표준 4 3 4 2 3 2 2" xfId="23347" xr:uid="{00000000-0005-0000-0000-00002C5B0000}"/>
    <cellStyle name="표준 4 3 4 2 3 2 2 2" xfId="23348" xr:uid="{00000000-0005-0000-0000-00002D5B0000}"/>
    <cellStyle name="표준 4 3 4 2 3 2 3" xfId="23349" xr:uid="{00000000-0005-0000-0000-00002E5B0000}"/>
    <cellStyle name="표준 4 3 4 2 3 3" xfId="23350" xr:uid="{00000000-0005-0000-0000-00002F5B0000}"/>
    <cellStyle name="표준 4 3 4 2 3 3 2" xfId="23351" xr:uid="{00000000-0005-0000-0000-0000305B0000}"/>
    <cellStyle name="표준 4 3 4 2 3 4" xfId="23352" xr:uid="{00000000-0005-0000-0000-0000315B0000}"/>
    <cellStyle name="표준 4 3 4 2 4" xfId="23353" xr:uid="{00000000-0005-0000-0000-0000325B0000}"/>
    <cellStyle name="표준 4 3 4 2 4 2" xfId="23354" xr:uid="{00000000-0005-0000-0000-0000335B0000}"/>
    <cellStyle name="표준 4 3 4 2 4 2 2" xfId="23355" xr:uid="{00000000-0005-0000-0000-0000345B0000}"/>
    <cellStyle name="표준 4 3 4 2 4 3" xfId="23356" xr:uid="{00000000-0005-0000-0000-0000355B0000}"/>
    <cellStyle name="표준 4 3 4 2 5" xfId="23357" xr:uid="{00000000-0005-0000-0000-0000365B0000}"/>
    <cellStyle name="표준 4 3 4 2 5 2" xfId="23358" xr:uid="{00000000-0005-0000-0000-0000375B0000}"/>
    <cellStyle name="표준 4 3 4 2 6" xfId="23359" xr:uid="{00000000-0005-0000-0000-0000385B0000}"/>
    <cellStyle name="표준 4 3 4 3" xfId="23360" xr:uid="{00000000-0005-0000-0000-0000395B0000}"/>
    <cellStyle name="표준 4 3 4 3 2" xfId="23361" xr:uid="{00000000-0005-0000-0000-00003A5B0000}"/>
    <cellStyle name="표준 4 3 4 3 2 2" xfId="23362" xr:uid="{00000000-0005-0000-0000-00003B5B0000}"/>
    <cellStyle name="표준 4 3 4 3 2 2 2" xfId="23363" xr:uid="{00000000-0005-0000-0000-00003C5B0000}"/>
    <cellStyle name="표준 4 3 4 3 2 2 2 2" xfId="23364" xr:uid="{00000000-0005-0000-0000-00003D5B0000}"/>
    <cellStyle name="표준 4 3 4 3 2 2 3" xfId="23365" xr:uid="{00000000-0005-0000-0000-00003E5B0000}"/>
    <cellStyle name="표준 4 3 4 3 2 3" xfId="23366" xr:uid="{00000000-0005-0000-0000-00003F5B0000}"/>
    <cellStyle name="표준 4 3 4 3 2 3 2" xfId="23367" xr:uid="{00000000-0005-0000-0000-0000405B0000}"/>
    <cellStyle name="표준 4 3 4 3 2 4" xfId="23368" xr:uid="{00000000-0005-0000-0000-0000415B0000}"/>
    <cellStyle name="표준 4 3 4 3 3" xfId="23369" xr:uid="{00000000-0005-0000-0000-0000425B0000}"/>
    <cellStyle name="표준 4 3 4 3 3 2" xfId="23370" xr:uid="{00000000-0005-0000-0000-0000435B0000}"/>
    <cellStyle name="표준 4 3 4 3 3 2 2" xfId="23371" xr:uid="{00000000-0005-0000-0000-0000445B0000}"/>
    <cellStyle name="표준 4 3 4 3 3 3" xfId="23372" xr:uid="{00000000-0005-0000-0000-0000455B0000}"/>
    <cellStyle name="표준 4 3 4 3 4" xfId="23373" xr:uid="{00000000-0005-0000-0000-0000465B0000}"/>
    <cellStyle name="표준 4 3 4 3 4 2" xfId="23374" xr:uid="{00000000-0005-0000-0000-0000475B0000}"/>
    <cellStyle name="표준 4 3 4 3 5" xfId="23375" xr:uid="{00000000-0005-0000-0000-0000485B0000}"/>
    <cellStyle name="표준 4 3 4 4" xfId="23376" xr:uid="{00000000-0005-0000-0000-0000495B0000}"/>
    <cellStyle name="표준 4 3 4 4 2" xfId="23377" xr:uid="{00000000-0005-0000-0000-00004A5B0000}"/>
    <cellStyle name="표준 4 3 4 4 2 2" xfId="23378" xr:uid="{00000000-0005-0000-0000-00004B5B0000}"/>
    <cellStyle name="표준 4 3 4 4 2 2 2" xfId="23379" xr:uid="{00000000-0005-0000-0000-00004C5B0000}"/>
    <cellStyle name="표준 4 3 4 4 2 3" xfId="23380" xr:uid="{00000000-0005-0000-0000-00004D5B0000}"/>
    <cellStyle name="표준 4 3 4 4 3" xfId="23381" xr:uid="{00000000-0005-0000-0000-00004E5B0000}"/>
    <cellStyle name="표준 4 3 4 4 3 2" xfId="23382" xr:uid="{00000000-0005-0000-0000-00004F5B0000}"/>
    <cellStyle name="표준 4 3 4 4 4" xfId="23383" xr:uid="{00000000-0005-0000-0000-0000505B0000}"/>
    <cellStyle name="표준 4 3 4 5" xfId="23384" xr:uid="{00000000-0005-0000-0000-0000515B0000}"/>
    <cellStyle name="표준 4 3 4 5 2" xfId="23385" xr:uid="{00000000-0005-0000-0000-0000525B0000}"/>
    <cellStyle name="표준 4 3 4 5 2 2" xfId="23386" xr:uid="{00000000-0005-0000-0000-0000535B0000}"/>
    <cellStyle name="표준 4 3 4 5 3" xfId="23387" xr:uid="{00000000-0005-0000-0000-0000545B0000}"/>
    <cellStyle name="표준 4 3 4 6" xfId="23388" xr:uid="{00000000-0005-0000-0000-0000555B0000}"/>
    <cellStyle name="표준 4 3 4 6 2" xfId="23389" xr:uid="{00000000-0005-0000-0000-0000565B0000}"/>
    <cellStyle name="표준 4 3 4 7" xfId="23390" xr:uid="{00000000-0005-0000-0000-0000575B0000}"/>
    <cellStyle name="표준 4 3 4 8" xfId="23391" xr:uid="{00000000-0005-0000-0000-0000585B0000}"/>
    <cellStyle name="표준 4 3 5" xfId="23392" xr:uid="{00000000-0005-0000-0000-0000595B0000}"/>
    <cellStyle name="표준 4 3 5 2" xfId="23393" xr:uid="{00000000-0005-0000-0000-00005A5B0000}"/>
    <cellStyle name="표준 4 3 5 2 2" xfId="23394" xr:uid="{00000000-0005-0000-0000-00005B5B0000}"/>
    <cellStyle name="표준 4 3 5 2 2 2" xfId="23395" xr:uid="{00000000-0005-0000-0000-00005C5B0000}"/>
    <cellStyle name="표준 4 3 5 2 2 2 2" xfId="23396" xr:uid="{00000000-0005-0000-0000-00005D5B0000}"/>
    <cellStyle name="표준 4 3 5 2 2 2 2 2" xfId="23397" xr:uid="{00000000-0005-0000-0000-00005E5B0000}"/>
    <cellStyle name="표준 4 3 5 2 2 2 3" xfId="23398" xr:uid="{00000000-0005-0000-0000-00005F5B0000}"/>
    <cellStyle name="표준 4 3 5 2 2 3" xfId="23399" xr:uid="{00000000-0005-0000-0000-0000605B0000}"/>
    <cellStyle name="표준 4 3 5 2 2 3 2" xfId="23400" xr:uid="{00000000-0005-0000-0000-0000615B0000}"/>
    <cellStyle name="표준 4 3 5 2 2 4" xfId="23401" xr:uid="{00000000-0005-0000-0000-0000625B0000}"/>
    <cellStyle name="표준 4 3 5 2 3" xfId="23402" xr:uid="{00000000-0005-0000-0000-0000635B0000}"/>
    <cellStyle name="표준 4 3 5 2 3 2" xfId="23403" xr:uid="{00000000-0005-0000-0000-0000645B0000}"/>
    <cellStyle name="표준 4 3 5 2 3 2 2" xfId="23404" xr:uid="{00000000-0005-0000-0000-0000655B0000}"/>
    <cellStyle name="표준 4 3 5 2 3 3" xfId="23405" xr:uid="{00000000-0005-0000-0000-0000665B0000}"/>
    <cellStyle name="표준 4 3 5 2 4" xfId="23406" xr:uid="{00000000-0005-0000-0000-0000675B0000}"/>
    <cellStyle name="표준 4 3 5 2 4 2" xfId="23407" xr:uid="{00000000-0005-0000-0000-0000685B0000}"/>
    <cellStyle name="표준 4 3 5 2 5" xfId="23408" xr:uid="{00000000-0005-0000-0000-0000695B0000}"/>
    <cellStyle name="표준 4 3 5 3" xfId="23409" xr:uid="{00000000-0005-0000-0000-00006A5B0000}"/>
    <cellStyle name="표준 4 3 5 3 2" xfId="23410" xr:uid="{00000000-0005-0000-0000-00006B5B0000}"/>
    <cellStyle name="표준 4 3 5 3 2 2" xfId="23411" xr:uid="{00000000-0005-0000-0000-00006C5B0000}"/>
    <cellStyle name="표준 4 3 5 3 2 2 2" xfId="23412" xr:uid="{00000000-0005-0000-0000-00006D5B0000}"/>
    <cellStyle name="표준 4 3 5 3 2 3" xfId="23413" xr:uid="{00000000-0005-0000-0000-00006E5B0000}"/>
    <cellStyle name="표준 4 3 5 3 3" xfId="23414" xr:uid="{00000000-0005-0000-0000-00006F5B0000}"/>
    <cellStyle name="표준 4 3 5 3 3 2" xfId="23415" xr:uid="{00000000-0005-0000-0000-0000705B0000}"/>
    <cellStyle name="표준 4 3 5 3 4" xfId="23416" xr:uid="{00000000-0005-0000-0000-0000715B0000}"/>
    <cellStyle name="표준 4 3 5 4" xfId="23417" xr:uid="{00000000-0005-0000-0000-0000725B0000}"/>
    <cellStyle name="표준 4 3 5 4 2" xfId="23418" xr:uid="{00000000-0005-0000-0000-0000735B0000}"/>
    <cellStyle name="표준 4 3 5 4 2 2" xfId="23419" xr:uid="{00000000-0005-0000-0000-0000745B0000}"/>
    <cellStyle name="표준 4 3 5 4 3" xfId="23420" xr:uid="{00000000-0005-0000-0000-0000755B0000}"/>
    <cellStyle name="표준 4 3 5 5" xfId="23421" xr:uid="{00000000-0005-0000-0000-0000765B0000}"/>
    <cellStyle name="표준 4 3 5 5 2" xfId="23422" xr:uid="{00000000-0005-0000-0000-0000775B0000}"/>
    <cellStyle name="표준 4 3 5 6" xfId="23423" xr:uid="{00000000-0005-0000-0000-0000785B0000}"/>
    <cellStyle name="표준 4 3 6" xfId="23424" xr:uid="{00000000-0005-0000-0000-0000795B0000}"/>
    <cellStyle name="표준 4 3 6 2" xfId="23425" xr:uid="{00000000-0005-0000-0000-00007A5B0000}"/>
    <cellStyle name="표준 4 3 6 2 2" xfId="23426" xr:uid="{00000000-0005-0000-0000-00007B5B0000}"/>
    <cellStyle name="표준 4 3 6 2 2 2" xfId="23427" xr:uid="{00000000-0005-0000-0000-00007C5B0000}"/>
    <cellStyle name="표준 4 3 6 2 2 2 2" xfId="23428" xr:uid="{00000000-0005-0000-0000-00007D5B0000}"/>
    <cellStyle name="표준 4 3 6 2 2 3" xfId="23429" xr:uid="{00000000-0005-0000-0000-00007E5B0000}"/>
    <cellStyle name="표준 4 3 6 2 3" xfId="23430" xr:uid="{00000000-0005-0000-0000-00007F5B0000}"/>
    <cellStyle name="표준 4 3 6 2 3 2" xfId="23431" xr:uid="{00000000-0005-0000-0000-0000805B0000}"/>
    <cellStyle name="표준 4 3 6 2 4" xfId="23432" xr:uid="{00000000-0005-0000-0000-0000815B0000}"/>
    <cellStyle name="표준 4 3 6 3" xfId="23433" xr:uid="{00000000-0005-0000-0000-0000825B0000}"/>
    <cellStyle name="표준 4 3 6 3 2" xfId="23434" xr:uid="{00000000-0005-0000-0000-0000835B0000}"/>
    <cellStyle name="표준 4 3 6 3 2 2" xfId="23435" xr:uid="{00000000-0005-0000-0000-0000845B0000}"/>
    <cellStyle name="표준 4 3 6 3 3" xfId="23436" xr:uid="{00000000-0005-0000-0000-0000855B0000}"/>
    <cellStyle name="표준 4 3 6 4" xfId="23437" xr:uid="{00000000-0005-0000-0000-0000865B0000}"/>
    <cellStyle name="표준 4 3 6 4 2" xfId="23438" xr:uid="{00000000-0005-0000-0000-0000875B0000}"/>
    <cellStyle name="표준 4 3 6 5" xfId="23439" xr:uid="{00000000-0005-0000-0000-0000885B0000}"/>
    <cellStyle name="표준 4 3 7" xfId="23440" xr:uid="{00000000-0005-0000-0000-0000895B0000}"/>
    <cellStyle name="표준 4 3 7 2" xfId="23441" xr:uid="{00000000-0005-0000-0000-00008A5B0000}"/>
    <cellStyle name="표준 4 3 7 2 2" xfId="23442" xr:uid="{00000000-0005-0000-0000-00008B5B0000}"/>
    <cellStyle name="표준 4 3 7 2 2 2" xfId="23443" xr:uid="{00000000-0005-0000-0000-00008C5B0000}"/>
    <cellStyle name="표준 4 3 7 2 3" xfId="23444" xr:uid="{00000000-0005-0000-0000-00008D5B0000}"/>
    <cellStyle name="표준 4 3 7 3" xfId="23445" xr:uid="{00000000-0005-0000-0000-00008E5B0000}"/>
    <cellStyle name="표준 4 3 7 3 2" xfId="23446" xr:uid="{00000000-0005-0000-0000-00008F5B0000}"/>
    <cellStyle name="표준 4 3 7 4" xfId="23447" xr:uid="{00000000-0005-0000-0000-0000905B0000}"/>
    <cellStyle name="표준 4 3 8" xfId="23448" xr:uid="{00000000-0005-0000-0000-0000915B0000}"/>
    <cellStyle name="표준 4 3 8 2" xfId="23449" xr:uid="{00000000-0005-0000-0000-0000925B0000}"/>
    <cellStyle name="표준 4 3 8 2 2" xfId="23450" xr:uid="{00000000-0005-0000-0000-0000935B0000}"/>
    <cellStyle name="표준 4 3 8 3" xfId="23451" xr:uid="{00000000-0005-0000-0000-0000945B0000}"/>
    <cellStyle name="표준 4 3 9" xfId="23452" xr:uid="{00000000-0005-0000-0000-0000955B0000}"/>
    <cellStyle name="표준 4 3 9 2" xfId="23453" xr:uid="{00000000-0005-0000-0000-0000965B0000}"/>
    <cellStyle name="표준 4 4" xfId="23454" xr:uid="{00000000-0005-0000-0000-0000975B0000}"/>
    <cellStyle name="표준 4 4 10" xfId="23455" xr:uid="{00000000-0005-0000-0000-0000985B0000}"/>
    <cellStyle name="표준 4 4 11" xfId="23456" xr:uid="{00000000-0005-0000-0000-0000995B0000}"/>
    <cellStyle name="표준 4 4 2" xfId="23457" xr:uid="{00000000-0005-0000-0000-00009A5B0000}"/>
    <cellStyle name="표준 4 4 2 10" xfId="23458" xr:uid="{00000000-0005-0000-0000-00009B5B0000}"/>
    <cellStyle name="표준 4 4 2 2" xfId="23459" xr:uid="{00000000-0005-0000-0000-00009C5B0000}"/>
    <cellStyle name="표준 4 4 2 2 2" xfId="23460" xr:uid="{00000000-0005-0000-0000-00009D5B0000}"/>
    <cellStyle name="표준 4 4 2 2 2 2" xfId="23461" xr:uid="{00000000-0005-0000-0000-00009E5B0000}"/>
    <cellStyle name="표준 4 4 2 2 2 2 2" xfId="23462" xr:uid="{00000000-0005-0000-0000-00009F5B0000}"/>
    <cellStyle name="표준 4 4 2 2 2 2 2 2" xfId="23463" xr:uid="{00000000-0005-0000-0000-0000A05B0000}"/>
    <cellStyle name="표준 4 4 2 2 2 2 2 2 2" xfId="23464" xr:uid="{00000000-0005-0000-0000-0000A15B0000}"/>
    <cellStyle name="표준 4 4 2 2 2 2 2 2 2 2" xfId="23465" xr:uid="{00000000-0005-0000-0000-0000A25B0000}"/>
    <cellStyle name="표준 4 4 2 2 2 2 2 2 2 2 2" xfId="23466" xr:uid="{00000000-0005-0000-0000-0000A35B0000}"/>
    <cellStyle name="표준 4 4 2 2 2 2 2 2 2 3" xfId="23467" xr:uid="{00000000-0005-0000-0000-0000A45B0000}"/>
    <cellStyle name="표준 4 4 2 2 2 2 2 2 3" xfId="23468" xr:uid="{00000000-0005-0000-0000-0000A55B0000}"/>
    <cellStyle name="표준 4 4 2 2 2 2 2 2 3 2" xfId="23469" xr:uid="{00000000-0005-0000-0000-0000A65B0000}"/>
    <cellStyle name="표준 4 4 2 2 2 2 2 2 4" xfId="23470" xr:uid="{00000000-0005-0000-0000-0000A75B0000}"/>
    <cellStyle name="표준 4 4 2 2 2 2 2 3" xfId="23471" xr:uid="{00000000-0005-0000-0000-0000A85B0000}"/>
    <cellStyle name="표준 4 4 2 2 2 2 2 3 2" xfId="23472" xr:uid="{00000000-0005-0000-0000-0000A95B0000}"/>
    <cellStyle name="표준 4 4 2 2 2 2 2 3 2 2" xfId="23473" xr:uid="{00000000-0005-0000-0000-0000AA5B0000}"/>
    <cellStyle name="표준 4 4 2 2 2 2 2 3 3" xfId="23474" xr:uid="{00000000-0005-0000-0000-0000AB5B0000}"/>
    <cellStyle name="표준 4 4 2 2 2 2 2 4" xfId="23475" xr:uid="{00000000-0005-0000-0000-0000AC5B0000}"/>
    <cellStyle name="표준 4 4 2 2 2 2 2 4 2" xfId="23476" xr:uid="{00000000-0005-0000-0000-0000AD5B0000}"/>
    <cellStyle name="표준 4 4 2 2 2 2 2 5" xfId="23477" xr:uid="{00000000-0005-0000-0000-0000AE5B0000}"/>
    <cellStyle name="표준 4 4 2 2 2 2 3" xfId="23478" xr:uid="{00000000-0005-0000-0000-0000AF5B0000}"/>
    <cellStyle name="표준 4 4 2 2 2 2 3 2" xfId="23479" xr:uid="{00000000-0005-0000-0000-0000B05B0000}"/>
    <cellStyle name="표준 4 4 2 2 2 2 3 2 2" xfId="23480" xr:uid="{00000000-0005-0000-0000-0000B15B0000}"/>
    <cellStyle name="표준 4 4 2 2 2 2 3 2 2 2" xfId="23481" xr:uid="{00000000-0005-0000-0000-0000B25B0000}"/>
    <cellStyle name="표준 4 4 2 2 2 2 3 2 3" xfId="23482" xr:uid="{00000000-0005-0000-0000-0000B35B0000}"/>
    <cellStyle name="표준 4 4 2 2 2 2 3 3" xfId="23483" xr:uid="{00000000-0005-0000-0000-0000B45B0000}"/>
    <cellStyle name="표준 4 4 2 2 2 2 3 3 2" xfId="23484" xr:uid="{00000000-0005-0000-0000-0000B55B0000}"/>
    <cellStyle name="표준 4 4 2 2 2 2 3 4" xfId="23485" xr:uid="{00000000-0005-0000-0000-0000B65B0000}"/>
    <cellStyle name="표준 4 4 2 2 2 2 4" xfId="23486" xr:uid="{00000000-0005-0000-0000-0000B75B0000}"/>
    <cellStyle name="표준 4 4 2 2 2 2 4 2" xfId="23487" xr:uid="{00000000-0005-0000-0000-0000B85B0000}"/>
    <cellStyle name="표준 4 4 2 2 2 2 4 2 2" xfId="23488" xr:uid="{00000000-0005-0000-0000-0000B95B0000}"/>
    <cellStyle name="표준 4 4 2 2 2 2 4 3" xfId="23489" xr:uid="{00000000-0005-0000-0000-0000BA5B0000}"/>
    <cellStyle name="표준 4 4 2 2 2 2 5" xfId="23490" xr:uid="{00000000-0005-0000-0000-0000BB5B0000}"/>
    <cellStyle name="표준 4 4 2 2 2 2 5 2" xfId="23491" xr:uid="{00000000-0005-0000-0000-0000BC5B0000}"/>
    <cellStyle name="표준 4 4 2 2 2 2 6" xfId="23492" xr:uid="{00000000-0005-0000-0000-0000BD5B0000}"/>
    <cellStyle name="표준 4 4 2 2 2 3" xfId="23493" xr:uid="{00000000-0005-0000-0000-0000BE5B0000}"/>
    <cellStyle name="표준 4 4 2 2 2 3 2" xfId="23494" xr:uid="{00000000-0005-0000-0000-0000BF5B0000}"/>
    <cellStyle name="표준 4 4 2 2 2 3 2 2" xfId="23495" xr:uid="{00000000-0005-0000-0000-0000C05B0000}"/>
    <cellStyle name="표준 4 4 2 2 2 3 2 2 2" xfId="23496" xr:uid="{00000000-0005-0000-0000-0000C15B0000}"/>
    <cellStyle name="표준 4 4 2 2 2 3 2 2 2 2" xfId="23497" xr:uid="{00000000-0005-0000-0000-0000C25B0000}"/>
    <cellStyle name="표준 4 4 2 2 2 3 2 2 3" xfId="23498" xr:uid="{00000000-0005-0000-0000-0000C35B0000}"/>
    <cellStyle name="표준 4 4 2 2 2 3 2 3" xfId="23499" xr:uid="{00000000-0005-0000-0000-0000C45B0000}"/>
    <cellStyle name="표준 4 4 2 2 2 3 2 3 2" xfId="23500" xr:uid="{00000000-0005-0000-0000-0000C55B0000}"/>
    <cellStyle name="표준 4 4 2 2 2 3 2 4" xfId="23501" xr:uid="{00000000-0005-0000-0000-0000C65B0000}"/>
    <cellStyle name="표준 4 4 2 2 2 3 3" xfId="23502" xr:uid="{00000000-0005-0000-0000-0000C75B0000}"/>
    <cellStyle name="표준 4 4 2 2 2 3 3 2" xfId="23503" xr:uid="{00000000-0005-0000-0000-0000C85B0000}"/>
    <cellStyle name="표준 4 4 2 2 2 3 3 2 2" xfId="23504" xr:uid="{00000000-0005-0000-0000-0000C95B0000}"/>
    <cellStyle name="표준 4 4 2 2 2 3 3 3" xfId="23505" xr:uid="{00000000-0005-0000-0000-0000CA5B0000}"/>
    <cellStyle name="표준 4 4 2 2 2 3 4" xfId="23506" xr:uid="{00000000-0005-0000-0000-0000CB5B0000}"/>
    <cellStyle name="표준 4 4 2 2 2 3 4 2" xfId="23507" xr:uid="{00000000-0005-0000-0000-0000CC5B0000}"/>
    <cellStyle name="표준 4 4 2 2 2 3 5" xfId="23508" xr:uid="{00000000-0005-0000-0000-0000CD5B0000}"/>
    <cellStyle name="표준 4 4 2 2 2 4" xfId="23509" xr:uid="{00000000-0005-0000-0000-0000CE5B0000}"/>
    <cellStyle name="표준 4 4 2 2 2 4 2" xfId="23510" xr:uid="{00000000-0005-0000-0000-0000CF5B0000}"/>
    <cellStyle name="표준 4 4 2 2 2 4 2 2" xfId="23511" xr:uid="{00000000-0005-0000-0000-0000D05B0000}"/>
    <cellStyle name="표준 4 4 2 2 2 4 2 2 2" xfId="23512" xr:uid="{00000000-0005-0000-0000-0000D15B0000}"/>
    <cellStyle name="표준 4 4 2 2 2 4 2 3" xfId="23513" xr:uid="{00000000-0005-0000-0000-0000D25B0000}"/>
    <cellStyle name="표준 4 4 2 2 2 4 3" xfId="23514" xr:uid="{00000000-0005-0000-0000-0000D35B0000}"/>
    <cellStyle name="표준 4 4 2 2 2 4 3 2" xfId="23515" xr:uid="{00000000-0005-0000-0000-0000D45B0000}"/>
    <cellStyle name="표준 4 4 2 2 2 4 4" xfId="23516" xr:uid="{00000000-0005-0000-0000-0000D55B0000}"/>
    <cellStyle name="표준 4 4 2 2 2 5" xfId="23517" xr:uid="{00000000-0005-0000-0000-0000D65B0000}"/>
    <cellStyle name="표준 4 4 2 2 2 5 2" xfId="23518" xr:uid="{00000000-0005-0000-0000-0000D75B0000}"/>
    <cellStyle name="표준 4 4 2 2 2 5 2 2" xfId="23519" xr:uid="{00000000-0005-0000-0000-0000D85B0000}"/>
    <cellStyle name="표준 4 4 2 2 2 5 3" xfId="23520" xr:uid="{00000000-0005-0000-0000-0000D95B0000}"/>
    <cellStyle name="표준 4 4 2 2 2 6" xfId="23521" xr:uid="{00000000-0005-0000-0000-0000DA5B0000}"/>
    <cellStyle name="표준 4 4 2 2 2 6 2" xfId="23522" xr:uid="{00000000-0005-0000-0000-0000DB5B0000}"/>
    <cellStyle name="표준 4 4 2 2 2 7" xfId="23523" xr:uid="{00000000-0005-0000-0000-0000DC5B0000}"/>
    <cellStyle name="표준 4 4 2 2 2 8" xfId="23524" xr:uid="{00000000-0005-0000-0000-0000DD5B0000}"/>
    <cellStyle name="표준 4 4 2 2 3" xfId="23525" xr:uid="{00000000-0005-0000-0000-0000DE5B0000}"/>
    <cellStyle name="표준 4 4 2 2 3 2" xfId="23526" xr:uid="{00000000-0005-0000-0000-0000DF5B0000}"/>
    <cellStyle name="표준 4 4 2 2 3 2 2" xfId="23527" xr:uid="{00000000-0005-0000-0000-0000E05B0000}"/>
    <cellStyle name="표준 4 4 2 2 3 2 2 2" xfId="23528" xr:uid="{00000000-0005-0000-0000-0000E15B0000}"/>
    <cellStyle name="표준 4 4 2 2 3 2 2 2 2" xfId="23529" xr:uid="{00000000-0005-0000-0000-0000E25B0000}"/>
    <cellStyle name="표준 4 4 2 2 3 2 2 2 2 2" xfId="23530" xr:uid="{00000000-0005-0000-0000-0000E35B0000}"/>
    <cellStyle name="표준 4 4 2 2 3 2 2 2 3" xfId="23531" xr:uid="{00000000-0005-0000-0000-0000E45B0000}"/>
    <cellStyle name="표준 4 4 2 2 3 2 2 3" xfId="23532" xr:uid="{00000000-0005-0000-0000-0000E55B0000}"/>
    <cellStyle name="표준 4 4 2 2 3 2 2 3 2" xfId="23533" xr:uid="{00000000-0005-0000-0000-0000E65B0000}"/>
    <cellStyle name="표준 4 4 2 2 3 2 2 4" xfId="23534" xr:uid="{00000000-0005-0000-0000-0000E75B0000}"/>
    <cellStyle name="표준 4 4 2 2 3 2 3" xfId="23535" xr:uid="{00000000-0005-0000-0000-0000E85B0000}"/>
    <cellStyle name="표준 4 4 2 2 3 2 3 2" xfId="23536" xr:uid="{00000000-0005-0000-0000-0000E95B0000}"/>
    <cellStyle name="표준 4 4 2 2 3 2 3 2 2" xfId="23537" xr:uid="{00000000-0005-0000-0000-0000EA5B0000}"/>
    <cellStyle name="표준 4 4 2 2 3 2 3 3" xfId="23538" xr:uid="{00000000-0005-0000-0000-0000EB5B0000}"/>
    <cellStyle name="표준 4 4 2 2 3 2 4" xfId="23539" xr:uid="{00000000-0005-0000-0000-0000EC5B0000}"/>
    <cellStyle name="표준 4 4 2 2 3 2 4 2" xfId="23540" xr:uid="{00000000-0005-0000-0000-0000ED5B0000}"/>
    <cellStyle name="표준 4 4 2 2 3 2 5" xfId="23541" xr:uid="{00000000-0005-0000-0000-0000EE5B0000}"/>
    <cellStyle name="표준 4 4 2 2 3 3" xfId="23542" xr:uid="{00000000-0005-0000-0000-0000EF5B0000}"/>
    <cellStyle name="표준 4 4 2 2 3 3 2" xfId="23543" xr:uid="{00000000-0005-0000-0000-0000F05B0000}"/>
    <cellStyle name="표준 4 4 2 2 3 3 2 2" xfId="23544" xr:uid="{00000000-0005-0000-0000-0000F15B0000}"/>
    <cellStyle name="표준 4 4 2 2 3 3 2 2 2" xfId="23545" xr:uid="{00000000-0005-0000-0000-0000F25B0000}"/>
    <cellStyle name="표준 4 4 2 2 3 3 2 3" xfId="23546" xr:uid="{00000000-0005-0000-0000-0000F35B0000}"/>
    <cellStyle name="표준 4 4 2 2 3 3 3" xfId="23547" xr:uid="{00000000-0005-0000-0000-0000F45B0000}"/>
    <cellStyle name="표준 4 4 2 2 3 3 3 2" xfId="23548" xr:uid="{00000000-0005-0000-0000-0000F55B0000}"/>
    <cellStyle name="표준 4 4 2 2 3 3 4" xfId="23549" xr:uid="{00000000-0005-0000-0000-0000F65B0000}"/>
    <cellStyle name="표준 4 4 2 2 3 4" xfId="23550" xr:uid="{00000000-0005-0000-0000-0000F75B0000}"/>
    <cellStyle name="표준 4 4 2 2 3 4 2" xfId="23551" xr:uid="{00000000-0005-0000-0000-0000F85B0000}"/>
    <cellStyle name="표준 4 4 2 2 3 4 2 2" xfId="23552" xr:uid="{00000000-0005-0000-0000-0000F95B0000}"/>
    <cellStyle name="표준 4 4 2 2 3 4 3" xfId="23553" xr:uid="{00000000-0005-0000-0000-0000FA5B0000}"/>
    <cellStyle name="표준 4 4 2 2 3 5" xfId="23554" xr:uid="{00000000-0005-0000-0000-0000FB5B0000}"/>
    <cellStyle name="표준 4 4 2 2 3 5 2" xfId="23555" xr:uid="{00000000-0005-0000-0000-0000FC5B0000}"/>
    <cellStyle name="표준 4 4 2 2 3 6" xfId="23556" xr:uid="{00000000-0005-0000-0000-0000FD5B0000}"/>
    <cellStyle name="표준 4 4 2 2 4" xfId="23557" xr:uid="{00000000-0005-0000-0000-0000FE5B0000}"/>
    <cellStyle name="표준 4 4 2 2 4 2" xfId="23558" xr:uid="{00000000-0005-0000-0000-0000FF5B0000}"/>
    <cellStyle name="표준 4 4 2 2 4 2 2" xfId="23559" xr:uid="{00000000-0005-0000-0000-0000005C0000}"/>
    <cellStyle name="표준 4 4 2 2 4 2 2 2" xfId="23560" xr:uid="{00000000-0005-0000-0000-0000015C0000}"/>
    <cellStyle name="표준 4 4 2 2 4 2 2 2 2" xfId="23561" xr:uid="{00000000-0005-0000-0000-0000025C0000}"/>
    <cellStyle name="표준 4 4 2 2 4 2 2 3" xfId="23562" xr:uid="{00000000-0005-0000-0000-0000035C0000}"/>
    <cellStyle name="표준 4 4 2 2 4 2 3" xfId="23563" xr:uid="{00000000-0005-0000-0000-0000045C0000}"/>
    <cellStyle name="표준 4 4 2 2 4 2 3 2" xfId="23564" xr:uid="{00000000-0005-0000-0000-0000055C0000}"/>
    <cellStyle name="표준 4 4 2 2 4 2 4" xfId="23565" xr:uid="{00000000-0005-0000-0000-0000065C0000}"/>
    <cellStyle name="표준 4 4 2 2 4 3" xfId="23566" xr:uid="{00000000-0005-0000-0000-0000075C0000}"/>
    <cellStyle name="표준 4 4 2 2 4 3 2" xfId="23567" xr:uid="{00000000-0005-0000-0000-0000085C0000}"/>
    <cellStyle name="표준 4 4 2 2 4 3 2 2" xfId="23568" xr:uid="{00000000-0005-0000-0000-0000095C0000}"/>
    <cellStyle name="표준 4 4 2 2 4 3 3" xfId="23569" xr:uid="{00000000-0005-0000-0000-00000A5C0000}"/>
    <cellStyle name="표준 4 4 2 2 4 4" xfId="23570" xr:uid="{00000000-0005-0000-0000-00000B5C0000}"/>
    <cellStyle name="표준 4 4 2 2 4 4 2" xfId="23571" xr:uid="{00000000-0005-0000-0000-00000C5C0000}"/>
    <cellStyle name="표준 4 4 2 2 4 5" xfId="23572" xr:uid="{00000000-0005-0000-0000-00000D5C0000}"/>
    <cellStyle name="표준 4 4 2 2 5" xfId="23573" xr:uid="{00000000-0005-0000-0000-00000E5C0000}"/>
    <cellStyle name="표준 4 4 2 2 5 2" xfId="23574" xr:uid="{00000000-0005-0000-0000-00000F5C0000}"/>
    <cellStyle name="표준 4 4 2 2 5 2 2" xfId="23575" xr:uid="{00000000-0005-0000-0000-0000105C0000}"/>
    <cellStyle name="표준 4 4 2 2 5 2 2 2" xfId="23576" xr:uid="{00000000-0005-0000-0000-0000115C0000}"/>
    <cellStyle name="표준 4 4 2 2 5 2 3" xfId="23577" xr:uid="{00000000-0005-0000-0000-0000125C0000}"/>
    <cellStyle name="표준 4 4 2 2 5 3" xfId="23578" xr:uid="{00000000-0005-0000-0000-0000135C0000}"/>
    <cellStyle name="표준 4 4 2 2 5 3 2" xfId="23579" xr:uid="{00000000-0005-0000-0000-0000145C0000}"/>
    <cellStyle name="표준 4 4 2 2 5 4" xfId="23580" xr:uid="{00000000-0005-0000-0000-0000155C0000}"/>
    <cellStyle name="표준 4 4 2 2 6" xfId="23581" xr:uid="{00000000-0005-0000-0000-0000165C0000}"/>
    <cellStyle name="표준 4 4 2 2 6 2" xfId="23582" xr:uid="{00000000-0005-0000-0000-0000175C0000}"/>
    <cellStyle name="표준 4 4 2 2 6 2 2" xfId="23583" xr:uid="{00000000-0005-0000-0000-0000185C0000}"/>
    <cellStyle name="표준 4 4 2 2 6 3" xfId="23584" xr:uid="{00000000-0005-0000-0000-0000195C0000}"/>
    <cellStyle name="표준 4 4 2 2 7" xfId="23585" xr:uid="{00000000-0005-0000-0000-00001A5C0000}"/>
    <cellStyle name="표준 4 4 2 2 7 2" xfId="23586" xr:uid="{00000000-0005-0000-0000-00001B5C0000}"/>
    <cellStyle name="표준 4 4 2 2 8" xfId="23587" xr:uid="{00000000-0005-0000-0000-00001C5C0000}"/>
    <cellStyle name="표준 4 4 2 2 9" xfId="23588" xr:uid="{00000000-0005-0000-0000-00001D5C0000}"/>
    <cellStyle name="표준 4 4 2 3" xfId="23589" xr:uid="{00000000-0005-0000-0000-00001E5C0000}"/>
    <cellStyle name="표준 4 4 2 3 2" xfId="23590" xr:uid="{00000000-0005-0000-0000-00001F5C0000}"/>
    <cellStyle name="표준 4 4 2 3 2 2" xfId="23591" xr:uid="{00000000-0005-0000-0000-0000205C0000}"/>
    <cellStyle name="표준 4 4 2 3 2 2 2" xfId="23592" xr:uid="{00000000-0005-0000-0000-0000215C0000}"/>
    <cellStyle name="표준 4 4 2 3 2 2 2 2" xfId="23593" xr:uid="{00000000-0005-0000-0000-0000225C0000}"/>
    <cellStyle name="표준 4 4 2 3 2 2 2 2 2" xfId="23594" xr:uid="{00000000-0005-0000-0000-0000235C0000}"/>
    <cellStyle name="표준 4 4 2 3 2 2 2 2 2 2" xfId="23595" xr:uid="{00000000-0005-0000-0000-0000245C0000}"/>
    <cellStyle name="표준 4 4 2 3 2 2 2 2 3" xfId="23596" xr:uid="{00000000-0005-0000-0000-0000255C0000}"/>
    <cellStyle name="표준 4 4 2 3 2 2 2 3" xfId="23597" xr:uid="{00000000-0005-0000-0000-0000265C0000}"/>
    <cellStyle name="표준 4 4 2 3 2 2 2 3 2" xfId="23598" xr:uid="{00000000-0005-0000-0000-0000275C0000}"/>
    <cellStyle name="표준 4 4 2 3 2 2 2 4" xfId="23599" xr:uid="{00000000-0005-0000-0000-0000285C0000}"/>
    <cellStyle name="표준 4 4 2 3 2 2 3" xfId="23600" xr:uid="{00000000-0005-0000-0000-0000295C0000}"/>
    <cellStyle name="표준 4 4 2 3 2 2 3 2" xfId="23601" xr:uid="{00000000-0005-0000-0000-00002A5C0000}"/>
    <cellStyle name="표준 4 4 2 3 2 2 3 2 2" xfId="23602" xr:uid="{00000000-0005-0000-0000-00002B5C0000}"/>
    <cellStyle name="표준 4 4 2 3 2 2 3 3" xfId="23603" xr:uid="{00000000-0005-0000-0000-00002C5C0000}"/>
    <cellStyle name="표준 4 4 2 3 2 2 4" xfId="23604" xr:uid="{00000000-0005-0000-0000-00002D5C0000}"/>
    <cellStyle name="표준 4 4 2 3 2 2 4 2" xfId="23605" xr:uid="{00000000-0005-0000-0000-00002E5C0000}"/>
    <cellStyle name="표준 4 4 2 3 2 2 5" xfId="23606" xr:uid="{00000000-0005-0000-0000-00002F5C0000}"/>
    <cellStyle name="표준 4 4 2 3 2 3" xfId="23607" xr:uid="{00000000-0005-0000-0000-0000305C0000}"/>
    <cellStyle name="표준 4 4 2 3 2 3 2" xfId="23608" xr:uid="{00000000-0005-0000-0000-0000315C0000}"/>
    <cellStyle name="표준 4 4 2 3 2 3 2 2" xfId="23609" xr:uid="{00000000-0005-0000-0000-0000325C0000}"/>
    <cellStyle name="표준 4 4 2 3 2 3 2 2 2" xfId="23610" xr:uid="{00000000-0005-0000-0000-0000335C0000}"/>
    <cellStyle name="표준 4 4 2 3 2 3 2 3" xfId="23611" xr:uid="{00000000-0005-0000-0000-0000345C0000}"/>
    <cellStyle name="표준 4 4 2 3 2 3 3" xfId="23612" xr:uid="{00000000-0005-0000-0000-0000355C0000}"/>
    <cellStyle name="표준 4 4 2 3 2 3 3 2" xfId="23613" xr:uid="{00000000-0005-0000-0000-0000365C0000}"/>
    <cellStyle name="표준 4 4 2 3 2 3 4" xfId="23614" xr:uid="{00000000-0005-0000-0000-0000375C0000}"/>
    <cellStyle name="표준 4 4 2 3 2 4" xfId="23615" xr:uid="{00000000-0005-0000-0000-0000385C0000}"/>
    <cellStyle name="표준 4 4 2 3 2 4 2" xfId="23616" xr:uid="{00000000-0005-0000-0000-0000395C0000}"/>
    <cellStyle name="표준 4 4 2 3 2 4 2 2" xfId="23617" xr:uid="{00000000-0005-0000-0000-00003A5C0000}"/>
    <cellStyle name="표준 4 4 2 3 2 4 3" xfId="23618" xr:uid="{00000000-0005-0000-0000-00003B5C0000}"/>
    <cellStyle name="표준 4 4 2 3 2 5" xfId="23619" xr:uid="{00000000-0005-0000-0000-00003C5C0000}"/>
    <cellStyle name="표준 4 4 2 3 2 5 2" xfId="23620" xr:uid="{00000000-0005-0000-0000-00003D5C0000}"/>
    <cellStyle name="표준 4 4 2 3 2 6" xfId="23621" xr:uid="{00000000-0005-0000-0000-00003E5C0000}"/>
    <cellStyle name="표준 4 4 2 3 3" xfId="23622" xr:uid="{00000000-0005-0000-0000-00003F5C0000}"/>
    <cellStyle name="표준 4 4 2 3 3 2" xfId="23623" xr:uid="{00000000-0005-0000-0000-0000405C0000}"/>
    <cellStyle name="표준 4 4 2 3 3 2 2" xfId="23624" xr:uid="{00000000-0005-0000-0000-0000415C0000}"/>
    <cellStyle name="표준 4 4 2 3 3 2 2 2" xfId="23625" xr:uid="{00000000-0005-0000-0000-0000425C0000}"/>
    <cellStyle name="표준 4 4 2 3 3 2 2 2 2" xfId="23626" xr:uid="{00000000-0005-0000-0000-0000435C0000}"/>
    <cellStyle name="표준 4 4 2 3 3 2 2 3" xfId="23627" xr:uid="{00000000-0005-0000-0000-0000445C0000}"/>
    <cellStyle name="표준 4 4 2 3 3 2 3" xfId="23628" xr:uid="{00000000-0005-0000-0000-0000455C0000}"/>
    <cellStyle name="표준 4 4 2 3 3 2 3 2" xfId="23629" xr:uid="{00000000-0005-0000-0000-0000465C0000}"/>
    <cellStyle name="표준 4 4 2 3 3 2 4" xfId="23630" xr:uid="{00000000-0005-0000-0000-0000475C0000}"/>
    <cellStyle name="표준 4 4 2 3 3 3" xfId="23631" xr:uid="{00000000-0005-0000-0000-0000485C0000}"/>
    <cellStyle name="표준 4 4 2 3 3 3 2" xfId="23632" xr:uid="{00000000-0005-0000-0000-0000495C0000}"/>
    <cellStyle name="표준 4 4 2 3 3 3 2 2" xfId="23633" xr:uid="{00000000-0005-0000-0000-00004A5C0000}"/>
    <cellStyle name="표준 4 4 2 3 3 3 3" xfId="23634" xr:uid="{00000000-0005-0000-0000-00004B5C0000}"/>
    <cellStyle name="표준 4 4 2 3 3 4" xfId="23635" xr:uid="{00000000-0005-0000-0000-00004C5C0000}"/>
    <cellStyle name="표준 4 4 2 3 3 4 2" xfId="23636" xr:uid="{00000000-0005-0000-0000-00004D5C0000}"/>
    <cellStyle name="표준 4 4 2 3 3 5" xfId="23637" xr:uid="{00000000-0005-0000-0000-00004E5C0000}"/>
    <cellStyle name="표준 4 4 2 3 4" xfId="23638" xr:uid="{00000000-0005-0000-0000-00004F5C0000}"/>
    <cellStyle name="표준 4 4 2 3 4 2" xfId="23639" xr:uid="{00000000-0005-0000-0000-0000505C0000}"/>
    <cellStyle name="표준 4 4 2 3 4 2 2" xfId="23640" xr:uid="{00000000-0005-0000-0000-0000515C0000}"/>
    <cellStyle name="표준 4 4 2 3 4 2 2 2" xfId="23641" xr:uid="{00000000-0005-0000-0000-0000525C0000}"/>
    <cellStyle name="표준 4 4 2 3 4 2 3" xfId="23642" xr:uid="{00000000-0005-0000-0000-0000535C0000}"/>
    <cellStyle name="표준 4 4 2 3 4 3" xfId="23643" xr:uid="{00000000-0005-0000-0000-0000545C0000}"/>
    <cellStyle name="표준 4 4 2 3 4 3 2" xfId="23644" xr:uid="{00000000-0005-0000-0000-0000555C0000}"/>
    <cellStyle name="표준 4 4 2 3 4 4" xfId="23645" xr:uid="{00000000-0005-0000-0000-0000565C0000}"/>
    <cellStyle name="표준 4 4 2 3 5" xfId="23646" xr:uid="{00000000-0005-0000-0000-0000575C0000}"/>
    <cellStyle name="표준 4 4 2 3 5 2" xfId="23647" xr:uid="{00000000-0005-0000-0000-0000585C0000}"/>
    <cellStyle name="표준 4 4 2 3 5 2 2" xfId="23648" xr:uid="{00000000-0005-0000-0000-0000595C0000}"/>
    <cellStyle name="표준 4 4 2 3 5 3" xfId="23649" xr:uid="{00000000-0005-0000-0000-00005A5C0000}"/>
    <cellStyle name="표준 4 4 2 3 6" xfId="23650" xr:uid="{00000000-0005-0000-0000-00005B5C0000}"/>
    <cellStyle name="표준 4 4 2 3 6 2" xfId="23651" xr:uid="{00000000-0005-0000-0000-00005C5C0000}"/>
    <cellStyle name="표준 4 4 2 3 7" xfId="23652" xr:uid="{00000000-0005-0000-0000-00005D5C0000}"/>
    <cellStyle name="표준 4 4 2 3 8" xfId="23653" xr:uid="{00000000-0005-0000-0000-00005E5C0000}"/>
    <cellStyle name="표준 4 4 2 4" xfId="23654" xr:uid="{00000000-0005-0000-0000-00005F5C0000}"/>
    <cellStyle name="표준 4 4 2 4 2" xfId="23655" xr:uid="{00000000-0005-0000-0000-0000605C0000}"/>
    <cellStyle name="표준 4 4 2 4 2 2" xfId="23656" xr:uid="{00000000-0005-0000-0000-0000615C0000}"/>
    <cellStyle name="표준 4 4 2 4 2 2 2" xfId="23657" xr:uid="{00000000-0005-0000-0000-0000625C0000}"/>
    <cellStyle name="표준 4 4 2 4 2 2 2 2" xfId="23658" xr:uid="{00000000-0005-0000-0000-0000635C0000}"/>
    <cellStyle name="표준 4 4 2 4 2 2 2 2 2" xfId="23659" xr:uid="{00000000-0005-0000-0000-0000645C0000}"/>
    <cellStyle name="표준 4 4 2 4 2 2 2 3" xfId="23660" xr:uid="{00000000-0005-0000-0000-0000655C0000}"/>
    <cellStyle name="표준 4 4 2 4 2 2 3" xfId="23661" xr:uid="{00000000-0005-0000-0000-0000665C0000}"/>
    <cellStyle name="표준 4 4 2 4 2 2 3 2" xfId="23662" xr:uid="{00000000-0005-0000-0000-0000675C0000}"/>
    <cellStyle name="표준 4 4 2 4 2 2 4" xfId="23663" xr:uid="{00000000-0005-0000-0000-0000685C0000}"/>
    <cellStyle name="표준 4 4 2 4 2 3" xfId="23664" xr:uid="{00000000-0005-0000-0000-0000695C0000}"/>
    <cellStyle name="표준 4 4 2 4 2 3 2" xfId="23665" xr:uid="{00000000-0005-0000-0000-00006A5C0000}"/>
    <cellStyle name="표준 4 4 2 4 2 3 2 2" xfId="23666" xr:uid="{00000000-0005-0000-0000-00006B5C0000}"/>
    <cellStyle name="표준 4 4 2 4 2 3 3" xfId="23667" xr:uid="{00000000-0005-0000-0000-00006C5C0000}"/>
    <cellStyle name="표준 4 4 2 4 2 4" xfId="23668" xr:uid="{00000000-0005-0000-0000-00006D5C0000}"/>
    <cellStyle name="표준 4 4 2 4 2 4 2" xfId="23669" xr:uid="{00000000-0005-0000-0000-00006E5C0000}"/>
    <cellStyle name="표준 4 4 2 4 2 5" xfId="23670" xr:uid="{00000000-0005-0000-0000-00006F5C0000}"/>
    <cellStyle name="표준 4 4 2 4 3" xfId="23671" xr:uid="{00000000-0005-0000-0000-0000705C0000}"/>
    <cellStyle name="표준 4 4 2 4 3 2" xfId="23672" xr:uid="{00000000-0005-0000-0000-0000715C0000}"/>
    <cellStyle name="표준 4 4 2 4 3 2 2" xfId="23673" xr:uid="{00000000-0005-0000-0000-0000725C0000}"/>
    <cellStyle name="표준 4 4 2 4 3 2 2 2" xfId="23674" xr:uid="{00000000-0005-0000-0000-0000735C0000}"/>
    <cellStyle name="표준 4 4 2 4 3 2 3" xfId="23675" xr:uid="{00000000-0005-0000-0000-0000745C0000}"/>
    <cellStyle name="표준 4 4 2 4 3 3" xfId="23676" xr:uid="{00000000-0005-0000-0000-0000755C0000}"/>
    <cellStyle name="표준 4 4 2 4 3 3 2" xfId="23677" xr:uid="{00000000-0005-0000-0000-0000765C0000}"/>
    <cellStyle name="표준 4 4 2 4 3 4" xfId="23678" xr:uid="{00000000-0005-0000-0000-0000775C0000}"/>
    <cellStyle name="표준 4 4 2 4 4" xfId="23679" xr:uid="{00000000-0005-0000-0000-0000785C0000}"/>
    <cellStyle name="표준 4 4 2 4 4 2" xfId="23680" xr:uid="{00000000-0005-0000-0000-0000795C0000}"/>
    <cellStyle name="표준 4 4 2 4 4 2 2" xfId="23681" xr:uid="{00000000-0005-0000-0000-00007A5C0000}"/>
    <cellStyle name="표준 4 4 2 4 4 3" xfId="23682" xr:uid="{00000000-0005-0000-0000-00007B5C0000}"/>
    <cellStyle name="표준 4 4 2 4 5" xfId="23683" xr:uid="{00000000-0005-0000-0000-00007C5C0000}"/>
    <cellStyle name="표준 4 4 2 4 5 2" xfId="23684" xr:uid="{00000000-0005-0000-0000-00007D5C0000}"/>
    <cellStyle name="표준 4 4 2 4 6" xfId="23685" xr:uid="{00000000-0005-0000-0000-00007E5C0000}"/>
    <cellStyle name="표준 4 4 2 5" xfId="23686" xr:uid="{00000000-0005-0000-0000-00007F5C0000}"/>
    <cellStyle name="표준 4 4 2 5 2" xfId="23687" xr:uid="{00000000-0005-0000-0000-0000805C0000}"/>
    <cellStyle name="표준 4 4 2 5 2 2" xfId="23688" xr:uid="{00000000-0005-0000-0000-0000815C0000}"/>
    <cellStyle name="표준 4 4 2 5 2 2 2" xfId="23689" xr:uid="{00000000-0005-0000-0000-0000825C0000}"/>
    <cellStyle name="표준 4 4 2 5 2 2 2 2" xfId="23690" xr:uid="{00000000-0005-0000-0000-0000835C0000}"/>
    <cellStyle name="표준 4 4 2 5 2 2 3" xfId="23691" xr:uid="{00000000-0005-0000-0000-0000845C0000}"/>
    <cellStyle name="표준 4 4 2 5 2 3" xfId="23692" xr:uid="{00000000-0005-0000-0000-0000855C0000}"/>
    <cellStyle name="표준 4 4 2 5 2 3 2" xfId="23693" xr:uid="{00000000-0005-0000-0000-0000865C0000}"/>
    <cellStyle name="표준 4 4 2 5 2 4" xfId="23694" xr:uid="{00000000-0005-0000-0000-0000875C0000}"/>
    <cellStyle name="표준 4 4 2 5 3" xfId="23695" xr:uid="{00000000-0005-0000-0000-0000885C0000}"/>
    <cellStyle name="표준 4 4 2 5 3 2" xfId="23696" xr:uid="{00000000-0005-0000-0000-0000895C0000}"/>
    <cellStyle name="표준 4 4 2 5 3 2 2" xfId="23697" xr:uid="{00000000-0005-0000-0000-00008A5C0000}"/>
    <cellStyle name="표준 4 4 2 5 3 3" xfId="23698" xr:uid="{00000000-0005-0000-0000-00008B5C0000}"/>
    <cellStyle name="표준 4 4 2 5 4" xfId="23699" xr:uid="{00000000-0005-0000-0000-00008C5C0000}"/>
    <cellStyle name="표준 4 4 2 5 4 2" xfId="23700" xr:uid="{00000000-0005-0000-0000-00008D5C0000}"/>
    <cellStyle name="표준 4 4 2 5 5" xfId="23701" xr:uid="{00000000-0005-0000-0000-00008E5C0000}"/>
    <cellStyle name="표준 4 4 2 6" xfId="23702" xr:uid="{00000000-0005-0000-0000-00008F5C0000}"/>
    <cellStyle name="표준 4 4 2 6 2" xfId="23703" xr:uid="{00000000-0005-0000-0000-0000905C0000}"/>
    <cellStyle name="표준 4 4 2 6 2 2" xfId="23704" xr:uid="{00000000-0005-0000-0000-0000915C0000}"/>
    <cellStyle name="표준 4 4 2 6 2 2 2" xfId="23705" xr:uid="{00000000-0005-0000-0000-0000925C0000}"/>
    <cellStyle name="표준 4 4 2 6 2 3" xfId="23706" xr:uid="{00000000-0005-0000-0000-0000935C0000}"/>
    <cellStyle name="표준 4 4 2 6 3" xfId="23707" xr:uid="{00000000-0005-0000-0000-0000945C0000}"/>
    <cellStyle name="표준 4 4 2 6 3 2" xfId="23708" xr:uid="{00000000-0005-0000-0000-0000955C0000}"/>
    <cellStyle name="표준 4 4 2 6 4" xfId="23709" xr:uid="{00000000-0005-0000-0000-0000965C0000}"/>
    <cellStyle name="표준 4 4 2 7" xfId="23710" xr:uid="{00000000-0005-0000-0000-0000975C0000}"/>
    <cellStyle name="표준 4 4 2 7 2" xfId="23711" xr:uid="{00000000-0005-0000-0000-0000985C0000}"/>
    <cellStyle name="표준 4 4 2 7 2 2" xfId="23712" xr:uid="{00000000-0005-0000-0000-0000995C0000}"/>
    <cellStyle name="표준 4 4 2 7 3" xfId="23713" xr:uid="{00000000-0005-0000-0000-00009A5C0000}"/>
    <cellStyle name="표준 4 4 2 8" xfId="23714" xr:uid="{00000000-0005-0000-0000-00009B5C0000}"/>
    <cellStyle name="표준 4 4 2 8 2" xfId="23715" xr:uid="{00000000-0005-0000-0000-00009C5C0000}"/>
    <cellStyle name="표준 4 4 2 9" xfId="23716" xr:uid="{00000000-0005-0000-0000-00009D5C0000}"/>
    <cellStyle name="표준 4 4 3" xfId="23717" xr:uid="{00000000-0005-0000-0000-00009E5C0000}"/>
    <cellStyle name="표준 4 4 3 2" xfId="23718" xr:uid="{00000000-0005-0000-0000-00009F5C0000}"/>
    <cellStyle name="표준 4 4 3 2 2" xfId="23719" xr:uid="{00000000-0005-0000-0000-0000A05C0000}"/>
    <cellStyle name="표준 4 4 3 2 2 2" xfId="23720" xr:uid="{00000000-0005-0000-0000-0000A15C0000}"/>
    <cellStyle name="표준 4 4 3 2 2 2 2" xfId="23721" xr:uid="{00000000-0005-0000-0000-0000A25C0000}"/>
    <cellStyle name="표준 4 4 3 2 2 2 2 2" xfId="23722" xr:uid="{00000000-0005-0000-0000-0000A35C0000}"/>
    <cellStyle name="표준 4 4 3 2 2 2 2 2 2" xfId="23723" xr:uid="{00000000-0005-0000-0000-0000A45C0000}"/>
    <cellStyle name="표준 4 4 3 2 2 2 2 2 2 2" xfId="23724" xr:uid="{00000000-0005-0000-0000-0000A55C0000}"/>
    <cellStyle name="표준 4 4 3 2 2 2 2 2 3" xfId="23725" xr:uid="{00000000-0005-0000-0000-0000A65C0000}"/>
    <cellStyle name="표준 4 4 3 2 2 2 2 3" xfId="23726" xr:uid="{00000000-0005-0000-0000-0000A75C0000}"/>
    <cellStyle name="표준 4 4 3 2 2 2 2 3 2" xfId="23727" xr:uid="{00000000-0005-0000-0000-0000A85C0000}"/>
    <cellStyle name="표준 4 4 3 2 2 2 2 4" xfId="23728" xr:uid="{00000000-0005-0000-0000-0000A95C0000}"/>
    <cellStyle name="표준 4 4 3 2 2 2 3" xfId="23729" xr:uid="{00000000-0005-0000-0000-0000AA5C0000}"/>
    <cellStyle name="표준 4 4 3 2 2 2 3 2" xfId="23730" xr:uid="{00000000-0005-0000-0000-0000AB5C0000}"/>
    <cellStyle name="표준 4 4 3 2 2 2 3 2 2" xfId="23731" xr:uid="{00000000-0005-0000-0000-0000AC5C0000}"/>
    <cellStyle name="표준 4 4 3 2 2 2 3 3" xfId="23732" xr:uid="{00000000-0005-0000-0000-0000AD5C0000}"/>
    <cellStyle name="표준 4 4 3 2 2 2 4" xfId="23733" xr:uid="{00000000-0005-0000-0000-0000AE5C0000}"/>
    <cellStyle name="표준 4 4 3 2 2 2 4 2" xfId="23734" xr:uid="{00000000-0005-0000-0000-0000AF5C0000}"/>
    <cellStyle name="표준 4 4 3 2 2 2 5" xfId="23735" xr:uid="{00000000-0005-0000-0000-0000B05C0000}"/>
    <cellStyle name="표준 4 4 3 2 2 3" xfId="23736" xr:uid="{00000000-0005-0000-0000-0000B15C0000}"/>
    <cellStyle name="표준 4 4 3 2 2 3 2" xfId="23737" xr:uid="{00000000-0005-0000-0000-0000B25C0000}"/>
    <cellStyle name="표준 4 4 3 2 2 3 2 2" xfId="23738" xr:uid="{00000000-0005-0000-0000-0000B35C0000}"/>
    <cellStyle name="표준 4 4 3 2 2 3 2 2 2" xfId="23739" xr:uid="{00000000-0005-0000-0000-0000B45C0000}"/>
    <cellStyle name="표준 4 4 3 2 2 3 2 3" xfId="23740" xr:uid="{00000000-0005-0000-0000-0000B55C0000}"/>
    <cellStyle name="표준 4 4 3 2 2 3 3" xfId="23741" xr:uid="{00000000-0005-0000-0000-0000B65C0000}"/>
    <cellStyle name="표준 4 4 3 2 2 3 3 2" xfId="23742" xr:uid="{00000000-0005-0000-0000-0000B75C0000}"/>
    <cellStyle name="표준 4 4 3 2 2 3 4" xfId="23743" xr:uid="{00000000-0005-0000-0000-0000B85C0000}"/>
    <cellStyle name="표준 4 4 3 2 2 4" xfId="23744" xr:uid="{00000000-0005-0000-0000-0000B95C0000}"/>
    <cellStyle name="표준 4 4 3 2 2 4 2" xfId="23745" xr:uid="{00000000-0005-0000-0000-0000BA5C0000}"/>
    <cellStyle name="표준 4 4 3 2 2 4 2 2" xfId="23746" xr:uid="{00000000-0005-0000-0000-0000BB5C0000}"/>
    <cellStyle name="표준 4 4 3 2 2 4 3" xfId="23747" xr:uid="{00000000-0005-0000-0000-0000BC5C0000}"/>
    <cellStyle name="표준 4 4 3 2 2 5" xfId="23748" xr:uid="{00000000-0005-0000-0000-0000BD5C0000}"/>
    <cellStyle name="표준 4 4 3 2 2 5 2" xfId="23749" xr:uid="{00000000-0005-0000-0000-0000BE5C0000}"/>
    <cellStyle name="표준 4 4 3 2 2 6" xfId="23750" xr:uid="{00000000-0005-0000-0000-0000BF5C0000}"/>
    <cellStyle name="표준 4 4 3 2 3" xfId="23751" xr:uid="{00000000-0005-0000-0000-0000C05C0000}"/>
    <cellStyle name="표준 4 4 3 2 3 2" xfId="23752" xr:uid="{00000000-0005-0000-0000-0000C15C0000}"/>
    <cellStyle name="표준 4 4 3 2 3 2 2" xfId="23753" xr:uid="{00000000-0005-0000-0000-0000C25C0000}"/>
    <cellStyle name="표준 4 4 3 2 3 2 2 2" xfId="23754" xr:uid="{00000000-0005-0000-0000-0000C35C0000}"/>
    <cellStyle name="표준 4 4 3 2 3 2 2 2 2" xfId="23755" xr:uid="{00000000-0005-0000-0000-0000C45C0000}"/>
    <cellStyle name="표준 4 4 3 2 3 2 2 3" xfId="23756" xr:uid="{00000000-0005-0000-0000-0000C55C0000}"/>
    <cellStyle name="표준 4 4 3 2 3 2 3" xfId="23757" xr:uid="{00000000-0005-0000-0000-0000C65C0000}"/>
    <cellStyle name="표준 4 4 3 2 3 2 3 2" xfId="23758" xr:uid="{00000000-0005-0000-0000-0000C75C0000}"/>
    <cellStyle name="표준 4 4 3 2 3 2 4" xfId="23759" xr:uid="{00000000-0005-0000-0000-0000C85C0000}"/>
    <cellStyle name="표준 4 4 3 2 3 3" xfId="23760" xr:uid="{00000000-0005-0000-0000-0000C95C0000}"/>
    <cellStyle name="표준 4 4 3 2 3 3 2" xfId="23761" xr:uid="{00000000-0005-0000-0000-0000CA5C0000}"/>
    <cellStyle name="표준 4 4 3 2 3 3 2 2" xfId="23762" xr:uid="{00000000-0005-0000-0000-0000CB5C0000}"/>
    <cellStyle name="표준 4 4 3 2 3 3 3" xfId="23763" xr:uid="{00000000-0005-0000-0000-0000CC5C0000}"/>
    <cellStyle name="표준 4 4 3 2 3 4" xfId="23764" xr:uid="{00000000-0005-0000-0000-0000CD5C0000}"/>
    <cellStyle name="표준 4 4 3 2 3 4 2" xfId="23765" xr:uid="{00000000-0005-0000-0000-0000CE5C0000}"/>
    <cellStyle name="표준 4 4 3 2 3 5" xfId="23766" xr:uid="{00000000-0005-0000-0000-0000CF5C0000}"/>
    <cellStyle name="표준 4 4 3 2 4" xfId="23767" xr:uid="{00000000-0005-0000-0000-0000D05C0000}"/>
    <cellStyle name="표준 4 4 3 2 4 2" xfId="23768" xr:uid="{00000000-0005-0000-0000-0000D15C0000}"/>
    <cellStyle name="표준 4 4 3 2 4 2 2" xfId="23769" xr:uid="{00000000-0005-0000-0000-0000D25C0000}"/>
    <cellStyle name="표준 4 4 3 2 4 2 2 2" xfId="23770" xr:uid="{00000000-0005-0000-0000-0000D35C0000}"/>
    <cellStyle name="표준 4 4 3 2 4 2 3" xfId="23771" xr:uid="{00000000-0005-0000-0000-0000D45C0000}"/>
    <cellStyle name="표준 4 4 3 2 4 3" xfId="23772" xr:uid="{00000000-0005-0000-0000-0000D55C0000}"/>
    <cellStyle name="표준 4 4 3 2 4 3 2" xfId="23773" xr:uid="{00000000-0005-0000-0000-0000D65C0000}"/>
    <cellStyle name="표준 4 4 3 2 4 4" xfId="23774" xr:uid="{00000000-0005-0000-0000-0000D75C0000}"/>
    <cellStyle name="표준 4 4 3 2 5" xfId="23775" xr:uid="{00000000-0005-0000-0000-0000D85C0000}"/>
    <cellStyle name="표준 4 4 3 2 5 2" xfId="23776" xr:uid="{00000000-0005-0000-0000-0000D95C0000}"/>
    <cellStyle name="표준 4 4 3 2 5 2 2" xfId="23777" xr:uid="{00000000-0005-0000-0000-0000DA5C0000}"/>
    <cellStyle name="표준 4 4 3 2 5 3" xfId="23778" xr:uid="{00000000-0005-0000-0000-0000DB5C0000}"/>
    <cellStyle name="표준 4 4 3 2 6" xfId="23779" xr:uid="{00000000-0005-0000-0000-0000DC5C0000}"/>
    <cellStyle name="표준 4 4 3 2 6 2" xfId="23780" xr:uid="{00000000-0005-0000-0000-0000DD5C0000}"/>
    <cellStyle name="표준 4 4 3 2 7" xfId="23781" xr:uid="{00000000-0005-0000-0000-0000DE5C0000}"/>
    <cellStyle name="표준 4 4 3 2 8" xfId="23782" xr:uid="{00000000-0005-0000-0000-0000DF5C0000}"/>
    <cellStyle name="표준 4 4 3 3" xfId="23783" xr:uid="{00000000-0005-0000-0000-0000E05C0000}"/>
    <cellStyle name="표준 4 4 3 3 2" xfId="23784" xr:uid="{00000000-0005-0000-0000-0000E15C0000}"/>
    <cellStyle name="표준 4 4 3 3 2 2" xfId="23785" xr:uid="{00000000-0005-0000-0000-0000E25C0000}"/>
    <cellStyle name="표준 4 4 3 3 2 2 2" xfId="23786" xr:uid="{00000000-0005-0000-0000-0000E35C0000}"/>
    <cellStyle name="표준 4 4 3 3 2 2 2 2" xfId="23787" xr:uid="{00000000-0005-0000-0000-0000E45C0000}"/>
    <cellStyle name="표준 4 4 3 3 2 2 2 2 2" xfId="23788" xr:uid="{00000000-0005-0000-0000-0000E55C0000}"/>
    <cellStyle name="표준 4 4 3 3 2 2 2 3" xfId="23789" xr:uid="{00000000-0005-0000-0000-0000E65C0000}"/>
    <cellStyle name="표준 4 4 3 3 2 2 3" xfId="23790" xr:uid="{00000000-0005-0000-0000-0000E75C0000}"/>
    <cellStyle name="표준 4 4 3 3 2 2 3 2" xfId="23791" xr:uid="{00000000-0005-0000-0000-0000E85C0000}"/>
    <cellStyle name="표준 4 4 3 3 2 2 4" xfId="23792" xr:uid="{00000000-0005-0000-0000-0000E95C0000}"/>
    <cellStyle name="표준 4 4 3 3 2 3" xfId="23793" xr:uid="{00000000-0005-0000-0000-0000EA5C0000}"/>
    <cellStyle name="표준 4 4 3 3 2 3 2" xfId="23794" xr:uid="{00000000-0005-0000-0000-0000EB5C0000}"/>
    <cellStyle name="표준 4 4 3 3 2 3 2 2" xfId="23795" xr:uid="{00000000-0005-0000-0000-0000EC5C0000}"/>
    <cellStyle name="표준 4 4 3 3 2 3 3" xfId="23796" xr:uid="{00000000-0005-0000-0000-0000ED5C0000}"/>
    <cellStyle name="표준 4 4 3 3 2 4" xfId="23797" xr:uid="{00000000-0005-0000-0000-0000EE5C0000}"/>
    <cellStyle name="표준 4 4 3 3 2 4 2" xfId="23798" xr:uid="{00000000-0005-0000-0000-0000EF5C0000}"/>
    <cellStyle name="표준 4 4 3 3 2 5" xfId="23799" xr:uid="{00000000-0005-0000-0000-0000F05C0000}"/>
    <cellStyle name="표준 4 4 3 3 3" xfId="23800" xr:uid="{00000000-0005-0000-0000-0000F15C0000}"/>
    <cellStyle name="표준 4 4 3 3 3 2" xfId="23801" xr:uid="{00000000-0005-0000-0000-0000F25C0000}"/>
    <cellStyle name="표준 4 4 3 3 3 2 2" xfId="23802" xr:uid="{00000000-0005-0000-0000-0000F35C0000}"/>
    <cellStyle name="표준 4 4 3 3 3 2 2 2" xfId="23803" xr:uid="{00000000-0005-0000-0000-0000F45C0000}"/>
    <cellStyle name="표준 4 4 3 3 3 2 3" xfId="23804" xr:uid="{00000000-0005-0000-0000-0000F55C0000}"/>
    <cellStyle name="표준 4 4 3 3 3 3" xfId="23805" xr:uid="{00000000-0005-0000-0000-0000F65C0000}"/>
    <cellStyle name="표준 4 4 3 3 3 3 2" xfId="23806" xr:uid="{00000000-0005-0000-0000-0000F75C0000}"/>
    <cellStyle name="표준 4 4 3 3 3 4" xfId="23807" xr:uid="{00000000-0005-0000-0000-0000F85C0000}"/>
    <cellStyle name="표준 4 4 3 3 4" xfId="23808" xr:uid="{00000000-0005-0000-0000-0000F95C0000}"/>
    <cellStyle name="표준 4 4 3 3 4 2" xfId="23809" xr:uid="{00000000-0005-0000-0000-0000FA5C0000}"/>
    <cellStyle name="표준 4 4 3 3 4 2 2" xfId="23810" xr:uid="{00000000-0005-0000-0000-0000FB5C0000}"/>
    <cellStyle name="표준 4 4 3 3 4 3" xfId="23811" xr:uid="{00000000-0005-0000-0000-0000FC5C0000}"/>
    <cellStyle name="표준 4 4 3 3 5" xfId="23812" xr:uid="{00000000-0005-0000-0000-0000FD5C0000}"/>
    <cellStyle name="표준 4 4 3 3 5 2" xfId="23813" xr:uid="{00000000-0005-0000-0000-0000FE5C0000}"/>
    <cellStyle name="표준 4 4 3 3 6" xfId="23814" xr:uid="{00000000-0005-0000-0000-0000FF5C0000}"/>
    <cellStyle name="표준 4 4 3 4" xfId="23815" xr:uid="{00000000-0005-0000-0000-0000005D0000}"/>
    <cellStyle name="표준 4 4 3 4 2" xfId="23816" xr:uid="{00000000-0005-0000-0000-0000015D0000}"/>
    <cellStyle name="표준 4 4 3 4 2 2" xfId="23817" xr:uid="{00000000-0005-0000-0000-0000025D0000}"/>
    <cellStyle name="표준 4 4 3 4 2 2 2" xfId="23818" xr:uid="{00000000-0005-0000-0000-0000035D0000}"/>
    <cellStyle name="표준 4 4 3 4 2 2 2 2" xfId="23819" xr:uid="{00000000-0005-0000-0000-0000045D0000}"/>
    <cellStyle name="표준 4 4 3 4 2 2 3" xfId="23820" xr:uid="{00000000-0005-0000-0000-0000055D0000}"/>
    <cellStyle name="표준 4 4 3 4 2 3" xfId="23821" xr:uid="{00000000-0005-0000-0000-0000065D0000}"/>
    <cellStyle name="표준 4 4 3 4 2 3 2" xfId="23822" xr:uid="{00000000-0005-0000-0000-0000075D0000}"/>
    <cellStyle name="표준 4 4 3 4 2 4" xfId="23823" xr:uid="{00000000-0005-0000-0000-0000085D0000}"/>
    <cellStyle name="표준 4 4 3 4 3" xfId="23824" xr:uid="{00000000-0005-0000-0000-0000095D0000}"/>
    <cellStyle name="표준 4 4 3 4 3 2" xfId="23825" xr:uid="{00000000-0005-0000-0000-00000A5D0000}"/>
    <cellStyle name="표준 4 4 3 4 3 2 2" xfId="23826" xr:uid="{00000000-0005-0000-0000-00000B5D0000}"/>
    <cellStyle name="표준 4 4 3 4 3 3" xfId="23827" xr:uid="{00000000-0005-0000-0000-00000C5D0000}"/>
    <cellStyle name="표준 4 4 3 4 4" xfId="23828" xr:uid="{00000000-0005-0000-0000-00000D5D0000}"/>
    <cellStyle name="표준 4 4 3 4 4 2" xfId="23829" xr:uid="{00000000-0005-0000-0000-00000E5D0000}"/>
    <cellStyle name="표준 4 4 3 4 5" xfId="23830" xr:uid="{00000000-0005-0000-0000-00000F5D0000}"/>
    <cellStyle name="표준 4 4 3 5" xfId="23831" xr:uid="{00000000-0005-0000-0000-0000105D0000}"/>
    <cellStyle name="표준 4 4 3 5 2" xfId="23832" xr:uid="{00000000-0005-0000-0000-0000115D0000}"/>
    <cellStyle name="표준 4 4 3 5 2 2" xfId="23833" xr:uid="{00000000-0005-0000-0000-0000125D0000}"/>
    <cellStyle name="표준 4 4 3 5 2 2 2" xfId="23834" xr:uid="{00000000-0005-0000-0000-0000135D0000}"/>
    <cellStyle name="표준 4 4 3 5 2 3" xfId="23835" xr:uid="{00000000-0005-0000-0000-0000145D0000}"/>
    <cellStyle name="표준 4 4 3 5 3" xfId="23836" xr:uid="{00000000-0005-0000-0000-0000155D0000}"/>
    <cellStyle name="표준 4 4 3 5 3 2" xfId="23837" xr:uid="{00000000-0005-0000-0000-0000165D0000}"/>
    <cellStyle name="표준 4 4 3 5 4" xfId="23838" xr:uid="{00000000-0005-0000-0000-0000175D0000}"/>
    <cellStyle name="표준 4 4 3 6" xfId="23839" xr:uid="{00000000-0005-0000-0000-0000185D0000}"/>
    <cellStyle name="표준 4 4 3 6 2" xfId="23840" xr:uid="{00000000-0005-0000-0000-0000195D0000}"/>
    <cellStyle name="표준 4 4 3 6 2 2" xfId="23841" xr:uid="{00000000-0005-0000-0000-00001A5D0000}"/>
    <cellStyle name="표준 4 4 3 6 3" xfId="23842" xr:uid="{00000000-0005-0000-0000-00001B5D0000}"/>
    <cellStyle name="표준 4 4 3 7" xfId="23843" xr:uid="{00000000-0005-0000-0000-00001C5D0000}"/>
    <cellStyle name="표준 4 4 3 7 2" xfId="23844" xr:uid="{00000000-0005-0000-0000-00001D5D0000}"/>
    <cellStyle name="표준 4 4 3 8" xfId="23845" xr:uid="{00000000-0005-0000-0000-00001E5D0000}"/>
    <cellStyle name="표준 4 4 3 9" xfId="23846" xr:uid="{00000000-0005-0000-0000-00001F5D0000}"/>
    <cellStyle name="표준 4 4 4" xfId="23847" xr:uid="{00000000-0005-0000-0000-0000205D0000}"/>
    <cellStyle name="표준 4 4 4 2" xfId="23848" xr:uid="{00000000-0005-0000-0000-0000215D0000}"/>
    <cellStyle name="표준 4 4 4 2 2" xfId="23849" xr:uid="{00000000-0005-0000-0000-0000225D0000}"/>
    <cellStyle name="표준 4 4 4 2 2 2" xfId="23850" xr:uid="{00000000-0005-0000-0000-0000235D0000}"/>
    <cellStyle name="표준 4 4 4 2 2 2 2" xfId="23851" xr:uid="{00000000-0005-0000-0000-0000245D0000}"/>
    <cellStyle name="표준 4 4 4 2 2 2 2 2" xfId="23852" xr:uid="{00000000-0005-0000-0000-0000255D0000}"/>
    <cellStyle name="표준 4 4 4 2 2 2 2 2 2" xfId="23853" xr:uid="{00000000-0005-0000-0000-0000265D0000}"/>
    <cellStyle name="표준 4 4 4 2 2 2 2 3" xfId="23854" xr:uid="{00000000-0005-0000-0000-0000275D0000}"/>
    <cellStyle name="표준 4 4 4 2 2 2 3" xfId="23855" xr:uid="{00000000-0005-0000-0000-0000285D0000}"/>
    <cellStyle name="표준 4 4 4 2 2 2 3 2" xfId="23856" xr:uid="{00000000-0005-0000-0000-0000295D0000}"/>
    <cellStyle name="표준 4 4 4 2 2 2 4" xfId="23857" xr:uid="{00000000-0005-0000-0000-00002A5D0000}"/>
    <cellStyle name="표준 4 4 4 2 2 3" xfId="23858" xr:uid="{00000000-0005-0000-0000-00002B5D0000}"/>
    <cellStyle name="표준 4 4 4 2 2 3 2" xfId="23859" xr:uid="{00000000-0005-0000-0000-00002C5D0000}"/>
    <cellStyle name="표준 4 4 4 2 2 3 2 2" xfId="23860" xr:uid="{00000000-0005-0000-0000-00002D5D0000}"/>
    <cellStyle name="표준 4 4 4 2 2 3 3" xfId="23861" xr:uid="{00000000-0005-0000-0000-00002E5D0000}"/>
    <cellStyle name="표준 4 4 4 2 2 4" xfId="23862" xr:uid="{00000000-0005-0000-0000-00002F5D0000}"/>
    <cellStyle name="표준 4 4 4 2 2 4 2" xfId="23863" xr:uid="{00000000-0005-0000-0000-0000305D0000}"/>
    <cellStyle name="표준 4 4 4 2 2 5" xfId="23864" xr:uid="{00000000-0005-0000-0000-0000315D0000}"/>
    <cellStyle name="표준 4 4 4 2 3" xfId="23865" xr:uid="{00000000-0005-0000-0000-0000325D0000}"/>
    <cellStyle name="표준 4 4 4 2 3 2" xfId="23866" xr:uid="{00000000-0005-0000-0000-0000335D0000}"/>
    <cellStyle name="표준 4 4 4 2 3 2 2" xfId="23867" xr:uid="{00000000-0005-0000-0000-0000345D0000}"/>
    <cellStyle name="표준 4 4 4 2 3 2 2 2" xfId="23868" xr:uid="{00000000-0005-0000-0000-0000355D0000}"/>
    <cellStyle name="표준 4 4 4 2 3 2 3" xfId="23869" xr:uid="{00000000-0005-0000-0000-0000365D0000}"/>
    <cellStyle name="표준 4 4 4 2 3 3" xfId="23870" xr:uid="{00000000-0005-0000-0000-0000375D0000}"/>
    <cellStyle name="표준 4 4 4 2 3 3 2" xfId="23871" xr:uid="{00000000-0005-0000-0000-0000385D0000}"/>
    <cellStyle name="표준 4 4 4 2 3 4" xfId="23872" xr:uid="{00000000-0005-0000-0000-0000395D0000}"/>
    <cellStyle name="표준 4 4 4 2 4" xfId="23873" xr:uid="{00000000-0005-0000-0000-00003A5D0000}"/>
    <cellStyle name="표준 4 4 4 2 4 2" xfId="23874" xr:uid="{00000000-0005-0000-0000-00003B5D0000}"/>
    <cellStyle name="표준 4 4 4 2 4 2 2" xfId="23875" xr:uid="{00000000-0005-0000-0000-00003C5D0000}"/>
    <cellStyle name="표준 4 4 4 2 4 3" xfId="23876" xr:uid="{00000000-0005-0000-0000-00003D5D0000}"/>
    <cellStyle name="표준 4 4 4 2 5" xfId="23877" xr:uid="{00000000-0005-0000-0000-00003E5D0000}"/>
    <cellStyle name="표준 4 4 4 2 5 2" xfId="23878" xr:uid="{00000000-0005-0000-0000-00003F5D0000}"/>
    <cellStyle name="표준 4 4 4 2 6" xfId="23879" xr:uid="{00000000-0005-0000-0000-0000405D0000}"/>
    <cellStyle name="표준 4 4 4 3" xfId="23880" xr:uid="{00000000-0005-0000-0000-0000415D0000}"/>
    <cellStyle name="표준 4 4 4 3 2" xfId="23881" xr:uid="{00000000-0005-0000-0000-0000425D0000}"/>
    <cellStyle name="표준 4 4 4 3 2 2" xfId="23882" xr:uid="{00000000-0005-0000-0000-0000435D0000}"/>
    <cellStyle name="표준 4 4 4 3 2 2 2" xfId="23883" xr:uid="{00000000-0005-0000-0000-0000445D0000}"/>
    <cellStyle name="표준 4 4 4 3 2 2 2 2" xfId="23884" xr:uid="{00000000-0005-0000-0000-0000455D0000}"/>
    <cellStyle name="표준 4 4 4 3 2 2 3" xfId="23885" xr:uid="{00000000-0005-0000-0000-0000465D0000}"/>
    <cellStyle name="표준 4 4 4 3 2 3" xfId="23886" xr:uid="{00000000-0005-0000-0000-0000475D0000}"/>
    <cellStyle name="표준 4 4 4 3 2 3 2" xfId="23887" xr:uid="{00000000-0005-0000-0000-0000485D0000}"/>
    <cellStyle name="표준 4 4 4 3 2 4" xfId="23888" xr:uid="{00000000-0005-0000-0000-0000495D0000}"/>
    <cellStyle name="표준 4 4 4 3 3" xfId="23889" xr:uid="{00000000-0005-0000-0000-00004A5D0000}"/>
    <cellStyle name="표준 4 4 4 3 3 2" xfId="23890" xr:uid="{00000000-0005-0000-0000-00004B5D0000}"/>
    <cellStyle name="표준 4 4 4 3 3 2 2" xfId="23891" xr:uid="{00000000-0005-0000-0000-00004C5D0000}"/>
    <cellStyle name="표준 4 4 4 3 3 3" xfId="23892" xr:uid="{00000000-0005-0000-0000-00004D5D0000}"/>
    <cellStyle name="표준 4 4 4 3 4" xfId="23893" xr:uid="{00000000-0005-0000-0000-00004E5D0000}"/>
    <cellStyle name="표준 4 4 4 3 4 2" xfId="23894" xr:uid="{00000000-0005-0000-0000-00004F5D0000}"/>
    <cellStyle name="표준 4 4 4 3 5" xfId="23895" xr:uid="{00000000-0005-0000-0000-0000505D0000}"/>
    <cellStyle name="표준 4 4 4 4" xfId="23896" xr:uid="{00000000-0005-0000-0000-0000515D0000}"/>
    <cellStyle name="표준 4 4 4 4 2" xfId="23897" xr:uid="{00000000-0005-0000-0000-0000525D0000}"/>
    <cellStyle name="표준 4 4 4 4 2 2" xfId="23898" xr:uid="{00000000-0005-0000-0000-0000535D0000}"/>
    <cellStyle name="표준 4 4 4 4 2 2 2" xfId="23899" xr:uid="{00000000-0005-0000-0000-0000545D0000}"/>
    <cellStyle name="표준 4 4 4 4 2 3" xfId="23900" xr:uid="{00000000-0005-0000-0000-0000555D0000}"/>
    <cellStyle name="표준 4 4 4 4 3" xfId="23901" xr:uid="{00000000-0005-0000-0000-0000565D0000}"/>
    <cellStyle name="표준 4 4 4 4 3 2" xfId="23902" xr:uid="{00000000-0005-0000-0000-0000575D0000}"/>
    <cellStyle name="표준 4 4 4 4 4" xfId="23903" xr:uid="{00000000-0005-0000-0000-0000585D0000}"/>
    <cellStyle name="표준 4 4 4 5" xfId="23904" xr:uid="{00000000-0005-0000-0000-0000595D0000}"/>
    <cellStyle name="표준 4 4 4 5 2" xfId="23905" xr:uid="{00000000-0005-0000-0000-00005A5D0000}"/>
    <cellStyle name="표준 4 4 4 5 2 2" xfId="23906" xr:uid="{00000000-0005-0000-0000-00005B5D0000}"/>
    <cellStyle name="표준 4 4 4 5 3" xfId="23907" xr:uid="{00000000-0005-0000-0000-00005C5D0000}"/>
    <cellStyle name="표준 4 4 4 6" xfId="23908" xr:uid="{00000000-0005-0000-0000-00005D5D0000}"/>
    <cellStyle name="표준 4 4 4 6 2" xfId="23909" xr:uid="{00000000-0005-0000-0000-00005E5D0000}"/>
    <cellStyle name="표준 4 4 4 7" xfId="23910" xr:uid="{00000000-0005-0000-0000-00005F5D0000}"/>
    <cellStyle name="표준 4 4 4 8" xfId="23911" xr:uid="{00000000-0005-0000-0000-0000605D0000}"/>
    <cellStyle name="표준 4 4 5" xfId="23912" xr:uid="{00000000-0005-0000-0000-0000615D0000}"/>
    <cellStyle name="표준 4 4 5 2" xfId="23913" xr:uid="{00000000-0005-0000-0000-0000625D0000}"/>
    <cellStyle name="표준 4 4 5 2 2" xfId="23914" xr:uid="{00000000-0005-0000-0000-0000635D0000}"/>
    <cellStyle name="표준 4 4 5 2 2 2" xfId="23915" xr:uid="{00000000-0005-0000-0000-0000645D0000}"/>
    <cellStyle name="표준 4 4 5 2 2 2 2" xfId="23916" xr:uid="{00000000-0005-0000-0000-0000655D0000}"/>
    <cellStyle name="표준 4 4 5 2 2 2 2 2" xfId="23917" xr:uid="{00000000-0005-0000-0000-0000665D0000}"/>
    <cellStyle name="표준 4 4 5 2 2 2 3" xfId="23918" xr:uid="{00000000-0005-0000-0000-0000675D0000}"/>
    <cellStyle name="표준 4 4 5 2 2 3" xfId="23919" xr:uid="{00000000-0005-0000-0000-0000685D0000}"/>
    <cellStyle name="표준 4 4 5 2 2 3 2" xfId="23920" xr:uid="{00000000-0005-0000-0000-0000695D0000}"/>
    <cellStyle name="표준 4 4 5 2 2 4" xfId="23921" xr:uid="{00000000-0005-0000-0000-00006A5D0000}"/>
    <cellStyle name="표준 4 4 5 2 3" xfId="23922" xr:uid="{00000000-0005-0000-0000-00006B5D0000}"/>
    <cellStyle name="표준 4 4 5 2 3 2" xfId="23923" xr:uid="{00000000-0005-0000-0000-00006C5D0000}"/>
    <cellStyle name="표준 4 4 5 2 3 2 2" xfId="23924" xr:uid="{00000000-0005-0000-0000-00006D5D0000}"/>
    <cellStyle name="표준 4 4 5 2 3 3" xfId="23925" xr:uid="{00000000-0005-0000-0000-00006E5D0000}"/>
    <cellStyle name="표준 4 4 5 2 4" xfId="23926" xr:uid="{00000000-0005-0000-0000-00006F5D0000}"/>
    <cellStyle name="표준 4 4 5 2 4 2" xfId="23927" xr:uid="{00000000-0005-0000-0000-0000705D0000}"/>
    <cellStyle name="표준 4 4 5 2 5" xfId="23928" xr:uid="{00000000-0005-0000-0000-0000715D0000}"/>
    <cellStyle name="표준 4 4 5 3" xfId="23929" xr:uid="{00000000-0005-0000-0000-0000725D0000}"/>
    <cellStyle name="표준 4 4 5 3 2" xfId="23930" xr:uid="{00000000-0005-0000-0000-0000735D0000}"/>
    <cellStyle name="표준 4 4 5 3 2 2" xfId="23931" xr:uid="{00000000-0005-0000-0000-0000745D0000}"/>
    <cellStyle name="표준 4 4 5 3 2 2 2" xfId="23932" xr:uid="{00000000-0005-0000-0000-0000755D0000}"/>
    <cellStyle name="표준 4 4 5 3 2 3" xfId="23933" xr:uid="{00000000-0005-0000-0000-0000765D0000}"/>
    <cellStyle name="표준 4 4 5 3 3" xfId="23934" xr:uid="{00000000-0005-0000-0000-0000775D0000}"/>
    <cellStyle name="표준 4 4 5 3 3 2" xfId="23935" xr:uid="{00000000-0005-0000-0000-0000785D0000}"/>
    <cellStyle name="표준 4 4 5 3 4" xfId="23936" xr:uid="{00000000-0005-0000-0000-0000795D0000}"/>
    <cellStyle name="표준 4 4 5 4" xfId="23937" xr:uid="{00000000-0005-0000-0000-00007A5D0000}"/>
    <cellStyle name="표준 4 4 5 4 2" xfId="23938" xr:uid="{00000000-0005-0000-0000-00007B5D0000}"/>
    <cellStyle name="표준 4 4 5 4 2 2" xfId="23939" xr:uid="{00000000-0005-0000-0000-00007C5D0000}"/>
    <cellStyle name="표준 4 4 5 4 3" xfId="23940" xr:uid="{00000000-0005-0000-0000-00007D5D0000}"/>
    <cellStyle name="표준 4 4 5 5" xfId="23941" xr:uid="{00000000-0005-0000-0000-00007E5D0000}"/>
    <cellStyle name="표준 4 4 5 5 2" xfId="23942" xr:uid="{00000000-0005-0000-0000-00007F5D0000}"/>
    <cellStyle name="표준 4 4 5 6" xfId="23943" xr:uid="{00000000-0005-0000-0000-0000805D0000}"/>
    <cellStyle name="표준 4 4 6" xfId="23944" xr:uid="{00000000-0005-0000-0000-0000815D0000}"/>
    <cellStyle name="표준 4 4 6 2" xfId="23945" xr:uid="{00000000-0005-0000-0000-0000825D0000}"/>
    <cellStyle name="표준 4 4 6 2 2" xfId="23946" xr:uid="{00000000-0005-0000-0000-0000835D0000}"/>
    <cellStyle name="표준 4 4 6 2 2 2" xfId="23947" xr:uid="{00000000-0005-0000-0000-0000845D0000}"/>
    <cellStyle name="표준 4 4 6 2 2 2 2" xfId="23948" xr:uid="{00000000-0005-0000-0000-0000855D0000}"/>
    <cellStyle name="표준 4 4 6 2 2 3" xfId="23949" xr:uid="{00000000-0005-0000-0000-0000865D0000}"/>
    <cellStyle name="표준 4 4 6 2 3" xfId="23950" xr:uid="{00000000-0005-0000-0000-0000875D0000}"/>
    <cellStyle name="표준 4 4 6 2 3 2" xfId="23951" xr:uid="{00000000-0005-0000-0000-0000885D0000}"/>
    <cellStyle name="표준 4 4 6 2 4" xfId="23952" xr:uid="{00000000-0005-0000-0000-0000895D0000}"/>
    <cellStyle name="표준 4 4 6 3" xfId="23953" xr:uid="{00000000-0005-0000-0000-00008A5D0000}"/>
    <cellStyle name="표준 4 4 6 3 2" xfId="23954" xr:uid="{00000000-0005-0000-0000-00008B5D0000}"/>
    <cellStyle name="표준 4 4 6 3 2 2" xfId="23955" xr:uid="{00000000-0005-0000-0000-00008C5D0000}"/>
    <cellStyle name="표준 4 4 6 3 3" xfId="23956" xr:uid="{00000000-0005-0000-0000-00008D5D0000}"/>
    <cellStyle name="표준 4 4 6 4" xfId="23957" xr:uid="{00000000-0005-0000-0000-00008E5D0000}"/>
    <cellStyle name="표준 4 4 6 4 2" xfId="23958" xr:uid="{00000000-0005-0000-0000-00008F5D0000}"/>
    <cellStyle name="표준 4 4 6 5" xfId="23959" xr:uid="{00000000-0005-0000-0000-0000905D0000}"/>
    <cellStyle name="표준 4 4 7" xfId="23960" xr:uid="{00000000-0005-0000-0000-0000915D0000}"/>
    <cellStyle name="표준 4 4 7 2" xfId="23961" xr:uid="{00000000-0005-0000-0000-0000925D0000}"/>
    <cellStyle name="표준 4 4 7 2 2" xfId="23962" xr:uid="{00000000-0005-0000-0000-0000935D0000}"/>
    <cellStyle name="표준 4 4 7 2 2 2" xfId="23963" xr:uid="{00000000-0005-0000-0000-0000945D0000}"/>
    <cellStyle name="표준 4 4 7 2 3" xfId="23964" xr:uid="{00000000-0005-0000-0000-0000955D0000}"/>
    <cellStyle name="표준 4 4 7 3" xfId="23965" xr:uid="{00000000-0005-0000-0000-0000965D0000}"/>
    <cellStyle name="표준 4 4 7 3 2" xfId="23966" xr:uid="{00000000-0005-0000-0000-0000975D0000}"/>
    <cellStyle name="표준 4 4 7 4" xfId="23967" xr:uid="{00000000-0005-0000-0000-0000985D0000}"/>
    <cellStyle name="표준 4 4 8" xfId="23968" xr:uid="{00000000-0005-0000-0000-0000995D0000}"/>
    <cellStyle name="표준 4 4 8 2" xfId="23969" xr:uid="{00000000-0005-0000-0000-00009A5D0000}"/>
    <cellStyle name="표준 4 4 8 2 2" xfId="23970" xr:uid="{00000000-0005-0000-0000-00009B5D0000}"/>
    <cellStyle name="표준 4 4 8 3" xfId="23971" xr:uid="{00000000-0005-0000-0000-00009C5D0000}"/>
    <cellStyle name="표준 4 4 9" xfId="23972" xr:uid="{00000000-0005-0000-0000-00009D5D0000}"/>
    <cellStyle name="표준 4 4 9 2" xfId="23973" xr:uid="{00000000-0005-0000-0000-00009E5D0000}"/>
    <cellStyle name="표준 4 5" xfId="23974" xr:uid="{00000000-0005-0000-0000-00009F5D0000}"/>
    <cellStyle name="표준 4 5 10" xfId="23975" xr:uid="{00000000-0005-0000-0000-0000A05D0000}"/>
    <cellStyle name="표준 4 5 2" xfId="23976" xr:uid="{00000000-0005-0000-0000-0000A15D0000}"/>
    <cellStyle name="표준 4 5 2 2" xfId="23977" xr:uid="{00000000-0005-0000-0000-0000A25D0000}"/>
    <cellStyle name="표준 4 5 2 2 2" xfId="23978" xr:uid="{00000000-0005-0000-0000-0000A35D0000}"/>
    <cellStyle name="표준 4 5 2 2 2 2" xfId="23979" xr:uid="{00000000-0005-0000-0000-0000A45D0000}"/>
    <cellStyle name="표준 4 5 2 2 2 2 2" xfId="23980" xr:uid="{00000000-0005-0000-0000-0000A55D0000}"/>
    <cellStyle name="표준 4 5 2 2 2 2 2 2" xfId="23981" xr:uid="{00000000-0005-0000-0000-0000A65D0000}"/>
    <cellStyle name="표준 4 5 2 2 2 2 2 2 2" xfId="23982" xr:uid="{00000000-0005-0000-0000-0000A75D0000}"/>
    <cellStyle name="표준 4 5 2 2 2 2 2 2 2 2" xfId="23983" xr:uid="{00000000-0005-0000-0000-0000A85D0000}"/>
    <cellStyle name="표준 4 5 2 2 2 2 2 2 3" xfId="23984" xr:uid="{00000000-0005-0000-0000-0000A95D0000}"/>
    <cellStyle name="표준 4 5 2 2 2 2 2 3" xfId="23985" xr:uid="{00000000-0005-0000-0000-0000AA5D0000}"/>
    <cellStyle name="표준 4 5 2 2 2 2 2 3 2" xfId="23986" xr:uid="{00000000-0005-0000-0000-0000AB5D0000}"/>
    <cellStyle name="표준 4 5 2 2 2 2 2 4" xfId="23987" xr:uid="{00000000-0005-0000-0000-0000AC5D0000}"/>
    <cellStyle name="표준 4 5 2 2 2 2 3" xfId="23988" xr:uid="{00000000-0005-0000-0000-0000AD5D0000}"/>
    <cellStyle name="표준 4 5 2 2 2 2 3 2" xfId="23989" xr:uid="{00000000-0005-0000-0000-0000AE5D0000}"/>
    <cellStyle name="표준 4 5 2 2 2 2 3 2 2" xfId="23990" xr:uid="{00000000-0005-0000-0000-0000AF5D0000}"/>
    <cellStyle name="표준 4 5 2 2 2 2 3 3" xfId="23991" xr:uid="{00000000-0005-0000-0000-0000B05D0000}"/>
    <cellStyle name="표준 4 5 2 2 2 2 4" xfId="23992" xr:uid="{00000000-0005-0000-0000-0000B15D0000}"/>
    <cellStyle name="표준 4 5 2 2 2 2 4 2" xfId="23993" xr:uid="{00000000-0005-0000-0000-0000B25D0000}"/>
    <cellStyle name="표준 4 5 2 2 2 2 5" xfId="23994" xr:uid="{00000000-0005-0000-0000-0000B35D0000}"/>
    <cellStyle name="표준 4 5 2 2 2 3" xfId="23995" xr:uid="{00000000-0005-0000-0000-0000B45D0000}"/>
    <cellStyle name="표준 4 5 2 2 2 3 2" xfId="23996" xr:uid="{00000000-0005-0000-0000-0000B55D0000}"/>
    <cellStyle name="표준 4 5 2 2 2 3 2 2" xfId="23997" xr:uid="{00000000-0005-0000-0000-0000B65D0000}"/>
    <cellStyle name="표준 4 5 2 2 2 3 2 2 2" xfId="23998" xr:uid="{00000000-0005-0000-0000-0000B75D0000}"/>
    <cellStyle name="표준 4 5 2 2 2 3 2 3" xfId="23999" xr:uid="{00000000-0005-0000-0000-0000B85D0000}"/>
    <cellStyle name="표준 4 5 2 2 2 3 3" xfId="24000" xr:uid="{00000000-0005-0000-0000-0000B95D0000}"/>
    <cellStyle name="표준 4 5 2 2 2 3 3 2" xfId="24001" xr:uid="{00000000-0005-0000-0000-0000BA5D0000}"/>
    <cellStyle name="표준 4 5 2 2 2 3 4" xfId="24002" xr:uid="{00000000-0005-0000-0000-0000BB5D0000}"/>
    <cellStyle name="표준 4 5 2 2 2 4" xfId="24003" xr:uid="{00000000-0005-0000-0000-0000BC5D0000}"/>
    <cellStyle name="표준 4 5 2 2 2 4 2" xfId="24004" xr:uid="{00000000-0005-0000-0000-0000BD5D0000}"/>
    <cellStyle name="표준 4 5 2 2 2 4 2 2" xfId="24005" xr:uid="{00000000-0005-0000-0000-0000BE5D0000}"/>
    <cellStyle name="표준 4 5 2 2 2 4 3" xfId="24006" xr:uid="{00000000-0005-0000-0000-0000BF5D0000}"/>
    <cellStyle name="표준 4 5 2 2 2 5" xfId="24007" xr:uid="{00000000-0005-0000-0000-0000C05D0000}"/>
    <cellStyle name="표준 4 5 2 2 2 5 2" xfId="24008" xr:uid="{00000000-0005-0000-0000-0000C15D0000}"/>
    <cellStyle name="표준 4 5 2 2 2 6" xfId="24009" xr:uid="{00000000-0005-0000-0000-0000C25D0000}"/>
    <cellStyle name="표준 4 5 2 2 3" xfId="24010" xr:uid="{00000000-0005-0000-0000-0000C35D0000}"/>
    <cellStyle name="표준 4 5 2 2 3 2" xfId="24011" xr:uid="{00000000-0005-0000-0000-0000C45D0000}"/>
    <cellStyle name="표준 4 5 2 2 3 2 2" xfId="24012" xr:uid="{00000000-0005-0000-0000-0000C55D0000}"/>
    <cellStyle name="표준 4 5 2 2 3 2 2 2" xfId="24013" xr:uid="{00000000-0005-0000-0000-0000C65D0000}"/>
    <cellStyle name="표준 4 5 2 2 3 2 2 2 2" xfId="24014" xr:uid="{00000000-0005-0000-0000-0000C75D0000}"/>
    <cellStyle name="표준 4 5 2 2 3 2 2 3" xfId="24015" xr:uid="{00000000-0005-0000-0000-0000C85D0000}"/>
    <cellStyle name="표준 4 5 2 2 3 2 3" xfId="24016" xr:uid="{00000000-0005-0000-0000-0000C95D0000}"/>
    <cellStyle name="표준 4 5 2 2 3 2 3 2" xfId="24017" xr:uid="{00000000-0005-0000-0000-0000CA5D0000}"/>
    <cellStyle name="표준 4 5 2 2 3 2 4" xfId="24018" xr:uid="{00000000-0005-0000-0000-0000CB5D0000}"/>
    <cellStyle name="표준 4 5 2 2 3 3" xfId="24019" xr:uid="{00000000-0005-0000-0000-0000CC5D0000}"/>
    <cellStyle name="표준 4 5 2 2 3 3 2" xfId="24020" xr:uid="{00000000-0005-0000-0000-0000CD5D0000}"/>
    <cellStyle name="표준 4 5 2 2 3 3 2 2" xfId="24021" xr:uid="{00000000-0005-0000-0000-0000CE5D0000}"/>
    <cellStyle name="표준 4 5 2 2 3 3 3" xfId="24022" xr:uid="{00000000-0005-0000-0000-0000CF5D0000}"/>
    <cellStyle name="표준 4 5 2 2 3 4" xfId="24023" xr:uid="{00000000-0005-0000-0000-0000D05D0000}"/>
    <cellStyle name="표준 4 5 2 2 3 4 2" xfId="24024" xr:uid="{00000000-0005-0000-0000-0000D15D0000}"/>
    <cellStyle name="표준 4 5 2 2 3 5" xfId="24025" xr:uid="{00000000-0005-0000-0000-0000D25D0000}"/>
    <cellStyle name="표준 4 5 2 2 4" xfId="24026" xr:uid="{00000000-0005-0000-0000-0000D35D0000}"/>
    <cellStyle name="표준 4 5 2 2 4 2" xfId="24027" xr:uid="{00000000-0005-0000-0000-0000D45D0000}"/>
    <cellStyle name="표준 4 5 2 2 4 2 2" xfId="24028" xr:uid="{00000000-0005-0000-0000-0000D55D0000}"/>
    <cellStyle name="표준 4 5 2 2 4 2 2 2" xfId="24029" xr:uid="{00000000-0005-0000-0000-0000D65D0000}"/>
    <cellStyle name="표준 4 5 2 2 4 2 3" xfId="24030" xr:uid="{00000000-0005-0000-0000-0000D75D0000}"/>
    <cellStyle name="표준 4 5 2 2 4 3" xfId="24031" xr:uid="{00000000-0005-0000-0000-0000D85D0000}"/>
    <cellStyle name="표준 4 5 2 2 4 3 2" xfId="24032" xr:uid="{00000000-0005-0000-0000-0000D95D0000}"/>
    <cellStyle name="표준 4 5 2 2 4 4" xfId="24033" xr:uid="{00000000-0005-0000-0000-0000DA5D0000}"/>
    <cellStyle name="표준 4 5 2 2 5" xfId="24034" xr:uid="{00000000-0005-0000-0000-0000DB5D0000}"/>
    <cellStyle name="표준 4 5 2 2 5 2" xfId="24035" xr:uid="{00000000-0005-0000-0000-0000DC5D0000}"/>
    <cellStyle name="표준 4 5 2 2 5 2 2" xfId="24036" xr:uid="{00000000-0005-0000-0000-0000DD5D0000}"/>
    <cellStyle name="표준 4 5 2 2 5 3" xfId="24037" xr:uid="{00000000-0005-0000-0000-0000DE5D0000}"/>
    <cellStyle name="표준 4 5 2 2 6" xfId="24038" xr:uid="{00000000-0005-0000-0000-0000DF5D0000}"/>
    <cellStyle name="표준 4 5 2 2 6 2" xfId="24039" xr:uid="{00000000-0005-0000-0000-0000E05D0000}"/>
    <cellStyle name="표준 4 5 2 2 7" xfId="24040" xr:uid="{00000000-0005-0000-0000-0000E15D0000}"/>
    <cellStyle name="표준 4 5 2 2 8" xfId="24041" xr:uid="{00000000-0005-0000-0000-0000E25D0000}"/>
    <cellStyle name="표준 4 5 2 3" xfId="24042" xr:uid="{00000000-0005-0000-0000-0000E35D0000}"/>
    <cellStyle name="표준 4 5 2 3 2" xfId="24043" xr:uid="{00000000-0005-0000-0000-0000E45D0000}"/>
    <cellStyle name="표준 4 5 2 3 2 2" xfId="24044" xr:uid="{00000000-0005-0000-0000-0000E55D0000}"/>
    <cellStyle name="표준 4 5 2 3 2 2 2" xfId="24045" xr:uid="{00000000-0005-0000-0000-0000E65D0000}"/>
    <cellStyle name="표준 4 5 2 3 2 2 2 2" xfId="24046" xr:uid="{00000000-0005-0000-0000-0000E75D0000}"/>
    <cellStyle name="표준 4 5 2 3 2 2 2 2 2" xfId="24047" xr:uid="{00000000-0005-0000-0000-0000E85D0000}"/>
    <cellStyle name="표준 4 5 2 3 2 2 2 3" xfId="24048" xr:uid="{00000000-0005-0000-0000-0000E95D0000}"/>
    <cellStyle name="표준 4 5 2 3 2 2 3" xfId="24049" xr:uid="{00000000-0005-0000-0000-0000EA5D0000}"/>
    <cellStyle name="표준 4 5 2 3 2 2 3 2" xfId="24050" xr:uid="{00000000-0005-0000-0000-0000EB5D0000}"/>
    <cellStyle name="표준 4 5 2 3 2 2 4" xfId="24051" xr:uid="{00000000-0005-0000-0000-0000EC5D0000}"/>
    <cellStyle name="표준 4 5 2 3 2 3" xfId="24052" xr:uid="{00000000-0005-0000-0000-0000ED5D0000}"/>
    <cellStyle name="표준 4 5 2 3 2 3 2" xfId="24053" xr:uid="{00000000-0005-0000-0000-0000EE5D0000}"/>
    <cellStyle name="표준 4 5 2 3 2 3 2 2" xfId="24054" xr:uid="{00000000-0005-0000-0000-0000EF5D0000}"/>
    <cellStyle name="표준 4 5 2 3 2 3 3" xfId="24055" xr:uid="{00000000-0005-0000-0000-0000F05D0000}"/>
    <cellStyle name="표준 4 5 2 3 2 4" xfId="24056" xr:uid="{00000000-0005-0000-0000-0000F15D0000}"/>
    <cellStyle name="표준 4 5 2 3 2 4 2" xfId="24057" xr:uid="{00000000-0005-0000-0000-0000F25D0000}"/>
    <cellStyle name="표준 4 5 2 3 2 5" xfId="24058" xr:uid="{00000000-0005-0000-0000-0000F35D0000}"/>
    <cellStyle name="표준 4 5 2 3 3" xfId="24059" xr:uid="{00000000-0005-0000-0000-0000F45D0000}"/>
    <cellStyle name="표준 4 5 2 3 3 2" xfId="24060" xr:uid="{00000000-0005-0000-0000-0000F55D0000}"/>
    <cellStyle name="표준 4 5 2 3 3 2 2" xfId="24061" xr:uid="{00000000-0005-0000-0000-0000F65D0000}"/>
    <cellStyle name="표준 4 5 2 3 3 2 2 2" xfId="24062" xr:uid="{00000000-0005-0000-0000-0000F75D0000}"/>
    <cellStyle name="표준 4 5 2 3 3 2 3" xfId="24063" xr:uid="{00000000-0005-0000-0000-0000F85D0000}"/>
    <cellStyle name="표준 4 5 2 3 3 3" xfId="24064" xr:uid="{00000000-0005-0000-0000-0000F95D0000}"/>
    <cellStyle name="표준 4 5 2 3 3 3 2" xfId="24065" xr:uid="{00000000-0005-0000-0000-0000FA5D0000}"/>
    <cellStyle name="표준 4 5 2 3 3 4" xfId="24066" xr:uid="{00000000-0005-0000-0000-0000FB5D0000}"/>
    <cellStyle name="표준 4 5 2 3 4" xfId="24067" xr:uid="{00000000-0005-0000-0000-0000FC5D0000}"/>
    <cellStyle name="표준 4 5 2 3 4 2" xfId="24068" xr:uid="{00000000-0005-0000-0000-0000FD5D0000}"/>
    <cellStyle name="표준 4 5 2 3 4 2 2" xfId="24069" xr:uid="{00000000-0005-0000-0000-0000FE5D0000}"/>
    <cellStyle name="표준 4 5 2 3 4 3" xfId="24070" xr:uid="{00000000-0005-0000-0000-0000FF5D0000}"/>
    <cellStyle name="표준 4 5 2 3 5" xfId="24071" xr:uid="{00000000-0005-0000-0000-0000005E0000}"/>
    <cellStyle name="표준 4 5 2 3 5 2" xfId="24072" xr:uid="{00000000-0005-0000-0000-0000015E0000}"/>
    <cellStyle name="표준 4 5 2 3 6" xfId="24073" xr:uid="{00000000-0005-0000-0000-0000025E0000}"/>
    <cellStyle name="표준 4 5 2 4" xfId="24074" xr:uid="{00000000-0005-0000-0000-0000035E0000}"/>
    <cellStyle name="표준 4 5 2 4 2" xfId="24075" xr:uid="{00000000-0005-0000-0000-0000045E0000}"/>
    <cellStyle name="표준 4 5 2 4 2 2" xfId="24076" xr:uid="{00000000-0005-0000-0000-0000055E0000}"/>
    <cellStyle name="표준 4 5 2 4 2 2 2" xfId="24077" xr:uid="{00000000-0005-0000-0000-0000065E0000}"/>
    <cellStyle name="표준 4 5 2 4 2 2 2 2" xfId="24078" xr:uid="{00000000-0005-0000-0000-0000075E0000}"/>
    <cellStyle name="표준 4 5 2 4 2 2 3" xfId="24079" xr:uid="{00000000-0005-0000-0000-0000085E0000}"/>
    <cellStyle name="표준 4 5 2 4 2 3" xfId="24080" xr:uid="{00000000-0005-0000-0000-0000095E0000}"/>
    <cellStyle name="표준 4 5 2 4 2 3 2" xfId="24081" xr:uid="{00000000-0005-0000-0000-00000A5E0000}"/>
    <cellStyle name="표준 4 5 2 4 2 4" xfId="24082" xr:uid="{00000000-0005-0000-0000-00000B5E0000}"/>
    <cellStyle name="표준 4 5 2 4 3" xfId="24083" xr:uid="{00000000-0005-0000-0000-00000C5E0000}"/>
    <cellStyle name="표준 4 5 2 4 3 2" xfId="24084" xr:uid="{00000000-0005-0000-0000-00000D5E0000}"/>
    <cellStyle name="표준 4 5 2 4 3 2 2" xfId="24085" xr:uid="{00000000-0005-0000-0000-00000E5E0000}"/>
    <cellStyle name="표준 4 5 2 4 3 3" xfId="24086" xr:uid="{00000000-0005-0000-0000-00000F5E0000}"/>
    <cellStyle name="표준 4 5 2 4 4" xfId="24087" xr:uid="{00000000-0005-0000-0000-0000105E0000}"/>
    <cellStyle name="표준 4 5 2 4 4 2" xfId="24088" xr:uid="{00000000-0005-0000-0000-0000115E0000}"/>
    <cellStyle name="표준 4 5 2 4 5" xfId="24089" xr:uid="{00000000-0005-0000-0000-0000125E0000}"/>
    <cellStyle name="표준 4 5 2 5" xfId="24090" xr:uid="{00000000-0005-0000-0000-0000135E0000}"/>
    <cellStyle name="표준 4 5 2 5 2" xfId="24091" xr:uid="{00000000-0005-0000-0000-0000145E0000}"/>
    <cellStyle name="표준 4 5 2 5 2 2" xfId="24092" xr:uid="{00000000-0005-0000-0000-0000155E0000}"/>
    <cellStyle name="표준 4 5 2 5 2 2 2" xfId="24093" xr:uid="{00000000-0005-0000-0000-0000165E0000}"/>
    <cellStyle name="표준 4 5 2 5 2 3" xfId="24094" xr:uid="{00000000-0005-0000-0000-0000175E0000}"/>
    <cellStyle name="표준 4 5 2 5 3" xfId="24095" xr:uid="{00000000-0005-0000-0000-0000185E0000}"/>
    <cellStyle name="표준 4 5 2 5 3 2" xfId="24096" xr:uid="{00000000-0005-0000-0000-0000195E0000}"/>
    <cellStyle name="표준 4 5 2 5 4" xfId="24097" xr:uid="{00000000-0005-0000-0000-00001A5E0000}"/>
    <cellStyle name="표준 4 5 2 6" xfId="24098" xr:uid="{00000000-0005-0000-0000-00001B5E0000}"/>
    <cellStyle name="표준 4 5 2 6 2" xfId="24099" xr:uid="{00000000-0005-0000-0000-00001C5E0000}"/>
    <cellStyle name="표준 4 5 2 6 2 2" xfId="24100" xr:uid="{00000000-0005-0000-0000-00001D5E0000}"/>
    <cellStyle name="표준 4 5 2 6 3" xfId="24101" xr:uid="{00000000-0005-0000-0000-00001E5E0000}"/>
    <cellStyle name="표준 4 5 2 7" xfId="24102" xr:uid="{00000000-0005-0000-0000-00001F5E0000}"/>
    <cellStyle name="표준 4 5 2 7 2" xfId="24103" xr:uid="{00000000-0005-0000-0000-0000205E0000}"/>
    <cellStyle name="표준 4 5 2 8" xfId="24104" xr:uid="{00000000-0005-0000-0000-0000215E0000}"/>
    <cellStyle name="표준 4 5 2 9" xfId="24105" xr:uid="{00000000-0005-0000-0000-0000225E0000}"/>
    <cellStyle name="표준 4 5 3" xfId="24106" xr:uid="{00000000-0005-0000-0000-0000235E0000}"/>
    <cellStyle name="표준 4 5 3 2" xfId="24107" xr:uid="{00000000-0005-0000-0000-0000245E0000}"/>
    <cellStyle name="표준 4 5 3 2 2" xfId="24108" xr:uid="{00000000-0005-0000-0000-0000255E0000}"/>
    <cellStyle name="표준 4 5 3 2 2 2" xfId="24109" xr:uid="{00000000-0005-0000-0000-0000265E0000}"/>
    <cellStyle name="표준 4 5 3 2 2 2 2" xfId="24110" xr:uid="{00000000-0005-0000-0000-0000275E0000}"/>
    <cellStyle name="표준 4 5 3 2 2 2 2 2" xfId="24111" xr:uid="{00000000-0005-0000-0000-0000285E0000}"/>
    <cellStyle name="표준 4 5 3 2 2 2 2 2 2" xfId="24112" xr:uid="{00000000-0005-0000-0000-0000295E0000}"/>
    <cellStyle name="표준 4 5 3 2 2 2 2 3" xfId="24113" xr:uid="{00000000-0005-0000-0000-00002A5E0000}"/>
    <cellStyle name="표준 4 5 3 2 2 2 3" xfId="24114" xr:uid="{00000000-0005-0000-0000-00002B5E0000}"/>
    <cellStyle name="표준 4 5 3 2 2 2 3 2" xfId="24115" xr:uid="{00000000-0005-0000-0000-00002C5E0000}"/>
    <cellStyle name="표준 4 5 3 2 2 2 4" xfId="24116" xr:uid="{00000000-0005-0000-0000-00002D5E0000}"/>
    <cellStyle name="표준 4 5 3 2 2 3" xfId="24117" xr:uid="{00000000-0005-0000-0000-00002E5E0000}"/>
    <cellStyle name="표준 4 5 3 2 2 3 2" xfId="24118" xr:uid="{00000000-0005-0000-0000-00002F5E0000}"/>
    <cellStyle name="표준 4 5 3 2 2 3 2 2" xfId="24119" xr:uid="{00000000-0005-0000-0000-0000305E0000}"/>
    <cellStyle name="표준 4 5 3 2 2 3 3" xfId="24120" xr:uid="{00000000-0005-0000-0000-0000315E0000}"/>
    <cellStyle name="표준 4 5 3 2 2 4" xfId="24121" xr:uid="{00000000-0005-0000-0000-0000325E0000}"/>
    <cellStyle name="표준 4 5 3 2 2 4 2" xfId="24122" xr:uid="{00000000-0005-0000-0000-0000335E0000}"/>
    <cellStyle name="표준 4 5 3 2 2 5" xfId="24123" xr:uid="{00000000-0005-0000-0000-0000345E0000}"/>
    <cellStyle name="표준 4 5 3 2 3" xfId="24124" xr:uid="{00000000-0005-0000-0000-0000355E0000}"/>
    <cellStyle name="표준 4 5 3 2 3 2" xfId="24125" xr:uid="{00000000-0005-0000-0000-0000365E0000}"/>
    <cellStyle name="표준 4 5 3 2 3 2 2" xfId="24126" xr:uid="{00000000-0005-0000-0000-0000375E0000}"/>
    <cellStyle name="표준 4 5 3 2 3 2 2 2" xfId="24127" xr:uid="{00000000-0005-0000-0000-0000385E0000}"/>
    <cellStyle name="표준 4 5 3 2 3 2 3" xfId="24128" xr:uid="{00000000-0005-0000-0000-0000395E0000}"/>
    <cellStyle name="표준 4 5 3 2 3 3" xfId="24129" xr:uid="{00000000-0005-0000-0000-00003A5E0000}"/>
    <cellStyle name="표준 4 5 3 2 3 3 2" xfId="24130" xr:uid="{00000000-0005-0000-0000-00003B5E0000}"/>
    <cellStyle name="표준 4 5 3 2 3 4" xfId="24131" xr:uid="{00000000-0005-0000-0000-00003C5E0000}"/>
    <cellStyle name="표준 4 5 3 2 4" xfId="24132" xr:uid="{00000000-0005-0000-0000-00003D5E0000}"/>
    <cellStyle name="표준 4 5 3 2 4 2" xfId="24133" xr:uid="{00000000-0005-0000-0000-00003E5E0000}"/>
    <cellStyle name="표준 4 5 3 2 4 2 2" xfId="24134" xr:uid="{00000000-0005-0000-0000-00003F5E0000}"/>
    <cellStyle name="표준 4 5 3 2 4 3" xfId="24135" xr:uid="{00000000-0005-0000-0000-0000405E0000}"/>
    <cellStyle name="표준 4 5 3 2 5" xfId="24136" xr:uid="{00000000-0005-0000-0000-0000415E0000}"/>
    <cellStyle name="표준 4 5 3 2 5 2" xfId="24137" xr:uid="{00000000-0005-0000-0000-0000425E0000}"/>
    <cellStyle name="표준 4 5 3 2 6" xfId="24138" xr:uid="{00000000-0005-0000-0000-0000435E0000}"/>
    <cellStyle name="표준 4 5 3 3" xfId="24139" xr:uid="{00000000-0005-0000-0000-0000445E0000}"/>
    <cellStyle name="표준 4 5 3 3 2" xfId="24140" xr:uid="{00000000-0005-0000-0000-0000455E0000}"/>
    <cellStyle name="표준 4 5 3 3 2 2" xfId="24141" xr:uid="{00000000-0005-0000-0000-0000465E0000}"/>
    <cellStyle name="표준 4 5 3 3 2 2 2" xfId="24142" xr:uid="{00000000-0005-0000-0000-0000475E0000}"/>
    <cellStyle name="표준 4 5 3 3 2 2 2 2" xfId="24143" xr:uid="{00000000-0005-0000-0000-0000485E0000}"/>
    <cellStyle name="표준 4 5 3 3 2 2 3" xfId="24144" xr:uid="{00000000-0005-0000-0000-0000495E0000}"/>
    <cellStyle name="표준 4 5 3 3 2 3" xfId="24145" xr:uid="{00000000-0005-0000-0000-00004A5E0000}"/>
    <cellStyle name="표준 4 5 3 3 2 3 2" xfId="24146" xr:uid="{00000000-0005-0000-0000-00004B5E0000}"/>
    <cellStyle name="표준 4 5 3 3 2 4" xfId="24147" xr:uid="{00000000-0005-0000-0000-00004C5E0000}"/>
    <cellStyle name="표준 4 5 3 3 3" xfId="24148" xr:uid="{00000000-0005-0000-0000-00004D5E0000}"/>
    <cellStyle name="표준 4 5 3 3 3 2" xfId="24149" xr:uid="{00000000-0005-0000-0000-00004E5E0000}"/>
    <cellStyle name="표준 4 5 3 3 3 2 2" xfId="24150" xr:uid="{00000000-0005-0000-0000-00004F5E0000}"/>
    <cellStyle name="표준 4 5 3 3 3 3" xfId="24151" xr:uid="{00000000-0005-0000-0000-0000505E0000}"/>
    <cellStyle name="표준 4 5 3 3 4" xfId="24152" xr:uid="{00000000-0005-0000-0000-0000515E0000}"/>
    <cellStyle name="표준 4 5 3 3 4 2" xfId="24153" xr:uid="{00000000-0005-0000-0000-0000525E0000}"/>
    <cellStyle name="표준 4 5 3 3 5" xfId="24154" xr:uid="{00000000-0005-0000-0000-0000535E0000}"/>
    <cellStyle name="표준 4 5 3 4" xfId="24155" xr:uid="{00000000-0005-0000-0000-0000545E0000}"/>
    <cellStyle name="표준 4 5 3 4 2" xfId="24156" xr:uid="{00000000-0005-0000-0000-0000555E0000}"/>
    <cellStyle name="표준 4 5 3 4 2 2" xfId="24157" xr:uid="{00000000-0005-0000-0000-0000565E0000}"/>
    <cellStyle name="표준 4 5 3 4 2 2 2" xfId="24158" xr:uid="{00000000-0005-0000-0000-0000575E0000}"/>
    <cellStyle name="표준 4 5 3 4 2 3" xfId="24159" xr:uid="{00000000-0005-0000-0000-0000585E0000}"/>
    <cellStyle name="표준 4 5 3 4 3" xfId="24160" xr:uid="{00000000-0005-0000-0000-0000595E0000}"/>
    <cellStyle name="표준 4 5 3 4 3 2" xfId="24161" xr:uid="{00000000-0005-0000-0000-00005A5E0000}"/>
    <cellStyle name="표준 4 5 3 4 4" xfId="24162" xr:uid="{00000000-0005-0000-0000-00005B5E0000}"/>
    <cellStyle name="표준 4 5 3 5" xfId="24163" xr:uid="{00000000-0005-0000-0000-00005C5E0000}"/>
    <cellStyle name="표준 4 5 3 5 2" xfId="24164" xr:uid="{00000000-0005-0000-0000-00005D5E0000}"/>
    <cellStyle name="표준 4 5 3 5 2 2" xfId="24165" xr:uid="{00000000-0005-0000-0000-00005E5E0000}"/>
    <cellStyle name="표준 4 5 3 5 3" xfId="24166" xr:uid="{00000000-0005-0000-0000-00005F5E0000}"/>
    <cellStyle name="표준 4 5 3 6" xfId="24167" xr:uid="{00000000-0005-0000-0000-0000605E0000}"/>
    <cellStyle name="표준 4 5 3 6 2" xfId="24168" xr:uid="{00000000-0005-0000-0000-0000615E0000}"/>
    <cellStyle name="표준 4 5 3 7" xfId="24169" xr:uid="{00000000-0005-0000-0000-0000625E0000}"/>
    <cellStyle name="표준 4 5 3 8" xfId="24170" xr:uid="{00000000-0005-0000-0000-0000635E0000}"/>
    <cellStyle name="표준 4 5 4" xfId="24171" xr:uid="{00000000-0005-0000-0000-0000645E0000}"/>
    <cellStyle name="표준 4 5 4 2" xfId="24172" xr:uid="{00000000-0005-0000-0000-0000655E0000}"/>
    <cellStyle name="표준 4 5 4 2 2" xfId="24173" xr:uid="{00000000-0005-0000-0000-0000665E0000}"/>
    <cellStyle name="표준 4 5 4 2 2 2" xfId="24174" xr:uid="{00000000-0005-0000-0000-0000675E0000}"/>
    <cellStyle name="표준 4 5 4 2 2 2 2" xfId="24175" xr:uid="{00000000-0005-0000-0000-0000685E0000}"/>
    <cellStyle name="표준 4 5 4 2 2 2 2 2" xfId="24176" xr:uid="{00000000-0005-0000-0000-0000695E0000}"/>
    <cellStyle name="표준 4 5 4 2 2 2 3" xfId="24177" xr:uid="{00000000-0005-0000-0000-00006A5E0000}"/>
    <cellStyle name="표준 4 5 4 2 2 3" xfId="24178" xr:uid="{00000000-0005-0000-0000-00006B5E0000}"/>
    <cellStyle name="표준 4 5 4 2 2 3 2" xfId="24179" xr:uid="{00000000-0005-0000-0000-00006C5E0000}"/>
    <cellStyle name="표준 4 5 4 2 2 4" xfId="24180" xr:uid="{00000000-0005-0000-0000-00006D5E0000}"/>
    <cellStyle name="표준 4 5 4 2 3" xfId="24181" xr:uid="{00000000-0005-0000-0000-00006E5E0000}"/>
    <cellStyle name="표준 4 5 4 2 3 2" xfId="24182" xr:uid="{00000000-0005-0000-0000-00006F5E0000}"/>
    <cellStyle name="표준 4 5 4 2 3 2 2" xfId="24183" xr:uid="{00000000-0005-0000-0000-0000705E0000}"/>
    <cellStyle name="표준 4 5 4 2 3 3" xfId="24184" xr:uid="{00000000-0005-0000-0000-0000715E0000}"/>
    <cellStyle name="표준 4 5 4 2 4" xfId="24185" xr:uid="{00000000-0005-0000-0000-0000725E0000}"/>
    <cellStyle name="표준 4 5 4 2 4 2" xfId="24186" xr:uid="{00000000-0005-0000-0000-0000735E0000}"/>
    <cellStyle name="표준 4 5 4 2 5" xfId="24187" xr:uid="{00000000-0005-0000-0000-0000745E0000}"/>
    <cellStyle name="표준 4 5 4 3" xfId="24188" xr:uid="{00000000-0005-0000-0000-0000755E0000}"/>
    <cellStyle name="표준 4 5 4 3 2" xfId="24189" xr:uid="{00000000-0005-0000-0000-0000765E0000}"/>
    <cellStyle name="표준 4 5 4 3 2 2" xfId="24190" xr:uid="{00000000-0005-0000-0000-0000775E0000}"/>
    <cellStyle name="표준 4 5 4 3 2 2 2" xfId="24191" xr:uid="{00000000-0005-0000-0000-0000785E0000}"/>
    <cellStyle name="표준 4 5 4 3 2 3" xfId="24192" xr:uid="{00000000-0005-0000-0000-0000795E0000}"/>
    <cellStyle name="표준 4 5 4 3 3" xfId="24193" xr:uid="{00000000-0005-0000-0000-00007A5E0000}"/>
    <cellStyle name="표준 4 5 4 3 3 2" xfId="24194" xr:uid="{00000000-0005-0000-0000-00007B5E0000}"/>
    <cellStyle name="표준 4 5 4 3 4" xfId="24195" xr:uid="{00000000-0005-0000-0000-00007C5E0000}"/>
    <cellStyle name="표준 4 5 4 4" xfId="24196" xr:uid="{00000000-0005-0000-0000-00007D5E0000}"/>
    <cellStyle name="표준 4 5 4 4 2" xfId="24197" xr:uid="{00000000-0005-0000-0000-00007E5E0000}"/>
    <cellStyle name="표준 4 5 4 4 2 2" xfId="24198" xr:uid="{00000000-0005-0000-0000-00007F5E0000}"/>
    <cellStyle name="표준 4 5 4 4 3" xfId="24199" xr:uid="{00000000-0005-0000-0000-0000805E0000}"/>
    <cellStyle name="표준 4 5 4 5" xfId="24200" xr:uid="{00000000-0005-0000-0000-0000815E0000}"/>
    <cellStyle name="표준 4 5 4 5 2" xfId="24201" xr:uid="{00000000-0005-0000-0000-0000825E0000}"/>
    <cellStyle name="표준 4 5 4 6" xfId="24202" xr:uid="{00000000-0005-0000-0000-0000835E0000}"/>
    <cellStyle name="표준 4 5 5" xfId="24203" xr:uid="{00000000-0005-0000-0000-0000845E0000}"/>
    <cellStyle name="표준 4 5 5 2" xfId="24204" xr:uid="{00000000-0005-0000-0000-0000855E0000}"/>
    <cellStyle name="표준 4 5 5 2 2" xfId="24205" xr:uid="{00000000-0005-0000-0000-0000865E0000}"/>
    <cellStyle name="표준 4 5 5 2 2 2" xfId="24206" xr:uid="{00000000-0005-0000-0000-0000875E0000}"/>
    <cellStyle name="표준 4 5 5 2 2 2 2" xfId="24207" xr:uid="{00000000-0005-0000-0000-0000885E0000}"/>
    <cellStyle name="표준 4 5 5 2 2 3" xfId="24208" xr:uid="{00000000-0005-0000-0000-0000895E0000}"/>
    <cellStyle name="표준 4 5 5 2 3" xfId="24209" xr:uid="{00000000-0005-0000-0000-00008A5E0000}"/>
    <cellStyle name="표준 4 5 5 2 3 2" xfId="24210" xr:uid="{00000000-0005-0000-0000-00008B5E0000}"/>
    <cellStyle name="표준 4 5 5 2 4" xfId="24211" xr:uid="{00000000-0005-0000-0000-00008C5E0000}"/>
    <cellStyle name="표준 4 5 5 3" xfId="24212" xr:uid="{00000000-0005-0000-0000-00008D5E0000}"/>
    <cellStyle name="표준 4 5 5 3 2" xfId="24213" xr:uid="{00000000-0005-0000-0000-00008E5E0000}"/>
    <cellStyle name="표준 4 5 5 3 2 2" xfId="24214" xr:uid="{00000000-0005-0000-0000-00008F5E0000}"/>
    <cellStyle name="표준 4 5 5 3 3" xfId="24215" xr:uid="{00000000-0005-0000-0000-0000905E0000}"/>
    <cellStyle name="표준 4 5 5 4" xfId="24216" xr:uid="{00000000-0005-0000-0000-0000915E0000}"/>
    <cellStyle name="표준 4 5 5 4 2" xfId="24217" xr:uid="{00000000-0005-0000-0000-0000925E0000}"/>
    <cellStyle name="표준 4 5 5 5" xfId="24218" xr:uid="{00000000-0005-0000-0000-0000935E0000}"/>
    <cellStyle name="표준 4 5 6" xfId="24219" xr:uid="{00000000-0005-0000-0000-0000945E0000}"/>
    <cellStyle name="표준 4 5 6 2" xfId="24220" xr:uid="{00000000-0005-0000-0000-0000955E0000}"/>
    <cellStyle name="표준 4 5 6 2 2" xfId="24221" xr:uid="{00000000-0005-0000-0000-0000965E0000}"/>
    <cellStyle name="표준 4 5 6 2 2 2" xfId="24222" xr:uid="{00000000-0005-0000-0000-0000975E0000}"/>
    <cellStyle name="표준 4 5 6 2 3" xfId="24223" xr:uid="{00000000-0005-0000-0000-0000985E0000}"/>
    <cellStyle name="표준 4 5 6 3" xfId="24224" xr:uid="{00000000-0005-0000-0000-0000995E0000}"/>
    <cellStyle name="표준 4 5 6 3 2" xfId="24225" xr:uid="{00000000-0005-0000-0000-00009A5E0000}"/>
    <cellStyle name="표준 4 5 6 4" xfId="24226" xr:uid="{00000000-0005-0000-0000-00009B5E0000}"/>
    <cellStyle name="표준 4 5 7" xfId="24227" xr:uid="{00000000-0005-0000-0000-00009C5E0000}"/>
    <cellStyle name="표준 4 5 7 2" xfId="24228" xr:uid="{00000000-0005-0000-0000-00009D5E0000}"/>
    <cellStyle name="표준 4 5 7 2 2" xfId="24229" xr:uid="{00000000-0005-0000-0000-00009E5E0000}"/>
    <cellStyle name="표준 4 5 7 3" xfId="24230" xr:uid="{00000000-0005-0000-0000-00009F5E0000}"/>
    <cellStyle name="표준 4 5 8" xfId="24231" xr:uid="{00000000-0005-0000-0000-0000A05E0000}"/>
    <cellStyle name="표준 4 5 8 2" xfId="24232" xr:uid="{00000000-0005-0000-0000-0000A15E0000}"/>
    <cellStyle name="표준 4 5 9" xfId="24233" xr:uid="{00000000-0005-0000-0000-0000A25E0000}"/>
    <cellStyle name="표준 4 6" xfId="24234" xr:uid="{00000000-0005-0000-0000-0000A35E0000}"/>
    <cellStyle name="표준 4 6 2" xfId="24235" xr:uid="{00000000-0005-0000-0000-0000A45E0000}"/>
    <cellStyle name="표준 4 6 2 2" xfId="24236" xr:uid="{00000000-0005-0000-0000-0000A55E0000}"/>
    <cellStyle name="표준 4 6 2 2 2" xfId="24237" xr:uid="{00000000-0005-0000-0000-0000A65E0000}"/>
    <cellStyle name="표준 4 6 2 2 2 2" xfId="24238" xr:uid="{00000000-0005-0000-0000-0000A75E0000}"/>
    <cellStyle name="표준 4 6 2 2 2 2 2" xfId="24239" xr:uid="{00000000-0005-0000-0000-0000A85E0000}"/>
    <cellStyle name="표준 4 6 2 2 2 2 2 2" xfId="24240" xr:uid="{00000000-0005-0000-0000-0000A95E0000}"/>
    <cellStyle name="표준 4 6 2 2 2 2 2 2 2" xfId="24241" xr:uid="{00000000-0005-0000-0000-0000AA5E0000}"/>
    <cellStyle name="표준 4 6 2 2 2 2 2 3" xfId="24242" xr:uid="{00000000-0005-0000-0000-0000AB5E0000}"/>
    <cellStyle name="표준 4 6 2 2 2 2 3" xfId="24243" xr:uid="{00000000-0005-0000-0000-0000AC5E0000}"/>
    <cellStyle name="표준 4 6 2 2 2 2 3 2" xfId="24244" xr:uid="{00000000-0005-0000-0000-0000AD5E0000}"/>
    <cellStyle name="표준 4 6 2 2 2 2 4" xfId="24245" xr:uid="{00000000-0005-0000-0000-0000AE5E0000}"/>
    <cellStyle name="표준 4 6 2 2 2 3" xfId="24246" xr:uid="{00000000-0005-0000-0000-0000AF5E0000}"/>
    <cellStyle name="표준 4 6 2 2 2 3 2" xfId="24247" xr:uid="{00000000-0005-0000-0000-0000B05E0000}"/>
    <cellStyle name="표준 4 6 2 2 2 3 2 2" xfId="24248" xr:uid="{00000000-0005-0000-0000-0000B15E0000}"/>
    <cellStyle name="표준 4 6 2 2 2 3 3" xfId="24249" xr:uid="{00000000-0005-0000-0000-0000B25E0000}"/>
    <cellStyle name="표준 4 6 2 2 2 4" xfId="24250" xr:uid="{00000000-0005-0000-0000-0000B35E0000}"/>
    <cellStyle name="표준 4 6 2 2 2 4 2" xfId="24251" xr:uid="{00000000-0005-0000-0000-0000B45E0000}"/>
    <cellStyle name="표준 4 6 2 2 2 5" xfId="24252" xr:uid="{00000000-0005-0000-0000-0000B55E0000}"/>
    <cellStyle name="표준 4 6 2 2 3" xfId="24253" xr:uid="{00000000-0005-0000-0000-0000B65E0000}"/>
    <cellStyle name="표준 4 6 2 2 3 2" xfId="24254" xr:uid="{00000000-0005-0000-0000-0000B75E0000}"/>
    <cellStyle name="표준 4 6 2 2 3 2 2" xfId="24255" xr:uid="{00000000-0005-0000-0000-0000B85E0000}"/>
    <cellStyle name="표준 4 6 2 2 3 2 2 2" xfId="24256" xr:uid="{00000000-0005-0000-0000-0000B95E0000}"/>
    <cellStyle name="표준 4 6 2 2 3 2 3" xfId="24257" xr:uid="{00000000-0005-0000-0000-0000BA5E0000}"/>
    <cellStyle name="표준 4 6 2 2 3 3" xfId="24258" xr:uid="{00000000-0005-0000-0000-0000BB5E0000}"/>
    <cellStyle name="표준 4 6 2 2 3 3 2" xfId="24259" xr:uid="{00000000-0005-0000-0000-0000BC5E0000}"/>
    <cellStyle name="표준 4 6 2 2 3 4" xfId="24260" xr:uid="{00000000-0005-0000-0000-0000BD5E0000}"/>
    <cellStyle name="표준 4 6 2 2 4" xfId="24261" xr:uid="{00000000-0005-0000-0000-0000BE5E0000}"/>
    <cellStyle name="표준 4 6 2 2 4 2" xfId="24262" xr:uid="{00000000-0005-0000-0000-0000BF5E0000}"/>
    <cellStyle name="표준 4 6 2 2 4 2 2" xfId="24263" xr:uid="{00000000-0005-0000-0000-0000C05E0000}"/>
    <cellStyle name="표준 4 6 2 2 4 3" xfId="24264" xr:uid="{00000000-0005-0000-0000-0000C15E0000}"/>
    <cellStyle name="표준 4 6 2 2 5" xfId="24265" xr:uid="{00000000-0005-0000-0000-0000C25E0000}"/>
    <cellStyle name="표준 4 6 2 2 5 2" xfId="24266" xr:uid="{00000000-0005-0000-0000-0000C35E0000}"/>
    <cellStyle name="표준 4 6 2 2 6" xfId="24267" xr:uid="{00000000-0005-0000-0000-0000C45E0000}"/>
    <cellStyle name="표준 4 6 2 3" xfId="24268" xr:uid="{00000000-0005-0000-0000-0000C55E0000}"/>
    <cellStyle name="표준 4 6 2 3 2" xfId="24269" xr:uid="{00000000-0005-0000-0000-0000C65E0000}"/>
    <cellStyle name="표준 4 6 2 3 2 2" xfId="24270" xr:uid="{00000000-0005-0000-0000-0000C75E0000}"/>
    <cellStyle name="표준 4 6 2 3 2 2 2" xfId="24271" xr:uid="{00000000-0005-0000-0000-0000C85E0000}"/>
    <cellStyle name="표준 4 6 2 3 2 2 2 2" xfId="24272" xr:uid="{00000000-0005-0000-0000-0000C95E0000}"/>
    <cellStyle name="표준 4 6 2 3 2 2 3" xfId="24273" xr:uid="{00000000-0005-0000-0000-0000CA5E0000}"/>
    <cellStyle name="표준 4 6 2 3 2 3" xfId="24274" xr:uid="{00000000-0005-0000-0000-0000CB5E0000}"/>
    <cellStyle name="표준 4 6 2 3 2 3 2" xfId="24275" xr:uid="{00000000-0005-0000-0000-0000CC5E0000}"/>
    <cellStyle name="표준 4 6 2 3 2 4" xfId="24276" xr:uid="{00000000-0005-0000-0000-0000CD5E0000}"/>
    <cellStyle name="표준 4 6 2 3 3" xfId="24277" xr:uid="{00000000-0005-0000-0000-0000CE5E0000}"/>
    <cellStyle name="표준 4 6 2 3 3 2" xfId="24278" xr:uid="{00000000-0005-0000-0000-0000CF5E0000}"/>
    <cellStyle name="표준 4 6 2 3 3 2 2" xfId="24279" xr:uid="{00000000-0005-0000-0000-0000D05E0000}"/>
    <cellStyle name="표준 4 6 2 3 3 3" xfId="24280" xr:uid="{00000000-0005-0000-0000-0000D15E0000}"/>
    <cellStyle name="표준 4 6 2 3 4" xfId="24281" xr:uid="{00000000-0005-0000-0000-0000D25E0000}"/>
    <cellStyle name="표준 4 6 2 3 4 2" xfId="24282" xr:uid="{00000000-0005-0000-0000-0000D35E0000}"/>
    <cellStyle name="표준 4 6 2 3 5" xfId="24283" xr:uid="{00000000-0005-0000-0000-0000D45E0000}"/>
    <cellStyle name="표준 4 6 2 4" xfId="24284" xr:uid="{00000000-0005-0000-0000-0000D55E0000}"/>
    <cellStyle name="표준 4 6 2 4 2" xfId="24285" xr:uid="{00000000-0005-0000-0000-0000D65E0000}"/>
    <cellStyle name="표준 4 6 2 4 2 2" xfId="24286" xr:uid="{00000000-0005-0000-0000-0000D75E0000}"/>
    <cellStyle name="표준 4 6 2 4 2 2 2" xfId="24287" xr:uid="{00000000-0005-0000-0000-0000D85E0000}"/>
    <cellStyle name="표준 4 6 2 4 2 3" xfId="24288" xr:uid="{00000000-0005-0000-0000-0000D95E0000}"/>
    <cellStyle name="표준 4 6 2 4 3" xfId="24289" xr:uid="{00000000-0005-0000-0000-0000DA5E0000}"/>
    <cellStyle name="표준 4 6 2 4 3 2" xfId="24290" xr:uid="{00000000-0005-0000-0000-0000DB5E0000}"/>
    <cellStyle name="표준 4 6 2 4 4" xfId="24291" xr:uid="{00000000-0005-0000-0000-0000DC5E0000}"/>
    <cellStyle name="표준 4 6 2 5" xfId="24292" xr:uid="{00000000-0005-0000-0000-0000DD5E0000}"/>
    <cellStyle name="표준 4 6 2 5 2" xfId="24293" xr:uid="{00000000-0005-0000-0000-0000DE5E0000}"/>
    <cellStyle name="표준 4 6 2 5 2 2" xfId="24294" xr:uid="{00000000-0005-0000-0000-0000DF5E0000}"/>
    <cellStyle name="표준 4 6 2 5 3" xfId="24295" xr:uid="{00000000-0005-0000-0000-0000E05E0000}"/>
    <cellStyle name="표준 4 6 2 6" xfId="24296" xr:uid="{00000000-0005-0000-0000-0000E15E0000}"/>
    <cellStyle name="표준 4 6 2 6 2" xfId="24297" xr:uid="{00000000-0005-0000-0000-0000E25E0000}"/>
    <cellStyle name="표준 4 6 2 7" xfId="24298" xr:uid="{00000000-0005-0000-0000-0000E35E0000}"/>
    <cellStyle name="표준 4 6 2 8" xfId="24299" xr:uid="{00000000-0005-0000-0000-0000E45E0000}"/>
    <cellStyle name="표준 4 6 3" xfId="24300" xr:uid="{00000000-0005-0000-0000-0000E55E0000}"/>
    <cellStyle name="표준 4 6 3 2" xfId="24301" xr:uid="{00000000-0005-0000-0000-0000E65E0000}"/>
    <cellStyle name="표준 4 6 3 2 2" xfId="24302" xr:uid="{00000000-0005-0000-0000-0000E75E0000}"/>
    <cellStyle name="표준 4 6 3 2 2 2" xfId="24303" xr:uid="{00000000-0005-0000-0000-0000E85E0000}"/>
    <cellStyle name="표준 4 6 3 2 2 2 2" xfId="24304" xr:uid="{00000000-0005-0000-0000-0000E95E0000}"/>
    <cellStyle name="표준 4 6 3 2 2 2 2 2" xfId="24305" xr:uid="{00000000-0005-0000-0000-0000EA5E0000}"/>
    <cellStyle name="표준 4 6 3 2 2 2 3" xfId="24306" xr:uid="{00000000-0005-0000-0000-0000EB5E0000}"/>
    <cellStyle name="표준 4 6 3 2 2 3" xfId="24307" xr:uid="{00000000-0005-0000-0000-0000EC5E0000}"/>
    <cellStyle name="표준 4 6 3 2 2 3 2" xfId="24308" xr:uid="{00000000-0005-0000-0000-0000ED5E0000}"/>
    <cellStyle name="표준 4 6 3 2 2 4" xfId="24309" xr:uid="{00000000-0005-0000-0000-0000EE5E0000}"/>
    <cellStyle name="표준 4 6 3 2 3" xfId="24310" xr:uid="{00000000-0005-0000-0000-0000EF5E0000}"/>
    <cellStyle name="표준 4 6 3 2 3 2" xfId="24311" xr:uid="{00000000-0005-0000-0000-0000F05E0000}"/>
    <cellStyle name="표준 4 6 3 2 3 2 2" xfId="24312" xr:uid="{00000000-0005-0000-0000-0000F15E0000}"/>
    <cellStyle name="표준 4 6 3 2 3 3" xfId="24313" xr:uid="{00000000-0005-0000-0000-0000F25E0000}"/>
    <cellStyle name="표준 4 6 3 2 4" xfId="24314" xr:uid="{00000000-0005-0000-0000-0000F35E0000}"/>
    <cellStyle name="표준 4 6 3 2 4 2" xfId="24315" xr:uid="{00000000-0005-0000-0000-0000F45E0000}"/>
    <cellStyle name="표준 4 6 3 2 5" xfId="24316" xr:uid="{00000000-0005-0000-0000-0000F55E0000}"/>
    <cellStyle name="표준 4 6 3 3" xfId="24317" xr:uid="{00000000-0005-0000-0000-0000F65E0000}"/>
    <cellStyle name="표준 4 6 3 3 2" xfId="24318" xr:uid="{00000000-0005-0000-0000-0000F75E0000}"/>
    <cellStyle name="표준 4 6 3 3 2 2" xfId="24319" xr:uid="{00000000-0005-0000-0000-0000F85E0000}"/>
    <cellStyle name="표준 4 6 3 3 2 2 2" xfId="24320" xr:uid="{00000000-0005-0000-0000-0000F95E0000}"/>
    <cellStyle name="표준 4 6 3 3 2 3" xfId="24321" xr:uid="{00000000-0005-0000-0000-0000FA5E0000}"/>
    <cellStyle name="표준 4 6 3 3 3" xfId="24322" xr:uid="{00000000-0005-0000-0000-0000FB5E0000}"/>
    <cellStyle name="표준 4 6 3 3 3 2" xfId="24323" xr:uid="{00000000-0005-0000-0000-0000FC5E0000}"/>
    <cellStyle name="표준 4 6 3 3 4" xfId="24324" xr:uid="{00000000-0005-0000-0000-0000FD5E0000}"/>
    <cellStyle name="표준 4 6 3 4" xfId="24325" xr:uid="{00000000-0005-0000-0000-0000FE5E0000}"/>
    <cellStyle name="표준 4 6 3 4 2" xfId="24326" xr:uid="{00000000-0005-0000-0000-0000FF5E0000}"/>
    <cellStyle name="표준 4 6 3 4 2 2" xfId="24327" xr:uid="{00000000-0005-0000-0000-0000005F0000}"/>
    <cellStyle name="표준 4 6 3 4 3" xfId="24328" xr:uid="{00000000-0005-0000-0000-0000015F0000}"/>
    <cellStyle name="표준 4 6 3 5" xfId="24329" xr:uid="{00000000-0005-0000-0000-0000025F0000}"/>
    <cellStyle name="표준 4 6 3 5 2" xfId="24330" xr:uid="{00000000-0005-0000-0000-0000035F0000}"/>
    <cellStyle name="표준 4 6 3 6" xfId="24331" xr:uid="{00000000-0005-0000-0000-0000045F0000}"/>
    <cellStyle name="표준 4 6 4" xfId="24332" xr:uid="{00000000-0005-0000-0000-0000055F0000}"/>
    <cellStyle name="표준 4 6 4 2" xfId="24333" xr:uid="{00000000-0005-0000-0000-0000065F0000}"/>
    <cellStyle name="표준 4 6 4 2 2" xfId="24334" xr:uid="{00000000-0005-0000-0000-0000075F0000}"/>
    <cellStyle name="표준 4 6 4 2 2 2" xfId="24335" xr:uid="{00000000-0005-0000-0000-0000085F0000}"/>
    <cellStyle name="표준 4 6 4 2 2 2 2" xfId="24336" xr:uid="{00000000-0005-0000-0000-0000095F0000}"/>
    <cellStyle name="표준 4 6 4 2 2 3" xfId="24337" xr:uid="{00000000-0005-0000-0000-00000A5F0000}"/>
    <cellStyle name="표준 4 6 4 2 3" xfId="24338" xr:uid="{00000000-0005-0000-0000-00000B5F0000}"/>
    <cellStyle name="표준 4 6 4 2 3 2" xfId="24339" xr:uid="{00000000-0005-0000-0000-00000C5F0000}"/>
    <cellStyle name="표준 4 6 4 2 4" xfId="24340" xr:uid="{00000000-0005-0000-0000-00000D5F0000}"/>
    <cellStyle name="표준 4 6 4 3" xfId="24341" xr:uid="{00000000-0005-0000-0000-00000E5F0000}"/>
    <cellStyle name="표준 4 6 4 3 2" xfId="24342" xr:uid="{00000000-0005-0000-0000-00000F5F0000}"/>
    <cellStyle name="표준 4 6 4 3 2 2" xfId="24343" xr:uid="{00000000-0005-0000-0000-0000105F0000}"/>
    <cellStyle name="표준 4 6 4 3 3" xfId="24344" xr:uid="{00000000-0005-0000-0000-0000115F0000}"/>
    <cellStyle name="표준 4 6 4 4" xfId="24345" xr:uid="{00000000-0005-0000-0000-0000125F0000}"/>
    <cellStyle name="표준 4 6 4 4 2" xfId="24346" xr:uid="{00000000-0005-0000-0000-0000135F0000}"/>
    <cellStyle name="표준 4 6 4 5" xfId="24347" xr:uid="{00000000-0005-0000-0000-0000145F0000}"/>
    <cellStyle name="표준 4 6 5" xfId="24348" xr:uid="{00000000-0005-0000-0000-0000155F0000}"/>
    <cellStyle name="표준 4 6 5 2" xfId="24349" xr:uid="{00000000-0005-0000-0000-0000165F0000}"/>
    <cellStyle name="표준 4 6 5 2 2" xfId="24350" xr:uid="{00000000-0005-0000-0000-0000175F0000}"/>
    <cellStyle name="표준 4 6 5 2 2 2" xfId="24351" xr:uid="{00000000-0005-0000-0000-0000185F0000}"/>
    <cellStyle name="표준 4 6 5 2 3" xfId="24352" xr:uid="{00000000-0005-0000-0000-0000195F0000}"/>
    <cellStyle name="표준 4 6 5 3" xfId="24353" xr:uid="{00000000-0005-0000-0000-00001A5F0000}"/>
    <cellStyle name="표준 4 6 5 3 2" xfId="24354" xr:uid="{00000000-0005-0000-0000-00001B5F0000}"/>
    <cellStyle name="표준 4 6 5 4" xfId="24355" xr:uid="{00000000-0005-0000-0000-00001C5F0000}"/>
    <cellStyle name="표준 4 6 6" xfId="24356" xr:uid="{00000000-0005-0000-0000-00001D5F0000}"/>
    <cellStyle name="표준 4 6 6 2" xfId="24357" xr:uid="{00000000-0005-0000-0000-00001E5F0000}"/>
    <cellStyle name="표준 4 6 6 2 2" xfId="24358" xr:uid="{00000000-0005-0000-0000-00001F5F0000}"/>
    <cellStyle name="표준 4 6 6 3" xfId="24359" xr:uid="{00000000-0005-0000-0000-0000205F0000}"/>
    <cellStyle name="표준 4 6 7" xfId="24360" xr:uid="{00000000-0005-0000-0000-0000215F0000}"/>
    <cellStyle name="표준 4 6 7 2" xfId="24361" xr:uid="{00000000-0005-0000-0000-0000225F0000}"/>
    <cellStyle name="표준 4 6 8" xfId="24362" xr:uid="{00000000-0005-0000-0000-0000235F0000}"/>
    <cellStyle name="표준 4 6 9" xfId="24363" xr:uid="{00000000-0005-0000-0000-0000245F0000}"/>
    <cellStyle name="표준 4 7" xfId="24364" xr:uid="{00000000-0005-0000-0000-0000255F0000}"/>
    <cellStyle name="표준 4 7 2" xfId="24365" xr:uid="{00000000-0005-0000-0000-0000265F0000}"/>
    <cellStyle name="표준 4 7 2 2" xfId="24366" xr:uid="{00000000-0005-0000-0000-0000275F0000}"/>
    <cellStyle name="표준 4 7 2 2 2" xfId="24367" xr:uid="{00000000-0005-0000-0000-0000285F0000}"/>
    <cellStyle name="표준 4 7 2 2 2 2" xfId="24368" xr:uid="{00000000-0005-0000-0000-0000295F0000}"/>
    <cellStyle name="표준 4 7 2 2 2 2 2" xfId="24369" xr:uid="{00000000-0005-0000-0000-00002A5F0000}"/>
    <cellStyle name="표준 4 7 2 2 2 2 2 2" xfId="24370" xr:uid="{00000000-0005-0000-0000-00002B5F0000}"/>
    <cellStyle name="표준 4 7 2 2 2 2 3" xfId="24371" xr:uid="{00000000-0005-0000-0000-00002C5F0000}"/>
    <cellStyle name="표준 4 7 2 2 2 3" xfId="24372" xr:uid="{00000000-0005-0000-0000-00002D5F0000}"/>
    <cellStyle name="표준 4 7 2 2 2 3 2" xfId="24373" xr:uid="{00000000-0005-0000-0000-00002E5F0000}"/>
    <cellStyle name="표준 4 7 2 2 2 4" xfId="24374" xr:uid="{00000000-0005-0000-0000-00002F5F0000}"/>
    <cellStyle name="표준 4 7 2 2 3" xfId="24375" xr:uid="{00000000-0005-0000-0000-0000305F0000}"/>
    <cellStyle name="표준 4 7 2 2 3 2" xfId="24376" xr:uid="{00000000-0005-0000-0000-0000315F0000}"/>
    <cellStyle name="표준 4 7 2 2 3 2 2" xfId="24377" xr:uid="{00000000-0005-0000-0000-0000325F0000}"/>
    <cellStyle name="표준 4 7 2 2 3 3" xfId="24378" xr:uid="{00000000-0005-0000-0000-0000335F0000}"/>
    <cellStyle name="표준 4 7 2 2 4" xfId="24379" xr:uid="{00000000-0005-0000-0000-0000345F0000}"/>
    <cellStyle name="표준 4 7 2 2 4 2" xfId="24380" xr:uid="{00000000-0005-0000-0000-0000355F0000}"/>
    <cellStyle name="표준 4 7 2 2 5" xfId="24381" xr:uid="{00000000-0005-0000-0000-0000365F0000}"/>
    <cellStyle name="표준 4 7 2 3" xfId="24382" xr:uid="{00000000-0005-0000-0000-0000375F0000}"/>
    <cellStyle name="표준 4 7 2 3 2" xfId="24383" xr:uid="{00000000-0005-0000-0000-0000385F0000}"/>
    <cellStyle name="표준 4 7 2 3 2 2" xfId="24384" xr:uid="{00000000-0005-0000-0000-0000395F0000}"/>
    <cellStyle name="표준 4 7 2 3 2 2 2" xfId="24385" xr:uid="{00000000-0005-0000-0000-00003A5F0000}"/>
    <cellStyle name="표준 4 7 2 3 2 3" xfId="24386" xr:uid="{00000000-0005-0000-0000-00003B5F0000}"/>
    <cellStyle name="표준 4 7 2 3 3" xfId="24387" xr:uid="{00000000-0005-0000-0000-00003C5F0000}"/>
    <cellStyle name="표준 4 7 2 3 3 2" xfId="24388" xr:uid="{00000000-0005-0000-0000-00003D5F0000}"/>
    <cellStyle name="표준 4 7 2 3 4" xfId="24389" xr:uid="{00000000-0005-0000-0000-00003E5F0000}"/>
    <cellStyle name="표준 4 7 2 4" xfId="24390" xr:uid="{00000000-0005-0000-0000-00003F5F0000}"/>
    <cellStyle name="표준 4 7 2 4 2" xfId="24391" xr:uid="{00000000-0005-0000-0000-0000405F0000}"/>
    <cellStyle name="표준 4 7 2 4 2 2" xfId="24392" xr:uid="{00000000-0005-0000-0000-0000415F0000}"/>
    <cellStyle name="표준 4 7 2 4 3" xfId="24393" xr:uid="{00000000-0005-0000-0000-0000425F0000}"/>
    <cellStyle name="표준 4 7 2 5" xfId="24394" xr:uid="{00000000-0005-0000-0000-0000435F0000}"/>
    <cellStyle name="표준 4 7 2 5 2" xfId="24395" xr:uid="{00000000-0005-0000-0000-0000445F0000}"/>
    <cellStyle name="표준 4 7 2 6" xfId="24396" xr:uid="{00000000-0005-0000-0000-0000455F0000}"/>
    <cellStyle name="표준 4 7 3" xfId="24397" xr:uid="{00000000-0005-0000-0000-0000465F0000}"/>
    <cellStyle name="표준 4 7 3 2" xfId="24398" xr:uid="{00000000-0005-0000-0000-0000475F0000}"/>
    <cellStyle name="표준 4 7 3 2 2" xfId="24399" xr:uid="{00000000-0005-0000-0000-0000485F0000}"/>
    <cellStyle name="표준 4 7 3 2 2 2" xfId="24400" xr:uid="{00000000-0005-0000-0000-0000495F0000}"/>
    <cellStyle name="표준 4 7 3 2 2 2 2" xfId="24401" xr:uid="{00000000-0005-0000-0000-00004A5F0000}"/>
    <cellStyle name="표준 4 7 3 2 2 3" xfId="24402" xr:uid="{00000000-0005-0000-0000-00004B5F0000}"/>
    <cellStyle name="표준 4 7 3 2 3" xfId="24403" xr:uid="{00000000-0005-0000-0000-00004C5F0000}"/>
    <cellStyle name="표준 4 7 3 2 3 2" xfId="24404" xr:uid="{00000000-0005-0000-0000-00004D5F0000}"/>
    <cellStyle name="표준 4 7 3 2 4" xfId="24405" xr:uid="{00000000-0005-0000-0000-00004E5F0000}"/>
    <cellStyle name="표준 4 7 3 3" xfId="24406" xr:uid="{00000000-0005-0000-0000-00004F5F0000}"/>
    <cellStyle name="표준 4 7 3 3 2" xfId="24407" xr:uid="{00000000-0005-0000-0000-0000505F0000}"/>
    <cellStyle name="표준 4 7 3 3 2 2" xfId="24408" xr:uid="{00000000-0005-0000-0000-0000515F0000}"/>
    <cellStyle name="표준 4 7 3 3 3" xfId="24409" xr:uid="{00000000-0005-0000-0000-0000525F0000}"/>
    <cellStyle name="표준 4 7 3 4" xfId="24410" xr:uid="{00000000-0005-0000-0000-0000535F0000}"/>
    <cellStyle name="표준 4 7 3 4 2" xfId="24411" xr:uid="{00000000-0005-0000-0000-0000545F0000}"/>
    <cellStyle name="표준 4 7 3 5" xfId="24412" xr:uid="{00000000-0005-0000-0000-0000555F0000}"/>
    <cellStyle name="표준 4 7 4" xfId="24413" xr:uid="{00000000-0005-0000-0000-0000565F0000}"/>
    <cellStyle name="표준 4 7 4 2" xfId="24414" xr:uid="{00000000-0005-0000-0000-0000575F0000}"/>
    <cellStyle name="표준 4 7 4 2 2" xfId="24415" xr:uid="{00000000-0005-0000-0000-0000585F0000}"/>
    <cellStyle name="표준 4 7 4 2 2 2" xfId="24416" xr:uid="{00000000-0005-0000-0000-0000595F0000}"/>
    <cellStyle name="표준 4 7 4 2 3" xfId="24417" xr:uid="{00000000-0005-0000-0000-00005A5F0000}"/>
    <cellStyle name="표준 4 7 4 3" xfId="24418" xr:uid="{00000000-0005-0000-0000-00005B5F0000}"/>
    <cellStyle name="표준 4 7 4 3 2" xfId="24419" xr:uid="{00000000-0005-0000-0000-00005C5F0000}"/>
    <cellStyle name="표준 4 7 4 4" xfId="24420" xr:uid="{00000000-0005-0000-0000-00005D5F0000}"/>
    <cellStyle name="표준 4 7 5" xfId="24421" xr:uid="{00000000-0005-0000-0000-00005E5F0000}"/>
    <cellStyle name="표준 4 7 5 2" xfId="24422" xr:uid="{00000000-0005-0000-0000-00005F5F0000}"/>
    <cellStyle name="표준 4 7 5 2 2" xfId="24423" xr:uid="{00000000-0005-0000-0000-0000605F0000}"/>
    <cellStyle name="표준 4 7 5 3" xfId="24424" xr:uid="{00000000-0005-0000-0000-0000615F0000}"/>
    <cellStyle name="표준 4 7 6" xfId="24425" xr:uid="{00000000-0005-0000-0000-0000625F0000}"/>
    <cellStyle name="표준 4 7 6 2" xfId="24426" xr:uid="{00000000-0005-0000-0000-0000635F0000}"/>
    <cellStyle name="표준 4 7 7" xfId="24427" xr:uid="{00000000-0005-0000-0000-0000645F0000}"/>
    <cellStyle name="표준 4 7 8" xfId="24428" xr:uid="{00000000-0005-0000-0000-0000655F0000}"/>
    <cellStyle name="표준 4 8" xfId="24429" xr:uid="{00000000-0005-0000-0000-0000665F0000}"/>
    <cellStyle name="표준 4 8 2" xfId="24430" xr:uid="{00000000-0005-0000-0000-0000675F0000}"/>
    <cellStyle name="표준 4 8 2 2" xfId="24431" xr:uid="{00000000-0005-0000-0000-0000685F0000}"/>
    <cellStyle name="표준 4 8 2 2 2" xfId="24432" xr:uid="{00000000-0005-0000-0000-0000695F0000}"/>
    <cellStyle name="표준 4 8 2 2 2 2" xfId="24433" xr:uid="{00000000-0005-0000-0000-00006A5F0000}"/>
    <cellStyle name="표준 4 8 2 2 2 2 2" xfId="24434" xr:uid="{00000000-0005-0000-0000-00006B5F0000}"/>
    <cellStyle name="표준 4 8 2 2 2 3" xfId="24435" xr:uid="{00000000-0005-0000-0000-00006C5F0000}"/>
    <cellStyle name="표준 4 8 2 2 3" xfId="24436" xr:uid="{00000000-0005-0000-0000-00006D5F0000}"/>
    <cellStyle name="표준 4 8 2 2 3 2" xfId="24437" xr:uid="{00000000-0005-0000-0000-00006E5F0000}"/>
    <cellStyle name="표준 4 8 2 2 4" xfId="24438" xr:uid="{00000000-0005-0000-0000-00006F5F0000}"/>
    <cellStyle name="표준 4 8 2 3" xfId="24439" xr:uid="{00000000-0005-0000-0000-0000705F0000}"/>
    <cellStyle name="표준 4 8 2 3 2" xfId="24440" xr:uid="{00000000-0005-0000-0000-0000715F0000}"/>
    <cellStyle name="표준 4 8 2 3 2 2" xfId="24441" xr:uid="{00000000-0005-0000-0000-0000725F0000}"/>
    <cellStyle name="표준 4 8 2 3 3" xfId="24442" xr:uid="{00000000-0005-0000-0000-0000735F0000}"/>
    <cellStyle name="표준 4 8 2 4" xfId="24443" xr:uid="{00000000-0005-0000-0000-0000745F0000}"/>
    <cellStyle name="표준 4 8 2 4 2" xfId="24444" xr:uid="{00000000-0005-0000-0000-0000755F0000}"/>
    <cellStyle name="표준 4 8 2 5" xfId="24445" xr:uid="{00000000-0005-0000-0000-0000765F0000}"/>
    <cellStyle name="표준 4 8 3" xfId="24446" xr:uid="{00000000-0005-0000-0000-0000775F0000}"/>
    <cellStyle name="표준 4 8 3 2" xfId="24447" xr:uid="{00000000-0005-0000-0000-0000785F0000}"/>
    <cellStyle name="표준 4 8 3 2 2" xfId="24448" xr:uid="{00000000-0005-0000-0000-0000795F0000}"/>
    <cellStyle name="표준 4 8 3 2 2 2" xfId="24449" xr:uid="{00000000-0005-0000-0000-00007A5F0000}"/>
    <cellStyle name="표준 4 8 3 2 3" xfId="24450" xr:uid="{00000000-0005-0000-0000-00007B5F0000}"/>
    <cellStyle name="표준 4 8 3 3" xfId="24451" xr:uid="{00000000-0005-0000-0000-00007C5F0000}"/>
    <cellStyle name="표준 4 8 3 3 2" xfId="24452" xr:uid="{00000000-0005-0000-0000-00007D5F0000}"/>
    <cellStyle name="표준 4 8 3 4" xfId="24453" xr:uid="{00000000-0005-0000-0000-00007E5F0000}"/>
    <cellStyle name="표준 4 8 4" xfId="24454" xr:uid="{00000000-0005-0000-0000-00007F5F0000}"/>
    <cellStyle name="표준 4 8 4 2" xfId="24455" xr:uid="{00000000-0005-0000-0000-0000805F0000}"/>
    <cellStyle name="표준 4 8 4 2 2" xfId="24456" xr:uid="{00000000-0005-0000-0000-0000815F0000}"/>
    <cellStyle name="표준 4 8 4 3" xfId="24457" xr:uid="{00000000-0005-0000-0000-0000825F0000}"/>
    <cellStyle name="표준 4 8 5" xfId="24458" xr:uid="{00000000-0005-0000-0000-0000835F0000}"/>
    <cellStyle name="표준 4 8 5 2" xfId="24459" xr:uid="{00000000-0005-0000-0000-0000845F0000}"/>
    <cellStyle name="표준 4 8 6" xfId="24460" xr:uid="{00000000-0005-0000-0000-0000855F0000}"/>
    <cellStyle name="표준 4 9" xfId="24461" xr:uid="{00000000-0005-0000-0000-0000865F0000}"/>
    <cellStyle name="표준 4 9 2" xfId="24462" xr:uid="{00000000-0005-0000-0000-0000875F0000}"/>
    <cellStyle name="표준 4 9 2 2" xfId="24463" xr:uid="{00000000-0005-0000-0000-0000885F0000}"/>
    <cellStyle name="표준 4 9 2 2 2" xfId="24464" xr:uid="{00000000-0005-0000-0000-0000895F0000}"/>
    <cellStyle name="표준 4 9 2 2 2 2" xfId="24465" xr:uid="{00000000-0005-0000-0000-00008A5F0000}"/>
    <cellStyle name="표준 4 9 2 2 3" xfId="24466" xr:uid="{00000000-0005-0000-0000-00008B5F0000}"/>
    <cellStyle name="표준 4 9 2 3" xfId="24467" xr:uid="{00000000-0005-0000-0000-00008C5F0000}"/>
    <cellStyle name="표준 4 9 2 3 2" xfId="24468" xr:uid="{00000000-0005-0000-0000-00008D5F0000}"/>
    <cellStyle name="표준 4 9 2 4" xfId="24469" xr:uid="{00000000-0005-0000-0000-00008E5F0000}"/>
    <cellStyle name="표준 4 9 3" xfId="24470" xr:uid="{00000000-0005-0000-0000-00008F5F0000}"/>
    <cellStyle name="표준 4 9 3 2" xfId="24471" xr:uid="{00000000-0005-0000-0000-0000905F0000}"/>
    <cellStyle name="표준 4 9 3 2 2" xfId="24472" xr:uid="{00000000-0005-0000-0000-0000915F0000}"/>
    <cellStyle name="표준 4 9 3 3" xfId="24473" xr:uid="{00000000-0005-0000-0000-0000925F0000}"/>
    <cellStyle name="표준 4 9 4" xfId="24474" xr:uid="{00000000-0005-0000-0000-0000935F0000}"/>
    <cellStyle name="표준 4 9 4 2" xfId="24475" xr:uid="{00000000-0005-0000-0000-0000945F0000}"/>
    <cellStyle name="표준 4 9 5" xfId="24476" xr:uid="{00000000-0005-0000-0000-0000955F0000}"/>
    <cellStyle name="표준 40" xfId="24477" xr:uid="{00000000-0005-0000-0000-0000965F0000}"/>
    <cellStyle name="표준 41" xfId="24478" xr:uid="{00000000-0005-0000-0000-0000975F0000}"/>
    <cellStyle name="표준 42" xfId="24479" xr:uid="{00000000-0005-0000-0000-0000985F0000}"/>
    <cellStyle name="표준 43" xfId="24480" xr:uid="{00000000-0005-0000-0000-0000995F0000}"/>
    <cellStyle name="표준 44" xfId="24481" xr:uid="{00000000-0005-0000-0000-00009A5F0000}"/>
    <cellStyle name="표준 45" xfId="24482" xr:uid="{00000000-0005-0000-0000-00009B5F0000}"/>
    <cellStyle name="표준 47" xfId="24483" xr:uid="{00000000-0005-0000-0000-00009C5F0000}"/>
    <cellStyle name="표준 48" xfId="24484" xr:uid="{00000000-0005-0000-0000-00009D5F0000}"/>
    <cellStyle name="표준 49" xfId="24485" xr:uid="{00000000-0005-0000-0000-00009E5F0000}"/>
    <cellStyle name="표준 5" xfId="42" xr:uid="{00000000-0005-0000-0000-00009F5F0000}"/>
    <cellStyle name="표준 5 10" xfId="24486" xr:uid="{00000000-0005-0000-0000-0000A05F0000}"/>
    <cellStyle name="표준 5 10 2" xfId="24487" xr:uid="{00000000-0005-0000-0000-0000A15F0000}"/>
    <cellStyle name="표준 5 10 2 2" xfId="24488" xr:uid="{00000000-0005-0000-0000-0000A25F0000}"/>
    <cellStyle name="표준 5 10 2 2 2" xfId="24489" xr:uid="{00000000-0005-0000-0000-0000A35F0000}"/>
    <cellStyle name="표준 5 10 2 2 2 2" xfId="24490" xr:uid="{00000000-0005-0000-0000-0000A45F0000}"/>
    <cellStyle name="표준 5 10 2 2 3" xfId="24491" xr:uid="{00000000-0005-0000-0000-0000A55F0000}"/>
    <cellStyle name="표준 5 10 2 3" xfId="24492" xr:uid="{00000000-0005-0000-0000-0000A65F0000}"/>
    <cellStyle name="표준 5 10 2 3 2" xfId="24493" xr:uid="{00000000-0005-0000-0000-0000A75F0000}"/>
    <cellStyle name="표준 5 10 2 4" xfId="24494" xr:uid="{00000000-0005-0000-0000-0000A85F0000}"/>
    <cellStyle name="표준 5 10 3" xfId="24495" xr:uid="{00000000-0005-0000-0000-0000A95F0000}"/>
    <cellStyle name="표준 5 10 3 2" xfId="24496" xr:uid="{00000000-0005-0000-0000-0000AA5F0000}"/>
    <cellStyle name="표준 5 10 3 2 2" xfId="24497" xr:uid="{00000000-0005-0000-0000-0000AB5F0000}"/>
    <cellStyle name="표준 5 10 3 3" xfId="24498" xr:uid="{00000000-0005-0000-0000-0000AC5F0000}"/>
    <cellStyle name="표준 5 10 4" xfId="24499" xr:uid="{00000000-0005-0000-0000-0000AD5F0000}"/>
    <cellStyle name="표준 5 10 4 2" xfId="24500" xr:uid="{00000000-0005-0000-0000-0000AE5F0000}"/>
    <cellStyle name="표준 5 10 5" xfId="24501" xr:uid="{00000000-0005-0000-0000-0000AF5F0000}"/>
    <cellStyle name="표준 5 11" xfId="24502" xr:uid="{00000000-0005-0000-0000-0000B05F0000}"/>
    <cellStyle name="표준 5 11 2" xfId="24503" xr:uid="{00000000-0005-0000-0000-0000B15F0000}"/>
    <cellStyle name="표준 5 11 2 2" xfId="24504" xr:uid="{00000000-0005-0000-0000-0000B25F0000}"/>
    <cellStyle name="표준 5 11 2 2 2" xfId="24505" xr:uid="{00000000-0005-0000-0000-0000B35F0000}"/>
    <cellStyle name="표준 5 11 2 3" xfId="24506" xr:uid="{00000000-0005-0000-0000-0000B45F0000}"/>
    <cellStyle name="표준 5 11 3" xfId="24507" xr:uid="{00000000-0005-0000-0000-0000B55F0000}"/>
    <cellStyle name="표준 5 11 3 2" xfId="24508" xr:uid="{00000000-0005-0000-0000-0000B65F0000}"/>
    <cellStyle name="표준 5 11 4" xfId="24509" xr:uid="{00000000-0005-0000-0000-0000B75F0000}"/>
    <cellStyle name="표준 5 12" xfId="24510" xr:uid="{00000000-0005-0000-0000-0000B85F0000}"/>
    <cellStyle name="표준 5 12 2" xfId="24511" xr:uid="{00000000-0005-0000-0000-0000B95F0000}"/>
    <cellStyle name="표준 5 12 2 2" xfId="24512" xr:uid="{00000000-0005-0000-0000-0000BA5F0000}"/>
    <cellStyle name="표준 5 12 3" xfId="24513" xr:uid="{00000000-0005-0000-0000-0000BB5F0000}"/>
    <cellStyle name="표준 5 13" xfId="24514" xr:uid="{00000000-0005-0000-0000-0000BC5F0000}"/>
    <cellStyle name="표준 5 13 2" xfId="24515" xr:uid="{00000000-0005-0000-0000-0000BD5F0000}"/>
    <cellStyle name="표준 5 14" xfId="24516" xr:uid="{00000000-0005-0000-0000-0000BE5F0000}"/>
    <cellStyle name="표준 5 15" xfId="24517" xr:uid="{00000000-0005-0000-0000-0000BF5F0000}"/>
    <cellStyle name="표준 5 2" xfId="24518" xr:uid="{00000000-0005-0000-0000-0000C05F0000}"/>
    <cellStyle name="표준 5 2 10" xfId="24519" xr:uid="{00000000-0005-0000-0000-0000C15F0000}"/>
    <cellStyle name="표준 5 2 10 2" xfId="24520" xr:uid="{00000000-0005-0000-0000-0000C25F0000}"/>
    <cellStyle name="표준 5 2 11" xfId="24521" xr:uid="{00000000-0005-0000-0000-0000C35F0000}"/>
    <cellStyle name="표준 5 2 12" xfId="24522" xr:uid="{00000000-0005-0000-0000-0000C45F0000}"/>
    <cellStyle name="표준 5 2 2" xfId="24523" xr:uid="{00000000-0005-0000-0000-0000C55F0000}"/>
    <cellStyle name="표준 5 2 2 10" xfId="24524" xr:uid="{00000000-0005-0000-0000-0000C65F0000}"/>
    <cellStyle name="표준 5 2 2 11" xfId="24525" xr:uid="{00000000-0005-0000-0000-0000C75F0000}"/>
    <cellStyle name="표준 5 2 2 2" xfId="24526" xr:uid="{00000000-0005-0000-0000-0000C85F0000}"/>
    <cellStyle name="표준 5 2 2 2 10" xfId="24527" xr:uid="{00000000-0005-0000-0000-0000C95F0000}"/>
    <cellStyle name="표준 5 2 2 2 2" xfId="24528" xr:uid="{00000000-0005-0000-0000-0000CA5F0000}"/>
    <cellStyle name="표준 5 2 2 2 2 2" xfId="24529" xr:uid="{00000000-0005-0000-0000-0000CB5F0000}"/>
    <cellStyle name="표준 5 2 2 2 2 2 2" xfId="24530" xr:uid="{00000000-0005-0000-0000-0000CC5F0000}"/>
    <cellStyle name="표준 5 2 2 2 2 2 2 2" xfId="24531" xr:uid="{00000000-0005-0000-0000-0000CD5F0000}"/>
    <cellStyle name="표준 5 2 2 2 2 2 2 2 2" xfId="24532" xr:uid="{00000000-0005-0000-0000-0000CE5F0000}"/>
    <cellStyle name="표준 5 2 2 2 2 2 2 2 2 2" xfId="24533" xr:uid="{00000000-0005-0000-0000-0000CF5F0000}"/>
    <cellStyle name="표준 5 2 2 2 2 2 2 2 2 2 2" xfId="24534" xr:uid="{00000000-0005-0000-0000-0000D05F0000}"/>
    <cellStyle name="표준 5 2 2 2 2 2 2 2 2 2 2 2" xfId="24535" xr:uid="{00000000-0005-0000-0000-0000D15F0000}"/>
    <cellStyle name="표준 5 2 2 2 2 2 2 2 2 2 3" xfId="24536" xr:uid="{00000000-0005-0000-0000-0000D25F0000}"/>
    <cellStyle name="표준 5 2 2 2 2 2 2 2 2 3" xfId="24537" xr:uid="{00000000-0005-0000-0000-0000D35F0000}"/>
    <cellStyle name="표준 5 2 2 2 2 2 2 2 2 3 2" xfId="24538" xr:uid="{00000000-0005-0000-0000-0000D45F0000}"/>
    <cellStyle name="표준 5 2 2 2 2 2 2 2 2 4" xfId="24539" xr:uid="{00000000-0005-0000-0000-0000D55F0000}"/>
    <cellStyle name="표준 5 2 2 2 2 2 2 2 3" xfId="24540" xr:uid="{00000000-0005-0000-0000-0000D65F0000}"/>
    <cellStyle name="표준 5 2 2 2 2 2 2 2 3 2" xfId="24541" xr:uid="{00000000-0005-0000-0000-0000D75F0000}"/>
    <cellStyle name="표준 5 2 2 2 2 2 2 2 3 2 2" xfId="24542" xr:uid="{00000000-0005-0000-0000-0000D85F0000}"/>
    <cellStyle name="표준 5 2 2 2 2 2 2 2 3 3" xfId="24543" xr:uid="{00000000-0005-0000-0000-0000D95F0000}"/>
    <cellStyle name="표준 5 2 2 2 2 2 2 2 4" xfId="24544" xr:uid="{00000000-0005-0000-0000-0000DA5F0000}"/>
    <cellStyle name="표준 5 2 2 2 2 2 2 2 4 2" xfId="24545" xr:uid="{00000000-0005-0000-0000-0000DB5F0000}"/>
    <cellStyle name="표준 5 2 2 2 2 2 2 2 5" xfId="24546" xr:uid="{00000000-0005-0000-0000-0000DC5F0000}"/>
    <cellStyle name="표준 5 2 2 2 2 2 2 3" xfId="24547" xr:uid="{00000000-0005-0000-0000-0000DD5F0000}"/>
    <cellStyle name="표준 5 2 2 2 2 2 2 3 2" xfId="24548" xr:uid="{00000000-0005-0000-0000-0000DE5F0000}"/>
    <cellStyle name="표준 5 2 2 2 2 2 2 3 2 2" xfId="24549" xr:uid="{00000000-0005-0000-0000-0000DF5F0000}"/>
    <cellStyle name="표준 5 2 2 2 2 2 2 3 2 2 2" xfId="24550" xr:uid="{00000000-0005-0000-0000-0000E05F0000}"/>
    <cellStyle name="표준 5 2 2 2 2 2 2 3 2 3" xfId="24551" xr:uid="{00000000-0005-0000-0000-0000E15F0000}"/>
    <cellStyle name="표준 5 2 2 2 2 2 2 3 3" xfId="24552" xr:uid="{00000000-0005-0000-0000-0000E25F0000}"/>
    <cellStyle name="표준 5 2 2 2 2 2 2 3 3 2" xfId="24553" xr:uid="{00000000-0005-0000-0000-0000E35F0000}"/>
    <cellStyle name="표준 5 2 2 2 2 2 2 3 4" xfId="24554" xr:uid="{00000000-0005-0000-0000-0000E45F0000}"/>
    <cellStyle name="표준 5 2 2 2 2 2 2 4" xfId="24555" xr:uid="{00000000-0005-0000-0000-0000E55F0000}"/>
    <cellStyle name="표준 5 2 2 2 2 2 2 4 2" xfId="24556" xr:uid="{00000000-0005-0000-0000-0000E65F0000}"/>
    <cellStyle name="표준 5 2 2 2 2 2 2 4 2 2" xfId="24557" xr:uid="{00000000-0005-0000-0000-0000E75F0000}"/>
    <cellStyle name="표준 5 2 2 2 2 2 2 4 3" xfId="24558" xr:uid="{00000000-0005-0000-0000-0000E85F0000}"/>
    <cellStyle name="표준 5 2 2 2 2 2 2 5" xfId="24559" xr:uid="{00000000-0005-0000-0000-0000E95F0000}"/>
    <cellStyle name="표준 5 2 2 2 2 2 2 5 2" xfId="24560" xr:uid="{00000000-0005-0000-0000-0000EA5F0000}"/>
    <cellStyle name="표준 5 2 2 2 2 2 2 6" xfId="24561" xr:uid="{00000000-0005-0000-0000-0000EB5F0000}"/>
    <cellStyle name="표준 5 2 2 2 2 2 3" xfId="24562" xr:uid="{00000000-0005-0000-0000-0000EC5F0000}"/>
    <cellStyle name="표준 5 2 2 2 2 2 3 2" xfId="24563" xr:uid="{00000000-0005-0000-0000-0000ED5F0000}"/>
    <cellStyle name="표준 5 2 2 2 2 2 3 2 2" xfId="24564" xr:uid="{00000000-0005-0000-0000-0000EE5F0000}"/>
    <cellStyle name="표준 5 2 2 2 2 2 3 2 2 2" xfId="24565" xr:uid="{00000000-0005-0000-0000-0000EF5F0000}"/>
    <cellStyle name="표준 5 2 2 2 2 2 3 2 2 2 2" xfId="24566" xr:uid="{00000000-0005-0000-0000-0000F05F0000}"/>
    <cellStyle name="표준 5 2 2 2 2 2 3 2 2 3" xfId="24567" xr:uid="{00000000-0005-0000-0000-0000F15F0000}"/>
    <cellStyle name="표준 5 2 2 2 2 2 3 2 3" xfId="24568" xr:uid="{00000000-0005-0000-0000-0000F25F0000}"/>
    <cellStyle name="표준 5 2 2 2 2 2 3 2 3 2" xfId="24569" xr:uid="{00000000-0005-0000-0000-0000F35F0000}"/>
    <cellStyle name="표준 5 2 2 2 2 2 3 2 4" xfId="24570" xr:uid="{00000000-0005-0000-0000-0000F45F0000}"/>
    <cellStyle name="표준 5 2 2 2 2 2 3 3" xfId="24571" xr:uid="{00000000-0005-0000-0000-0000F55F0000}"/>
    <cellStyle name="표준 5 2 2 2 2 2 3 3 2" xfId="24572" xr:uid="{00000000-0005-0000-0000-0000F65F0000}"/>
    <cellStyle name="표준 5 2 2 2 2 2 3 3 2 2" xfId="24573" xr:uid="{00000000-0005-0000-0000-0000F75F0000}"/>
    <cellStyle name="표준 5 2 2 2 2 2 3 3 3" xfId="24574" xr:uid="{00000000-0005-0000-0000-0000F85F0000}"/>
    <cellStyle name="표준 5 2 2 2 2 2 3 4" xfId="24575" xr:uid="{00000000-0005-0000-0000-0000F95F0000}"/>
    <cellStyle name="표준 5 2 2 2 2 2 3 4 2" xfId="24576" xr:uid="{00000000-0005-0000-0000-0000FA5F0000}"/>
    <cellStyle name="표준 5 2 2 2 2 2 3 5" xfId="24577" xr:uid="{00000000-0005-0000-0000-0000FB5F0000}"/>
    <cellStyle name="표준 5 2 2 2 2 2 4" xfId="24578" xr:uid="{00000000-0005-0000-0000-0000FC5F0000}"/>
    <cellStyle name="표준 5 2 2 2 2 2 4 2" xfId="24579" xr:uid="{00000000-0005-0000-0000-0000FD5F0000}"/>
    <cellStyle name="표준 5 2 2 2 2 2 4 2 2" xfId="24580" xr:uid="{00000000-0005-0000-0000-0000FE5F0000}"/>
    <cellStyle name="표준 5 2 2 2 2 2 4 2 2 2" xfId="24581" xr:uid="{00000000-0005-0000-0000-0000FF5F0000}"/>
    <cellStyle name="표준 5 2 2 2 2 2 4 2 3" xfId="24582" xr:uid="{00000000-0005-0000-0000-000000600000}"/>
    <cellStyle name="표준 5 2 2 2 2 2 4 3" xfId="24583" xr:uid="{00000000-0005-0000-0000-000001600000}"/>
    <cellStyle name="표준 5 2 2 2 2 2 4 3 2" xfId="24584" xr:uid="{00000000-0005-0000-0000-000002600000}"/>
    <cellStyle name="표준 5 2 2 2 2 2 4 4" xfId="24585" xr:uid="{00000000-0005-0000-0000-000003600000}"/>
    <cellStyle name="표준 5 2 2 2 2 2 5" xfId="24586" xr:uid="{00000000-0005-0000-0000-000004600000}"/>
    <cellStyle name="표준 5 2 2 2 2 2 5 2" xfId="24587" xr:uid="{00000000-0005-0000-0000-000005600000}"/>
    <cellStyle name="표준 5 2 2 2 2 2 5 2 2" xfId="24588" xr:uid="{00000000-0005-0000-0000-000006600000}"/>
    <cellStyle name="표준 5 2 2 2 2 2 5 3" xfId="24589" xr:uid="{00000000-0005-0000-0000-000007600000}"/>
    <cellStyle name="표준 5 2 2 2 2 2 6" xfId="24590" xr:uid="{00000000-0005-0000-0000-000008600000}"/>
    <cellStyle name="표준 5 2 2 2 2 2 6 2" xfId="24591" xr:uid="{00000000-0005-0000-0000-000009600000}"/>
    <cellStyle name="표준 5 2 2 2 2 2 7" xfId="24592" xr:uid="{00000000-0005-0000-0000-00000A600000}"/>
    <cellStyle name="표준 5 2 2 2 2 2 8" xfId="24593" xr:uid="{00000000-0005-0000-0000-00000B600000}"/>
    <cellStyle name="표준 5 2 2 2 2 3" xfId="24594" xr:uid="{00000000-0005-0000-0000-00000C600000}"/>
    <cellStyle name="표준 5 2 2 2 2 3 2" xfId="24595" xr:uid="{00000000-0005-0000-0000-00000D600000}"/>
    <cellStyle name="표준 5 2 2 2 2 3 2 2" xfId="24596" xr:uid="{00000000-0005-0000-0000-00000E600000}"/>
    <cellStyle name="표준 5 2 2 2 2 3 2 2 2" xfId="24597" xr:uid="{00000000-0005-0000-0000-00000F600000}"/>
    <cellStyle name="표준 5 2 2 2 2 3 2 2 2 2" xfId="24598" xr:uid="{00000000-0005-0000-0000-000010600000}"/>
    <cellStyle name="표준 5 2 2 2 2 3 2 2 2 2 2" xfId="24599" xr:uid="{00000000-0005-0000-0000-000011600000}"/>
    <cellStyle name="표준 5 2 2 2 2 3 2 2 2 3" xfId="24600" xr:uid="{00000000-0005-0000-0000-000012600000}"/>
    <cellStyle name="표준 5 2 2 2 2 3 2 2 3" xfId="24601" xr:uid="{00000000-0005-0000-0000-000013600000}"/>
    <cellStyle name="표준 5 2 2 2 2 3 2 2 3 2" xfId="24602" xr:uid="{00000000-0005-0000-0000-000014600000}"/>
    <cellStyle name="표준 5 2 2 2 2 3 2 2 4" xfId="24603" xr:uid="{00000000-0005-0000-0000-000015600000}"/>
    <cellStyle name="표준 5 2 2 2 2 3 2 3" xfId="24604" xr:uid="{00000000-0005-0000-0000-000016600000}"/>
    <cellStyle name="표준 5 2 2 2 2 3 2 3 2" xfId="24605" xr:uid="{00000000-0005-0000-0000-000017600000}"/>
    <cellStyle name="표준 5 2 2 2 2 3 2 3 2 2" xfId="24606" xr:uid="{00000000-0005-0000-0000-000018600000}"/>
    <cellStyle name="표준 5 2 2 2 2 3 2 3 3" xfId="24607" xr:uid="{00000000-0005-0000-0000-000019600000}"/>
    <cellStyle name="표준 5 2 2 2 2 3 2 4" xfId="24608" xr:uid="{00000000-0005-0000-0000-00001A600000}"/>
    <cellStyle name="표준 5 2 2 2 2 3 2 4 2" xfId="24609" xr:uid="{00000000-0005-0000-0000-00001B600000}"/>
    <cellStyle name="표준 5 2 2 2 2 3 2 5" xfId="24610" xr:uid="{00000000-0005-0000-0000-00001C600000}"/>
    <cellStyle name="표준 5 2 2 2 2 3 3" xfId="24611" xr:uid="{00000000-0005-0000-0000-00001D600000}"/>
    <cellStyle name="표준 5 2 2 2 2 3 3 2" xfId="24612" xr:uid="{00000000-0005-0000-0000-00001E600000}"/>
    <cellStyle name="표준 5 2 2 2 2 3 3 2 2" xfId="24613" xr:uid="{00000000-0005-0000-0000-00001F600000}"/>
    <cellStyle name="표준 5 2 2 2 2 3 3 2 2 2" xfId="24614" xr:uid="{00000000-0005-0000-0000-000020600000}"/>
    <cellStyle name="표준 5 2 2 2 2 3 3 2 3" xfId="24615" xr:uid="{00000000-0005-0000-0000-000021600000}"/>
    <cellStyle name="표준 5 2 2 2 2 3 3 3" xfId="24616" xr:uid="{00000000-0005-0000-0000-000022600000}"/>
    <cellStyle name="표준 5 2 2 2 2 3 3 3 2" xfId="24617" xr:uid="{00000000-0005-0000-0000-000023600000}"/>
    <cellStyle name="표준 5 2 2 2 2 3 3 4" xfId="24618" xr:uid="{00000000-0005-0000-0000-000024600000}"/>
    <cellStyle name="표준 5 2 2 2 2 3 4" xfId="24619" xr:uid="{00000000-0005-0000-0000-000025600000}"/>
    <cellStyle name="표준 5 2 2 2 2 3 4 2" xfId="24620" xr:uid="{00000000-0005-0000-0000-000026600000}"/>
    <cellStyle name="표준 5 2 2 2 2 3 4 2 2" xfId="24621" xr:uid="{00000000-0005-0000-0000-000027600000}"/>
    <cellStyle name="표준 5 2 2 2 2 3 4 3" xfId="24622" xr:uid="{00000000-0005-0000-0000-000028600000}"/>
    <cellStyle name="표준 5 2 2 2 2 3 5" xfId="24623" xr:uid="{00000000-0005-0000-0000-000029600000}"/>
    <cellStyle name="표준 5 2 2 2 2 3 5 2" xfId="24624" xr:uid="{00000000-0005-0000-0000-00002A600000}"/>
    <cellStyle name="표준 5 2 2 2 2 3 6" xfId="24625" xr:uid="{00000000-0005-0000-0000-00002B600000}"/>
    <cellStyle name="표준 5 2 2 2 2 4" xfId="24626" xr:uid="{00000000-0005-0000-0000-00002C600000}"/>
    <cellStyle name="표준 5 2 2 2 2 4 2" xfId="24627" xr:uid="{00000000-0005-0000-0000-00002D600000}"/>
    <cellStyle name="표준 5 2 2 2 2 4 2 2" xfId="24628" xr:uid="{00000000-0005-0000-0000-00002E600000}"/>
    <cellStyle name="표준 5 2 2 2 2 4 2 2 2" xfId="24629" xr:uid="{00000000-0005-0000-0000-00002F600000}"/>
    <cellStyle name="표준 5 2 2 2 2 4 2 2 2 2" xfId="24630" xr:uid="{00000000-0005-0000-0000-000030600000}"/>
    <cellStyle name="표준 5 2 2 2 2 4 2 2 3" xfId="24631" xr:uid="{00000000-0005-0000-0000-000031600000}"/>
    <cellStyle name="표준 5 2 2 2 2 4 2 3" xfId="24632" xr:uid="{00000000-0005-0000-0000-000032600000}"/>
    <cellStyle name="표준 5 2 2 2 2 4 2 3 2" xfId="24633" xr:uid="{00000000-0005-0000-0000-000033600000}"/>
    <cellStyle name="표준 5 2 2 2 2 4 2 4" xfId="24634" xr:uid="{00000000-0005-0000-0000-000034600000}"/>
    <cellStyle name="표준 5 2 2 2 2 4 3" xfId="24635" xr:uid="{00000000-0005-0000-0000-000035600000}"/>
    <cellStyle name="표준 5 2 2 2 2 4 3 2" xfId="24636" xr:uid="{00000000-0005-0000-0000-000036600000}"/>
    <cellStyle name="표준 5 2 2 2 2 4 3 2 2" xfId="24637" xr:uid="{00000000-0005-0000-0000-000037600000}"/>
    <cellStyle name="표준 5 2 2 2 2 4 3 3" xfId="24638" xr:uid="{00000000-0005-0000-0000-000038600000}"/>
    <cellStyle name="표준 5 2 2 2 2 4 4" xfId="24639" xr:uid="{00000000-0005-0000-0000-000039600000}"/>
    <cellStyle name="표준 5 2 2 2 2 4 4 2" xfId="24640" xr:uid="{00000000-0005-0000-0000-00003A600000}"/>
    <cellStyle name="표준 5 2 2 2 2 4 5" xfId="24641" xr:uid="{00000000-0005-0000-0000-00003B600000}"/>
    <cellStyle name="표준 5 2 2 2 2 5" xfId="24642" xr:uid="{00000000-0005-0000-0000-00003C600000}"/>
    <cellStyle name="표준 5 2 2 2 2 5 2" xfId="24643" xr:uid="{00000000-0005-0000-0000-00003D600000}"/>
    <cellStyle name="표준 5 2 2 2 2 5 2 2" xfId="24644" xr:uid="{00000000-0005-0000-0000-00003E600000}"/>
    <cellStyle name="표준 5 2 2 2 2 5 2 2 2" xfId="24645" xr:uid="{00000000-0005-0000-0000-00003F600000}"/>
    <cellStyle name="표준 5 2 2 2 2 5 2 3" xfId="24646" xr:uid="{00000000-0005-0000-0000-000040600000}"/>
    <cellStyle name="표준 5 2 2 2 2 5 3" xfId="24647" xr:uid="{00000000-0005-0000-0000-000041600000}"/>
    <cellStyle name="표준 5 2 2 2 2 5 3 2" xfId="24648" xr:uid="{00000000-0005-0000-0000-000042600000}"/>
    <cellStyle name="표준 5 2 2 2 2 5 4" xfId="24649" xr:uid="{00000000-0005-0000-0000-000043600000}"/>
    <cellStyle name="표준 5 2 2 2 2 6" xfId="24650" xr:uid="{00000000-0005-0000-0000-000044600000}"/>
    <cellStyle name="표준 5 2 2 2 2 6 2" xfId="24651" xr:uid="{00000000-0005-0000-0000-000045600000}"/>
    <cellStyle name="표준 5 2 2 2 2 6 2 2" xfId="24652" xr:uid="{00000000-0005-0000-0000-000046600000}"/>
    <cellStyle name="표준 5 2 2 2 2 6 3" xfId="24653" xr:uid="{00000000-0005-0000-0000-000047600000}"/>
    <cellStyle name="표준 5 2 2 2 2 7" xfId="24654" xr:uid="{00000000-0005-0000-0000-000048600000}"/>
    <cellStyle name="표준 5 2 2 2 2 7 2" xfId="24655" xr:uid="{00000000-0005-0000-0000-000049600000}"/>
    <cellStyle name="표준 5 2 2 2 2 8" xfId="24656" xr:uid="{00000000-0005-0000-0000-00004A600000}"/>
    <cellStyle name="표준 5 2 2 2 2 9" xfId="24657" xr:uid="{00000000-0005-0000-0000-00004B600000}"/>
    <cellStyle name="표준 5 2 2 2 3" xfId="24658" xr:uid="{00000000-0005-0000-0000-00004C600000}"/>
    <cellStyle name="표준 5 2 2 2 3 2" xfId="24659" xr:uid="{00000000-0005-0000-0000-00004D600000}"/>
    <cellStyle name="표준 5 2 2 2 3 2 2" xfId="24660" xr:uid="{00000000-0005-0000-0000-00004E600000}"/>
    <cellStyle name="표준 5 2 2 2 3 2 2 2" xfId="24661" xr:uid="{00000000-0005-0000-0000-00004F600000}"/>
    <cellStyle name="표준 5 2 2 2 3 2 2 2 2" xfId="24662" xr:uid="{00000000-0005-0000-0000-000050600000}"/>
    <cellStyle name="표준 5 2 2 2 3 2 2 2 2 2" xfId="24663" xr:uid="{00000000-0005-0000-0000-000051600000}"/>
    <cellStyle name="표준 5 2 2 2 3 2 2 2 2 2 2" xfId="24664" xr:uid="{00000000-0005-0000-0000-000052600000}"/>
    <cellStyle name="표준 5 2 2 2 3 2 2 2 2 3" xfId="24665" xr:uid="{00000000-0005-0000-0000-000053600000}"/>
    <cellStyle name="표준 5 2 2 2 3 2 2 2 3" xfId="24666" xr:uid="{00000000-0005-0000-0000-000054600000}"/>
    <cellStyle name="표준 5 2 2 2 3 2 2 2 3 2" xfId="24667" xr:uid="{00000000-0005-0000-0000-000055600000}"/>
    <cellStyle name="표준 5 2 2 2 3 2 2 2 4" xfId="24668" xr:uid="{00000000-0005-0000-0000-000056600000}"/>
    <cellStyle name="표준 5 2 2 2 3 2 2 3" xfId="24669" xr:uid="{00000000-0005-0000-0000-000057600000}"/>
    <cellStyle name="표준 5 2 2 2 3 2 2 3 2" xfId="24670" xr:uid="{00000000-0005-0000-0000-000058600000}"/>
    <cellStyle name="표준 5 2 2 2 3 2 2 3 2 2" xfId="24671" xr:uid="{00000000-0005-0000-0000-000059600000}"/>
    <cellStyle name="표준 5 2 2 2 3 2 2 3 3" xfId="24672" xr:uid="{00000000-0005-0000-0000-00005A600000}"/>
    <cellStyle name="표준 5 2 2 2 3 2 2 4" xfId="24673" xr:uid="{00000000-0005-0000-0000-00005B600000}"/>
    <cellStyle name="표준 5 2 2 2 3 2 2 4 2" xfId="24674" xr:uid="{00000000-0005-0000-0000-00005C600000}"/>
    <cellStyle name="표준 5 2 2 2 3 2 2 5" xfId="24675" xr:uid="{00000000-0005-0000-0000-00005D600000}"/>
    <cellStyle name="표준 5 2 2 2 3 2 3" xfId="24676" xr:uid="{00000000-0005-0000-0000-00005E600000}"/>
    <cellStyle name="표준 5 2 2 2 3 2 3 2" xfId="24677" xr:uid="{00000000-0005-0000-0000-00005F600000}"/>
    <cellStyle name="표준 5 2 2 2 3 2 3 2 2" xfId="24678" xr:uid="{00000000-0005-0000-0000-000060600000}"/>
    <cellStyle name="표준 5 2 2 2 3 2 3 2 2 2" xfId="24679" xr:uid="{00000000-0005-0000-0000-000061600000}"/>
    <cellStyle name="표준 5 2 2 2 3 2 3 2 3" xfId="24680" xr:uid="{00000000-0005-0000-0000-000062600000}"/>
    <cellStyle name="표준 5 2 2 2 3 2 3 3" xfId="24681" xr:uid="{00000000-0005-0000-0000-000063600000}"/>
    <cellStyle name="표준 5 2 2 2 3 2 3 3 2" xfId="24682" xr:uid="{00000000-0005-0000-0000-000064600000}"/>
    <cellStyle name="표준 5 2 2 2 3 2 3 4" xfId="24683" xr:uid="{00000000-0005-0000-0000-000065600000}"/>
    <cellStyle name="표준 5 2 2 2 3 2 4" xfId="24684" xr:uid="{00000000-0005-0000-0000-000066600000}"/>
    <cellStyle name="표준 5 2 2 2 3 2 4 2" xfId="24685" xr:uid="{00000000-0005-0000-0000-000067600000}"/>
    <cellStyle name="표준 5 2 2 2 3 2 4 2 2" xfId="24686" xr:uid="{00000000-0005-0000-0000-000068600000}"/>
    <cellStyle name="표준 5 2 2 2 3 2 4 3" xfId="24687" xr:uid="{00000000-0005-0000-0000-000069600000}"/>
    <cellStyle name="표준 5 2 2 2 3 2 5" xfId="24688" xr:uid="{00000000-0005-0000-0000-00006A600000}"/>
    <cellStyle name="표준 5 2 2 2 3 2 5 2" xfId="24689" xr:uid="{00000000-0005-0000-0000-00006B600000}"/>
    <cellStyle name="표준 5 2 2 2 3 2 6" xfId="24690" xr:uid="{00000000-0005-0000-0000-00006C600000}"/>
    <cellStyle name="표준 5 2 2 2 3 3" xfId="24691" xr:uid="{00000000-0005-0000-0000-00006D600000}"/>
    <cellStyle name="표준 5 2 2 2 3 3 2" xfId="24692" xr:uid="{00000000-0005-0000-0000-00006E600000}"/>
    <cellStyle name="표준 5 2 2 2 3 3 2 2" xfId="24693" xr:uid="{00000000-0005-0000-0000-00006F600000}"/>
    <cellStyle name="표준 5 2 2 2 3 3 2 2 2" xfId="24694" xr:uid="{00000000-0005-0000-0000-000070600000}"/>
    <cellStyle name="표준 5 2 2 2 3 3 2 2 2 2" xfId="24695" xr:uid="{00000000-0005-0000-0000-000071600000}"/>
    <cellStyle name="표준 5 2 2 2 3 3 2 2 3" xfId="24696" xr:uid="{00000000-0005-0000-0000-000072600000}"/>
    <cellStyle name="표준 5 2 2 2 3 3 2 3" xfId="24697" xr:uid="{00000000-0005-0000-0000-000073600000}"/>
    <cellStyle name="표준 5 2 2 2 3 3 2 3 2" xfId="24698" xr:uid="{00000000-0005-0000-0000-000074600000}"/>
    <cellStyle name="표준 5 2 2 2 3 3 2 4" xfId="24699" xr:uid="{00000000-0005-0000-0000-000075600000}"/>
    <cellStyle name="표준 5 2 2 2 3 3 3" xfId="24700" xr:uid="{00000000-0005-0000-0000-000076600000}"/>
    <cellStyle name="표준 5 2 2 2 3 3 3 2" xfId="24701" xr:uid="{00000000-0005-0000-0000-000077600000}"/>
    <cellStyle name="표준 5 2 2 2 3 3 3 2 2" xfId="24702" xr:uid="{00000000-0005-0000-0000-000078600000}"/>
    <cellStyle name="표준 5 2 2 2 3 3 3 3" xfId="24703" xr:uid="{00000000-0005-0000-0000-000079600000}"/>
    <cellStyle name="표준 5 2 2 2 3 3 4" xfId="24704" xr:uid="{00000000-0005-0000-0000-00007A600000}"/>
    <cellStyle name="표준 5 2 2 2 3 3 4 2" xfId="24705" xr:uid="{00000000-0005-0000-0000-00007B600000}"/>
    <cellStyle name="표준 5 2 2 2 3 3 5" xfId="24706" xr:uid="{00000000-0005-0000-0000-00007C600000}"/>
    <cellStyle name="표준 5 2 2 2 3 4" xfId="24707" xr:uid="{00000000-0005-0000-0000-00007D600000}"/>
    <cellStyle name="표준 5 2 2 2 3 4 2" xfId="24708" xr:uid="{00000000-0005-0000-0000-00007E600000}"/>
    <cellStyle name="표준 5 2 2 2 3 4 2 2" xfId="24709" xr:uid="{00000000-0005-0000-0000-00007F600000}"/>
    <cellStyle name="표준 5 2 2 2 3 4 2 2 2" xfId="24710" xr:uid="{00000000-0005-0000-0000-000080600000}"/>
    <cellStyle name="표준 5 2 2 2 3 4 2 3" xfId="24711" xr:uid="{00000000-0005-0000-0000-000081600000}"/>
    <cellStyle name="표준 5 2 2 2 3 4 3" xfId="24712" xr:uid="{00000000-0005-0000-0000-000082600000}"/>
    <cellStyle name="표준 5 2 2 2 3 4 3 2" xfId="24713" xr:uid="{00000000-0005-0000-0000-000083600000}"/>
    <cellStyle name="표준 5 2 2 2 3 4 4" xfId="24714" xr:uid="{00000000-0005-0000-0000-000084600000}"/>
    <cellStyle name="표준 5 2 2 2 3 5" xfId="24715" xr:uid="{00000000-0005-0000-0000-000085600000}"/>
    <cellStyle name="표준 5 2 2 2 3 5 2" xfId="24716" xr:uid="{00000000-0005-0000-0000-000086600000}"/>
    <cellStyle name="표준 5 2 2 2 3 5 2 2" xfId="24717" xr:uid="{00000000-0005-0000-0000-000087600000}"/>
    <cellStyle name="표준 5 2 2 2 3 5 3" xfId="24718" xr:uid="{00000000-0005-0000-0000-000088600000}"/>
    <cellStyle name="표준 5 2 2 2 3 6" xfId="24719" xr:uid="{00000000-0005-0000-0000-000089600000}"/>
    <cellStyle name="표준 5 2 2 2 3 6 2" xfId="24720" xr:uid="{00000000-0005-0000-0000-00008A600000}"/>
    <cellStyle name="표준 5 2 2 2 3 7" xfId="24721" xr:uid="{00000000-0005-0000-0000-00008B600000}"/>
    <cellStyle name="표준 5 2 2 2 3 8" xfId="24722" xr:uid="{00000000-0005-0000-0000-00008C600000}"/>
    <cellStyle name="표준 5 2 2 2 4" xfId="24723" xr:uid="{00000000-0005-0000-0000-00008D600000}"/>
    <cellStyle name="표준 5 2 2 2 4 2" xfId="24724" xr:uid="{00000000-0005-0000-0000-00008E600000}"/>
    <cellStyle name="표준 5 2 2 2 4 2 2" xfId="24725" xr:uid="{00000000-0005-0000-0000-00008F600000}"/>
    <cellStyle name="표준 5 2 2 2 4 2 2 2" xfId="24726" xr:uid="{00000000-0005-0000-0000-000090600000}"/>
    <cellStyle name="표준 5 2 2 2 4 2 2 2 2" xfId="24727" xr:uid="{00000000-0005-0000-0000-000091600000}"/>
    <cellStyle name="표준 5 2 2 2 4 2 2 2 2 2" xfId="24728" xr:uid="{00000000-0005-0000-0000-000092600000}"/>
    <cellStyle name="표준 5 2 2 2 4 2 2 2 3" xfId="24729" xr:uid="{00000000-0005-0000-0000-000093600000}"/>
    <cellStyle name="표준 5 2 2 2 4 2 2 3" xfId="24730" xr:uid="{00000000-0005-0000-0000-000094600000}"/>
    <cellStyle name="표준 5 2 2 2 4 2 2 3 2" xfId="24731" xr:uid="{00000000-0005-0000-0000-000095600000}"/>
    <cellStyle name="표준 5 2 2 2 4 2 2 4" xfId="24732" xr:uid="{00000000-0005-0000-0000-000096600000}"/>
    <cellStyle name="표준 5 2 2 2 4 2 3" xfId="24733" xr:uid="{00000000-0005-0000-0000-000097600000}"/>
    <cellStyle name="표준 5 2 2 2 4 2 3 2" xfId="24734" xr:uid="{00000000-0005-0000-0000-000098600000}"/>
    <cellStyle name="표준 5 2 2 2 4 2 3 2 2" xfId="24735" xr:uid="{00000000-0005-0000-0000-000099600000}"/>
    <cellStyle name="표준 5 2 2 2 4 2 3 3" xfId="24736" xr:uid="{00000000-0005-0000-0000-00009A600000}"/>
    <cellStyle name="표준 5 2 2 2 4 2 4" xfId="24737" xr:uid="{00000000-0005-0000-0000-00009B600000}"/>
    <cellStyle name="표준 5 2 2 2 4 2 4 2" xfId="24738" xr:uid="{00000000-0005-0000-0000-00009C600000}"/>
    <cellStyle name="표준 5 2 2 2 4 2 5" xfId="24739" xr:uid="{00000000-0005-0000-0000-00009D600000}"/>
    <cellStyle name="표준 5 2 2 2 4 3" xfId="24740" xr:uid="{00000000-0005-0000-0000-00009E600000}"/>
    <cellStyle name="표준 5 2 2 2 4 3 2" xfId="24741" xr:uid="{00000000-0005-0000-0000-00009F600000}"/>
    <cellStyle name="표준 5 2 2 2 4 3 2 2" xfId="24742" xr:uid="{00000000-0005-0000-0000-0000A0600000}"/>
    <cellStyle name="표준 5 2 2 2 4 3 2 2 2" xfId="24743" xr:uid="{00000000-0005-0000-0000-0000A1600000}"/>
    <cellStyle name="표준 5 2 2 2 4 3 2 3" xfId="24744" xr:uid="{00000000-0005-0000-0000-0000A2600000}"/>
    <cellStyle name="표준 5 2 2 2 4 3 3" xfId="24745" xr:uid="{00000000-0005-0000-0000-0000A3600000}"/>
    <cellStyle name="표준 5 2 2 2 4 3 3 2" xfId="24746" xr:uid="{00000000-0005-0000-0000-0000A4600000}"/>
    <cellStyle name="표준 5 2 2 2 4 3 4" xfId="24747" xr:uid="{00000000-0005-0000-0000-0000A5600000}"/>
    <cellStyle name="표준 5 2 2 2 4 4" xfId="24748" xr:uid="{00000000-0005-0000-0000-0000A6600000}"/>
    <cellStyle name="표준 5 2 2 2 4 4 2" xfId="24749" xr:uid="{00000000-0005-0000-0000-0000A7600000}"/>
    <cellStyle name="표준 5 2 2 2 4 4 2 2" xfId="24750" xr:uid="{00000000-0005-0000-0000-0000A8600000}"/>
    <cellStyle name="표준 5 2 2 2 4 4 3" xfId="24751" xr:uid="{00000000-0005-0000-0000-0000A9600000}"/>
    <cellStyle name="표준 5 2 2 2 4 5" xfId="24752" xr:uid="{00000000-0005-0000-0000-0000AA600000}"/>
    <cellStyle name="표준 5 2 2 2 4 5 2" xfId="24753" xr:uid="{00000000-0005-0000-0000-0000AB600000}"/>
    <cellStyle name="표준 5 2 2 2 4 6" xfId="24754" xr:uid="{00000000-0005-0000-0000-0000AC600000}"/>
    <cellStyle name="표준 5 2 2 2 5" xfId="24755" xr:uid="{00000000-0005-0000-0000-0000AD600000}"/>
    <cellStyle name="표준 5 2 2 2 5 2" xfId="24756" xr:uid="{00000000-0005-0000-0000-0000AE600000}"/>
    <cellStyle name="표준 5 2 2 2 5 2 2" xfId="24757" xr:uid="{00000000-0005-0000-0000-0000AF600000}"/>
    <cellStyle name="표준 5 2 2 2 5 2 2 2" xfId="24758" xr:uid="{00000000-0005-0000-0000-0000B0600000}"/>
    <cellStyle name="표준 5 2 2 2 5 2 2 2 2" xfId="24759" xr:uid="{00000000-0005-0000-0000-0000B1600000}"/>
    <cellStyle name="표준 5 2 2 2 5 2 2 3" xfId="24760" xr:uid="{00000000-0005-0000-0000-0000B2600000}"/>
    <cellStyle name="표준 5 2 2 2 5 2 3" xfId="24761" xr:uid="{00000000-0005-0000-0000-0000B3600000}"/>
    <cellStyle name="표준 5 2 2 2 5 2 3 2" xfId="24762" xr:uid="{00000000-0005-0000-0000-0000B4600000}"/>
    <cellStyle name="표준 5 2 2 2 5 2 4" xfId="24763" xr:uid="{00000000-0005-0000-0000-0000B5600000}"/>
    <cellStyle name="표준 5 2 2 2 5 3" xfId="24764" xr:uid="{00000000-0005-0000-0000-0000B6600000}"/>
    <cellStyle name="표준 5 2 2 2 5 3 2" xfId="24765" xr:uid="{00000000-0005-0000-0000-0000B7600000}"/>
    <cellStyle name="표준 5 2 2 2 5 3 2 2" xfId="24766" xr:uid="{00000000-0005-0000-0000-0000B8600000}"/>
    <cellStyle name="표준 5 2 2 2 5 3 3" xfId="24767" xr:uid="{00000000-0005-0000-0000-0000B9600000}"/>
    <cellStyle name="표준 5 2 2 2 5 4" xfId="24768" xr:uid="{00000000-0005-0000-0000-0000BA600000}"/>
    <cellStyle name="표준 5 2 2 2 5 4 2" xfId="24769" xr:uid="{00000000-0005-0000-0000-0000BB600000}"/>
    <cellStyle name="표준 5 2 2 2 5 5" xfId="24770" xr:uid="{00000000-0005-0000-0000-0000BC600000}"/>
    <cellStyle name="표준 5 2 2 2 6" xfId="24771" xr:uid="{00000000-0005-0000-0000-0000BD600000}"/>
    <cellStyle name="표준 5 2 2 2 6 2" xfId="24772" xr:uid="{00000000-0005-0000-0000-0000BE600000}"/>
    <cellStyle name="표준 5 2 2 2 6 2 2" xfId="24773" xr:uid="{00000000-0005-0000-0000-0000BF600000}"/>
    <cellStyle name="표준 5 2 2 2 6 2 2 2" xfId="24774" xr:uid="{00000000-0005-0000-0000-0000C0600000}"/>
    <cellStyle name="표준 5 2 2 2 6 2 3" xfId="24775" xr:uid="{00000000-0005-0000-0000-0000C1600000}"/>
    <cellStyle name="표준 5 2 2 2 6 3" xfId="24776" xr:uid="{00000000-0005-0000-0000-0000C2600000}"/>
    <cellStyle name="표준 5 2 2 2 6 3 2" xfId="24777" xr:uid="{00000000-0005-0000-0000-0000C3600000}"/>
    <cellStyle name="표준 5 2 2 2 6 4" xfId="24778" xr:uid="{00000000-0005-0000-0000-0000C4600000}"/>
    <cellStyle name="표준 5 2 2 2 7" xfId="24779" xr:uid="{00000000-0005-0000-0000-0000C5600000}"/>
    <cellStyle name="표준 5 2 2 2 7 2" xfId="24780" xr:uid="{00000000-0005-0000-0000-0000C6600000}"/>
    <cellStyle name="표준 5 2 2 2 7 2 2" xfId="24781" xr:uid="{00000000-0005-0000-0000-0000C7600000}"/>
    <cellStyle name="표준 5 2 2 2 7 3" xfId="24782" xr:uid="{00000000-0005-0000-0000-0000C8600000}"/>
    <cellStyle name="표준 5 2 2 2 8" xfId="24783" xr:uid="{00000000-0005-0000-0000-0000C9600000}"/>
    <cellStyle name="표준 5 2 2 2 8 2" xfId="24784" xr:uid="{00000000-0005-0000-0000-0000CA600000}"/>
    <cellStyle name="표준 5 2 2 2 9" xfId="24785" xr:uid="{00000000-0005-0000-0000-0000CB600000}"/>
    <cellStyle name="표준 5 2 2 3" xfId="24786" xr:uid="{00000000-0005-0000-0000-0000CC600000}"/>
    <cellStyle name="표준 5 2 2 3 2" xfId="24787" xr:uid="{00000000-0005-0000-0000-0000CD600000}"/>
    <cellStyle name="표준 5 2 2 3 2 2" xfId="24788" xr:uid="{00000000-0005-0000-0000-0000CE600000}"/>
    <cellStyle name="표준 5 2 2 3 2 2 2" xfId="24789" xr:uid="{00000000-0005-0000-0000-0000CF600000}"/>
    <cellStyle name="표준 5 2 2 3 2 2 2 2" xfId="24790" xr:uid="{00000000-0005-0000-0000-0000D0600000}"/>
    <cellStyle name="표준 5 2 2 3 2 2 2 2 2" xfId="24791" xr:uid="{00000000-0005-0000-0000-0000D1600000}"/>
    <cellStyle name="표준 5 2 2 3 2 2 2 2 2 2" xfId="24792" xr:uid="{00000000-0005-0000-0000-0000D2600000}"/>
    <cellStyle name="표준 5 2 2 3 2 2 2 2 2 2 2" xfId="24793" xr:uid="{00000000-0005-0000-0000-0000D3600000}"/>
    <cellStyle name="표준 5 2 2 3 2 2 2 2 2 3" xfId="24794" xr:uid="{00000000-0005-0000-0000-0000D4600000}"/>
    <cellStyle name="표준 5 2 2 3 2 2 2 2 3" xfId="24795" xr:uid="{00000000-0005-0000-0000-0000D5600000}"/>
    <cellStyle name="표준 5 2 2 3 2 2 2 2 3 2" xfId="24796" xr:uid="{00000000-0005-0000-0000-0000D6600000}"/>
    <cellStyle name="표준 5 2 2 3 2 2 2 2 4" xfId="24797" xr:uid="{00000000-0005-0000-0000-0000D7600000}"/>
    <cellStyle name="표준 5 2 2 3 2 2 2 3" xfId="24798" xr:uid="{00000000-0005-0000-0000-0000D8600000}"/>
    <cellStyle name="표준 5 2 2 3 2 2 2 3 2" xfId="24799" xr:uid="{00000000-0005-0000-0000-0000D9600000}"/>
    <cellStyle name="표준 5 2 2 3 2 2 2 3 2 2" xfId="24800" xr:uid="{00000000-0005-0000-0000-0000DA600000}"/>
    <cellStyle name="표준 5 2 2 3 2 2 2 3 3" xfId="24801" xr:uid="{00000000-0005-0000-0000-0000DB600000}"/>
    <cellStyle name="표준 5 2 2 3 2 2 2 4" xfId="24802" xr:uid="{00000000-0005-0000-0000-0000DC600000}"/>
    <cellStyle name="표준 5 2 2 3 2 2 2 4 2" xfId="24803" xr:uid="{00000000-0005-0000-0000-0000DD600000}"/>
    <cellStyle name="표준 5 2 2 3 2 2 2 5" xfId="24804" xr:uid="{00000000-0005-0000-0000-0000DE600000}"/>
    <cellStyle name="표준 5 2 2 3 2 2 3" xfId="24805" xr:uid="{00000000-0005-0000-0000-0000DF600000}"/>
    <cellStyle name="표준 5 2 2 3 2 2 3 2" xfId="24806" xr:uid="{00000000-0005-0000-0000-0000E0600000}"/>
    <cellStyle name="표준 5 2 2 3 2 2 3 2 2" xfId="24807" xr:uid="{00000000-0005-0000-0000-0000E1600000}"/>
    <cellStyle name="표준 5 2 2 3 2 2 3 2 2 2" xfId="24808" xr:uid="{00000000-0005-0000-0000-0000E2600000}"/>
    <cellStyle name="표준 5 2 2 3 2 2 3 2 3" xfId="24809" xr:uid="{00000000-0005-0000-0000-0000E3600000}"/>
    <cellStyle name="표준 5 2 2 3 2 2 3 3" xfId="24810" xr:uid="{00000000-0005-0000-0000-0000E4600000}"/>
    <cellStyle name="표준 5 2 2 3 2 2 3 3 2" xfId="24811" xr:uid="{00000000-0005-0000-0000-0000E5600000}"/>
    <cellStyle name="표준 5 2 2 3 2 2 3 4" xfId="24812" xr:uid="{00000000-0005-0000-0000-0000E6600000}"/>
    <cellStyle name="표준 5 2 2 3 2 2 4" xfId="24813" xr:uid="{00000000-0005-0000-0000-0000E7600000}"/>
    <cellStyle name="표준 5 2 2 3 2 2 4 2" xfId="24814" xr:uid="{00000000-0005-0000-0000-0000E8600000}"/>
    <cellStyle name="표준 5 2 2 3 2 2 4 2 2" xfId="24815" xr:uid="{00000000-0005-0000-0000-0000E9600000}"/>
    <cellStyle name="표준 5 2 2 3 2 2 4 3" xfId="24816" xr:uid="{00000000-0005-0000-0000-0000EA600000}"/>
    <cellStyle name="표준 5 2 2 3 2 2 5" xfId="24817" xr:uid="{00000000-0005-0000-0000-0000EB600000}"/>
    <cellStyle name="표준 5 2 2 3 2 2 5 2" xfId="24818" xr:uid="{00000000-0005-0000-0000-0000EC600000}"/>
    <cellStyle name="표준 5 2 2 3 2 2 6" xfId="24819" xr:uid="{00000000-0005-0000-0000-0000ED600000}"/>
    <cellStyle name="표준 5 2 2 3 2 3" xfId="24820" xr:uid="{00000000-0005-0000-0000-0000EE600000}"/>
    <cellStyle name="표준 5 2 2 3 2 3 2" xfId="24821" xr:uid="{00000000-0005-0000-0000-0000EF600000}"/>
    <cellStyle name="표준 5 2 2 3 2 3 2 2" xfId="24822" xr:uid="{00000000-0005-0000-0000-0000F0600000}"/>
    <cellStyle name="표준 5 2 2 3 2 3 2 2 2" xfId="24823" xr:uid="{00000000-0005-0000-0000-0000F1600000}"/>
    <cellStyle name="표준 5 2 2 3 2 3 2 2 2 2" xfId="24824" xr:uid="{00000000-0005-0000-0000-0000F2600000}"/>
    <cellStyle name="표준 5 2 2 3 2 3 2 2 3" xfId="24825" xr:uid="{00000000-0005-0000-0000-0000F3600000}"/>
    <cellStyle name="표준 5 2 2 3 2 3 2 3" xfId="24826" xr:uid="{00000000-0005-0000-0000-0000F4600000}"/>
    <cellStyle name="표준 5 2 2 3 2 3 2 3 2" xfId="24827" xr:uid="{00000000-0005-0000-0000-0000F5600000}"/>
    <cellStyle name="표준 5 2 2 3 2 3 2 4" xfId="24828" xr:uid="{00000000-0005-0000-0000-0000F6600000}"/>
    <cellStyle name="표준 5 2 2 3 2 3 3" xfId="24829" xr:uid="{00000000-0005-0000-0000-0000F7600000}"/>
    <cellStyle name="표준 5 2 2 3 2 3 3 2" xfId="24830" xr:uid="{00000000-0005-0000-0000-0000F8600000}"/>
    <cellStyle name="표준 5 2 2 3 2 3 3 2 2" xfId="24831" xr:uid="{00000000-0005-0000-0000-0000F9600000}"/>
    <cellStyle name="표준 5 2 2 3 2 3 3 3" xfId="24832" xr:uid="{00000000-0005-0000-0000-0000FA600000}"/>
    <cellStyle name="표준 5 2 2 3 2 3 4" xfId="24833" xr:uid="{00000000-0005-0000-0000-0000FB600000}"/>
    <cellStyle name="표준 5 2 2 3 2 3 4 2" xfId="24834" xr:uid="{00000000-0005-0000-0000-0000FC600000}"/>
    <cellStyle name="표준 5 2 2 3 2 3 5" xfId="24835" xr:uid="{00000000-0005-0000-0000-0000FD600000}"/>
    <cellStyle name="표준 5 2 2 3 2 4" xfId="24836" xr:uid="{00000000-0005-0000-0000-0000FE600000}"/>
    <cellStyle name="표준 5 2 2 3 2 4 2" xfId="24837" xr:uid="{00000000-0005-0000-0000-0000FF600000}"/>
    <cellStyle name="표준 5 2 2 3 2 4 2 2" xfId="24838" xr:uid="{00000000-0005-0000-0000-000000610000}"/>
    <cellStyle name="표준 5 2 2 3 2 4 2 2 2" xfId="24839" xr:uid="{00000000-0005-0000-0000-000001610000}"/>
    <cellStyle name="표준 5 2 2 3 2 4 2 3" xfId="24840" xr:uid="{00000000-0005-0000-0000-000002610000}"/>
    <cellStyle name="표준 5 2 2 3 2 4 3" xfId="24841" xr:uid="{00000000-0005-0000-0000-000003610000}"/>
    <cellStyle name="표준 5 2 2 3 2 4 3 2" xfId="24842" xr:uid="{00000000-0005-0000-0000-000004610000}"/>
    <cellStyle name="표준 5 2 2 3 2 4 4" xfId="24843" xr:uid="{00000000-0005-0000-0000-000005610000}"/>
    <cellStyle name="표준 5 2 2 3 2 5" xfId="24844" xr:uid="{00000000-0005-0000-0000-000006610000}"/>
    <cellStyle name="표준 5 2 2 3 2 5 2" xfId="24845" xr:uid="{00000000-0005-0000-0000-000007610000}"/>
    <cellStyle name="표준 5 2 2 3 2 5 2 2" xfId="24846" xr:uid="{00000000-0005-0000-0000-000008610000}"/>
    <cellStyle name="표준 5 2 2 3 2 5 3" xfId="24847" xr:uid="{00000000-0005-0000-0000-000009610000}"/>
    <cellStyle name="표준 5 2 2 3 2 6" xfId="24848" xr:uid="{00000000-0005-0000-0000-00000A610000}"/>
    <cellStyle name="표준 5 2 2 3 2 6 2" xfId="24849" xr:uid="{00000000-0005-0000-0000-00000B610000}"/>
    <cellStyle name="표준 5 2 2 3 2 7" xfId="24850" xr:uid="{00000000-0005-0000-0000-00000C610000}"/>
    <cellStyle name="표준 5 2 2 3 2 8" xfId="24851" xr:uid="{00000000-0005-0000-0000-00000D610000}"/>
    <cellStyle name="표준 5 2 2 3 3" xfId="24852" xr:uid="{00000000-0005-0000-0000-00000E610000}"/>
    <cellStyle name="표준 5 2 2 3 3 2" xfId="24853" xr:uid="{00000000-0005-0000-0000-00000F610000}"/>
    <cellStyle name="표준 5 2 2 3 3 2 2" xfId="24854" xr:uid="{00000000-0005-0000-0000-000010610000}"/>
    <cellStyle name="표준 5 2 2 3 3 2 2 2" xfId="24855" xr:uid="{00000000-0005-0000-0000-000011610000}"/>
    <cellStyle name="표준 5 2 2 3 3 2 2 2 2" xfId="24856" xr:uid="{00000000-0005-0000-0000-000012610000}"/>
    <cellStyle name="표준 5 2 2 3 3 2 2 2 2 2" xfId="24857" xr:uid="{00000000-0005-0000-0000-000013610000}"/>
    <cellStyle name="표준 5 2 2 3 3 2 2 2 3" xfId="24858" xr:uid="{00000000-0005-0000-0000-000014610000}"/>
    <cellStyle name="표준 5 2 2 3 3 2 2 3" xfId="24859" xr:uid="{00000000-0005-0000-0000-000015610000}"/>
    <cellStyle name="표준 5 2 2 3 3 2 2 3 2" xfId="24860" xr:uid="{00000000-0005-0000-0000-000016610000}"/>
    <cellStyle name="표준 5 2 2 3 3 2 2 4" xfId="24861" xr:uid="{00000000-0005-0000-0000-000017610000}"/>
    <cellStyle name="표준 5 2 2 3 3 2 3" xfId="24862" xr:uid="{00000000-0005-0000-0000-000018610000}"/>
    <cellStyle name="표준 5 2 2 3 3 2 3 2" xfId="24863" xr:uid="{00000000-0005-0000-0000-000019610000}"/>
    <cellStyle name="표준 5 2 2 3 3 2 3 2 2" xfId="24864" xr:uid="{00000000-0005-0000-0000-00001A610000}"/>
    <cellStyle name="표준 5 2 2 3 3 2 3 3" xfId="24865" xr:uid="{00000000-0005-0000-0000-00001B610000}"/>
    <cellStyle name="표준 5 2 2 3 3 2 4" xfId="24866" xr:uid="{00000000-0005-0000-0000-00001C610000}"/>
    <cellStyle name="표준 5 2 2 3 3 2 4 2" xfId="24867" xr:uid="{00000000-0005-0000-0000-00001D610000}"/>
    <cellStyle name="표준 5 2 2 3 3 2 5" xfId="24868" xr:uid="{00000000-0005-0000-0000-00001E610000}"/>
    <cellStyle name="표준 5 2 2 3 3 3" xfId="24869" xr:uid="{00000000-0005-0000-0000-00001F610000}"/>
    <cellStyle name="표준 5 2 2 3 3 3 2" xfId="24870" xr:uid="{00000000-0005-0000-0000-000020610000}"/>
    <cellStyle name="표준 5 2 2 3 3 3 2 2" xfId="24871" xr:uid="{00000000-0005-0000-0000-000021610000}"/>
    <cellStyle name="표준 5 2 2 3 3 3 2 2 2" xfId="24872" xr:uid="{00000000-0005-0000-0000-000022610000}"/>
    <cellStyle name="표준 5 2 2 3 3 3 2 3" xfId="24873" xr:uid="{00000000-0005-0000-0000-000023610000}"/>
    <cellStyle name="표준 5 2 2 3 3 3 3" xfId="24874" xr:uid="{00000000-0005-0000-0000-000024610000}"/>
    <cellStyle name="표준 5 2 2 3 3 3 3 2" xfId="24875" xr:uid="{00000000-0005-0000-0000-000025610000}"/>
    <cellStyle name="표준 5 2 2 3 3 3 4" xfId="24876" xr:uid="{00000000-0005-0000-0000-000026610000}"/>
    <cellStyle name="표준 5 2 2 3 3 4" xfId="24877" xr:uid="{00000000-0005-0000-0000-000027610000}"/>
    <cellStyle name="표준 5 2 2 3 3 4 2" xfId="24878" xr:uid="{00000000-0005-0000-0000-000028610000}"/>
    <cellStyle name="표준 5 2 2 3 3 4 2 2" xfId="24879" xr:uid="{00000000-0005-0000-0000-000029610000}"/>
    <cellStyle name="표준 5 2 2 3 3 4 3" xfId="24880" xr:uid="{00000000-0005-0000-0000-00002A610000}"/>
    <cellStyle name="표준 5 2 2 3 3 5" xfId="24881" xr:uid="{00000000-0005-0000-0000-00002B610000}"/>
    <cellStyle name="표준 5 2 2 3 3 5 2" xfId="24882" xr:uid="{00000000-0005-0000-0000-00002C610000}"/>
    <cellStyle name="표준 5 2 2 3 3 6" xfId="24883" xr:uid="{00000000-0005-0000-0000-00002D610000}"/>
    <cellStyle name="표준 5 2 2 3 4" xfId="24884" xr:uid="{00000000-0005-0000-0000-00002E610000}"/>
    <cellStyle name="표준 5 2 2 3 4 2" xfId="24885" xr:uid="{00000000-0005-0000-0000-00002F610000}"/>
    <cellStyle name="표준 5 2 2 3 4 2 2" xfId="24886" xr:uid="{00000000-0005-0000-0000-000030610000}"/>
    <cellStyle name="표준 5 2 2 3 4 2 2 2" xfId="24887" xr:uid="{00000000-0005-0000-0000-000031610000}"/>
    <cellStyle name="표준 5 2 2 3 4 2 2 2 2" xfId="24888" xr:uid="{00000000-0005-0000-0000-000032610000}"/>
    <cellStyle name="표준 5 2 2 3 4 2 2 3" xfId="24889" xr:uid="{00000000-0005-0000-0000-000033610000}"/>
    <cellStyle name="표준 5 2 2 3 4 2 3" xfId="24890" xr:uid="{00000000-0005-0000-0000-000034610000}"/>
    <cellStyle name="표준 5 2 2 3 4 2 3 2" xfId="24891" xr:uid="{00000000-0005-0000-0000-000035610000}"/>
    <cellStyle name="표준 5 2 2 3 4 2 4" xfId="24892" xr:uid="{00000000-0005-0000-0000-000036610000}"/>
    <cellStyle name="표준 5 2 2 3 4 3" xfId="24893" xr:uid="{00000000-0005-0000-0000-000037610000}"/>
    <cellStyle name="표준 5 2 2 3 4 3 2" xfId="24894" xr:uid="{00000000-0005-0000-0000-000038610000}"/>
    <cellStyle name="표준 5 2 2 3 4 3 2 2" xfId="24895" xr:uid="{00000000-0005-0000-0000-000039610000}"/>
    <cellStyle name="표준 5 2 2 3 4 3 3" xfId="24896" xr:uid="{00000000-0005-0000-0000-00003A610000}"/>
    <cellStyle name="표준 5 2 2 3 4 4" xfId="24897" xr:uid="{00000000-0005-0000-0000-00003B610000}"/>
    <cellStyle name="표준 5 2 2 3 4 4 2" xfId="24898" xr:uid="{00000000-0005-0000-0000-00003C610000}"/>
    <cellStyle name="표준 5 2 2 3 4 5" xfId="24899" xr:uid="{00000000-0005-0000-0000-00003D610000}"/>
    <cellStyle name="표준 5 2 2 3 5" xfId="24900" xr:uid="{00000000-0005-0000-0000-00003E610000}"/>
    <cellStyle name="표준 5 2 2 3 5 2" xfId="24901" xr:uid="{00000000-0005-0000-0000-00003F610000}"/>
    <cellStyle name="표준 5 2 2 3 5 2 2" xfId="24902" xr:uid="{00000000-0005-0000-0000-000040610000}"/>
    <cellStyle name="표준 5 2 2 3 5 2 2 2" xfId="24903" xr:uid="{00000000-0005-0000-0000-000041610000}"/>
    <cellStyle name="표준 5 2 2 3 5 2 3" xfId="24904" xr:uid="{00000000-0005-0000-0000-000042610000}"/>
    <cellStyle name="표준 5 2 2 3 5 3" xfId="24905" xr:uid="{00000000-0005-0000-0000-000043610000}"/>
    <cellStyle name="표준 5 2 2 3 5 3 2" xfId="24906" xr:uid="{00000000-0005-0000-0000-000044610000}"/>
    <cellStyle name="표준 5 2 2 3 5 4" xfId="24907" xr:uid="{00000000-0005-0000-0000-000045610000}"/>
    <cellStyle name="표준 5 2 2 3 6" xfId="24908" xr:uid="{00000000-0005-0000-0000-000046610000}"/>
    <cellStyle name="표준 5 2 2 3 6 2" xfId="24909" xr:uid="{00000000-0005-0000-0000-000047610000}"/>
    <cellStyle name="표준 5 2 2 3 6 2 2" xfId="24910" xr:uid="{00000000-0005-0000-0000-000048610000}"/>
    <cellStyle name="표준 5 2 2 3 6 3" xfId="24911" xr:uid="{00000000-0005-0000-0000-000049610000}"/>
    <cellStyle name="표준 5 2 2 3 7" xfId="24912" xr:uid="{00000000-0005-0000-0000-00004A610000}"/>
    <cellStyle name="표준 5 2 2 3 7 2" xfId="24913" xr:uid="{00000000-0005-0000-0000-00004B610000}"/>
    <cellStyle name="표준 5 2 2 3 8" xfId="24914" xr:uid="{00000000-0005-0000-0000-00004C610000}"/>
    <cellStyle name="표준 5 2 2 3 9" xfId="24915" xr:uid="{00000000-0005-0000-0000-00004D610000}"/>
    <cellStyle name="표준 5 2 2 4" xfId="24916" xr:uid="{00000000-0005-0000-0000-00004E610000}"/>
    <cellStyle name="표준 5 2 2 4 2" xfId="24917" xr:uid="{00000000-0005-0000-0000-00004F610000}"/>
    <cellStyle name="표준 5 2 2 4 2 2" xfId="24918" xr:uid="{00000000-0005-0000-0000-000050610000}"/>
    <cellStyle name="표준 5 2 2 4 2 2 2" xfId="24919" xr:uid="{00000000-0005-0000-0000-000051610000}"/>
    <cellStyle name="표준 5 2 2 4 2 2 2 2" xfId="24920" xr:uid="{00000000-0005-0000-0000-000052610000}"/>
    <cellStyle name="표준 5 2 2 4 2 2 2 2 2" xfId="24921" xr:uid="{00000000-0005-0000-0000-000053610000}"/>
    <cellStyle name="표준 5 2 2 4 2 2 2 2 2 2" xfId="24922" xr:uid="{00000000-0005-0000-0000-000054610000}"/>
    <cellStyle name="표준 5 2 2 4 2 2 2 2 3" xfId="24923" xr:uid="{00000000-0005-0000-0000-000055610000}"/>
    <cellStyle name="표준 5 2 2 4 2 2 2 3" xfId="24924" xr:uid="{00000000-0005-0000-0000-000056610000}"/>
    <cellStyle name="표준 5 2 2 4 2 2 2 3 2" xfId="24925" xr:uid="{00000000-0005-0000-0000-000057610000}"/>
    <cellStyle name="표준 5 2 2 4 2 2 2 4" xfId="24926" xr:uid="{00000000-0005-0000-0000-000058610000}"/>
    <cellStyle name="표준 5 2 2 4 2 2 3" xfId="24927" xr:uid="{00000000-0005-0000-0000-000059610000}"/>
    <cellStyle name="표준 5 2 2 4 2 2 3 2" xfId="24928" xr:uid="{00000000-0005-0000-0000-00005A610000}"/>
    <cellStyle name="표준 5 2 2 4 2 2 3 2 2" xfId="24929" xr:uid="{00000000-0005-0000-0000-00005B610000}"/>
    <cellStyle name="표준 5 2 2 4 2 2 3 3" xfId="24930" xr:uid="{00000000-0005-0000-0000-00005C610000}"/>
    <cellStyle name="표준 5 2 2 4 2 2 4" xfId="24931" xr:uid="{00000000-0005-0000-0000-00005D610000}"/>
    <cellStyle name="표준 5 2 2 4 2 2 4 2" xfId="24932" xr:uid="{00000000-0005-0000-0000-00005E610000}"/>
    <cellStyle name="표준 5 2 2 4 2 2 5" xfId="24933" xr:uid="{00000000-0005-0000-0000-00005F610000}"/>
    <cellStyle name="표준 5 2 2 4 2 3" xfId="24934" xr:uid="{00000000-0005-0000-0000-000060610000}"/>
    <cellStyle name="표준 5 2 2 4 2 3 2" xfId="24935" xr:uid="{00000000-0005-0000-0000-000061610000}"/>
    <cellStyle name="표준 5 2 2 4 2 3 2 2" xfId="24936" xr:uid="{00000000-0005-0000-0000-000062610000}"/>
    <cellStyle name="표준 5 2 2 4 2 3 2 2 2" xfId="24937" xr:uid="{00000000-0005-0000-0000-000063610000}"/>
    <cellStyle name="표준 5 2 2 4 2 3 2 3" xfId="24938" xr:uid="{00000000-0005-0000-0000-000064610000}"/>
    <cellStyle name="표준 5 2 2 4 2 3 3" xfId="24939" xr:uid="{00000000-0005-0000-0000-000065610000}"/>
    <cellStyle name="표준 5 2 2 4 2 3 3 2" xfId="24940" xr:uid="{00000000-0005-0000-0000-000066610000}"/>
    <cellStyle name="표준 5 2 2 4 2 3 4" xfId="24941" xr:uid="{00000000-0005-0000-0000-000067610000}"/>
    <cellStyle name="표준 5 2 2 4 2 4" xfId="24942" xr:uid="{00000000-0005-0000-0000-000068610000}"/>
    <cellStyle name="표준 5 2 2 4 2 4 2" xfId="24943" xr:uid="{00000000-0005-0000-0000-000069610000}"/>
    <cellStyle name="표준 5 2 2 4 2 4 2 2" xfId="24944" xr:uid="{00000000-0005-0000-0000-00006A610000}"/>
    <cellStyle name="표준 5 2 2 4 2 4 3" xfId="24945" xr:uid="{00000000-0005-0000-0000-00006B610000}"/>
    <cellStyle name="표준 5 2 2 4 2 5" xfId="24946" xr:uid="{00000000-0005-0000-0000-00006C610000}"/>
    <cellStyle name="표준 5 2 2 4 2 5 2" xfId="24947" xr:uid="{00000000-0005-0000-0000-00006D610000}"/>
    <cellStyle name="표준 5 2 2 4 2 6" xfId="24948" xr:uid="{00000000-0005-0000-0000-00006E610000}"/>
    <cellStyle name="표준 5 2 2 4 3" xfId="24949" xr:uid="{00000000-0005-0000-0000-00006F610000}"/>
    <cellStyle name="표준 5 2 2 4 3 2" xfId="24950" xr:uid="{00000000-0005-0000-0000-000070610000}"/>
    <cellStyle name="표준 5 2 2 4 3 2 2" xfId="24951" xr:uid="{00000000-0005-0000-0000-000071610000}"/>
    <cellStyle name="표준 5 2 2 4 3 2 2 2" xfId="24952" xr:uid="{00000000-0005-0000-0000-000072610000}"/>
    <cellStyle name="표준 5 2 2 4 3 2 2 2 2" xfId="24953" xr:uid="{00000000-0005-0000-0000-000073610000}"/>
    <cellStyle name="표준 5 2 2 4 3 2 2 3" xfId="24954" xr:uid="{00000000-0005-0000-0000-000074610000}"/>
    <cellStyle name="표준 5 2 2 4 3 2 3" xfId="24955" xr:uid="{00000000-0005-0000-0000-000075610000}"/>
    <cellStyle name="표준 5 2 2 4 3 2 3 2" xfId="24956" xr:uid="{00000000-0005-0000-0000-000076610000}"/>
    <cellStyle name="표준 5 2 2 4 3 2 4" xfId="24957" xr:uid="{00000000-0005-0000-0000-000077610000}"/>
    <cellStyle name="표준 5 2 2 4 3 3" xfId="24958" xr:uid="{00000000-0005-0000-0000-000078610000}"/>
    <cellStyle name="표준 5 2 2 4 3 3 2" xfId="24959" xr:uid="{00000000-0005-0000-0000-000079610000}"/>
    <cellStyle name="표준 5 2 2 4 3 3 2 2" xfId="24960" xr:uid="{00000000-0005-0000-0000-00007A610000}"/>
    <cellStyle name="표준 5 2 2 4 3 3 3" xfId="24961" xr:uid="{00000000-0005-0000-0000-00007B610000}"/>
    <cellStyle name="표준 5 2 2 4 3 4" xfId="24962" xr:uid="{00000000-0005-0000-0000-00007C610000}"/>
    <cellStyle name="표준 5 2 2 4 3 4 2" xfId="24963" xr:uid="{00000000-0005-0000-0000-00007D610000}"/>
    <cellStyle name="표준 5 2 2 4 3 5" xfId="24964" xr:uid="{00000000-0005-0000-0000-00007E610000}"/>
    <cellStyle name="표준 5 2 2 4 4" xfId="24965" xr:uid="{00000000-0005-0000-0000-00007F610000}"/>
    <cellStyle name="표준 5 2 2 4 4 2" xfId="24966" xr:uid="{00000000-0005-0000-0000-000080610000}"/>
    <cellStyle name="표준 5 2 2 4 4 2 2" xfId="24967" xr:uid="{00000000-0005-0000-0000-000081610000}"/>
    <cellStyle name="표준 5 2 2 4 4 2 2 2" xfId="24968" xr:uid="{00000000-0005-0000-0000-000082610000}"/>
    <cellStyle name="표준 5 2 2 4 4 2 3" xfId="24969" xr:uid="{00000000-0005-0000-0000-000083610000}"/>
    <cellStyle name="표준 5 2 2 4 4 3" xfId="24970" xr:uid="{00000000-0005-0000-0000-000084610000}"/>
    <cellStyle name="표준 5 2 2 4 4 3 2" xfId="24971" xr:uid="{00000000-0005-0000-0000-000085610000}"/>
    <cellStyle name="표준 5 2 2 4 4 4" xfId="24972" xr:uid="{00000000-0005-0000-0000-000086610000}"/>
    <cellStyle name="표준 5 2 2 4 5" xfId="24973" xr:uid="{00000000-0005-0000-0000-000087610000}"/>
    <cellStyle name="표준 5 2 2 4 5 2" xfId="24974" xr:uid="{00000000-0005-0000-0000-000088610000}"/>
    <cellStyle name="표준 5 2 2 4 5 2 2" xfId="24975" xr:uid="{00000000-0005-0000-0000-000089610000}"/>
    <cellStyle name="표준 5 2 2 4 5 3" xfId="24976" xr:uid="{00000000-0005-0000-0000-00008A610000}"/>
    <cellStyle name="표준 5 2 2 4 6" xfId="24977" xr:uid="{00000000-0005-0000-0000-00008B610000}"/>
    <cellStyle name="표준 5 2 2 4 6 2" xfId="24978" xr:uid="{00000000-0005-0000-0000-00008C610000}"/>
    <cellStyle name="표준 5 2 2 4 7" xfId="24979" xr:uid="{00000000-0005-0000-0000-00008D610000}"/>
    <cellStyle name="표준 5 2 2 4 8" xfId="24980" xr:uid="{00000000-0005-0000-0000-00008E610000}"/>
    <cellStyle name="표준 5 2 2 5" xfId="24981" xr:uid="{00000000-0005-0000-0000-00008F610000}"/>
    <cellStyle name="표준 5 2 2 5 2" xfId="24982" xr:uid="{00000000-0005-0000-0000-000090610000}"/>
    <cellStyle name="표준 5 2 2 5 2 2" xfId="24983" xr:uid="{00000000-0005-0000-0000-000091610000}"/>
    <cellStyle name="표준 5 2 2 5 2 2 2" xfId="24984" xr:uid="{00000000-0005-0000-0000-000092610000}"/>
    <cellStyle name="표준 5 2 2 5 2 2 2 2" xfId="24985" xr:uid="{00000000-0005-0000-0000-000093610000}"/>
    <cellStyle name="표준 5 2 2 5 2 2 2 2 2" xfId="24986" xr:uid="{00000000-0005-0000-0000-000094610000}"/>
    <cellStyle name="표준 5 2 2 5 2 2 2 3" xfId="24987" xr:uid="{00000000-0005-0000-0000-000095610000}"/>
    <cellStyle name="표준 5 2 2 5 2 2 3" xfId="24988" xr:uid="{00000000-0005-0000-0000-000096610000}"/>
    <cellStyle name="표준 5 2 2 5 2 2 3 2" xfId="24989" xr:uid="{00000000-0005-0000-0000-000097610000}"/>
    <cellStyle name="표준 5 2 2 5 2 2 4" xfId="24990" xr:uid="{00000000-0005-0000-0000-000098610000}"/>
    <cellStyle name="표준 5 2 2 5 2 3" xfId="24991" xr:uid="{00000000-0005-0000-0000-000099610000}"/>
    <cellStyle name="표준 5 2 2 5 2 3 2" xfId="24992" xr:uid="{00000000-0005-0000-0000-00009A610000}"/>
    <cellStyle name="표준 5 2 2 5 2 3 2 2" xfId="24993" xr:uid="{00000000-0005-0000-0000-00009B610000}"/>
    <cellStyle name="표준 5 2 2 5 2 3 3" xfId="24994" xr:uid="{00000000-0005-0000-0000-00009C610000}"/>
    <cellStyle name="표준 5 2 2 5 2 4" xfId="24995" xr:uid="{00000000-0005-0000-0000-00009D610000}"/>
    <cellStyle name="표준 5 2 2 5 2 4 2" xfId="24996" xr:uid="{00000000-0005-0000-0000-00009E610000}"/>
    <cellStyle name="표준 5 2 2 5 2 5" xfId="24997" xr:uid="{00000000-0005-0000-0000-00009F610000}"/>
    <cellStyle name="표준 5 2 2 5 3" xfId="24998" xr:uid="{00000000-0005-0000-0000-0000A0610000}"/>
    <cellStyle name="표준 5 2 2 5 3 2" xfId="24999" xr:uid="{00000000-0005-0000-0000-0000A1610000}"/>
    <cellStyle name="표준 5 2 2 5 3 2 2" xfId="25000" xr:uid="{00000000-0005-0000-0000-0000A2610000}"/>
    <cellStyle name="표준 5 2 2 5 3 2 2 2" xfId="25001" xr:uid="{00000000-0005-0000-0000-0000A3610000}"/>
    <cellStyle name="표준 5 2 2 5 3 2 3" xfId="25002" xr:uid="{00000000-0005-0000-0000-0000A4610000}"/>
    <cellStyle name="표준 5 2 2 5 3 3" xfId="25003" xr:uid="{00000000-0005-0000-0000-0000A5610000}"/>
    <cellStyle name="표준 5 2 2 5 3 3 2" xfId="25004" xr:uid="{00000000-0005-0000-0000-0000A6610000}"/>
    <cellStyle name="표준 5 2 2 5 3 4" xfId="25005" xr:uid="{00000000-0005-0000-0000-0000A7610000}"/>
    <cellStyle name="표준 5 2 2 5 4" xfId="25006" xr:uid="{00000000-0005-0000-0000-0000A8610000}"/>
    <cellStyle name="표준 5 2 2 5 4 2" xfId="25007" xr:uid="{00000000-0005-0000-0000-0000A9610000}"/>
    <cellStyle name="표준 5 2 2 5 4 2 2" xfId="25008" xr:uid="{00000000-0005-0000-0000-0000AA610000}"/>
    <cellStyle name="표준 5 2 2 5 4 3" xfId="25009" xr:uid="{00000000-0005-0000-0000-0000AB610000}"/>
    <cellStyle name="표준 5 2 2 5 5" xfId="25010" xr:uid="{00000000-0005-0000-0000-0000AC610000}"/>
    <cellStyle name="표준 5 2 2 5 5 2" xfId="25011" xr:uid="{00000000-0005-0000-0000-0000AD610000}"/>
    <cellStyle name="표준 5 2 2 5 6" xfId="25012" xr:uid="{00000000-0005-0000-0000-0000AE610000}"/>
    <cellStyle name="표준 5 2 2 6" xfId="25013" xr:uid="{00000000-0005-0000-0000-0000AF610000}"/>
    <cellStyle name="표준 5 2 2 6 2" xfId="25014" xr:uid="{00000000-0005-0000-0000-0000B0610000}"/>
    <cellStyle name="표준 5 2 2 6 2 2" xfId="25015" xr:uid="{00000000-0005-0000-0000-0000B1610000}"/>
    <cellStyle name="표준 5 2 2 6 2 2 2" xfId="25016" xr:uid="{00000000-0005-0000-0000-0000B2610000}"/>
    <cellStyle name="표준 5 2 2 6 2 2 2 2" xfId="25017" xr:uid="{00000000-0005-0000-0000-0000B3610000}"/>
    <cellStyle name="표준 5 2 2 6 2 2 3" xfId="25018" xr:uid="{00000000-0005-0000-0000-0000B4610000}"/>
    <cellStyle name="표준 5 2 2 6 2 3" xfId="25019" xr:uid="{00000000-0005-0000-0000-0000B5610000}"/>
    <cellStyle name="표준 5 2 2 6 2 3 2" xfId="25020" xr:uid="{00000000-0005-0000-0000-0000B6610000}"/>
    <cellStyle name="표준 5 2 2 6 2 4" xfId="25021" xr:uid="{00000000-0005-0000-0000-0000B7610000}"/>
    <cellStyle name="표준 5 2 2 6 3" xfId="25022" xr:uid="{00000000-0005-0000-0000-0000B8610000}"/>
    <cellStyle name="표준 5 2 2 6 3 2" xfId="25023" xr:uid="{00000000-0005-0000-0000-0000B9610000}"/>
    <cellStyle name="표준 5 2 2 6 3 2 2" xfId="25024" xr:uid="{00000000-0005-0000-0000-0000BA610000}"/>
    <cellStyle name="표준 5 2 2 6 3 3" xfId="25025" xr:uid="{00000000-0005-0000-0000-0000BB610000}"/>
    <cellStyle name="표준 5 2 2 6 4" xfId="25026" xr:uid="{00000000-0005-0000-0000-0000BC610000}"/>
    <cellStyle name="표준 5 2 2 6 4 2" xfId="25027" xr:uid="{00000000-0005-0000-0000-0000BD610000}"/>
    <cellStyle name="표준 5 2 2 6 5" xfId="25028" xr:uid="{00000000-0005-0000-0000-0000BE610000}"/>
    <cellStyle name="표준 5 2 2 7" xfId="25029" xr:uid="{00000000-0005-0000-0000-0000BF610000}"/>
    <cellStyle name="표준 5 2 2 7 2" xfId="25030" xr:uid="{00000000-0005-0000-0000-0000C0610000}"/>
    <cellStyle name="표준 5 2 2 7 2 2" xfId="25031" xr:uid="{00000000-0005-0000-0000-0000C1610000}"/>
    <cellStyle name="표준 5 2 2 7 2 2 2" xfId="25032" xr:uid="{00000000-0005-0000-0000-0000C2610000}"/>
    <cellStyle name="표준 5 2 2 7 2 3" xfId="25033" xr:uid="{00000000-0005-0000-0000-0000C3610000}"/>
    <cellStyle name="표준 5 2 2 7 3" xfId="25034" xr:uid="{00000000-0005-0000-0000-0000C4610000}"/>
    <cellStyle name="표준 5 2 2 7 3 2" xfId="25035" xr:uid="{00000000-0005-0000-0000-0000C5610000}"/>
    <cellStyle name="표준 5 2 2 7 4" xfId="25036" xr:uid="{00000000-0005-0000-0000-0000C6610000}"/>
    <cellStyle name="표준 5 2 2 8" xfId="25037" xr:uid="{00000000-0005-0000-0000-0000C7610000}"/>
    <cellStyle name="표준 5 2 2 8 2" xfId="25038" xr:uid="{00000000-0005-0000-0000-0000C8610000}"/>
    <cellStyle name="표준 5 2 2 8 2 2" xfId="25039" xr:uid="{00000000-0005-0000-0000-0000C9610000}"/>
    <cellStyle name="표준 5 2 2 8 3" xfId="25040" xr:uid="{00000000-0005-0000-0000-0000CA610000}"/>
    <cellStyle name="표준 5 2 2 9" xfId="25041" xr:uid="{00000000-0005-0000-0000-0000CB610000}"/>
    <cellStyle name="표준 5 2 2 9 2" xfId="25042" xr:uid="{00000000-0005-0000-0000-0000CC610000}"/>
    <cellStyle name="표준 5 2 3" xfId="25043" xr:uid="{00000000-0005-0000-0000-0000CD610000}"/>
    <cellStyle name="표준 5 2 3 10" xfId="25044" xr:uid="{00000000-0005-0000-0000-0000CE610000}"/>
    <cellStyle name="표준 5 2 3 2" xfId="25045" xr:uid="{00000000-0005-0000-0000-0000CF610000}"/>
    <cellStyle name="표준 5 2 3 2 2" xfId="25046" xr:uid="{00000000-0005-0000-0000-0000D0610000}"/>
    <cellStyle name="표준 5 2 3 2 2 2" xfId="25047" xr:uid="{00000000-0005-0000-0000-0000D1610000}"/>
    <cellStyle name="표준 5 2 3 2 2 2 2" xfId="25048" xr:uid="{00000000-0005-0000-0000-0000D2610000}"/>
    <cellStyle name="표준 5 2 3 2 2 2 2 2" xfId="25049" xr:uid="{00000000-0005-0000-0000-0000D3610000}"/>
    <cellStyle name="표준 5 2 3 2 2 2 2 2 2" xfId="25050" xr:uid="{00000000-0005-0000-0000-0000D4610000}"/>
    <cellStyle name="표준 5 2 3 2 2 2 2 2 2 2" xfId="25051" xr:uid="{00000000-0005-0000-0000-0000D5610000}"/>
    <cellStyle name="표준 5 2 3 2 2 2 2 2 2 2 2" xfId="25052" xr:uid="{00000000-0005-0000-0000-0000D6610000}"/>
    <cellStyle name="표준 5 2 3 2 2 2 2 2 2 3" xfId="25053" xr:uid="{00000000-0005-0000-0000-0000D7610000}"/>
    <cellStyle name="표준 5 2 3 2 2 2 2 2 3" xfId="25054" xr:uid="{00000000-0005-0000-0000-0000D8610000}"/>
    <cellStyle name="표준 5 2 3 2 2 2 2 2 3 2" xfId="25055" xr:uid="{00000000-0005-0000-0000-0000D9610000}"/>
    <cellStyle name="표준 5 2 3 2 2 2 2 2 4" xfId="25056" xr:uid="{00000000-0005-0000-0000-0000DA610000}"/>
    <cellStyle name="표준 5 2 3 2 2 2 2 3" xfId="25057" xr:uid="{00000000-0005-0000-0000-0000DB610000}"/>
    <cellStyle name="표준 5 2 3 2 2 2 2 3 2" xfId="25058" xr:uid="{00000000-0005-0000-0000-0000DC610000}"/>
    <cellStyle name="표준 5 2 3 2 2 2 2 3 2 2" xfId="25059" xr:uid="{00000000-0005-0000-0000-0000DD610000}"/>
    <cellStyle name="표준 5 2 3 2 2 2 2 3 3" xfId="25060" xr:uid="{00000000-0005-0000-0000-0000DE610000}"/>
    <cellStyle name="표준 5 2 3 2 2 2 2 4" xfId="25061" xr:uid="{00000000-0005-0000-0000-0000DF610000}"/>
    <cellStyle name="표준 5 2 3 2 2 2 2 4 2" xfId="25062" xr:uid="{00000000-0005-0000-0000-0000E0610000}"/>
    <cellStyle name="표준 5 2 3 2 2 2 2 5" xfId="25063" xr:uid="{00000000-0005-0000-0000-0000E1610000}"/>
    <cellStyle name="표준 5 2 3 2 2 2 3" xfId="25064" xr:uid="{00000000-0005-0000-0000-0000E2610000}"/>
    <cellStyle name="표준 5 2 3 2 2 2 3 2" xfId="25065" xr:uid="{00000000-0005-0000-0000-0000E3610000}"/>
    <cellStyle name="표준 5 2 3 2 2 2 3 2 2" xfId="25066" xr:uid="{00000000-0005-0000-0000-0000E4610000}"/>
    <cellStyle name="표준 5 2 3 2 2 2 3 2 2 2" xfId="25067" xr:uid="{00000000-0005-0000-0000-0000E5610000}"/>
    <cellStyle name="표준 5 2 3 2 2 2 3 2 3" xfId="25068" xr:uid="{00000000-0005-0000-0000-0000E6610000}"/>
    <cellStyle name="표준 5 2 3 2 2 2 3 3" xfId="25069" xr:uid="{00000000-0005-0000-0000-0000E7610000}"/>
    <cellStyle name="표준 5 2 3 2 2 2 3 3 2" xfId="25070" xr:uid="{00000000-0005-0000-0000-0000E8610000}"/>
    <cellStyle name="표준 5 2 3 2 2 2 3 4" xfId="25071" xr:uid="{00000000-0005-0000-0000-0000E9610000}"/>
    <cellStyle name="표준 5 2 3 2 2 2 4" xfId="25072" xr:uid="{00000000-0005-0000-0000-0000EA610000}"/>
    <cellStyle name="표준 5 2 3 2 2 2 4 2" xfId="25073" xr:uid="{00000000-0005-0000-0000-0000EB610000}"/>
    <cellStyle name="표준 5 2 3 2 2 2 4 2 2" xfId="25074" xr:uid="{00000000-0005-0000-0000-0000EC610000}"/>
    <cellStyle name="표준 5 2 3 2 2 2 4 3" xfId="25075" xr:uid="{00000000-0005-0000-0000-0000ED610000}"/>
    <cellStyle name="표준 5 2 3 2 2 2 5" xfId="25076" xr:uid="{00000000-0005-0000-0000-0000EE610000}"/>
    <cellStyle name="표준 5 2 3 2 2 2 5 2" xfId="25077" xr:uid="{00000000-0005-0000-0000-0000EF610000}"/>
    <cellStyle name="표준 5 2 3 2 2 2 6" xfId="25078" xr:uid="{00000000-0005-0000-0000-0000F0610000}"/>
    <cellStyle name="표준 5 2 3 2 2 3" xfId="25079" xr:uid="{00000000-0005-0000-0000-0000F1610000}"/>
    <cellStyle name="표준 5 2 3 2 2 3 2" xfId="25080" xr:uid="{00000000-0005-0000-0000-0000F2610000}"/>
    <cellStyle name="표준 5 2 3 2 2 3 2 2" xfId="25081" xr:uid="{00000000-0005-0000-0000-0000F3610000}"/>
    <cellStyle name="표준 5 2 3 2 2 3 2 2 2" xfId="25082" xr:uid="{00000000-0005-0000-0000-0000F4610000}"/>
    <cellStyle name="표준 5 2 3 2 2 3 2 2 2 2" xfId="25083" xr:uid="{00000000-0005-0000-0000-0000F5610000}"/>
    <cellStyle name="표준 5 2 3 2 2 3 2 2 3" xfId="25084" xr:uid="{00000000-0005-0000-0000-0000F6610000}"/>
    <cellStyle name="표준 5 2 3 2 2 3 2 3" xfId="25085" xr:uid="{00000000-0005-0000-0000-0000F7610000}"/>
    <cellStyle name="표준 5 2 3 2 2 3 2 3 2" xfId="25086" xr:uid="{00000000-0005-0000-0000-0000F8610000}"/>
    <cellStyle name="표준 5 2 3 2 2 3 2 4" xfId="25087" xr:uid="{00000000-0005-0000-0000-0000F9610000}"/>
    <cellStyle name="표준 5 2 3 2 2 3 3" xfId="25088" xr:uid="{00000000-0005-0000-0000-0000FA610000}"/>
    <cellStyle name="표준 5 2 3 2 2 3 3 2" xfId="25089" xr:uid="{00000000-0005-0000-0000-0000FB610000}"/>
    <cellStyle name="표준 5 2 3 2 2 3 3 2 2" xfId="25090" xr:uid="{00000000-0005-0000-0000-0000FC610000}"/>
    <cellStyle name="표준 5 2 3 2 2 3 3 3" xfId="25091" xr:uid="{00000000-0005-0000-0000-0000FD610000}"/>
    <cellStyle name="표준 5 2 3 2 2 3 4" xfId="25092" xr:uid="{00000000-0005-0000-0000-0000FE610000}"/>
    <cellStyle name="표준 5 2 3 2 2 3 4 2" xfId="25093" xr:uid="{00000000-0005-0000-0000-0000FF610000}"/>
    <cellStyle name="표준 5 2 3 2 2 3 5" xfId="25094" xr:uid="{00000000-0005-0000-0000-000000620000}"/>
    <cellStyle name="표준 5 2 3 2 2 4" xfId="25095" xr:uid="{00000000-0005-0000-0000-000001620000}"/>
    <cellStyle name="표준 5 2 3 2 2 4 2" xfId="25096" xr:uid="{00000000-0005-0000-0000-000002620000}"/>
    <cellStyle name="표준 5 2 3 2 2 4 2 2" xfId="25097" xr:uid="{00000000-0005-0000-0000-000003620000}"/>
    <cellStyle name="표준 5 2 3 2 2 4 2 2 2" xfId="25098" xr:uid="{00000000-0005-0000-0000-000004620000}"/>
    <cellStyle name="표준 5 2 3 2 2 4 2 3" xfId="25099" xr:uid="{00000000-0005-0000-0000-000005620000}"/>
    <cellStyle name="표준 5 2 3 2 2 4 3" xfId="25100" xr:uid="{00000000-0005-0000-0000-000006620000}"/>
    <cellStyle name="표준 5 2 3 2 2 4 3 2" xfId="25101" xr:uid="{00000000-0005-0000-0000-000007620000}"/>
    <cellStyle name="표준 5 2 3 2 2 4 4" xfId="25102" xr:uid="{00000000-0005-0000-0000-000008620000}"/>
    <cellStyle name="표준 5 2 3 2 2 5" xfId="25103" xr:uid="{00000000-0005-0000-0000-000009620000}"/>
    <cellStyle name="표준 5 2 3 2 2 5 2" xfId="25104" xr:uid="{00000000-0005-0000-0000-00000A620000}"/>
    <cellStyle name="표준 5 2 3 2 2 5 2 2" xfId="25105" xr:uid="{00000000-0005-0000-0000-00000B620000}"/>
    <cellStyle name="표준 5 2 3 2 2 5 3" xfId="25106" xr:uid="{00000000-0005-0000-0000-00000C620000}"/>
    <cellStyle name="표준 5 2 3 2 2 6" xfId="25107" xr:uid="{00000000-0005-0000-0000-00000D620000}"/>
    <cellStyle name="표준 5 2 3 2 2 6 2" xfId="25108" xr:uid="{00000000-0005-0000-0000-00000E620000}"/>
    <cellStyle name="표준 5 2 3 2 2 7" xfId="25109" xr:uid="{00000000-0005-0000-0000-00000F620000}"/>
    <cellStyle name="표준 5 2 3 2 2 8" xfId="25110" xr:uid="{00000000-0005-0000-0000-000010620000}"/>
    <cellStyle name="표준 5 2 3 2 3" xfId="25111" xr:uid="{00000000-0005-0000-0000-000011620000}"/>
    <cellStyle name="표준 5 2 3 2 3 2" xfId="25112" xr:uid="{00000000-0005-0000-0000-000012620000}"/>
    <cellStyle name="표준 5 2 3 2 3 2 2" xfId="25113" xr:uid="{00000000-0005-0000-0000-000013620000}"/>
    <cellStyle name="표준 5 2 3 2 3 2 2 2" xfId="25114" xr:uid="{00000000-0005-0000-0000-000014620000}"/>
    <cellStyle name="표준 5 2 3 2 3 2 2 2 2" xfId="25115" xr:uid="{00000000-0005-0000-0000-000015620000}"/>
    <cellStyle name="표준 5 2 3 2 3 2 2 2 2 2" xfId="25116" xr:uid="{00000000-0005-0000-0000-000016620000}"/>
    <cellStyle name="표준 5 2 3 2 3 2 2 2 3" xfId="25117" xr:uid="{00000000-0005-0000-0000-000017620000}"/>
    <cellStyle name="표준 5 2 3 2 3 2 2 3" xfId="25118" xr:uid="{00000000-0005-0000-0000-000018620000}"/>
    <cellStyle name="표준 5 2 3 2 3 2 2 3 2" xfId="25119" xr:uid="{00000000-0005-0000-0000-000019620000}"/>
    <cellStyle name="표준 5 2 3 2 3 2 2 4" xfId="25120" xr:uid="{00000000-0005-0000-0000-00001A620000}"/>
    <cellStyle name="표준 5 2 3 2 3 2 3" xfId="25121" xr:uid="{00000000-0005-0000-0000-00001B620000}"/>
    <cellStyle name="표준 5 2 3 2 3 2 3 2" xfId="25122" xr:uid="{00000000-0005-0000-0000-00001C620000}"/>
    <cellStyle name="표준 5 2 3 2 3 2 3 2 2" xfId="25123" xr:uid="{00000000-0005-0000-0000-00001D620000}"/>
    <cellStyle name="표준 5 2 3 2 3 2 3 3" xfId="25124" xr:uid="{00000000-0005-0000-0000-00001E620000}"/>
    <cellStyle name="표준 5 2 3 2 3 2 4" xfId="25125" xr:uid="{00000000-0005-0000-0000-00001F620000}"/>
    <cellStyle name="표준 5 2 3 2 3 2 4 2" xfId="25126" xr:uid="{00000000-0005-0000-0000-000020620000}"/>
    <cellStyle name="표준 5 2 3 2 3 2 5" xfId="25127" xr:uid="{00000000-0005-0000-0000-000021620000}"/>
    <cellStyle name="표준 5 2 3 2 3 3" xfId="25128" xr:uid="{00000000-0005-0000-0000-000022620000}"/>
    <cellStyle name="표준 5 2 3 2 3 3 2" xfId="25129" xr:uid="{00000000-0005-0000-0000-000023620000}"/>
    <cellStyle name="표준 5 2 3 2 3 3 2 2" xfId="25130" xr:uid="{00000000-0005-0000-0000-000024620000}"/>
    <cellStyle name="표준 5 2 3 2 3 3 2 2 2" xfId="25131" xr:uid="{00000000-0005-0000-0000-000025620000}"/>
    <cellStyle name="표준 5 2 3 2 3 3 2 3" xfId="25132" xr:uid="{00000000-0005-0000-0000-000026620000}"/>
    <cellStyle name="표준 5 2 3 2 3 3 3" xfId="25133" xr:uid="{00000000-0005-0000-0000-000027620000}"/>
    <cellStyle name="표준 5 2 3 2 3 3 3 2" xfId="25134" xr:uid="{00000000-0005-0000-0000-000028620000}"/>
    <cellStyle name="표준 5 2 3 2 3 3 4" xfId="25135" xr:uid="{00000000-0005-0000-0000-000029620000}"/>
    <cellStyle name="표준 5 2 3 2 3 4" xfId="25136" xr:uid="{00000000-0005-0000-0000-00002A620000}"/>
    <cellStyle name="표준 5 2 3 2 3 4 2" xfId="25137" xr:uid="{00000000-0005-0000-0000-00002B620000}"/>
    <cellStyle name="표준 5 2 3 2 3 4 2 2" xfId="25138" xr:uid="{00000000-0005-0000-0000-00002C620000}"/>
    <cellStyle name="표준 5 2 3 2 3 4 3" xfId="25139" xr:uid="{00000000-0005-0000-0000-00002D620000}"/>
    <cellStyle name="표준 5 2 3 2 3 5" xfId="25140" xr:uid="{00000000-0005-0000-0000-00002E620000}"/>
    <cellStyle name="표준 5 2 3 2 3 5 2" xfId="25141" xr:uid="{00000000-0005-0000-0000-00002F620000}"/>
    <cellStyle name="표준 5 2 3 2 3 6" xfId="25142" xr:uid="{00000000-0005-0000-0000-000030620000}"/>
    <cellStyle name="표준 5 2 3 2 4" xfId="25143" xr:uid="{00000000-0005-0000-0000-000031620000}"/>
    <cellStyle name="표준 5 2 3 2 4 2" xfId="25144" xr:uid="{00000000-0005-0000-0000-000032620000}"/>
    <cellStyle name="표준 5 2 3 2 4 2 2" xfId="25145" xr:uid="{00000000-0005-0000-0000-000033620000}"/>
    <cellStyle name="표준 5 2 3 2 4 2 2 2" xfId="25146" xr:uid="{00000000-0005-0000-0000-000034620000}"/>
    <cellStyle name="표준 5 2 3 2 4 2 2 2 2" xfId="25147" xr:uid="{00000000-0005-0000-0000-000035620000}"/>
    <cellStyle name="표준 5 2 3 2 4 2 2 3" xfId="25148" xr:uid="{00000000-0005-0000-0000-000036620000}"/>
    <cellStyle name="표준 5 2 3 2 4 2 3" xfId="25149" xr:uid="{00000000-0005-0000-0000-000037620000}"/>
    <cellStyle name="표준 5 2 3 2 4 2 3 2" xfId="25150" xr:uid="{00000000-0005-0000-0000-000038620000}"/>
    <cellStyle name="표준 5 2 3 2 4 2 4" xfId="25151" xr:uid="{00000000-0005-0000-0000-000039620000}"/>
    <cellStyle name="표준 5 2 3 2 4 3" xfId="25152" xr:uid="{00000000-0005-0000-0000-00003A620000}"/>
    <cellStyle name="표준 5 2 3 2 4 3 2" xfId="25153" xr:uid="{00000000-0005-0000-0000-00003B620000}"/>
    <cellStyle name="표준 5 2 3 2 4 3 2 2" xfId="25154" xr:uid="{00000000-0005-0000-0000-00003C620000}"/>
    <cellStyle name="표준 5 2 3 2 4 3 3" xfId="25155" xr:uid="{00000000-0005-0000-0000-00003D620000}"/>
    <cellStyle name="표준 5 2 3 2 4 4" xfId="25156" xr:uid="{00000000-0005-0000-0000-00003E620000}"/>
    <cellStyle name="표준 5 2 3 2 4 4 2" xfId="25157" xr:uid="{00000000-0005-0000-0000-00003F620000}"/>
    <cellStyle name="표준 5 2 3 2 4 5" xfId="25158" xr:uid="{00000000-0005-0000-0000-000040620000}"/>
    <cellStyle name="표준 5 2 3 2 5" xfId="25159" xr:uid="{00000000-0005-0000-0000-000041620000}"/>
    <cellStyle name="표준 5 2 3 2 5 2" xfId="25160" xr:uid="{00000000-0005-0000-0000-000042620000}"/>
    <cellStyle name="표준 5 2 3 2 5 2 2" xfId="25161" xr:uid="{00000000-0005-0000-0000-000043620000}"/>
    <cellStyle name="표준 5 2 3 2 5 2 2 2" xfId="25162" xr:uid="{00000000-0005-0000-0000-000044620000}"/>
    <cellStyle name="표준 5 2 3 2 5 2 3" xfId="25163" xr:uid="{00000000-0005-0000-0000-000045620000}"/>
    <cellStyle name="표준 5 2 3 2 5 3" xfId="25164" xr:uid="{00000000-0005-0000-0000-000046620000}"/>
    <cellStyle name="표준 5 2 3 2 5 3 2" xfId="25165" xr:uid="{00000000-0005-0000-0000-000047620000}"/>
    <cellStyle name="표준 5 2 3 2 5 4" xfId="25166" xr:uid="{00000000-0005-0000-0000-000048620000}"/>
    <cellStyle name="표준 5 2 3 2 6" xfId="25167" xr:uid="{00000000-0005-0000-0000-000049620000}"/>
    <cellStyle name="표준 5 2 3 2 6 2" xfId="25168" xr:uid="{00000000-0005-0000-0000-00004A620000}"/>
    <cellStyle name="표준 5 2 3 2 6 2 2" xfId="25169" xr:uid="{00000000-0005-0000-0000-00004B620000}"/>
    <cellStyle name="표준 5 2 3 2 6 3" xfId="25170" xr:uid="{00000000-0005-0000-0000-00004C620000}"/>
    <cellStyle name="표준 5 2 3 2 7" xfId="25171" xr:uid="{00000000-0005-0000-0000-00004D620000}"/>
    <cellStyle name="표준 5 2 3 2 7 2" xfId="25172" xr:uid="{00000000-0005-0000-0000-00004E620000}"/>
    <cellStyle name="표준 5 2 3 2 8" xfId="25173" xr:uid="{00000000-0005-0000-0000-00004F620000}"/>
    <cellStyle name="표준 5 2 3 2 9" xfId="25174" xr:uid="{00000000-0005-0000-0000-000050620000}"/>
    <cellStyle name="표준 5 2 3 3" xfId="25175" xr:uid="{00000000-0005-0000-0000-000051620000}"/>
    <cellStyle name="표준 5 2 3 3 2" xfId="25176" xr:uid="{00000000-0005-0000-0000-000052620000}"/>
    <cellStyle name="표준 5 2 3 3 2 2" xfId="25177" xr:uid="{00000000-0005-0000-0000-000053620000}"/>
    <cellStyle name="표준 5 2 3 3 2 2 2" xfId="25178" xr:uid="{00000000-0005-0000-0000-000054620000}"/>
    <cellStyle name="표준 5 2 3 3 2 2 2 2" xfId="25179" xr:uid="{00000000-0005-0000-0000-000055620000}"/>
    <cellStyle name="표준 5 2 3 3 2 2 2 2 2" xfId="25180" xr:uid="{00000000-0005-0000-0000-000056620000}"/>
    <cellStyle name="표준 5 2 3 3 2 2 2 2 2 2" xfId="25181" xr:uid="{00000000-0005-0000-0000-000057620000}"/>
    <cellStyle name="표준 5 2 3 3 2 2 2 2 3" xfId="25182" xr:uid="{00000000-0005-0000-0000-000058620000}"/>
    <cellStyle name="표준 5 2 3 3 2 2 2 3" xfId="25183" xr:uid="{00000000-0005-0000-0000-000059620000}"/>
    <cellStyle name="표준 5 2 3 3 2 2 2 3 2" xfId="25184" xr:uid="{00000000-0005-0000-0000-00005A620000}"/>
    <cellStyle name="표준 5 2 3 3 2 2 2 4" xfId="25185" xr:uid="{00000000-0005-0000-0000-00005B620000}"/>
    <cellStyle name="표준 5 2 3 3 2 2 3" xfId="25186" xr:uid="{00000000-0005-0000-0000-00005C620000}"/>
    <cellStyle name="표준 5 2 3 3 2 2 3 2" xfId="25187" xr:uid="{00000000-0005-0000-0000-00005D620000}"/>
    <cellStyle name="표준 5 2 3 3 2 2 3 2 2" xfId="25188" xr:uid="{00000000-0005-0000-0000-00005E620000}"/>
    <cellStyle name="표준 5 2 3 3 2 2 3 3" xfId="25189" xr:uid="{00000000-0005-0000-0000-00005F620000}"/>
    <cellStyle name="표준 5 2 3 3 2 2 4" xfId="25190" xr:uid="{00000000-0005-0000-0000-000060620000}"/>
    <cellStyle name="표준 5 2 3 3 2 2 4 2" xfId="25191" xr:uid="{00000000-0005-0000-0000-000061620000}"/>
    <cellStyle name="표준 5 2 3 3 2 2 5" xfId="25192" xr:uid="{00000000-0005-0000-0000-000062620000}"/>
    <cellStyle name="표준 5 2 3 3 2 3" xfId="25193" xr:uid="{00000000-0005-0000-0000-000063620000}"/>
    <cellStyle name="표준 5 2 3 3 2 3 2" xfId="25194" xr:uid="{00000000-0005-0000-0000-000064620000}"/>
    <cellStyle name="표준 5 2 3 3 2 3 2 2" xfId="25195" xr:uid="{00000000-0005-0000-0000-000065620000}"/>
    <cellStyle name="표준 5 2 3 3 2 3 2 2 2" xfId="25196" xr:uid="{00000000-0005-0000-0000-000066620000}"/>
    <cellStyle name="표준 5 2 3 3 2 3 2 3" xfId="25197" xr:uid="{00000000-0005-0000-0000-000067620000}"/>
    <cellStyle name="표준 5 2 3 3 2 3 3" xfId="25198" xr:uid="{00000000-0005-0000-0000-000068620000}"/>
    <cellStyle name="표준 5 2 3 3 2 3 3 2" xfId="25199" xr:uid="{00000000-0005-0000-0000-000069620000}"/>
    <cellStyle name="표준 5 2 3 3 2 3 4" xfId="25200" xr:uid="{00000000-0005-0000-0000-00006A620000}"/>
    <cellStyle name="표준 5 2 3 3 2 4" xfId="25201" xr:uid="{00000000-0005-0000-0000-00006B620000}"/>
    <cellStyle name="표준 5 2 3 3 2 4 2" xfId="25202" xr:uid="{00000000-0005-0000-0000-00006C620000}"/>
    <cellStyle name="표준 5 2 3 3 2 4 2 2" xfId="25203" xr:uid="{00000000-0005-0000-0000-00006D620000}"/>
    <cellStyle name="표준 5 2 3 3 2 4 3" xfId="25204" xr:uid="{00000000-0005-0000-0000-00006E620000}"/>
    <cellStyle name="표준 5 2 3 3 2 5" xfId="25205" xr:uid="{00000000-0005-0000-0000-00006F620000}"/>
    <cellStyle name="표준 5 2 3 3 2 5 2" xfId="25206" xr:uid="{00000000-0005-0000-0000-000070620000}"/>
    <cellStyle name="표준 5 2 3 3 2 6" xfId="25207" xr:uid="{00000000-0005-0000-0000-000071620000}"/>
    <cellStyle name="표준 5 2 3 3 3" xfId="25208" xr:uid="{00000000-0005-0000-0000-000072620000}"/>
    <cellStyle name="표준 5 2 3 3 3 2" xfId="25209" xr:uid="{00000000-0005-0000-0000-000073620000}"/>
    <cellStyle name="표준 5 2 3 3 3 2 2" xfId="25210" xr:uid="{00000000-0005-0000-0000-000074620000}"/>
    <cellStyle name="표준 5 2 3 3 3 2 2 2" xfId="25211" xr:uid="{00000000-0005-0000-0000-000075620000}"/>
    <cellStyle name="표준 5 2 3 3 3 2 2 2 2" xfId="25212" xr:uid="{00000000-0005-0000-0000-000076620000}"/>
    <cellStyle name="표준 5 2 3 3 3 2 2 3" xfId="25213" xr:uid="{00000000-0005-0000-0000-000077620000}"/>
    <cellStyle name="표준 5 2 3 3 3 2 3" xfId="25214" xr:uid="{00000000-0005-0000-0000-000078620000}"/>
    <cellStyle name="표준 5 2 3 3 3 2 3 2" xfId="25215" xr:uid="{00000000-0005-0000-0000-000079620000}"/>
    <cellStyle name="표준 5 2 3 3 3 2 4" xfId="25216" xr:uid="{00000000-0005-0000-0000-00007A620000}"/>
    <cellStyle name="표준 5 2 3 3 3 3" xfId="25217" xr:uid="{00000000-0005-0000-0000-00007B620000}"/>
    <cellStyle name="표준 5 2 3 3 3 3 2" xfId="25218" xr:uid="{00000000-0005-0000-0000-00007C620000}"/>
    <cellStyle name="표준 5 2 3 3 3 3 2 2" xfId="25219" xr:uid="{00000000-0005-0000-0000-00007D620000}"/>
    <cellStyle name="표준 5 2 3 3 3 3 3" xfId="25220" xr:uid="{00000000-0005-0000-0000-00007E620000}"/>
    <cellStyle name="표준 5 2 3 3 3 4" xfId="25221" xr:uid="{00000000-0005-0000-0000-00007F620000}"/>
    <cellStyle name="표준 5 2 3 3 3 4 2" xfId="25222" xr:uid="{00000000-0005-0000-0000-000080620000}"/>
    <cellStyle name="표준 5 2 3 3 3 5" xfId="25223" xr:uid="{00000000-0005-0000-0000-000081620000}"/>
    <cellStyle name="표준 5 2 3 3 4" xfId="25224" xr:uid="{00000000-0005-0000-0000-000082620000}"/>
    <cellStyle name="표준 5 2 3 3 4 2" xfId="25225" xr:uid="{00000000-0005-0000-0000-000083620000}"/>
    <cellStyle name="표준 5 2 3 3 4 2 2" xfId="25226" xr:uid="{00000000-0005-0000-0000-000084620000}"/>
    <cellStyle name="표준 5 2 3 3 4 2 2 2" xfId="25227" xr:uid="{00000000-0005-0000-0000-000085620000}"/>
    <cellStyle name="표준 5 2 3 3 4 2 3" xfId="25228" xr:uid="{00000000-0005-0000-0000-000086620000}"/>
    <cellStyle name="표준 5 2 3 3 4 3" xfId="25229" xr:uid="{00000000-0005-0000-0000-000087620000}"/>
    <cellStyle name="표준 5 2 3 3 4 3 2" xfId="25230" xr:uid="{00000000-0005-0000-0000-000088620000}"/>
    <cellStyle name="표준 5 2 3 3 4 4" xfId="25231" xr:uid="{00000000-0005-0000-0000-000089620000}"/>
    <cellStyle name="표준 5 2 3 3 5" xfId="25232" xr:uid="{00000000-0005-0000-0000-00008A620000}"/>
    <cellStyle name="표준 5 2 3 3 5 2" xfId="25233" xr:uid="{00000000-0005-0000-0000-00008B620000}"/>
    <cellStyle name="표준 5 2 3 3 5 2 2" xfId="25234" xr:uid="{00000000-0005-0000-0000-00008C620000}"/>
    <cellStyle name="표준 5 2 3 3 5 3" xfId="25235" xr:uid="{00000000-0005-0000-0000-00008D620000}"/>
    <cellStyle name="표준 5 2 3 3 6" xfId="25236" xr:uid="{00000000-0005-0000-0000-00008E620000}"/>
    <cellStyle name="표준 5 2 3 3 6 2" xfId="25237" xr:uid="{00000000-0005-0000-0000-00008F620000}"/>
    <cellStyle name="표준 5 2 3 3 7" xfId="25238" xr:uid="{00000000-0005-0000-0000-000090620000}"/>
    <cellStyle name="표준 5 2 3 3 8" xfId="25239" xr:uid="{00000000-0005-0000-0000-000091620000}"/>
    <cellStyle name="표준 5 2 3 4" xfId="25240" xr:uid="{00000000-0005-0000-0000-000092620000}"/>
    <cellStyle name="표준 5 2 3 4 2" xfId="25241" xr:uid="{00000000-0005-0000-0000-000093620000}"/>
    <cellStyle name="표준 5 2 3 4 2 2" xfId="25242" xr:uid="{00000000-0005-0000-0000-000094620000}"/>
    <cellStyle name="표준 5 2 3 4 2 2 2" xfId="25243" xr:uid="{00000000-0005-0000-0000-000095620000}"/>
    <cellStyle name="표준 5 2 3 4 2 2 2 2" xfId="25244" xr:uid="{00000000-0005-0000-0000-000096620000}"/>
    <cellStyle name="표준 5 2 3 4 2 2 2 2 2" xfId="25245" xr:uid="{00000000-0005-0000-0000-000097620000}"/>
    <cellStyle name="표준 5 2 3 4 2 2 2 3" xfId="25246" xr:uid="{00000000-0005-0000-0000-000098620000}"/>
    <cellStyle name="표준 5 2 3 4 2 2 3" xfId="25247" xr:uid="{00000000-0005-0000-0000-000099620000}"/>
    <cellStyle name="표준 5 2 3 4 2 2 3 2" xfId="25248" xr:uid="{00000000-0005-0000-0000-00009A620000}"/>
    <cellStyle name="표준 5 2 3 4 2 2 4" xfId="25249" xr:uid="{00000000-0005-0000-0000-00009B620000}"/>
    <cellStyle name="표준 5 2 3 4 2 3" xfId="25250" xr:uid="{00000000-0005-0000-0000-00009C620000}"/>
    <cellStyle name="표준 5 2 3 4 2 3 2" xfId="25251" xr:uid="{00000000-0005-0000-0000-00009D620000}"/>
    <cellStyle name="표준 5 2 3 4 2 3 2 2" xfId="25252" xr:uid="{00000000-0005-0000-0000-00009E620000}"/>
    <cellStyle name="표준 5 2 3 4 2 3 3" xfId="25253" xr:uid="{00000000-0005-0000-0000-00009F620000}"/>
    <cellStyle name="표준 5 2 3 4 2 4" xfId="25254" xr:uid="{00000000-0005-0000-0000-0000A0620000}"/>
    <cellStyle name="표준 5 2 3 4 2 4 2" xfId="25255" xr:uid="{00000000-0005-0000-0000-0000A1620000}"/>
    <cellStyle name="표준 5 2 3 4 2 5" xfId="25256" xr:uid="{00000000-0005-0000-0000-0000A2620000}"/>
    <cellStyle name="표준 5 2 3 4 3" xfId="25257" xr:uid="{00000000-0005-0000-0000-0000A3620000}"/>
    <cellStyle name="표준 5 2 3 4 3 2" xfId="25258" xr:uid="{00000000-0005-0000-0000-0000A4620000}"/>
    <cellStyle name="표준 5 2 3 4 3 2 2" xfId="25259" xr:uid="{00000000-0005-0000-0000-0000A5620000}"/>
    <cellStyle name="표준 5 2 3 4 3 2 2 2" xfId="25260" xr:uid="{00000000-0005-0000-0000-0000A6620000}"/>
    <cellStyle name="표준 5 2 3 4 3 2 3" xfId="25261" xr:uid="{00000000-0005-0000-0000-0000A7620000}"/>
    <cellStyle name="표준 5 2 3 4 3 3" xfId="25262" xr:uid="{00000000-0005-0000-0000-0000A8620000}"/>
    <cellStyle name="표준 5 2 3 4 3 3 2" xfId="25263" xr:uid="{00000000-0005-0000-0000-0000A9620000}"/>
    <cellStyle name="표준 5 2 3 4 3 4" xfId="25264" xr:uid="{00000000-0005-0000-0000-0000AA620000}"/>
    <cellStyle name="표준 5 2 3 4 4" xfId="25265" xr:uid="{00000000-0005-0000-0000-0000AB620000}"/>
    <cellStyle name="표준 5 2 3 4 4 2" xfId="25266" xr:uid="{00000000-0005-0000-0000-0000AC620000}"/>
    <cellStyle name="표준 5 2 3 4 4 2 2" xfId="25267" xr:uid="{00000000-0005-0000-0000-0000AD620000}"/>
    <cellStyle name="표준 5 2 3 4 4 3" xfId="25268" xr:uid="{00000000-0005-0000-0000-0000AE620000}"/>
    <cellStyle name="표준 5 2 3 4 5" xfId="25269" xr:uid="{00000000-0005-0000-0000-0000AF620000}"/>
    <cellStyle name="표준 5 2 3 4 5 2" xfId="25270" xr:uid="{00000000-0005-0000-0000-0000B0620000}"/>
    <cellStyle name="표준 5 2 3 4 6" xfId="25271" xr:uid="{00000000-0005-0000-0000-0000B1620000}"/>
    <cellStyle name="표준 5 2 3 5" xfId="25272" xr:uid="{00000000-0005-0000-0000-0000B2620000}"/>
    <cellStyle name="표준 5 2 3 5 2" xfId="25273" xr:uid="{00000000-0005-0000-0000-0000B3620000}"/>
    <cellStyle name="표준 5 2 3 5 2 2" xfId="25274" xr:uid="{00000000-0005-0000-0000-0000B4620000}"/>
    <cellStyle name="표준 5 2 3 5 2 2 2" xfId="25275" xr:uid="{00000000-0005-0000-0000-0000B5620000}"/>
    <cellStyle name="표준 5 2 3 5 2 2 2 2" xfId="25276" xr:uid="{00000000-0005-0000-0000-0000B6620000}"/>
    <cellStyle name="표준 5 2 3 5 2 2 3" xfId="25277" xr:uid="{00000000-0005-0000-0000-0000B7620000}"/>
    <cellStyle name="표준 5 2 3 5 2 3" xfId="25278" xr:uid="{00000000-0005-0000-0000-0000B8620000}"/>
    <cellStyle name="표준 5 2 3 5 2 3 2" xfId="25279" xr:uid="{00000000-0005-0000-0000-0000B9620000}"/>
    <cellStyle name="표준 5 2 3 5 2 4" xfId="25280" xr:uid="{00000000-0005-0000-0000-0000BA620000}"/>
    <cellStyle name="표준 5 2 3 5 3" xfId="25281" xr:uid="{00000000-0005-0000-0000-0000BB620000}"/>
    <cellStyle name="표준 5 2 3 5 3 2" xfId="25282" xr:uid="{00000000-0005-0000-0000-0000BC620000}"/>
    <cellStyle name="표준 5 2 3 5 3 2 2" xfId="25283" xr:uid="{00000000-0005-0000-0000-0000BD620000}"/>
    <cellStyle name="표준 5 2 3 5 3 3" xfId="25284" xr:uid="{00000000-0005-0000-0000-0000BE620000}"/>
    <cellStyle name="표준 5 2 3 5 4" xfId="25285" xr:uid="{00000000-0005-0000-0000-0000BF620000}"/>
    <cellStyle name="표준 5 2 3 5 4 2" xfId="25286" xr:uid="{00000000-0005-0000-0000-0000C0620000}"/>
    <cellStyle name="표준 5 2 3 5 5" xfId="25287" xr:uid="{00000000-0005-0000-0000-0000C1620000}"/>
    <cellStyle name="표준 5 2 3 6" xfId="25288" xr:uid="{00000000-0005-0000-0000-0000C2620000}"/>
    <cellStyle name="표준 5 2 3 6 2" xfId="25289" xr:uid="{00000000-0005-0000-0000-0000C3620000}"/>
    <cellStyle name="표준 5 2 3 6 2 2" xfId="25290" xr:uid="{00000000-0005-0000-0000-0000C4620000}"/>
    <cellStyle name="표준 5 2 3 6 2 2 2" xfId="25291" xr:uid="{00000000-0005-0000-0000-0000C5620000}"/>
    <cellStyle name="표준 5 2 3 6 2 3" xfId="25292" xr:uid="{00000000-0005-0000-0000-0000C6620000}"/>
    <cellStyle name="표준 5 2 3 6 3" xfId="25293" xr:uid="{00000000-0005-0000-0000-0000C7620000}"/>
    <cellStyle name="표준 5 2 3 6 3 2" xfId="25294" xr:uid="{00000000-0005-0000-0000-0000C8620000}"/>
    <cellStyle name="표준 5 2 3 6 4" xfId="25295" xr:uid="{00000000-0005-0000-0000-0000C9620000}"/>
    <cellStyle name="표준 5 2 3 7" xfId="25296" xr:uid="{00000000-0005-0000-0000-0000CA620000}"/>
    <cellStyle name="표준 5 2 3 7 2" xfId="25297" xr:uid="{00000000-0005-0000-0000-0000CB620000}"/>
    <cellStyle name="표준 5 2 3 7 2 2" xfId="25298" xr:uid="{00000000-0005-0000-0000-0000CC620000}"/>
    <cellStyle name="표준 5 2 3 7 3" xfId="25299" xr:uid="{00000000-0005-0000-0000-0000CD620000}"/>
    <cellStyle name="표준 5 2 3 8" xfId="25300" xr:uid="{00000000-0005-0000-0000-0000CE620000}"/>
    <cellStyle name="표준 5 2 3 8 2" xfId="25301" xr:uid="{00000000-0005-0000-0000-0000CF620000}"/>
    <cellStyle name="표준 5 2 3 9" xfId="25302" xr:uid="{00000000-0005-0000-0000-0000D0620000}"/>
    <cellStyle name="표준 5 2 4" xfId="25303" xr:uid="{00000000-0005-0000-0000-0000D1620000}"/>
    <cellStyle name="표준 5 2 4 2" xfId="25304" xr:uid="{00000000-0005-0000-0000-0000D2620000}"/>
    <cellStyle name="표준 5 2 4 2 2" xfId="25305" xr:uid="{00000000-0005-0000-0000-0000D3620000}"/>
    <cellStyle name="표준 5 2 4 2 2 2" xfId="25306" xr:uid="{00000000-0005-0000-0000-0000D4620000}"/>
    <cellStyle name="표준 5 2 4 2 2 2 2" xfId="25307" xr:uid="{00000000-0005-0000-0000-0000D5620000}"/>
    <cellStyle name="표준 5 2 4 2 2 2 2 2" xfId="25308" xr:uid="{00000000-0005-0000-0000-0000D6620000}"/>
    <cellStyle name="표준 5 2 4 2 2 2 2 2 2" xfId="25309" xr:uid="{00000000-0005-0000-0000-0000D7620000}"/>
    <cellStyle name="표준 5 2 4 2 2 2 2 2 2 2" xfId="25310" xr:uid="{00000000-0005-0000-0000-0000D8620000}"/>
    <cellStyle name="표준 5 2 4 2 2 2 2 2 3" xfId="25311" xr:uid="{00000000-0005-0000-0000-0000D9620000}"/>
    <cellStyle name="표준 5 2 4 2 2 2 2 3" xfId="25312" xr:uid="{00000000-0005-0000-0000-0000DA620000}"/>
    <cellStyle name="표준 5 2 4 2 2 2 2 3 2" xfId="25313" xr:uid="{00000000-0005-0000-0000-0000DB620000}"/>
    <cellStyle name="표준 5 2 4 2 2 2 2 4" xfId="25314" xr:uid="{00000000-0005-0000-0000-0000DC620000}"/>
    <cellStyle name="표준 5 2 4 2 2 2 3" xfId="25315" xr:uid="{00000000-0005-0000-0000-0000DD620000}"/>
    <cellStyle name="표준 5 2 4 2 2 2 3 2" xfId="25316" xr:uid="{00000000-0005-0000-0000-0000DE620000}"/>
    <cellStyle name="표준 5 2 4 2 2 2 3 2 2" xfId="25317" xr:uid="{00000000-0005-0000-0000-0000DF620000}"/>
    <cellStyle name="표준 5 2 4 2 2 2 3 3" xfId="25318" xr:uid="{00000000-0005-0000-0000-0000E0620000}"/>
    <cellStyle name="표준 5 2 4 2 2 2 4" xfId="25319" xr:uid="{00000000-0005-0000-0000-0000E1620000}"/>
    <cellStyle name="표준 5 2 4 2 2 2 4 2" xfId="25320" xr:uid="{00000000-0005-0000-0000-0000E2620000}"/>
    <cellStyle name="표준 5 2 4 2 2 2 5" xfId="25321" xr:uid="{00000000-0005-0000-0000-0000E3620000}"/>
    <cellStyle name="표준 5 2 4 2 2 3" xfId="25322" xr:uid="{00000000-0005-0000-0000-0000E4620000}"/>
    <cellStyle name="표준 5 2 4 2 2 3 2" xfId="25323" xr:uid="{00000000-0005-0000-0000-0000E5620000}"/>
    <cellStyle name="표준 5 2 4 2 2 3 2 2" xfId="25324" xr:uid="{00000000-0005-0000-0000-0000E6620000}"/>
    <cellStyle name="표준 5 2 4 2 2 3 2 2 2" xfId="25325" xr:uid="{00000000-0005-0000-0000-0000E7620000}"/>
    <cellStyle name="표준 5 2 4 2 2 3 2 3" xfId="25326" xr:uid="{00000000-0005-0000-0000-0000E8620000}"/>
    <cellStyle name="표준 5 2 4 2 2 3 3" xfId="25327" xr:uid="{00000000-0005-0000-0000-0000E9620000}"/>
    <cellStyle name="표준 5 2 4 2 2 3 3 2" xfId="25328" xr:uid="{00000000-0005-0000-0000-0000EA620000}"/>
    <cellStyle name="표준 5 2 4 2 2 3 4" xfId="25329" xr:uid="{00000000-0005-0000-0000-0000EB620000}"/>
    <cellStyle name="표준 5 2 4 2 2 4" xfId="25330" xr:uid="{00000000-0005-0000-0000-0000EC620000}"/>
    <cellStyle name="표준 5 2 4 2 2 4 2" xfId="25331" xr:uid="{00000000-0005-0000-0000-0000ED620000}"/>
    <cellStyle name="표준 5 2 4 2 2 4 2 2" xfId="25332" xr:uid="{00000000-0005-0000-0000-0000EE620000}"/>
    <cellStyle name="표준 5 2 4 2 2 4 3" xfId="25333" xr:uid="{00000000-0005-0000-0000-0000EF620000}"/>
    <cellStyle name="표준 5 2 4 2 2 5" xfId="25334" xr:uid="{00000000-0005-0000-0000-0000F0620000}"/>
    <cellStyle name="표준 5 2 4 2 2 5 2" xfId="25335" xr:uid="{00000000-0005-0000-0000-0000F1620000}"/>
    <cellStyle name="표준 5 2 4 2 2 6" xfId="25336" xr:uid="{00000000-0005-0000-0000-0000F2620000}"/>
    <cellStyle name="표준 5 2 4 2 3" xfId="25337" xr:uid="{00000000-0005-0000-0000-0000F3620000}"/>
    <cellStyle name="표준 5 2 4 2 3 2" xfId="25338" xr:uid="{00000000-0005-0000-0000-0000F4620000}"/>
    <cellStyle name="표준 5 2 4 2 3 2 2" xfId="25339" xr:uid="{00000000-0005-0000-0000-0000F5620000}"/>
    <cellStyle name="표준 5 2 4 2 3 2 2 2" xfId="25340" xr:uid="{00000000-0005-0000-0000-0000F6620000}"/>
    <cellStyle name="표준 5 2 4 2 3 2 2 2 2" xfId="25341" xr:uid="{00000000-0005-0000-0000-0000F7620000}"/>
    <cellStyle name="표준 5 2 4 2 3 2 2 3" xfId="25342" xr:uid="{00000000-0005-0000-0000-0000F8620000}"/>
    <cellStyle name="표준 5 2 4 2 3 2 3" xfId="25343" xr:uid="{00000000-0005-0000-0000-0000F9620000}"/>
    <cellStyle name="표준 5 2 4 2 3 2 3 2" xfId="25344" xr:uid="{00000000-0005-0000-0000-0000FA620000}"/>
    <cellStyle name="표준 5 2 4 2 3 2 4" xfId="25345" xr:uid="{00000000-0005-0000-0000-0000FB620000}"/>
    <cellStyle name="표준 5 2 4 2 3 3" xfId="25346" xr:uid="{00000000-0005-0000-0000-0000FC620000}"/>
    <cellStyle name="표준 5 2 4 2 3 3 2" xfId="25347" xr:uid="{00000000-0005-0000-0000-0000FD620000}"/>
    <cellStyle name="표준 5 2 4 2 3 3 2 2" xfId="25348" xr:uid="{00000000-0005-0000-0000-0000FE620000}"/>
    <cellStyle name="표준 5 2 4 2 3 3 3" xfId="25349" xr:uid="{00000000-0005-0000-0000-0000FF620000}"/>
    <cellStyle name="표준 5 2 4 2 3 4" xfId="25350" xr:uid="{00000000-0005-0000-0000-000000630000}"/>
    <cellStyle name="표준 5 2 4 2 3 4 2" xfId="25351" xr:uid="{00000000-0005-0000-0000-000001630000}"/>
    <cellStyle name="표준 5 2 4 2 3 5" xfId="25352" xr:uid="{00000000-0005-0000-0000-000002630000}"/>
    <cellStyle name="표준 5 2 4 2 4" xfId="25353" xr:uid="{00000000-0005-0000-0000-000003630000}"/>
    <cellStyle name="표준 5 2 4 2 4 2" xfId="25354" xr:uid="{00000000-0005-0000-0000-000004630000}"/>
    <cellStyle name="표준 5 2 4 2 4 2 2" xfId="25355" xr:uid="{00000000-0005-0000-0000-000005630000}"/>
    <cellStyle name="표준 5 2 4 2 4 2 2 2" xfId="25356" xr:uid="{00000000-0005-0000-0000-000006630000}"/>
    <cellStyle name="표준 5 2 4 2 4 2 3" xfId="25357" xr:uid="{00000000-0005-0000-0000-000007630000}"/>
    <cellStyle name="표준 5 2 4 2 4 3" xfId="25358" xr:uid="{00000000-0005-0000-0000-000008630000}"/>
    <cellStyle name="표준 5 2 4 2 4 3 2" xfId="25359" xr:uid="{00000000-0005-0000-0000-000009630000}"/>
    <cellStyle name="표준 5 2 4 2 4 4" xfId="25360" xr:uid="{00000000-0005-0000-0000-00000A630000}"/>
    <cellStyle name="표준 5 2 4 2 5" xfId="25361" xr:uid="{00000000-0005-0000-0000-00000B630000}"/>
    <cellStyle name="표준 5 2 4 2 5 2" xfId="25362" xr:uid="{00000000-0005-0000-0000-00000C630000}"/>
    <cellStyle name="표준 5 2 4 2 5 2 2" xfId="25363" xr:uid="{00000000-0005-0000-0000-00000D630000}"/>
    <cellStyle name="표준 5 2 4 2 5 3" xfId="25364" xr:uid="{00000000-0005-0000-0000-00000E630000}"/>
    <cellStyle name="표준 5 2 4 2 6" xfId="25365" xr:uid="{00000000-0005-0000-0000-00000F630000}"/>
    <cellStyle name="표준 5 2 4 2 6 2" xfId="25366" xr:uid="{00000000-0005-0000-0000-000010630000}"/>
    <cellStyle name="표준 5 2 4 2 7" xfId="25367" xr:uid="{00000000-0005-0000-0000-000011630000}"/>
    <cellStyle name="표준 5 2 4 2 8" xfId="25368" xr:uid="{00000000-0005-0000-0000-000012630000}"/>
    <cellStyle name="표준 5 2 4 3" xfId="25369" xr:uid="{00000000-0005-0000-0000-000013630000}"/>
    <cellStyle name="표준 5 2 4 3 2" xfId="25370" xr:uid="{00000000-0005-0000-0000-000014630000}"/>
    <cellStyle name="표준 5 2 4 3 2 2" xfId="25371" xr:uid="{00000000-0005-0000-0000-000015630000}"/>
    <cellStyle name="표준 5 2 4 3 2 2 2" xfId="25372" xr:uid="{00000000-0005-0000-0000-000016630000}"/>
    <cellStyle name="표준 5 2 4 3 2 2 2 2" xfId="25373" xr:uid="{00000000-0005-0000-0000-000017630000}"/>
    <cellStyle name="표준 5 2 4 3 2 2 2 2 2" xfId="25374" xr:uid="{00000000-0005-0000-0000-000018630000}"/>
    <cellStyle name="표준 5 2 4 3 2 2 2 3" xfId="25375" xr:uid="{00000000-0005-0000-0000-000019630000}"/>
    <cellStyle name="표준 5 2 4 3 2 2 3" xfId="25376" xr:uid="{00000000-0005-0000-0000-00001A630000}"/>
    <cellStyle name="표준 5 2 4 3 2 2 3 2" xfId="25377" xr:uid="{00000000-0005-0000-0000-00001B630000}"/>
    <cellStyle name="표준 5 2 4 3 2 2 4" xfId="25378" xr:uid="{00000000-0005-0000-0000-00001C630000}"/>
    <cellStyle name="표준 5 2 4 3 2 3" xfId="25379" xr:uid="{00000000-0005-0000-0000-00001D630000}"/>
    <cellStyle name="표준 5 2 4 3 2 3 2" xfId="25380" xr:uid="{00000000-0005-0000-0000-00001E630000}"/>
    <cellStyle name="표준 5 2 4 3 2 3 2 2" xfId="25381" xr:uid="{00000000-0005-0000-0000-00001F630000}"/>
    <cellStyle name="표준 5 2 4 3 2 3 3" xfId="25382" xr:uid="{00000000-0005-0000-0000-000020630000}"/>
    <cellStyle name="표준 5 2 4 3 2 4" xfId="25383" xr:uid="{00000000-0005-0000-0000-000021630000}"/>
    <cellStyle name="표준 5 2 4 3 2 4 2" xfId="25384" xr:uid="{00000000-0005-0000-0000-000022630000}"/>
    <cellStyle name="표준 5 2 4 3 2 5" xfId="25385" xr:uid="{00000000-0005-0000-0000-000023630000}"/>
    <cellStyle name="표준 5 2 4 3 3" xfId="25386" xr:uid="{00000000-0005-0000-0000-000024630000}"/>
    <cellStyle name="표준 5 2 4 3 3 2" xfId="25387" xr:uid="{00000000-0005-0000-0000-000025630000}"/>
    <cellStyle name="표준 5 2 4 3 3 2 2" xfId="25388" xr:uid="{00000000-0005-0000-0000-000026630000}"/>
    <cellStyle name="표준 5 2 4 3 3 2 2 2" xfId="25389" xr:uid="{00000000-0005-0000-0000-000027630000}"/>
    <cellStyle name="표준 5 2 4 3 3 2 3" xfId="25390" xr:uid="{00000000-0005-0000-0000-000028630000}"/>
    <cellStyle name="표준 5 2 4 3 3 3" xfId="25391" xr:uid="{00000000-0005-0000-0000-000029630000}"/>
    <cellStyle name="표준 5 2 4 3 3 3 2" xfId="25392" xr:uid="{00000000-0005-0000-0000-00002A630000}"/>
    <cellStyle name="표준 5 2 4 3 3 4" xfId="25393" xr:uid="{00000000-0005-0000-0000-00002B630000}"/>
    <cellStyle name="표준 5 2 4 3 4" xfId="25394" xr:uid="{00000000-0005-0000-0000-00002C630000}"/>
    <cellStyle name="표준 5 2 4 3 4 2" xfId="25395" xr:uid="{00000000-0005-0000-0000-00002D630000}"/>
    <cellStyle name="표준 5 2 4 3 4 2 2" xfId="25396" xr:uid="{00000000-0005-0000-0000-00002E630000}"/>
    <cellStyle name="표준 5 2 4 3 4 3" xfId="25397" xr:uid="{00000000-0005-0000-0000-00002F630000}"/>
    <cellStyle name="표준 5 2 4 3 5" xfId="25398" xr:uid="{00000000-0005-0000-0000-000030630000}"/>
    <cellStyle name="표준 5 2 4 3 5 2" xfId="25399" xr:uid="{00000000-0005-0000-0000-000031630000}"/>
    <cellStyle name="표준 5 2 4 3 6" xfId="25400" xr:uid="{00000000-0005-0000-0000-000032630000}"/>
    <cellStyle name="표준 5 2 4 4" xfId="25401" xr:uid="{00000000-0005-0000-0000-000033630000}"/>
    <cellStyle name="표준 5 2 4 4 2" xfId="25402" xr:uid="{00000000-0005-0000-0000-000034630000}"/>
    <cellStyle name="표준 5 2 4 4 2 2" xfId="25403" xr:uid="{00000000-0005-0000-0000-000035630000}"/>
    <cellStyle name="표준 5 2 4 4 2 2 2" xfId="25404" xr:uid="{00000000-0005-0000-0000-000036630000}"/>
    <cellStyle name="표준 5 2 4 4 2 2 2 2" xfId="25405" xr:uid="{00000000-0005-0000-0000-000037630000}"/>
    <cellStyle name="표준 5 2 4 4 2 2 3" xfId="25406" xr:uid="{00000000-0005-0000-0000-000038630000}"/>
    <cellStyle name="표준 5 2 4 4 2 3" xfId="25407" xr:uid="{00000000-0005-0000-0000-000039630000}"/>
    <cellStyle name="표준 5 2 4 4 2 3 2" xfId="25408" xr:uid="{00000000-0005-0000-0000-00003A630000}"/>
    <cellStyle name="표준 5 2 4 4 2 4" xfId="25409" xr:uid="{00000000-0005-0000-0000-00003B630000}"/>
    <cellStyle name="표준 5 2 4 4 3" xfId="25410" xr:uid="{00000000-0005-0000-0000-00003C630000}"/>
    <cellStyle name="표준 5 2 4 4 3 2" xfId="25411" xr:uid="{00000000-0005-0000-0000-00003D630000}"/>
    <cellStyle name="표준 5 2 4 4 3 2 2" xfId="25412" xr:uid="{00000000-0005-0000-0000-00003E630000}"/>
    <cellStyle name="표준 5 2 4 4 3 3" xfId="25413" xr:uid="{00000000-0005-0000-0000-00003F630000}"/>
    <cellStyle name="표준 5 2 4 4 4" xfId="25414" xr:uid="{00000000-0005-0000-0000-000040630000}"/>
    <cellStyle name="표준 5 2 4 4 4 2" xfId="25415" xr:uid="{00000000-0005-0000-0000-000041630000}"/>
    <cellStyle name="표준 5 2 4 4 5" xfId="25416" xr:uid="{00000000-0005-0000-0000-000042630000}"/>
    <cellStyle name="표준 5 2 4 5" xfId="25417" xr:uid="{00000000-0005-0000-0000-000043630000}"/>
    <cellStyle name="표준 5 2 4 5 2" xfId="25418" xr:uid="{00000000-0005-0000-0000-000044630000}"/>
    <cellStyle name="표준 5 2 4 5 2 2" xfId="25419" xr:uid="{00000000-0005-0000-0000-000045630000}"/>
    <cellStyle name="표준 5 2 4 5 2 2 2" xfId="25420" xr:uid="{00000000-0005-0000-0000-000046630000}"/>
    <cellStyle name="표준 5 2 4 5 2 3" xfId="25421" xr:uid="{00000000-0005-0000-0000-000047630000}"/>
    <cellStyle name="표준 5 2 4 5 3" xfId="25422" xr:uid="{00000000-0005-0000-0000-000048630000}"/>
    <cellStyle name="표준 5 2 4 5 3 2" xfId="25423" xr:uid="{00000000-0005-0000-0000-000049630000}"/>
    <cellStyle name="표준 5 2 4 5 4" xfId="25424" xr:uid="{00000000-0005-0000-0000-00004A630000}"/>
    <cellStyle name="표준 5 2 4 6" xfId="25425" xr:uid="{00000000-0005-0000-0000-00004B630000}"/>
    <cellStyle name="표준 5 2 4 6 2" xfId="25426" xr:uid="{00000000-0005-0000-0000-00004C630000}"/>
    <cellStyle name="표준 5 2 4 6 2 2" xfId="25427" xr:uid="{00000000-0005-0000-0000-00004D630000}"/>
    <cellStyle name="표준 5 2 4 6 3" xfId="25428" xr:uid="{00000000-0005-0000-0000-00004E630000}"/>
    <cellStyle name="표준 5 2 4 7" xfId="25429" xr:uid="{00000000-0005-0000-0000-00004F630000}"/>
    <cellStyle name="표준 5 2 4 7 2" xfId="25430" xr:uid="{00000000-0005-0000-0000-000050630000}"/>
    <cellStyle name="표준 5 2 4 8" xfId="25431" xr:uid="{00000000-0005-0000-0000-000051630000}"/>
    <cellStyle name="표준 5 2 4 9" xfId="25432" xr:uid="{00000000-0005-0000-0000-000052630000}"/>
    <cellStyle name="표준 5 2 5" xfId="25433" xr:uid="{00000000-0005-0000-0000-000053630000}"/>
    <cellStyle name="표준 5 2 5 2" xfId="25434" xr:uid="{00000000-0005-0000-0000-000054630000}"/>
    <cellStyle name="표준 5 2 5 2 2" xfId="25435" xr:uid="{00000000-0005-0000-0000-000055630000}"/>
    <cellStyle name="표준 5 2 5 2 2 2" xfId="25436" xr:uid="{00000000-0005-0000-0000-000056630000}"/>
    <cellStyle name="표준 5 2 5 2 2 2 2" xfId="25437" xr:uid="{00000000-0005-0000-0000-000057630000}"/>
    <cellStyle name="표준 5 2 5 2 2 2 2 2" xfId="25438" xr:uid="{00000000-0005-0000-0000-000058630000}"/>
    <cellStyle name="표준 5 2 5 2 2 2 2 2 2" xfId="25439" xr:uid="{00000000-0005-0000-0000-000059630000}"/>
    <cellStyle name="표준 5 2 5 2 2 2 2 3" xfId="25440" xr:uid="{00000000-0005-0000-0000-00005A630000}"/>
    <cellStyle name="표준 5 2 5 2 2 2 3" xfId="25441" xr:uid="{00000000-0005-0000-0000-00005B630000}"/>
    <cellStyle name="표준 5 2 5 2 2 2 3 2" xfId="25442" xr:uid="{00000000-0005-0000-0000-00005C630000}"/>
    <cellStyle name="표준 5 2 5 2 2 2 4" xfId="25443" xr:uid="{00000000-0005-0000-0000-00005D630000}"/>
    <cellStyle name="표준 5 2 5 2 2 3" xfId="25444" xr:uid="{00000000-0005-0000-0000-00005E630000}"/>
    <cellStyle name="표준 5 2 5 2 2 3 2" xfId="25445" xr:uid="{00000000-0005-0000-0000-00005F630000}"/>
    <cellStyle name="표준 5 2 5 2 2 3 2 2" xfId="25446" xr:uid="{00000000-0005-0000-0000-000060630000}"/>
    <cellStyle name="표준 5 2 5 2 2 3 3" xfId="25447" xr:uid="{00000000-0005-0000-0000-000061630000}"/>
    <cellStyle name="표준 5 2 5 2 2 4" xfId="25448" xr:uid="{00000000-0005-0000-0000-000062630000}"/>
    <cellStyle name="표준 5 2 5 2 2 4 2" xfId="25449" xr:uid="{00000000-0005-0000-0000-000063630000}"/>
    <cellStyle name="표준 5 2 5 2 2 5" xfId="25450" xr:uid="{00000000-0005-0000-0000-000064630000}"/>
    <cellStyle name="표준 5 2 5 2 3" xfId="25451" xr:uid="{00000000-0005-0000-0000-000065630000}"/>
    <cellStyle name="표준 5 2 5 2 3 2" xfId="25452" xr:uid="{00000000-0005-0000-0000-000066630000}"/>
    <cellStyle name="표준 5 2 5 2 3 2 2" xfId="25453" xr:uid="{00000000-0005-0000-0000-000067630000}"/>
    <cellStyle name="표준 5 2 5 2 3 2 2 2" xfId="25454" xr:uid="{00000000-0005-0000-0000-000068630000}"/>
    <cellStyle name="표준 5 2 5 2 3 2 3" xfId="25455" xr:uid="{00000000-0005-0000-0000-000069630000}"/>
    <cellStyle name="표준 5 2 5 2 3 3" xfId="25456" xr:uid="{00000000-0005-0000-0000-00006A630000}"/>
    <cellStyle name="표준 5 2 5 2 3 3 2" xfId="25457" xr:uid="{00000000-0005-0000-0000-00006B630000}"/>
    <cellStyle name="표준 5 2 5 2 3 4" xfId="25458" xr:uid="{00000000-0005-0000-0000-00006C630000}"/>
    <cellStyle name="표준 5 2 5 2 4" xfId="25459" xr:uid="{00000000-0005-0000-0000-00006D630000}"/>
    <cellStyle name="표준 5 2 5 2 4 2" xfId="25460" xr:uid="{00000000-0005-0000-0000-00006E630000}"/>
    <cellStyle name="표준 5 2 5 2 4 2 2" xfId="25461" xr:uid="{00000000-0005-0000-0000-00006F630000}"/>
    <cellStyle name="표준 5 2 5 2 4 3" xfId="25462" xr:uid="{00000000-0005-0000-0000-000070630000}"/>
    <cellStyle name="표준 5 2 5 2 5" xfId="25463" xr:uid="{00000000-0005-0000-0000-000071630000}"/>
    <cellStyle name="표준 5 2 5 2 5 2" xfId="25464" xr:uid="{00000000-0005-0000-0000-000072630000}"/>
    <cellStyle name="표준 5 2 5 2 6" xfId="25465" xr:uid="{00000000-0005-0000-0000-000073630000}"/>
    <cellStyle name="표준 5 2 5 3" xfId="25466" xr:uid="{00000000-0005-0000-0000-000074630000}"/>
    <cellStyle name="표준 5 2 5 3 2" xfId="25467" xr:uid="{00000000-0005-0000-0000-000075630000}"/>
    <cellStyle name="표준 5 2 5 3 2 2" xfId="25468" xr:uid="{00000000-0005-0000-0000-000076630000}"/>
    <cellStyle name="표준 5 2 5 3 2 2 2" xfId="25469" xr:uid="{00000000-0005-0000-0000-000077630000}"/>
    <cellStyle name="표준 5 2 5 3 2 2 2 2" xfId="25470" xr:uid="{00000000-0005-0000-0000-000078630000}"/>
    <cellStyle name="표준 5 2 5 3 2 2 3" xfId="25471" xr:uid="{00000000-0005-0000-0000-000079630000}"/>
    <cellStyle name="표준 5 2 5 3 2 3" xfId="25472" xr:uid="{00000000-0005-0000-0000-00007A630000}"/>
    <cellStyle name="표준 5 2 5 3 2 3 2" xfId="25473" xr:uid="{00000000-0005-0000-0000-00007B630000}"/>
    <cellStyle name="표준 5 2 5 3 2 4" xfId="25474" xr:uid="{00000000-0005-0000-0000-00007C630000}"/>
    <cellStyle name="표준 5 2 5 3 3" xfId="25475" xr:uid="{00000000-0005-0000-0000-00007D630000}"/>
    <cellStyle name="표준 5 2 5 3 3 2" xfId="25476" xr:uid="{00000000-0005-0000-0000-00007E630000}"/>
    <cellStyle name="표준 5 2 5 3 3 2 2" xfId="25477" xr:uid="{00000000-0005-0000-0000-00007F630000}"/>
    <cellStyle name="표준 5 2 5 3 3 3" xfId="25478" xr:uid="{00000000-0005-0000-0000-000080630000}"/>
    <cellStyle name="표준 5 2 5 3 4" xfId="25479" xr:uid="{00000000-0005-0000-0000-000081630000}"/>
    <cellStyle name="표준 5 2 5 3 4 2" xfId="25480" xr:uid="{00000000-0005-0000-0000-000082630000}"/>
    <cellStyle name="표준 5 2 5 3 5" xfId="25481" xr:uid="{00000000-0005-0000-0000-000083630000}"/>
    <cellStyle name="표준 5 2 5 4" xfId="25482" xr:uid="{00000000-0005-0000-0000-000084630000}"/>
    <cellStyle name="표준 5 2 5 4 2" xfId="25483" xr:uid="{00000000-0005-0000-0000-000085630000}"/>
    <cellStyle name="표준 5 2 5 4 2 2" xfId="25484" xr:uid="{00000000-0005-0000-0000-000086630000}"/>
    <cellStyle name="표준 5 2 5 4 2 2 2" xfId="25485" xr:uid="{00000000-0005-0000-0000-000087630000}"/>
    <cellStyle name="표준 5 2 5 4 2 3" xfId="25486" xr:uid="{00000000-0005-0000-0000-000088630000}"/>
    <cellStyle name="표준 5 2 5 4 3" xfId="25487" xr:uid="{00000000-0005-0000-0000-000089630000}"/>
    <cellStyle name="표준 5 2 5 4 3 2" xfId="25488" xr:uid="{00000000-0005-0000-0000-00008A630000}"/>
    <cellStyle name="표준 5 2 5 4 4" xfId="25489" xr:uid="{00000000-0005-0000-0000-00008B630000}"/>
    <cellStyle name="표준 5 2 5 5" xfId="25490" xr:uid="{00000000-0005-0000-0000-00008C630000}"/>
    <cellStyle name="표준 5 2 5 5 2" xfId="25491" xr:uid="{00000000-0005-0000-0000-00008D630000}"/>
    <cellStyle name="표준 5 2 5 5 2 2" xfId="25492" xr:uid="{00000000-0005-0000-0000-00008E630000}"/>
    <cellStyle name="표준 5 2 5 5 3" xfId="25493" xr:uid="{00000000-0005-0000-0000-00008F630000}"/>
    <cellStyle name="표준 5 2 5 6" xfId="25494" xr:uid="{00000000-0005-0000-0000-000090630000}"/>
    <cellStyle name="표준 5 2 5 6 2" xfId="25495" xr:uid="{00000000-0005-0000-0000-000091630000}"/>
    <cellStyle name="표준 5 2 5 7" xfId="25496" xr:uid="{00000000-0005-0000-0000-000092630000}"/>
    <cellStyle name="표준 5 2 5 8" xfId="25497" xr:uid="{00000000-0005-0000-0000-000093630000}"/>
    <cellStyle name="표준 5 2 6" xfId="25498" xr:uid="{00000000-0005-0000-0000-000094630000}"/>
    <cellStyle name="표준 5 2 6 2" xfId="25499" xr:uid="{00000000-0005-0000-0000-000095630000}"/>
    <cellStyle name="표준 5 2 6 2 2" xfId="25500" xr:uid="{00000000-0005-0000-0000-000096630000}"/>
    <cellStyle name="표준 5 2 6 2 2 2" xfId="25501" xr:uid="{00000000-0005-0000-0000-000097630000}"/>
    <cellStyle name="표준 5 2 6 2 2 2 2" xfId="25502" xr:uid="{00000000-0005-0000-0000-000098630000}"/>
    <cellStyle name="표준 5 2 6 2 2 2 2 2" xfId="25503" xr:uid="{00000000-0005-0000-0000-000099630000}"/>
    <cellStyle name="표준 5 2 6 2 2 2 3" xfId="25504" xr:uid="{00000000-0005-0000-0000-00009A630000}"/>
    <cellStyle name="표준 5 2 6 2 2 3" xfId="25505" xr:uid="{00000000-0005-0000-0000-00009B630000}"/>
    <cellStyle name="표준 5 2 6 2 2 3 2" xfId="25506" xr:uid="{00000000-0005-0000-0000-00009C630000}"/>
    <cellStyle name="표준 5 2 6 2 2 4" xfId="25507" xr:uid="{00000000-0005-0000-0000-00009D630000}"/>
    <cellStyle name="표준 5 2 6 2 3" xfId="25508" xr:uid="{00000000-0005-0000-0000-00009E630000}"/>
    <cellStyle name="표준 5 2 6 2 3 2" xfId="25509" xr:uid="{00000000-0005-0000-0000-00009F630000}"/>
    <cellStyle name="표준 5 2 6 2 3 2 2" xfId="25510" xr:uid="{00000000-0005-0000-0000-0000A0630000}"/>
    <cellStyle name="표준 5 2 6 2 3 3" xfId="25511" xr:uid="{00000000-0005-0000-0000-0000A1630000}"/>
    <cellStyle name="표준 5 2 6 2 4" xfId="25512" xr:uid="{00000000-0005-0000-0000-0000A2630000}"/>
    <cellStyle name="표준 5 2 6 2 4 2" xfId="25513" xr:uid="{00000000-0005-0000-0000-0000A3630000}"/>
    <cellStyle name="표준 5 2 6 2 5" xfId="25514" xr:uid="{00000000-0005-0000-0000-0000A4630000}"/>
    <cellStyle name="표준 5 2 6 3" xfId="25515" xr:uid="{00000000-0005-0000-0000-0000A5630000}"/>
    <cellStyle name="표준 5 2 6 3 2" xfId="25516" xr:uid="{00000000-0005-0000-0000-0000A6630000}"/>
    <cellStyle name="표준 5 2 6 3 2 2" xfId="25517" xr:uid="{00000000-0005-0000-0000-0000A7630000}"/>
    <cellStyle name="표준 5 2 6 3 2 2 2" xfId="25518" xr:uid="{00000000-0005-0000-0000-0000A8630000}"/>
    <cellStyle name="표준 5 2 6 3 2 3" xfId="25519" xr:uid="{00000000-0005-0000-0000-0000A9630000}"/>
    <cellStyle name="표준 5 2 6 3 3" xfId="25520" xr:uid="{00000000-0005-0000-0000-0000AA630000}"/>
    <cellStyle name="표준 5 2 6 3 3 2" xfId="25521" xr:uid="{00000000-0005-0000-0000-0000AB630000}"/>
    <cellStyle name="표준 5 2 6 3 4" xfId="25522" xr:uid="{00000000-0005-0000-0000-0000AC630000}"/>
    <cellStyle name="표준 5 2 6 4" xfId="25523" xr:uid="{00000000-0005-0000-0000-0000AD630000}"/>
    <cellStyle name="표준 5 2 6 4 2" xfId="25524" xr:uid="{00000000-0005-0000-0000-0000AE630000}"/>
    <cellStyle name="표준 5 2 6 4 2 2" xfId="25525" xr:uid="{00000000-0005-0000-0000-0000AF630000}"/>
    <cellStyle name="표준 5 2 6 4 3" xfId="25526" xr:uid="{00000000-0005-0000-0000-0000B0630000}"/>
    <cellStyle name="표준 5 2 6 5" xfId="25527" xr:uid="{00000000-0005-0000-0000-0000B1630000}"/>
    <cellStyle name="표준 5 2 6 5 2" xfId="25528" xr:uid="{00000000-0005-0000-0000-0000B2630000}"/>
    <cellStyle name="표준 5 2 6 6" xfId="25529" xr:uid="{00000000-0005-0000-0000-0000B3630000}"/>
    <cellStyle name="표준 5 2 7" xfId="25530" xr:uid="{00000000-0005-0000-0000-0000B4630000}"/>
    <cellStyle name="표준 5 2 7 2" xfId="25531" xr:uid="{00000000-0005-0000-0000-0000B5630000}"/>
    <cellStyle name="표준 5 2 7 2 2" xfId="25532" xr:uid="{00000000-0005-0000-0000-0000B6630000}"/>
    <cellStyle name="표준 5 2 7 2 2 2" xfId="25533" xr:uid="{00000000-0005-0000-0000-0000B7630000}"/>
    <cellStyle name="표준 5 2 7 2 2 2 2" xfId="25534" xr:uid="{00000000-0005-0000-0000-0000B8630000}"/>
    <cellStyle name="표준 5 2 7 2 2 3" xfId="25535" xr:uid="{00000000-0005-0000-0000-0000B9630000}"/>
    <cellStyle name="표준 5 2 7 2 3" xfId="25536" xr:uid="{00000000-0005-0000-0000-0000BA630000}"/>
    <cellStyle name="표준 5 2 7 2 3 2" xfId="25537" xr:uid="{00000000-0005-0000-0000-0000BB630000}"/>
    <cellStyle name="표준 5 2 7 2 4" xfId="25538" xr:uid="{00000000-0005-0000-0000-0000BC630000}"/>
    <cellStyle name="표준 5 2 7 3" xfId="25539" xr:uid="{00000000-0005-0000-0000-0000BD630000}"/>
    <cellStyle name="표준 5 2 7 3 2" xfId="25540" xr:uid="{00000000-0005-0000-0000-0000BE630000}"/>
    <cellStyle name="표준 5 2 7 3 2 2" xfId="25541" xr:uid="{00000000-0005-0000-0000-0000BF630000}"/>
    <cellStyle name="표준 5 2 7 3 3" xfId="25542" xr:uid="{00000000-0005-0000-0000-0000C0630000}"/>
    <cellStyle name="표준 5 2 7 4" xfId="25543" xr:uid="{00000000-0005-0000-0000-0000C1630000}"/>
    <cellStyle name="표준 5 2 7 4 2" xfId="25544" xr:uid="{00000000-0005-0000-0000-0000C2630000}"/>
    <cellStyle name="표준 5 2 7 5" xfId="25545" xr:uid="{00000000-0005-0000-0000-0000C3630000}"/>
    <cellStyle name="표준 5 2 8" xfId="25546" xr:uid="{00000000-0005-0000-0000-0000C4630000}"/>
    <cellStyle name="표준 5 2 8 2" xfId="25547" xr:uid="{00000000-0005-0000-0000-0000C5630000}"/>
    <cellStyle name="표준 5 2 8 2 2" xfId="25548" xr:uid="{00000000-0005-0000-0000-0000C6630000}"/>
    <cellStyle name="표준 5 2 8 2 2 2" xfId="25549" xr:uid="{00000000-0005-0000-0000-0000C7630000}"/>
    <cellStyle name="표준 5 2 8 2 3" xfId="25550" xr:uid="{00000000-0005-0000-0000-0000C8630000}"/>
    <cellStyle name="표준 5 2 8 3" xfId="25551" xr:uid="{00000000-0005-0000-0000-0000C9630000}"/>
    <cellStyle name="표준 5 2 8 3 2" xfId="25552" xr:uid="{00000000-0005-0000-0000-0000CA630000}"/>
    <cellStyle name="표준 5 2 8 4" xfId="25553" xr:uid="{00000000-0005-0000-0000-0000CB630000}"/>
    <cellStyle name="표준 5 2 9" xfId="25554" xr:uid="{00000000-0005-0000-0000-0000CC630000}"/>
    <cellStyle name="표준 5 2 9 2" xfId="25555" xr:uid="{00000000-0005-0000-0000-0000CD630000}"/>
    <cellStyle name="표준 5 2 9 2 2" xfId="25556" xr:uid="{00000000-0005-0000-0000-0000CE630000}"/>
    <cellStyle name="표준 5 2 9 3" xfId="25557" xr:uid="{00000000-0005-0000-0000-0000CF630000}"/>
    <cellStyle name="표준 5 3" xfId="25558" xr:uid="{00000000-0005-0000-0000-0000D0630000}"/>
    <cellStyle name="표준 5 3 10" xfId="25559" xr:uid="{00000000-0005-0000-0000-0000D1630000}"/>
    <cellStyle name="표준 5 3 11" xfId="25560" xr:uid="{00000000-0005-0000-0000-0000D2630000}"/>
    <cellStyle name="표준 5 3 2" xfId="25561" xr:uid="{00000000-0005-0000-0000-0000D3630000}"/>
    <cellStyle name="표준 5 3 2 10" xfId="25562" xr:uid="{00000000-0005-0000-0000-0000D4630000}"/>
    <cellStyle name="표준 5 3 2 2" xfId="25563" xr:uid="{00000000-0005-0000-0000-0000D5630000}"/>
    <cellStyle name="표준 5 3 2 2 2" xfId="25564" xr:uid="{00000000-0005-0000-0000-0000D6630000}"/>
    <cellStyle name="표준 5 3 2 2 2 2" xfId="25565" xr:uid="{00000000-0005-0000-0000-0000D7630000}"/>
    <cellStyle name="표준 5 3 2 2 2 2 2" xfId="25566" xr:uid="{00000000-0005-0000-0000-0000D8630000}"/>
    <cellStyle name="표준 5 3 2 2 2 2 2 2" xfId="25567" xr:uid="{00000000-0005-0000-0000-0000D9630000}"/>
    <cellStyle name="표준 5 3 2 2 2 2 2 2 2" xfId="25568" xr:uid="{00000000-0005-0000-0000-0000DA630000}"/>
    <cellStyle name="표준 5 3 2 2 2 2 2 2 2 2" xfId="25569" xr:uid="{00000000-0005-0000-0000-0000DB630000}"/>
    <cellStyle name="표준 5 3 2 2 2 2 2 2 2 2 2" xfId="25570" xr:uid="{00000000-0005-0000-0000-0000DC630000}"/>
    <cellStyle name="표준 5 3 2 2 2 2 2 2 2 3" xfId="25571" xr:uid="{00000000-0005-0000-0000-0000DD630000}"/>
    <cellStyle name="표준 5 3 2 2 2 2 2 2 3" xfId="25572" xr:uid="{00000000-0005-0000-0000-0000DE630000}"/>
    <cellStyle name="표준 5 3 2 2 2 2 2 2 3 2" xfId="25573" xr:uid="{00000000-0005-0000-0000-0000DF630000}"/>
    <cellStyle name="표준 5 3 2 2 2 2 2 2 4" xfId="25574" xr:uid="{00000000-0005-0000-0000-0000E0630000}"/>
    <cellStyle name="표준 5 3 2 2 2 2 2 3" xfId="25575" xr:uid="{00000000-0005-0000-0000-0000E1630000}"/>
    <cellStyle name="표준 5 3 2 2 2 2 2 3 2" xfId="25576" xr:uid="{00000000-0005-0000-0000-0000E2630000}"/>
    <cellStyle name="표준 5 3 2 2 2 2 2 3 2 2" xfId="25577" xr:uid="{00000000-0005-0000-0000-0000E3630000}"/>
    <cellStyle name="표준 5 3 2 2 2 2 2 3 3" xfId="25578" xr:uid="{00000000-0005-0000-0000-0000E4630000}"/>
    <cellStyle name="표준 5 3 2 2 2 2 2 4" xfId="25579" xr:uid="{00000000-0005-0000-0000-0000E5630000}"/>
    <cellStyle name="표준 5 3 2 2 2 2 2 4 2" xfId="25580" xr:uid="{00000000-0005-0000-0000-0000E6630000}"/>
    <cellStyle name="표준 5 3 2 2 2 2 2 5" xfId="25581" xr:uid="{00000000-0005-0000-0000-0000E7630000}"/>
    <cellStyle name="표준 5 3 2 2 2 2 3" xfId="25582" xr:uid="{00000000-0005-0000-0000-0000E8630000}"/>
    <cellStyle name="표준 5 3 2 2 2 2 3 2" xfId="25583" xr:uid="{00000000-0005-0000-0000-0000E9630000}"/>
    <cellStyle name="표준 5 3 2 2 2 2 3 2 2" xfId="25584" xr:uid="{00000000-0005-0000-0000-0000EA630000}"/>
    <cellStyle name="표준 5 3 2 2 2 2 3 2 2 2" xfId="25585" xr:uid="{00000000-0005-0000-0000-0000EB630000}"/>
    <cellStyle name="표준 5 3 2 2 2 2 3 2 3" xfId="25586" xr:uid="{00000000-0005-0000-0000-0000EC630000}"/>
    <cellStyle name="표준 5 3 2 2 2 2 3 3" xfId="25587" xr:uid="{00000000-0005-0000-0000-0000ED630000}"/>
    <cellStyle name="표준 5 3 2 2 2 2 3 3 2" xfId="25588" xr:uid="{00000000-0005-0000-0000-0000EE630000}"/>
    <cellStyle name="표준 5 3 2 2 2 2 3 4" xfId="25589" xr:uid="{00000000-0005-0000-0000-0000EF630000}"/>
    <cellStyle name="표준 5 3 2 2 2 2 4" xfId="25590" xr:uid="{00000000-0005-0000-0000-0000F0630000}"/>
    <cellStyle name="표준 5 3 2 2 2 2 4 2" xfId="25591" xr:uid="{00000000-0005-0000-0000-0000F1630000}"/>
    <cellStyle name="표준 5 3 2 2 2 2 4 2 2" xfId="25592" xr:uid="{00000000-0005-0000-0000-0000F2630000}"/>
    <cellStyle name="표준 5 3 2 2 2 2 4 3" xfId="25593" xr:uid="{00000000-0005-0000-0000-0000F3630000}"/>
    <cellStyle name="표준 5 3 2 2 2 2 5" xfId="25594" xr:uid="{00000000-0005-0000-0000-0000F4630000}"/>
    <cellStyle name="표준 5 3 2 2 2 2 5 2" xfId="25595" xr:uid="{00000000-0005-0000-0000-0000F5630000}"/>
    <cellStyle name="표준 5 3 2 2 2 2 6" xfId="25596" xr:uid="{00000000-0005-0000-0000-0000F6630000}"/>
    <cellStyle name="표준 5 3 2 2 2 3" xfId="25597" xr:uid="{00000000-0005-0000-0000-0000F7630000}"/>
    <cellStyle name="표준 5 3 2 2 2 3 2" xfId="25598" xr:uid="{00000000-0005-0000-0000-0000F8630000}"/>
    <cellStyle name="표준 5 3 2 2 2 3 2 2" xfId="25599" xr:uid="{00000000-0005-0000-0000-0000F9630000}"/>
    <cellStyle name="표준 5 3 2 2 2 3 2 2 2" xfId="25600" xr:uid="{00000000-0005-0000-0000-0000FA630000}"/>
    <cellStyle name="표준 5 3 2 2 2 3 2 2 2 2" xfId="25601" xr:uid="{00000000-0005-0000-0000-0000FB630000}"/>
    <cellStyle name="표준 5 3 2 2 2 3 2 2 3" xfId="25602" xr:uid="{00000000-0005-0000-0000-0000FC630000}"/>
    <cellStyle name="표준 5 3 2 2 2 3 2 3" xfId="25603" xr:uid="{00000000-0005-0000-0000-0000FD630000}"/>
    <cellStyle name="표준 5 3 2 2 2 3 2 3 2" xfId="25604" xr:uid="{00000000-0005-0000-0000-0000FE630000}"/>
    <cellStyle name="표준 5 3 2 2 2 3 2 4" xfId="25605" xr:uid="{00000000-0005-0000-0000-0000FF630000}"/>
    <cellStyle name="표준 5 3 2 2 2 3 3" xfId="25606" xr:uid="{00000000-0005-0000-0000-000000640000}"/>
    <cellStyle name="표준 5 3 2 2 2 3 3 2" xfId="25607" xr:uid="{00000000-0005-0000-0000-000001640000}"/>
    <cellStyle name="표준 5 3 2 2 2 3 3 2 2" xfId="25608" xr:uid="{00000000-0005-0000-0000-000002640000}"/>
    <cellStyle name="표준 5 3 2 2 2 3 3 3" xfId="25609" xr:uid="{00000000-0005-0000-0000-000003640000}"/>
    <cellStyle name="표준 5 3 2 2 2 3 4" xfId="25610" xr:uid="{00000000-0005-0000-0000-000004640000}"/>
    <cellStyle name="표준 5 3 2 2 2 3 4 2" xfId="25611" xr:uid="{00000000-0005-0000-0000-000005640000}"/>
    <cellStyle name="표준 5 3 2 2 2 3 5" xfId="25612" xr:uid="{00000000-0005-0000-0000-000006640000}"/>
    <cellStyle name="표준 5 3 2 2 2 4" xfId="25613" xr:uid="{00000000-0005-0000-0000-000007640000}"/>
    <cellStyle name="표준 5 3 2 2 2 4 2" xfId="25614" xr:uid="{00000000-0005-0000-0000-000008640000}"/>
    <cellStyle name="표준 5 3 2 2 2 4 2 2" xfId="25615" xr:uid="{00000000-0005-0000-0000-000009640000}"/>
    <cellStyle name="표준 5 3 2 2 2 4 2 2 2" xfId="25616" xr:uid="{00000000-0005-0000-0000-00000A640000}"/>
    <cellStyle name="표준 5 3 2 2 2 4 2 3" xfId="25617" xr:uid="{00000000-0005-0000-0000-00000B640000}"/>
    <cellStyle name="표준 5 3 2 2 2 4 3" xfId="25618" xr:uid="{00000000-0005-0000-0000-00000C640000}"/>
    <cellStyle name="표준 5 3 2 2 2 4 3 2" xfId="25619" xr:uid="{00000000-0005-0000-0000-00000D640000}"/>
    <cellStyle name="표준 5 3 2 2 2 4 4" xfId="25620" xr:uid="{00000000-0005-0000-0000-00000E640000}"/>
    <cellStyle name="표준 5 3 2 2 2 5" xfId="25621" xr:uid="{00000000-0005-0000-0000-00000F640000}"/>
    <cellStyle name="표준 5 3 2 2 2 5 2" xfId="25622" xr:uid="{00000000-0005-0000-0000-000010640000}"/>
    <cellStyle name="표준 5 3 2 2 2 5 2 2" xfId="25623" xr:uid="{00000000-0005-0000-0000-000011640000}"/>
    <cellStyle name="표준 5 3 2 2 2 5 3" xfId="25624" xr:uid="{00000000-0005-0000-0000-000012640000}"/>
    <cellStyle name="표준 5 3 2 2 2 6" xfId="25625" xr:uid="{00000000-0005-0000-0000-000013640000}"/>
    <cellStyle name="표준 5 3 2 2 2 6 2" xfId="25626" xr:uid="{00000000-0005-0000-0000-000014640000}"/>
    <cellStyle name="표준 5 3 2 2 2 7" xfId="25627" xr:uid="{00000000-0005-0000-0000-000015640000}"/>
    <cellStyle name="표준 5 3 2 2 2 8" xfId="25628" xr:uid="{00000000-0005-0000-0000-000016640000}"/>
    <cellStyle name="표준 5 3 2 2 3" xfId="25629" xr:uid="{00000000-0005-0000-0000-000017640000}"/>
    <cellStyle name="표준 5 3 2 2 3 2" xfId="25630" xr:uid="{00000000-0005-0000-0000-000018640000}"/>
    <cellStyle name="표준 5 3 2 2 3 2 2" xfId="25631" xr:uid="{00000000-0005-0000-0000-000019640000}"/>
    <cellStyle name="표준 5 3 2 2 3 2 2 2" xfId="25632" xr:uid="{00000000-0005-0000-0000-00001A640000}"/>
    <cellStyle name="표준 5 3 2 2 3 2 2 2 2" xfId="25633" xr:uid="{00000000-0005-0000-0000-00001B640000}"/>
    <cellStyle name="표준 5 3 2 2 3 2 2 2 2 2" xfId="25634" xr:uid="{00000000-0005-0000-0000-00001C640000}"/>
    <cellStyle name="표준 5 3 2 2 3 2 2 2 3" xfId="25635" xr:uid="{00000000-0005-0000-0000-00001D640000}"/>
    <cellStyle name="표준 5 3 2 2 3 2 2 3" xfId="25636" xr:uid="{00000000-0005-0000-0000-00001E640000}"/>
    <cellStyle name="표준 5 3 2 2 3 2 2 3 2" xfId="25637" xr:uid="{00000000-0005-0000-0000-00001F640000}"/>
    <cellStyle name="표준 5 3 2 2 3 2 2 4" xfId="25638" xr:uid="{00000000-0005-0000-0000-000020640000}"/>
    <cellStyle name="표준 5 3 2 2 3 2 3" xfId="25639" xr:uid="{00000000-0005-0000-0000-000021640000}"/>
    <cellStyle name="표준 5 3 2 2 3 2 3 2" xfId="25640" xr:uid="{00000000-0005-0000-0000-000022640000}"/>
    <cellStyle name="표준 5 3 2 2 3 2 3 2 2" xfId="25641" xr:uid="{00000000-0005-0000-0000-000023640000}"/>
    <cellStyle name="표준 5 3 2 2 3 2 3 3" xfId="25642" xr:uid="{00000000-0005-0000-0000-000024640000}"/>
    <cellStyle name="표준 5 3 2 2 3 2 4" xfId="25643" xr:uid="{00000000-0005-0000-0000-000025640000}"/>
    <cellStyle name="표준 5 3 2 2 3 2 4 2" xfId="25644" xr:uid="{00000000-0005-0000-0000-000026640000}"/>
    <cellStyle name="표준 5 3 2 2 3 2 5" xfId="25645" xr:uid="{00000000-0005-0000-0000-000027640000}"/>
    <cellStyle name="표준 5 3 2 2 3 3" xfId="25646" xr:uid="{00000000-0005-0000-0000-000028640000}"/>
    <cellStyle name="표준 5 3 2 2 3 3 2" xfId="25647" xr:uid="{00000000-0005-0000-0000-000029640000}"/>
    <cellStyle name="표준 5 3 2 2 3 3 2 2" xfId="25648" xr:uid="{00000000-0005-0000-0000-00002A640000}"/>
    <cellStyle name="표준 5 3 2 2 3 3 2 2 2" xfId="25649" xr:uid="{00000000-0005-0000-0000-00002B640000}"/>
    <cellStyle name="표준 5 3 2 2 3 3 2 3" xfId="25650" xr:uid="{00000000-0005-0000-0000-00002C640000}"/>
    <cellStyle name="표준 5 3 2 2 3 3 3" xfId="25651" xr:uid="{00000000-0005-0000-0000-00002D640000}"/>
    <cellStyle name="표준 5 3 2 2 3 3 3 2" xfId="25652" xr:uid="{00000000-0005-0000-0000-00002E640000}"/>
    <cellStyle name="표준 5 3 2 2 3 3 4" xfId="25653" xr:uid="{00000000-0005-0000-0000-00002F640000}"/>
    <cellStyle name="표준 5 3 2 2 3 4" xfId="25654" xr:uid="{00000000-0005-0000-0000-000030640000}"/>
    <cellStyle name="표준 5 3 2 2 3 4 2" xfId="25655" xr:uid="{00000000-0005-0000-0000-000031640000}"/>
    <cellStyle name="표준 5 3 2 2 3 4 2 2" xfId="25656" xr:uid="{00000000-0005-0000-0000-000032640000}"/>
    <cellStyle name="표준 5 3 2 2 3 4 3" xfId="25657" xr:uid="{00000000-0005-0000-0000-000033640000}"/>
    <cellStyle name="표준 5 3 2 2 3 5" xfId="25658" xr:uid="{00000000-0005-0000-0000-000034640000}"/>
    <cellStyle name="표준 5 3 2 2 3 5 2" xfId="25659" xr:uid="{00000000-0005-0000-0000-000035640000}"/>
    <cellStyle name="표준 5 3 2 2 3 6" xfId="25660" xr:uid="{00000000-0005-0000-0000-000036640000}"/>
    <cellStyle name="표준 5 3 2 2 4" xfId="25661" xr:uid="{00000000-0005-0000-0000-000037640000}"/>
    <cellStyle name="표준 5 3 2 2 4 2" xfId="25662" xr:uid="{00000000-0005-0000-0000-000038640000}"/>
    <cellStyle name="표준 5 3 2 2 4 2 2" xfId="25663" xr:uid="{00000000-0005-0000-0000-000039640000}"/>
    <cellStyle name="표준 5 3 2 2 4 2 2 2" xfId="25664" xr:uid="{00000000-0005-0000-0000-00003A640000}"/>
    <cellStyle name="표준 5 3 2 2 4 2 2 2 2" xfId="25665" xr:uid="{00000000-0005-0000-0000-00003B640000}"/>
    <cellStyle name="표준 5 3 2 2 4 2 2 3" xfId="25666" xr:uid="{00000000-0005-0000-0000-00003C640000}"/>
    <cellStyle name="표준 5 3 2 2 4 2 3" xfId="25667" xr:uid="{00000000-0005-0000-0000-00003D640000}"/>
    <cellStyle name="표준 5 3 2 2 4 2 3 2" xfId="25668" xr:uid="{00000000-0005-0000-0000-00003E640000}"/>
    <cellStyle name="표준 5 3 2 2 4 2 4" xfId="25669" xr:uid="{00000000-0005-0000-0000-00003F640000}"/>
    <cellStyle name="표준 5 3 2 2 4 3" xfId="25670" xr:uid="{00000000-0005-0000-0000-000040640000}"/>
    <cellStyle name="표준 5 3 2 2 4 3 2" xfId="25671" xr:uid="{00000000-0005-0000-0000-000041640000}"/>
    <cellStyle name="표준 5 3 2 2 4 3 2 2" xfId="25672" xr:uid="{00000000-0005-0000-0000-000042640000}"/>
    <cellStyle name="표준 5 3 2 2 4 3 3" xfId="25673" xr:uid="{00000000-0005-0000-0000-000043640000}"/>
    <cellStyle name="표준 5 3 2 2 4 4" xfId="25674" xr:uid="{00000000-0005-0000-0000-000044640000}"/>
    <cellStyle name="표준 5 3 2 2 4 4 2" xfId="25675" xr:uid="{00000000-0005-0000-0000-000045640000}"/>
    <cellStyle name="표준 5 3 2 2 4 5" xfId="25676" xr:uid="{00000000-0005-0000-0000-000046640000}"/>
    <cellStyle name="표준 5 3 2 2 5" xfId="25677" xr:uid="{00000000-0005-0000-0000-000047640000}"/>
    <cellStyle name="표준 5 3 2 2 5 2" xfId="25678" xr:uid="{00000000-0005-0000-0000-000048640000}"/>
    <cellStyle name="표준 5 3 2 2 5 2 2" xfId="25679" xr:uid="{00000000-0005-0000-0000-000049640000}"/>
    <cellStyle name="표준 5 3 2 2 5 2 2 2" xfId="25680" xr:uid="{00000000-0005-0000-0000-00004A640000}"/>
    <cellStyle name="표준 5 3 2 2 5 2 3" xfId="25681" xr:uid="{00000000-0005-0000-0000-00004B640000}"/>
    <cellStyle name="표준 5 3 2 2 5 3" xfId="25682" xr:uid="{00000000-0005-0000-0000-00004C640000}"/>
    <cellStyle name="표준 5 3 2 2 5 3 2" xfId="25683" xr:uid="{00000000-0005-0000-0000-00004D640000}"/>
    <cellStyle name="표준 5 3 2 2 5 4" xfId="25684" xr:uid="{00000000-0005-0000-0000-00004E640000}"/>
    <cellStyle name="표준 5 3 2 2 6" xfId="25685" xr:uid="{00000000-0005-0000-0000-00004F640000}"/>
    <cellStyle name="표준 5 3 2 2 6 2" xfId="25686" xr:uid="{00000000-0005-0000-0000-000050640000}"/>
    <cellStyle name="표준 5 3 2 2 6 2 2" xfId="25687" xr:uid="{00000000-0005-0000-0000-000051640000}"/>
    <cellStyle name="표준 5 3 2 2 6 3" xfId="25688" xr:uid="{00000000-0005-0000-0000-000052640000}"/>
    <cellStyle name="표준 5 3 2 2 7" xfId="25689" xr:uid="{00000000-0005-0000-0000-000053640000}"/>
    <cellStyle name="표준 5 3 2 2 7 2" xfId="25690" xr:uid="{00000000-0005-0000-0000-000054640000}"/>
    <cellStyle name="표준 5 3 2 2 8" xfId="25691" xr:uid="{00000000-0005-0000-0000-000055640000}"/>
    <cellStyle name="표준 5 3 2 2 9" xfId="25692" xr:uid="{00000000-0005-0000-0000-000056640000}"/>
    <cellStyle name="표준 5 3 2 3" xfId="25693" xr:uid="{00000000-0005-0000-0000-000057640000}"/>
    <cellStyle name="표준 5 3 2 3 2" xfId="25694" xr:uid="{00000000-0005-0000-0000-000058640000}"/>
    <cellStyle name="표준 5 3 2 3 2 2" xfId="25695" xr:uid="{00000000-0005-0000-0000-000059640000}"/>
    <cellStyle name="표준 5 3 2 3 2 2 2" xfId="25696" xr:uid="{00000000-0005-0000-0000-00005A640000}"/>
    <cellStyle name="표준 5 3 2 3 2 2 2 2" xfId="25697" xr:uid="{00000000-0005-0000-0000-00005B640000}"/>
    <cellStyle name="표준 5 3 2 3 2 2 2 2 2" xfId="25698" xr:uid="{00000000-0005-0000-0000-00005C640000}"/>
    <cellStyle name="표준 5 3 2 3 2 2 2 2 2 2" xfId="25699" xr:uid="{00000000-0005-0000-0000-00005D640000}"/>
    <cellStyle name="표준 5 3 2 3 2 2 2 2 3" xfId="25700" xr:uid="{00000000-0005-0000-0000-00005E640000}"/>
    <cellStyle name="표준 5 3 2 3 2 2 2 3" xfId="25701" xr:uid="{00000000-0005-0000-0000-00005F640000}"/>
    <cellStyle name="표준 5 3 2 3 2 2 2 3 2" xfId="25702" xr:uid="{00000000-0005-0000-0000-000060640000}"/>
    <cellStyle name="표준 5 3 2 3 2 2 2 4" xfId="25703" xr:uid="{00000000-0005-0000-0000-000061640000}"/>
    <cellStyle name="표준 5 3 2 3 2 2 3" xfId="25704" xr:uid="{00000000-0005-0000-0000-000062640000}"/>
    <cellStyle name="표준 5 3 2 3 2 2 3 2" xfId="25705" xr:uid="{00000000-0005-0000-0000-000063640000}"/>
    <cellStyle name="표준 5 3 2 3 2 2 3 2 2" xfId="25706" xr:uid="{00000000-0005-0000-0000-000064640000}"/>
    <cellStyle name="표준 5 3 2 3 2 2 3 3" xfId="25707" xr:uid="{00000000-0005-0000-0000-000065640000}"/>
    <cellStyle name="표준 5 3 2 3 2 2 4" xfId="25708" xr:uid="{00000000-0005-0000-0000-000066640000}"/>
    <cellStyle name="표준 5 3 2 3 2 2 4 2" xfId="25709" xr:uid="{00000000-0005-0000-0000-000067640000}"/>
    <cellStyle name="표준 5 3 2 3 2 2 5" xfId="25710" xr:uid="{00000000-0005-0000-0000-000068640000}"/>
    <cellStyle name="표준 5 3 2 3 2 3" xfId="25711" xr:uid="{00000000-0005-0000-0000-000069640000}"/>
    <cellStyle name="표준 5 3 2 3 2 3 2" xfId="25712" xr:uid="{00000000-0005-0000-0000-00006A640000}"/>
    <cellStyle name="표준 5 3 2 3 2 3 2 2" xfId="25713" xr:uid="{00000000-0005-0000-0000-00006B640000}"/>
    <cellStyle name="표준 5 3 2 3 2 3 2 2 2" xfId="25714" xr:uid="{00000000-0005-0000-0000-00006C640000}"/>
    <cellStyle name="표준 5 3 2 3 2 3 2 3" xfId="25715" xr:uid="{00000000-0005-0000-0000-00006D640000}"/>
    <cellStyle name="표준 5 3 2 3 2 3 3" xfId="25716" xr:uid="{00000000-0005-0000-0000-00006E640000}"/>
    <cellStyle name="표준 5 3 2 3 2 3 3 2" xfId="25717" xr:uid="{00000000-0005-0000-0000-00006F640000}"/>
    <cellStyle name="표준 5 3 2 3 2 3 4" xfId="25718" xr:uid="{00000000-0005-0000-0000-000070640000}"/>
    <cellStyle name="표준 5 3 2 3 2 4" xfId="25719" xr:uid="{00000000-0005-0000-0000-000071640000}"/>
    <cellStyle name="표준 5 3 2 3 2 4 2" xfId="25720" xr:uid="{00000000-0005-0000-0000-000072640000}"/>
    <cellStyle name="표준 5 3 2 3 2 4 2 2" xfId="25721" xr:uid="{00000000-0005-0000-0000-000073640000}"/>
    <cellStyle name="표준 5 3 2 3 2 4 3" xfId="25722" xr:uid="{00000000-0005-0000-0000-000074640000}"/>
    <cellStyle name="표준 5 3 2 3 2 5" xfId="25723" xr:uid="{00000000-0005-0000-0000-000075640000}"/>
    <cellStyle name="표준 5 3 2 3 2 5 2" xfId="25724" xr:uid="{00000000-0005-0000-0000-000076640000}"/>
    <cellStyle name="표준 5 3 2 3 2 6" xfId="25725" xr:uid="{00000000-0005-0000-0000-000077640000}"/>
    <cellStyle name="표준 5 3 2 3 3" xfId="25726" xr:uid="{00000000-0005-0000-0000-000078640000}"/>
    <cellStyle name="표준 5 3 2 3 3 2" xfId="25727" xr:uid="{00000000-0005-0000-0000-000079640000}"/>
    <cellStyle name="표준 5 3 2 3 3 2 2" xfId="25728" xr:uid="{00000000-0005-0000-0000-00007A640000}"/>
    <cellStyle name="표준 5 3 2 3 3 2 2 2" xfId="25729" xr:uid="{00000000-0005-0000-0000-00007B640000}"/>
    <cellStyle name="표준 5 3 2 3 3 2 2 2 2" xfId="25730" xr:uid="{00000000-0005-0000-0000-00007C640000}"/>
    <cellStyle name="표준 5 3 2 3 3 2 2 3" xfId="25731" xr:uid="{00000000-0005-0000-0000-00007D640000}"/>
    <cellStyle name="표준 5 3 2 3 3 2 3" xfId="25732" xr:uid="{00000000-0005-0000-0000-00007E640000}"/>
    <cellStyle name="표준 5 3 2 3 3 2 3 2" xfId="25733" xr:uid="{00000000-0005-0000-0000-00007F640000}"/>
    <cellStyle name="표준 5 3 2 3 3 2 4" xfId="25734" xr:uid="{00000000-0005-0000-0000-000080640000}"/>
    <cellStyle name="표준 5 3 2 3 3 3" xfId="25735" xr:uid="{00000000-0005-0000-0000-000081640000}"/>
    <cellStyle name="표준 5 3 2 3 3 3 2" xfId="25736" xr:uid="{00000000-0005-0000-0000-000082640000}"/>
    <cellStyle name="표준 5 3 2 3 3 3 2 2" xfId="25737" xr:uid="{00000000-0005-0000-0000-000083640000}"/>
    <cellStyle name="표준 5 3 2 3 3 3 3" xfId="25738" xr:uid="{00000000-0005-0000-0000-000084640000}"/>
    <cellStyle name="표준 5 3 2 3 3 4" xfId="25739" xr:uid="{00000000-0005-0000-0000-000085640000}"/>
    <cellStyle name="표준 5 3 2 3 3 4 2" xfId="25740" xr:uid="{00000000-0005-0000-0000-000086640000}"/>
    <cellStyle name="표준 5 3 2 3 3 5" xfId="25741" xr:uid="{00000000-0005-0000-0000-000087640000}"/>
    <cellStyle name="표준 5 3 2 3 4" xfId="25742" xr:uid="{00000000-0005-0000-0000-000088640000}"/>
    <cellStyle name="표준 5 3 2 3 4 2" xfId="25743" xr:uid="{00000000-0005-0000-0000-000089640000}"/>
    <cellStyle name="표준 5 3 2 3 4 2 2" xfId="25744" xr:uid="{00000000-0005-0000-0000-00008A640000}"/>
    <cellStyle name="표준 5 3 2 3 4 2 2 2" xfId="25745" xr:uid="{00000000-0005-0000-0000-00008B640000}"/>
    <cellStyle name="표준 5 3 2 3 4 2 3" xfId="25746" xr:uid="{00000000-0005-0000-0000-00008C640000}"/>
    <cellStyle name="표준 5 3 2 3 4 3" xfId="25747" xr:uid="{00000000-0005-0000-0000-00008D640000}"/>
    <cellStyle name="표준 5 3 2 3 4 3 2" xfId="25748" xr:uid="{00000000-0005-0000-0000-00008E640000}"/>
    <cellStyle name="표준 5 3 2 3 4 4" xfId="25749" xr:uid="{00000000-0005-0000-0000-00008F640000}"/>
    <cellStyle name="표준 5 3 2 3 5" xfId="25750" xr:uid="{00000000-0005-0000-0000-000090640000}"/>
    <cellStyle name="표준 5 3 2 3 5 2" xfId="25751" xr:uid="{00000000-0005-0000-0000-000091640000}"/>
    <cellStyle name="표준 5 3 2 3 5 2 2" xfId="25752" xr:uid="{00000000-0005-0000-0000-000092640000}"/>
    <cellStyle name="표준 5 3 2 3 5 3" xfId="25753" xr:uid="{00000000-0005-0000-0000-000093640000}"/>
    <cellStyle name="표준 5 3 2 3 6" xfId="25754" xr:uid="{00000000-0005-0000-0000-000094640000}"/>
    <cellStyle name="표준 5 3 2 3 6 2" xfId="25755" xr:uid="{00000000-0005-0000-0000-000095640000}"/>
    <cellStyle name="표준 5 3 2 3 7" xfId="25756" xr:uid="{00000000-0005-0000-0000-000096640000}"/>
    <cellStyle name="표준 5 3 2 3 8" xfId="25757" xr:uid="{00000000-0005-0000-0000-000097640000}"/>
    <cellStyle name="표준 5 3 2 4" xfId="25758" xr:uid="{00000000-0005-0000-0000-000098640000}"/>
    <cellStyle name="표준 5 3 2 4 2" xfId="25759" xr:uid="{00000000-0005-0000-0000-000099640000}"/>
    <cellStyle name="표준 5 3 2 4 2 2" xfId="25760" xr:uid="{00000000-0005-0000-0000-00009A640000}"/>
    <cellStyle name="표준 5 3 2 4 2 2 2" xfId="25761" xr:uid="{00000000-0005-0000-0000-00009B640000}"/>
    <cellStyle name="표준 5 3 2 4 2 2 2 2" xfId="25762" xr:uid="{00000000-0005-0000-0000-00009C640000}"/>
    <cellStyle name="표준 5 3 2 4 2 2 2 2 2" xfId="25763" xr:uid="{00000000-0005-0000-0000-00009D640000}"/>
    <cellStyle name="표준 5 3 2 4 2 2 2 3" xfId="25764" xr:uid="{00000000-0005-0000-0000-00009E640000}"/>
    <cellStyle name="표준 5 3 2 4 2 2 3" xfId="25765" xr:uid="{00000000-0005-0000-0000-00009F640000}"/>
    <cellStyle name="표준 5 3 2 4 2 2 3 2" xfId="25766" xr:uid="{00000000-0005-0000-0000-0000A0640000}"/>
    <cellStyle name="표준 5 3 2 4 2 2 4" xfId="25767" xr:uid="{00000000-0005-0000-0000-0000A1640000}"/>
    <cellStyle name="표준 5 3 2 4 2 3" xfId="25768" xr:uid="{00000000-0005-0000-0000-0000A2640000}"/>
    <cellStyle name="표준 5 3 2 4 2 3 2" xfId="25769" xr:uid="{00000000-0005-0000-0000-0000A3640000}"/>
    <cellStyle name="표준 5 3 2 4 2 3 2 2" xfId="25770" xr:uid="{00000000-0005-0000-0000-0000A4640000}"/>
    <cellStyle name="표준 5 3 2 4 2 3 3" xfId="25771" xr:uid="{00000000-0005-0000-0000-0000A5640000}"/>
    <cellStyle name="표준 5 3 2 4 2 4" xfId="25772" xr:uid="{00000000-0005-0000-0000-0000A6640000}"/>
    <cellStyle name="표준 5 3 2 4 2 4 2" xfId="25773" xr:uid="{00000000-0005-0000-0000-0000A7640000}"/>
    <cellStyle name="표준 5 3 2 4 2 5" xfId="25774" xr:uid="{00000000-0005-0000-0000-0000A8640000}"/>
    <cellStyle name="표준 5 3 2 4 3" xfId="25775" xr:uid="{00000000-0005-0000-0000-0000A9640000}"/>
    <cellStyle name="표준 5 3 2 4 3 2" xfId="25776" xr:uid="{00000000-0005-0000-0000-0000AA640000}"/>
    <cellStyle name="표준 5 3 2 4 3 2 2" xfId="25777" xr:uid="{00000000-0005-0000-0000-0000AB640000}"/>
    <cellStyle name="표준 5 3 2 4 3 2 2 2" xfId="25778" xr:uid="{00000000-0005-0000-0000-0000AC640000}"/>
    <cellStyle name="표준 5 3 2 4 3 2 3" xfId="25779" xr:uid="{00000000-0005-0000-0000-0000AD640000}"/>
    <cellStyle name="표준 5 3 2 4 3 3" xfId="25780" xr:uid="{00000000-0005-0000-0000-0000AE640000}"/>
    <cellStyle name="표준 5 3 2 4 3 3 2" xfId="25781" xr:uid="{00000000-0005-0000-0000-0000AF640000}"/>
    <cellStyle name="표준 5 3 2 4 3 4" xfId="25782" xr:uid="{00000000-0005-0000-0000-0000B0640000}"/>
    <cellStyle name="표준 5 3 2 4 4" xfId="25783" xr:uid="{00000000-0005-0000-0000-0000B1640000}"/>
    <cellStyle name="표준 5 3 2 4 4 2" xfId="25784" xr:uid="{00000000-0005-0000-0000-0000B2640000}"/>
    <cellStyle name="표준 5 3 2 4 4 2 2" xfId="25785" xr:uid="{00000000-0005-0000-0000-0000B3640000}"/>
    <cellStyle name="표준 5 3 2 4 4 3" xfId="25786" xr:uid="{00000000-0005-0000-0000-0000B4640000}"/>
    <cellStyle name="표준 5 3 2 4 5" xfId="25787" xr:uid="{00000000-0005-0000-0000-0000B5640000}"/>
    <cellStyle name="표준 5 3 2 4 5 2" xfId="25788" xr:uid="{00000000-0005-0000-0000-0000B6640000}"/>
    <cellStyle name="표준 5 3 2 4 6" xfId="25789" xr:uid="{00000000-0005-0000-0000-0000B7640000}"/>
    <cellStyle name="표준 5 3 2 5" xfId="25790" xr:uid="{00000000-0005-0000-0000-0000B8640000}"/>
    <cellStyle name="표준 5 3 2 5 2" xfId="25791" xr:uid="{00000000-0005-0000-0000-0000B9640000}"/>
    <cellStyle name="표준 5 3 2 5 2 2" xfId="25792" xr:uid="{00000000-0005-0000-0000-0000BA640000}"/>
    <cellStyle name="표준 5 3 2 5 2 2 2" xfId="25793" xr:uid="{00000000-0005-0000-0000-0000BB640000}"/>
    <cellStyle name="표준 5 3 2 5 2 2 2 2" xfId="25794" xr:uid="{00000000-0005-0000-0000-0000BC640000}"/>
    <cellStyle name="표준 5 3 2 5 2 2 3" xfId="25795" xr:uid="{00000000-0005-0000-0000-0000BD640000}"/>
    <cellStyle name="표준 5 3 2 5 2 3" xfId="25796" xr:uid="{00000000-0005-0000-0000-0000BE640000}"/>
    <cellStyle name="표준 5 3 2 5 2 3 2" xfId="25797" xr:uid="{00000000-0005-0000-0000-0000BF640000}"/>
    <cellStyle name="표준 5 3 2 5 2 4" xfId="25798" xr:uid="{00000000-0005-0000-0000-0000C0640000}"/>
    <cellStyle name="표준 5 3 2 5 3" xfId="25799" xr:uid="{00000000-0005-0000-0000-0000C1640000}"/>
    <cellStyle name="표준 5 3 2 5 3 2" xfId="25800" xr:uid="{00000000-0005-0000-0000-0000C2640000}"/>
    <cellStyle name="표준 5 3 2 5 3 2 2" xfId="25801" xr:uid="{00000000-0005-0000-0000-0000C3640000}"/>
    <cellStyle name="표준 5 3 2 5 3 3" xfId="25802" xr:uid="{00000000-0005-0000-0000-0000C4640000}"/>
    <cellStyle name="표준 5 3 2 5 4" xfId="25803" xr:uid="{00000000-0005-0000-0000-0000C5640000}"/>
    <cellStyle name="표준 5 3 2 5 4 2" xfId="25804" xr:uid="{00000000-0005-0000-0000-0000C6640000}"/>
    <cellStyle name="표준 5 3 2 5 5" xfId="25805" xr:uid="{00000000-0005-0000-0000-0000C7640000}"/>
    <cellStyle name="표준 5 3 2 6" xfId="25806" xr:uid="{00000000-0005-0000-0000-0000C8640000}"/>
    <cellStyle name="표준 5 3 2 6 2" xfId="25807" xr:uid="{00000000-0005-0000-0000-0000C9640000}"/>
    <cellStyle name="표준 5 3 2 6 2 2" xfId="25808" xr:uid="{00000000-0005-0000-0000-0000CA640000}"/>
    <cellStyle name="표준 5 3 2 6 2 2 2" xfId="25809" xr:uid="{00000000-0005-0000-0000-0000CB640000}"/>
    <cellStyle name="표준 5 3 2 6 2 3" xfId="25810" xr:uid="{00000000-0005-0000-0000-0000CC640000}"/>
    <cellStyle name="표준 5 3 2 6 3" xfId="25811" xr:uid="{00000000-0005-0000-0000-0000CD640000}"/>
    <cellStyle name="표준 5 3 2 6 3 2" xfId="25812" xr:uid="{00000000-0005-0000-0000-0000CE640000}"/>
    <cellStyle name="표준 5 3 2 6 4" xfId="25813" xr:uid="{00000000-0005-0000-0000-0000CF640000}"/>
    <cellStyle name="표준 5 3 2 7" xfId="25814" xr:uid="{00000000-0005-0000-0000-0000D0640000}"/>
    <cellStyle name="표준 5 3 2 7 2" xfId="25815" xr:uid="{00000000-0005-0000-0000-0000D1640000}"/>
    <cellStyle name="표준 5 3 2 7 2 2" xfId="25816" xr:uid="{00000000-0005-0000-0000-0000D2640000}"/>
    <cellStyle name="표준 5 3 2 7 3" xfId="25817" xr:uid="{00000000-0005-0000-0000-0000D3640000}"/>
    <cellStyle name="표준 5 3 2 8" xfId="25818" xr:uid="{00000000-0005-0000-0000-0000D4640000}"/>
    <cellStyle name="표준 5 3 2 8 2" xfId="25819" xr:uid="{00000000-0005-0000-0000-0000D5640000}"/>
    <cellStyle name="표준 5 3 2 9" xfId="25820" xr:uid="{00000000-0005-0000-0000-0000D6640000}"/>
    <cellStyle name="표준 5 3 3" xfId="25821" xr:uid="{00000000-0005-0000-0000-0000D7640000}"/>
    <cellStyle name="표준 5 3 3 2" xfId="25822" xr:uid="{00000000-0005-0000-0000-0000D8640000}"/>
    <cellStyle name="표준 5 3 3 2 2" xfId="25823" xr:uid="{00000000-0005-0000-0000-0000D9640000}"/>
    <cellStyle name="표준 5 3 3 2 2 2" xfId="25824" xr:uid="{00000000-0005-0000-0000-0000DA640000}"/>
    <cellStyle name="표준 5 3 3 2 2 2 2" xfId="25825" xr:uid="{00000000-0005-0000-0000-0000DB640000}"/>
    <cellStyle name="표준 5 3 3 2 2 2 2 2" xfId="25826" xr:uid="{00000000-0005-0000-0000-0000DC640000}"/>
    <cellStyle name="표준 5 3 3 2 2 2 2 2 2" xfId="25827" xr:uid="{00000000-0005-0000-0000-0000DD640000}"/>
    <cellStyle name="표준 5 3 3 2 2 2 2 2 2 2" xfId="25828" xr:uid="{00000000-0005-0000-0000-0000DE640000}"/>
    <cellStyle name="표준 5 3 3 2 2 2 2 2 3" xfId="25829" xr:uid="{00000000-0005-0000-0000-0000DF640000}"/>
    <cellStyle name="표준 5 3 3 2 2 2 2 3" xfId="25830" xr:uid="{00000000-0005-0000-0000-0000E0640000}"/>
    <cellStyle name="표준 5 3 3 2 2 2 2 3 2" xfId="25831" xr:uid="{00000000-0005-0000-0000-0000E1640000}"/>
    <cellStyle name="표준 5 3 3 2 2 2 2 4" xfId="25832" xr:uid="{00000000-0005-0000-0000-0000E2640000}"/>
    <cellStyle name="표준 5 3 3 2 2 2 3" xfId="25833" xr:uid="{00000000-0005-0000-0000-0000E3640000}"/>
    <cellStyle name="표준 5 3 3 2 2 2 3 2" xfId="25834" xr:uid="{00000000-0005-0000-0000-0000E4640000}"/>
    <cellStyle name="표준 5 3 3 2 2 2 3 2 2" xfId="25835" xr:uid="{00000000-0005-0000-0000-0000E5640000}"/>
    <cellStyle name="표준 5 3 3 2 2 2 3 3" xfId="25836" xr:uid="{00000000-0005-0000-0000-0000E6640000}"/>
    <cellStyle name="표준 5 3 3 2 2 2 4" xfId="25837" xr:uid="{00000000-0005-0000-0000-0000E7640000}"/>
    <cellStyle name="표준 5 3 3 2 2 2 4 2" xfId="25838" xr:uid="{00000000-0005-0000-0000-0000E8640000}"/>
    <cellStyle name="표준 5 3 3 2 2 2 5" xfId="25839" xr:uid="{00000000-0005-0000-0000-0000E9640000}"/>
    <cellStyle name="표준 5 3 3 2 2 3" xfId="25840" xr:uid="{00000000-0005-0000-0000-0000EA640000}"/>
    <cellStyle name="표준 5 3 3 2 2 3 2" xfId="25841" xr:uid="{00000000-0005-0000-0000-0000EB640000}"/>
    <cellStyle name="표준 5 3 3 2 2 3 2 2" xfId="25842" xr:uid="{00000000-0005-0000-0000-0000EC640000}"/>
    <cellStyle name="표준 5 3 3 2 2 3 2 2 2" xfId="25843" xr:uid="{00000000-0005-0000-0000-0000ED640000}"/>
    <cellStyle name="표준 5 3 3 2 2 3 2 3" xfId="25844" xr:uid="{00000000-0005-0000-0000-0000EE640000}"/>
    <cellStyle name="표준 5 3 3 2 2 3 3" xfId="25845" xr:uid="{00000000-0005-0000-0000-0000EF640000}"/>
    <cellStyle name="표준 5 3 3 2 2 3 3 2" xfId="25846" xr:uid="{00000000-0005-0000-0000-0000F0640000}"/>
    <cellStyle name="표준 5 3 3 2 2 3 4" xfId="25847" xr:uid="{00000000-0005-0000-0000-0000F1640000}"/>
    <cellStyle name="표준 5 3 3 2 2 4" xfId="25848" xr:uid="{00000000-0005-0000-0000-0000F2640000}"/>
    <cellStyle name="표준 5 3 3 2 2 4 2" xfId="25849" xr:uid="{00000000-0005-0000-0000-0000F3640000}"/>
    <cellStyle name="표준 5 3 3 2 2 4 2 2" xfId="25850" xr:uid="{00000000-0005-0000-0000-0000F4640000}"/>
    <cellStyle name="표준 5 3 3 2 2 4 3" xfId="25851" xr:uid="{00000000-0005-0000-0000-0000F5640000}"/>
    <cellStyle name="표준 5 3 3 2 2 5" xfId="25852" xr:uid="{00000000-0005-0000-0000-0000F6640000}"/>
    <cellStyle name="표준 5 3 3 2 2 5 2" xfId="25853" xr:uid="{00000000-0005-0000-0000-0000F7640000}"/>
    <cellStyle name="표준 5 3 3 2 2 6" xfId="25854" xr:uid="{00000000-0005-0000-0000-0000F8640000}"/>
    <cellStyle name="표준 5 3 3 2 3" xfId="25855" xr:uid="{00000000-0005-0000-0000-0000F9640000}"/>
    <cellStyle name="표준 5 3 3 2 3 2" xfId="25856" xr:uid="{00000000-0005-0000-0000-0000FA640000}"/>
    <cellStyle name="표준 5 3 3 2 3 2 2" xfId="25857" xr:uid="{00000000-0005-0000-0000-0000FB640000}"/>
    <cellStyle name="표준 5 3 3 2 3 2 2 2" xfId="25858" xr:uid="{00000000-0005-0000-0000-0000FC640000}"/>
    <cellStyle name="표준 5 3 3 2 3 2 2 2 2" xfId="25859" xr:uid="{00000000-0005-0000-0000-0000FD640000}"/>
    <cellStyle name="표준 5 3 3 2 3 2 2 3" xfId="25860" xr:uid="{00000000-0005-0000-0000-0000FE640000}"/>
    <cellStyle name="표준 5 3 3 2 3 2 3" xfId="25861" xr:uid="{00000000-0005-0000-0000-0000FF640000}"/>
    <cellStyle name="표준 5 3 3 2 3 2 3 2" xfId="25862" xr:uid="{00000000-0005-0000-0000-000000650000}"/>
    <cellStyle name="표준 5 3 3 2 3 2 4" xfId="25863" xr:uid="{00000000-0005-0000-0000-000001650000}"/>
    <cellStyle name="표준 5 3 3 2 3 3" xfId="25864" xr:uid="{00000000-0005-0000-0000-000002650000}"/>
    <cellStyle name="표준 5 3 3 2 3 3 2" xfId="25865" xr:uid="{00000000-0005-0000-0000-000003650000}"/>
    <cellStyle name="표준 5 3 3 2 3 3 2 2" xfId="25866" xr:uid="{00000000-0005-0000-0000-000004650000}"/>
    <cellStyle name="표준 5 3 3 2 3 3 3" xfId="25867" xr:uid="{00000000-0005-0000-0000-000005650000}"/>
    <cellStyle name="표준 5 3 3 2 3 4" xfId="25868" xr:uid="{00000000-0005-0000-0000-000006650000}"/>
    <cellStyle name="표준 5 3 3 2 3 4 2" xfId="25869" xr:uid="{00000000-0005-0000-0000-000007650000}"/>
    <cellStyle name="표준 5 3 3 2 3 5" xfId="25870" xr:uid="{00000000-0005-0000-0000-000008650000}"/>
    <cellStyle name="표준 5 3 3 2 4" xfId="25871" xr:uid="{00000000-0005-0000-0000-000009650000}"/>
    <cellStyle name="표준 5 3 3 2 4 2" xfId="25872" xr:uid="{00000000-0005-0000-0000-00000A650000}"/>
    <cellStyle name="표준 5 3 3 2 4 2 2" xfId="25873" xr:uid="{00000000-0005-0000-0000-00000B650000}"/>
    <cellStyle name="표준 5 3 3 2 4 2 2 2" xfId="25874" xr:uid="{00000000-0005-0000-0000-00000C650000}"/>
    <cellStyle name="표준 5 3 3 2 4 2 3" xfId="25875" xr:uid="{00000000-0005-0000-0000-00000D650000}"/>
    <cellStyle name="표준 5 3 3 2 4 3" xfId="25876" xr:uid="{00000000-0005-0000-0000-00000E650000}"/>
    <cellStyle name="표준 5 3 3 2 4 3 2" xfId="25877" xr:uid="{00000000-0005-0000-0000-00000F650000}"/>
    <cellStyle name="표준 5 3 3 2 4 4" xfId="25878" xr:uid="{00000000-0005-0000-0000-000010650000}"/>
    <cellStyle name="표준 5 3 3 2 5" xfId="25879" xr:uid="{00000000-0005-0000-0000-000011650000}"/>
    <cellStyle name="표준 5 3 3 2 5 2" xfId="25880" xr:uid="{00000000-0005-0000-0000-000012650000}"/>
    <cellStyle name="표준 5 3 3 2 5 2 2" xfId="25881" xr:uid="{00000000-0005-0000-0000-000013650000}"/>
    <cellStyle name="표준 5 3 3 2 5 3" xfId="25882" xr:uid="{00000000-0005-0000-0000-000014650000}"/>
    <cellStyle name="표준 5 3 3 2 6" xfId="25883" xr:uid="{00000000-0005-0000-0000-000015650000}"/>
    <cellStyle name="표준 5 3 3 2 6 2" xfId="25884" xr:uid="{00000000-0005-0000-0000-000016650000}"/>
    <cellStyle name="표준 5 3 3 2 7" xfId="25885" xr:uid="{00000000-0005-0000-0000-000017650000}"/>
    <cellStyle name="표준 5 3 3 2 8" xfId="25886" xr:uid="{00000000-0005-0000-0000-000018650000}"/>
    <cellStyle name="표준 5 3 3 3" xfId="25887" xr:uid="{00000000-0005-0000-0000-000019650000}"/>
    <cellStyle name="표준 5 3 3 3 2" xfId="25888" xr:uid="{00000000-0005-0000-0000-00001A650000}"/>
    <cellStyle name="표준 5 3 3 3 2 2" xfId="25889" xr:uid="{00000000-0005-0000-0000-00001B650000}"/>
    <cellStyle name="표준 5 3 3 3 2 2 2" xfId="25890" xr:uid="{00000000-0005-0000-0000-00001C650000}"/>
    <cellStyle name="표준 5 3 3 3 2 2 2 2" xfId="25891" xr:uid="{00000000-0005-0000-0000-00001D650000}"/>
    <cellStyle name="표준 5 3 3 3 2 2 2 2 2" xfId="25892" xr:uid="{00000000-0005-0000-0000-00001E650000}"/>
    <cellStyle name="표준 5 3 3 3 2 2 2 3" xfId="25893" xr:uid="{00000000-0005-0000-0000-00001F650000}"/>
    <cellStyle name="표준 5 3 3 3 2 2 3" xfId="25894" xr:uid="{00000000-0005-0000-0000-000020650000}"/>
    <cellStyle name="표준 5 3 3 3 2 2 3 2" xfId="25895" xr:uid="{00000000-0005-0000-0000-000021650000}"/>
    <cellStyle name="표준 5 3 3 3 2 2 4" xfId="25896" xr:uid="{00000000-0005-0000-0000-000022650000}"/>
    <cellStyle name="표준 5 3 3 3 2 3" xfId="25897" xr:uid="{00000000-0005-0000-0000-000023650000}"/>
    <cellStyle name="표준 5 3 3 3 2 3 2" xfId="25898" xr:uid="{00000000-0005-0000-0000-000024650000}"/>
    <cellStyle name="표준 5 3 3 3 2 3 2 2" xfId="25899" xr:uid="{00000000-0005-0000-0000-000025650000}"/>
    <cellStyle name="표준 5 3 3 3 2 3 3" xfId="25900" xr:uid="{00000000-0005-0000-0000-000026650000}"/>
    <cellStyle name="표준 5 3 3 3 2 4" xfId="25901" xr:uid="{00000000-0005-0000-0000-000027650000}"/>
    <cellStyle name="표준 5 3 3 3 2 4 2" xfId="25902" xr:uid="{00000000-0005-0000-0000-000028650000}"/>
    <cellStyle name="표준 5 3 3 3 2 5" xfId="25903" xr:uid="{00000000-0005-0000-0000-000029650000}"/>
    <cellStyle name="표준 5 3 3 3 3" xfId="25904" xr:uid="{00000000-0005-0000-0000-00002A650000}"/>
    <cellStyle name="표준 5 3 3 3 3 2" xfId="25905" xr:uid="{00000000-0005-0000-0000-00002B650000}"/>
    <cellStyle name="표준 5 3 3 3 3 2 2" xfId="25906" xr:uid="{00000000-0005-0000-0000-00002C650000}"/>
    <cellStyle name="표준 5 3 3 3 3 2 2 2" xfId="25907" xr:uid="{00000000-0005-0000-0000-00002D650000}"/>
    <cellStyle name="표준 5 3 3 3 3 2 3" xfId="25908" xr:uid="{00000000-0005-0000-0000-00002E650000}"/>
    <cellStyle name="표준 5 3 3 3 3 3" xfId="25909" xr:uid="{00000000-0005-0000-0000-00002F650000}"/>
    <cellStyle name="표준 5 3 3 3 3 3 2" xfId="25910" xr:uid="{00000000-0005-0000-0000-000030650000}"/>
    <cellStyle name="표준 5 3 3 3 3 4" xfId="25911" xr:uid="{00000000-0005-0000-0000-000031650000}"/>
    <cellStyle name="표준 5 3 3 3 4" xfId="25912" xr:uid="{00000000-0005-0000-0000-000032650000}"/>
    <cellStyle name="표준 5 3 3 3 4 2" xfId="25913" xr:uid="{00000000-0005-0000-0000-000033650000}"/>
    <cellStyle name="표준 5 3 3 3 4 2 2" xfId="25914" xr:uid="{00000000-0005-0000-0000-000034650000}"/>
    <cellStyle name="표준 5 3 3 3 4 3" xfId="25915" xr:uid="{00000000-0005-0000-0000-000035650000}"/>
    <cellStyle name="표준 5 3 3 3 5" xfId="25916" xr:uid="{00000000-0005-0000-0000-000036650000}"/>
    <cellStyle name="표준 5 3 3 3 5 2" xfId="25917" xr:uid="{00000000-0005-0000-0000-000037650000}"/>
    <cellStyle name="표준 5 3 3 3 6" xfId="25918" xr:uid="{00000000-0005-0000-0000-000038650000}"/>
    <cellStyle name="표준 5 3 3 4" xfId="25919" xr:uid="{00000000-0005-0000-0000-000039650000}"/>
    <cellStyle name="표준 5 3 3 4 2" xfId="25920" xr:uid="{00000000-0005-0000-0000-00003A650000}"/>
    <cellStyle name="표준 5 3 3 4 2 2" xfId="25921" xr:uid="{00000000-0005-0000-0000-00003B650000}"/>
    <cellStyle name="표준 5 3 3 4 2 2 2" xfId="25922" xr:uid="{00000000-0005-0000-0000-00003C650000}"/>
    <cellStyle name="표준 5 3 3 4 2 2 2 2" xfId="25923" xr:uid="{00000000-0005-0000-0000-00003D650000}"/>
    <cellStyle name="표준 5 3 3 4 2 2 3" xfId="25924" xr:uid="{00000000-0005-0000-0000-00003E650000}"/>
    <cellStyle name="표준 5 3 3 4 2 3" xfId="25925" xr:uid="{00000000-0005-0000-0000-00003F650000}"/>
    <cellStyle name="표준 5 3 3 4 2 3 2" xfId="25926" xr:uid="{00000000-0005-0000-0000-000040650000}"/>
    <cellStyle name="표준 5 3 3 4 2 4" xfId="25927" xr:uid="{00000000-0005-0000-0000-000041650000}"/>
    <cellStyle name="표준 5 3 3 4 3" xfId="25928" xr:uid="{00000000-0005-0000-0000-000042650000}"/>
    <cellStyle name="표준 5 3 3 4 3 2" xfId="25929" xr:uid="{00000000-0005-0000-0000-000043650000}"/>
    <cellStyle name="표준 5 3 3 4 3 2 2" xfId="25930" xr:uid="{00000000-0005-0000-0000-000044650000}"/>
    <cellStyle name="표준 5 3 3 4 3 3" xfId="25931" xr:uid="{00000000-0005-0000-0000-000045650000}"/>
    <cellStyle name="표준 5 3 3 4 4" xfId="25932" xr:uid="{00000000-0005-0000-0000-000046650000}"/>
    <cellStyle name="표준 5 3 3 4 4 2" xfId="25933" xr:uid="{00000000-0005-0000-0000-000047650000}"/>
    <cellStyle name="표준 5 3 3 4 5" xfId="25934" xr:uid="{00000000-0005-0000-0000-000048650000}"/>
    <cellStyle name="표준 5 3 3 5" xfId="25935" xr:uid="{00000000-0005-0000-0000-000049650000}"/>
    <cellStyle name="표준 5 3 3 5 2" xfId="25936" xr:uid="{00000000-0005-0000-0000-00004A650000}"/>
    <cellStyle name="표준 5 3 3 5 2 2" xfId="25937" xr:uid="{00000000-0005-0000-0000-00004B650000}"/>
    <cellStyle name="표준 5 3 3 5 2 2 2" xfId="25938" xr:uid="{00000000-0005-0000-0000-00004C650000}"/>
    <cellStyle name="표준 5 3 3 5 2 3" xfId="25939" xr:uid="{00000000-0005-0000-0000-00004D650000}"/>
    <cellStyle name="표준 5 3 3 5 3" xfId="25940" xr:uid="{00000000-0005-0000-0000-00004E650000}"/>
    <cellStyle name="표준 5 3 3 5 3 2" xfId="25941" xr:uid="{00000000-0005-0000-0000-00004F650000}"/>
    <cellStyle name="표준 5 3 3 5 4" xfId="25942" xr:uid="{00000000-0005-0000-0000-000050650000}"/>
    <cellStyle name="표준 5 3 3 6" xfId="25943" xr:uid="{00000000-0005-0000-0000-000051650000}"/>
    <cellStyle name="표준 5 3 3 6 2" xfId="25944" xr:uid="{00000000-0005-0000-0000-000052650000}"/>
    <cellStyle name="표준 5 3 3 6 2 2" xfId="25945" xr:uid="{00000000-0005-0000-0000-000053650000}"/>
    <cellStyle name="표준 5 3 3 6 3" xfId="25946" xr:uid="{00000000-0005-0000-0000-000054650000}"/>
    <cellStyle name="표준 5 3 3 7" xfId="25947" xr:uid="{00000000-0005-0000-0000-000055650000}"/>
    <cellStyle name="표준 5 3 3 7 2" xfId="25948" xr:uid="{00000000-0005-0000-0000-000056650000}"/>
    <cellStyle name="표준 5 3 3 8" xfId="25949" xr:uid="{00000000-0005-0000-0000-000057650000}"/>
    <cellStyle name="표준 5 3 3 9" xfId="25950" xr:uid="{00000000-0005-0000-0000-000058650000}"/>
    <cellStyle name="표준 5 3 4" xfId="25951" xr:uid="{00000000-0005-0000-0000-000059650000}"/>
    <cellStyle name="표준 5 3 4 2" xfId="25952" xr:uid="{00000000-0005-0000-0000-00005A650000}"/>
    <cellStyle name="표준 5 3 4 2 2" xfId="25953" xr:uid="{00000000-0005-0000-0000-00005B650000}"/>
    <cellStyle name="표준 5 3 4 2 2 2" xfId="25954" xr:uid="{00000000-0005-0000-0000-00005C650000}"/>
    <cellStyle name="표준 5 3 4 2 2 2 2" xfId="25955" xr:uid="{00000000-0005-0000-0000-00005D650000}"/>
    <cellStyle name="표준 5 3 4 2 2 2 2 2" xfId="25956" xr:uid="{00000000-0005-0000-0000-00005E650000}"/>
    <cellStyle name="표준 5 3 4 2 2 2 2 2 2" xfId="25957" xr:uid="{00000000-0005-0000-0000-00005F650000}"/>
    <cellStyle name="표준 5 3 4 2 2 2 2 3" xfId="25958" xr:uid="{00000000-0005-0000-0000-000060650000}"/>
    <cellStyle name="표준 5 3 4 2 2 2 3" xfId="25959" xr:uid="{00000000-0005-0000-0000-000061650000}"/>
    <cellStyle name="표준 5 3 4 2 2 2 3 2" xfId="25960" xr:uid="{00000000-0005-0000-0000-000062650000}"/>
    <cellStyle name="표준 5 3 4 2 2 2 4" xfId="25961" xr:uid="{00000000-0005-0000-0000-000063650000}"/>
    <cellStyle name="표준 5 3 4 2 2 3" xfId="25962" xr:uid="{00000000-0005-0000-0000-000064650000}"/>
    <cellStyle name="표준 5 3 4 2 2 3 2" xfId="25963" xr:uid="{00000000-0005-0000-0000-000065650000}"/>
    <cellStyle name="표준 5 3 4 2 2 3 2 2" xfId="25964" xr:uid="{00000000-0005-0000-0000-000066650000}"/>
    <cellStyle name="표준 5 3 4 2 2 3 3" xfId="25965" xr:uid="{00000000-0005-0000-0000-000067650000}"/>
    <cellStyle name="표준 5 3 4 2 2 4" xfId="25966" xr:uid="{00000000-0005-0000-0000-000068650000}"/>
    <cellStyle name="표준 5 3 4 2 2 4 2" xfId="25967" xr:uid="{00000000-0005-0000-0000-000069650000}"/>
    <cellStyle name="표준 5 3 4 2 2 5" xfId="25968" xr:uid="{00000000-0005-0000-0000-00006A650000}"/>
    <cellStyle name="표준 5 3 4 2 3" xfId="25969" xr:uid="{00000000-0005-0000-0000-00006B650000}"/>
    <cellStyle name="표준 5 3 4 2 3 2" xfId="25970" xr:uid="{00000000-0005-0000-0000-00006C650000}"/>
    <cellStyle name="표준 5 3 4 2 3 2 2" xfId="25971" xr:uid="{00000000-0005-0000-0000-00006D650000}"/>
    <cellStyle name="표준 5 3 4 2 3 2 2 2" xfId="25972" xr:uid="{00000000-0005-0000-0000-00006E650000}"/>
    <cellStyle name="표준 5 3 4 2 3 2 3" xfId="25973" xr:uid="{00000000-0005-0000-0000-00006F650000}"/>
    <cellStyle name="표준 5 3 4 2 3 3" xfId="25974" xr:uid="{00000000-0005-0000-0000-000070650000}"/>
    <cellStyle name="표준 5 3 4 2 3 3 2" xfId="25975" xr:uid="{00000000-0005-0000-0000-000071650000}"/>
    <cellStyle name="표준 5 3 4 2 3 4" xfId="25976" xr:uid="{00000000-0005-0000-0000-000072650000}"/>
    <cellStyle name="표준 5 3 4 2 4" xfId="25977" xr:uid="{00000000-0005-0000-0000-000073650000}"/>
    <cellStyle name="표준 5 3 4 2 4 2" xfId="25978" xr:uid="{00000000-0005-0000-0000-000074650000}"/>
    <cellStyle name="표준 5 3 4 2 4 2 2" xfId="25979" xr:uid="{00000000-0005-0000-0000-000075650000}"/>
    <cellStyle name="표준 5 3 4 2 4 3" xfId="25980" xr:uid="{00000000-0005-0000-0000-000076650000}"/>
    <cellStyle name="표준 5 3 4 2 5" xfId="25981" xr:uid="{00000000-0005-0000-0000-000077650000}"/>
    <cellStyle name="표준 5 3 4 2 5 2" xfId="25982" xr:uid="{00000000-0005-0000-0000-000078650000}"/>
    <cellStyle name="표준 5 3 4 2 6" xfId="25983" xr:uid="{00000000-0005-0000-0000-000079650000}"/>
    <cellStyle name="표준 5 3 4 3" xfId="25984" xr:uid="{00000000-0005-0000-0000-00007A650000}"/>
    <cellStyle name="표준 5 3 4 3 2" xfId="25985" xr:uid="{00000000-0005-0000-0000-00007B650000}"/>
    <cellStyle name="표준 5 3 4 3 2 2" xfId="25986" xr:uid="{00000000-0005-0000-0000-00007C650000}"/>
    <cellStyle name="표준 5 3 4 3 2 2 2" xfId="25987" xr:uid="{00000000-0005-0000-0000-00007D650000}"/>
    <cellStyle name="표준 5 3 4 3 2 2 2 2" xfId="25988" xr:uid="{00000000-0005-0000-0000-00007E650000}"/>
    <cellStyle name="표준 5 3 4 3 2 2 3" xfId="25989" xr:uid="{00000000-0005-0000-0000-00007F650000}"/>
    <cellStyle name="표준 5 3 4 3 2 3" xfId="25990" xr:uid="{00000000-0005-0000-0000-000080650000}"/>
    <cellStyle name="표준 5 3 4 3 2 3 2" xfId="25991" xr:uid="{00000000-0005-0000-0000-000081650000}"/>
    <cellStyle name="표준 5 3 4 3 2 4" xfId="25992" xr:uid="{00000000-0005-0000-0000-000082650000}"/>
    <cellStyle name="표준 5 3 4 3 3" xfId="25993" xr:uid="{00000000-0005-0000-0000-000083650000}"/>
    <cellStyle name="표준 5 3 4 3 3 2" xfId="25994" xr:uid="{00000000-0005-0000-0000-000084650000}"/>
    <cellStyle name="표준 5 3 4 3 3 2 2" xfId="25995" xr:uid="{00000000-0005-0000-0000-000085650000}"/>
    <cellStyle name="표준 5 3 4 3 3 3" xfId="25996" xr:uid="{00000000-0005-0000-0000-000086650000}"/>
    <cellStyle name="표준 5 3 4 3 4" xfId="25997" xr:uid="{00000000-0005-0000-0000-000087650000}"/>
    <cellStyle name="표준 5 3 4 3 4 2" xfId="25998" xr:uid="{00000000-0005-0000-0000-000088650000}"/>
    <cellStyle name="표준 5 3 4 3 5" xfId="25999" xr:uid="{00000000-0005-0000-0000-000089650000}"/>
    <cellStyle name="표준 5 3 4 4" xfId="26000" xr:uid="{00000000-0005-0000-0000-00008A650000}"/>
    <cellStyle name="표준 5 3 4 4 2" xfId="26001" xr:uid="{00000000-0005-0000-0000-00008B650000}"/>
    <cellStyle name="표준 5 3 4 4 2 2" xfId="26002" xr:uid="{00000000-0005-0000-0000-00008C650000}"/>
    <cellStyle name="표준 5 3 4 4 2 2 2" xfId="26003" xr:uid="{00000000-0005-0000-0000-00008D650000}"/>
    <cellStyle name="표준 5 3 4 4 2 3" xfId="26004" xr:uid="{00000000-0005-0000-0000-00008E650000}"/>
    <cellStyle name="표준 5 3 4 4 3" xfId="26005" xr:uid="{00000000-0005-0000-0000-00008F650000}"/>
    <cellStyle name="표준 5 3 4 4 3 2" xfId="26006" xr:uid="{00000000-0005-0000-0000-000090650000}"/>
    <cellStyle name="표준 5 3 4 4 4" xfId="26007" xr:uid="{00000000-0005-0000-0000-000091650000}"/>
    <cellStyle name="표준 5 3 4 5" xfId="26008" xr:uid="{00000000-0005-0000-0000-000092650000}"/>
    <cellStyle name="표준 5 3 4 5 2" xfId="26009" xr:uid="{00000000-0005-0000-0000-000093650000}"/>
    <cellStyle name="표준 5 3 4 5 2 2" xfId="26010" xr:uid="{00000000-0005-0000-0000-000094650000}"/>
    <cellStyle name="표준 5 3 4 5 3" xfId="26011" xr:uid="{00000000-0005-0000-0000-000095650000}"/>
    <cellStyle name="표준 5 3 4 6" xfId="26012" xr:uid="{00000000-0005-0000-0000-000096650000}"/>
    <cellStyle name="표준 5 3 4 6 2" xfId="26013" xr:uid="{00000000-0005-0000-0000-000097650000}"/>
    <cellStyle name="표준 5 3 4 7" xfId="26014" xr:uid="{00000000-0005-0000-0000-000098650000}"/>
    <cellStyle name="표준 5 3 4 8" xfId="26015" xr:uid="{00000000-0005-0000-0000-000099650000}"/>
    <cellStyle name="표준 5 3 5" xfId="26016" xr:uid="{00000000-0005-0000-0000-00009A650000}"/>
    <cellStyle name="표준 5 3 5 2" xfId="26017" xr:uid="{00000000-0005-0000-0000-00009B650000}"/>
    <cellStyle name="표준 5 3 5 2 2" xfId="26018" xr:uid="{00000000-0005-0000-0000-00009C650000}"/>
    <cellStyle name="표준 5 3 5 2 2 2" xfId="26019" xr:uid="{00000000-0005-0000-0000-00009D650000}"/>
    <cellStyle name="표준 5 3 5 2 2 2 2" xfId="26020" xr:uid="{00000000-0005-0000-0000-00009E650000}"/>
    <cellStyle name="표준 5 3 5 2 2 2 2 2" xfId="26021" xr:uid="{00000000-0005-0000-0000-00009F650000}"/>
    <cellStyle name="표준 5 3 5 2 2 2 3" xfId="26022" xr:uid="{00000000-0005-0000-0000-0000A0650000}"/>
    <cellStyle name="표준 5 3 5 2 2 3" xfId="26023" xr:uid="{00000000-0005-0000-0000-0000A1650000}"/>
    <cellStyle name="표준 5 3 5 2 2 3 2" xfId="26024" xr:uid="{00000000-0005-0000-0000-0000A2650000}"/>
    <cellStyle name="표준 5 3 5 2 2 4" xfId="26025" xr:uid="{00000000-0005-0000-0000-0000A3650000}"/>
    <cellStyle name="표준 5 3 5 2 3" xfId="26026" xr:uid="{00000000-0005-0000-0000-0000A4650000}"/>
    <cellStyle name="표준 5 3 5 2 3 2" xfId="26027" xr:uid="{00000000-0005-0000-0000-0000A5650000}"/>
    <cellStyle name="표준 5 3 5 2 3 2 2" xfId="26028" xr:uid="{00000000-0005-0000-0000-0000A6650000}"/>
    <cellStyle name="표준 5 3 5 2 3 3" xfId="26029" xr:uid="{00000000-0005-0000-0000-0000A7650000}"/>
    <cellStyle name="표준 5 3 5 2 4" xfId="26030" xr:uid="{00000000-0005-0000-0000-0000A8650000}"/>
    <cellStyle name="표준 5 3 5 2 4 2" xfId="26031" xr:uid="{00000000-0005-0000-0000-0000A9650000}"/>
    <cellStyle name="표준 5 3 5 2 5" xfId="26032" xr:uid="{00000000-0005-0000-0000-0000AA650000}"/>
    <cellStyle name="표준 5 3 5 3" xfId="26033" xr:uid="{00000000-0005-0000-0000-0000AB650000}"/>
    <cellStyle name="표준 5 3 5 3 2" xfId="26034" xr:uid="{00000000-0005-0000-0000-0000AC650000}"/>
    <cellStyle name="표준 5 3 5 3 2 2" xfId="26035" xr:uid="{00000000-0005-0000-0000-0000AD650000}"/>
    <cellStyle name="표준 5 3 5 3 2 2 2" xfId="26036" xr:uid="{00000000-0005-0000-0000-0000AE650000}"/>
    <cellStyle name="표준 5 3 5 3 2 3" xfId="26037" xr:uid="{00000000-0005-0000-0000-0000AF650000}"/>
    <cellStyle name="표준 5 3 5 3 3" xfId="26038" xr:uid="{00000000-0005-0000-0000-0000B0650000}"/>
    <cellStyle name="표준 5 3 5 3 3 2" xfId="26039" xr:uid="{00000000-0005-0000-0000-0000B1650000}"/>
    <cellStyle name="표준 5 3 5 3 4" xfId="26040" xr:uid="{00000000-0005-0000-0000-0000B2650000}"/>
    <cellStyle name="표준 5 3 5 4" xfId="26041" xr:uid="{00000000-0005-0000-0000-0000B3650000}"/>
    <cellStyle name="표준 5 3 5 4 2" xfId="26042" xr:uid="{00000000-0005-0000-0000-0000B4650000}"/>
    <cellStyle name="표준 5 3 5 4 2 2" xfId="26043" xr:uid="{00000000-0005-0000-0000-0000B5650000}"/>
    <cellStyle name="표준 5 3 5 4 3" xfId="26044" xr:uid="{00000000-0005-0000-0000-0000B6650000}"/>
    <cellStyle name="표준 5 3 5 5" xfId="26045" xr:uid="{00000000-0005-0000-0000-0000B7650000}"/>
    <cellStyle name="표준 5 3 5 5 2" xfId="26046" xr:uid="{00000000-0005-0000-0000-0000B8650000}"/>
    <cellStyle name="표준 5 3 5 6" xfId="26047" xr:uid="{00000000-0005-0000-0000-0000B9650000}"/>
    <cellStyle name="표준 5 3 6" xfId="26048" xr:uid="{00000000-0005-0000-0000-0000BA650000}"/>
    <cellStyle name="표준 5 3 6 2" xfId="26049" xr:uid="{00000000-0005-0000-0000-0000BB650000}"/>
    <cellStyle name="표준 5 3 6 2 2" xfId="26050" xr:uid="{00000000-0005-0000-0000-0000BC650000}"/>
    <cellStyle name="표준 5 3 6 2 2 2" xfId="26051" xr:uid="{00000000-0005-0000-0000-0000BD650000}"/>
    <cellStyle name="표준 5 3 6 2 2 2 2" xfId="26052" xr:uid="{00000000-0005-0000-0000-0000BE650000}"/>
    <cellStyle name="표준 5 3 6 2 2 3" xfId="26053" xr:uid="{00000000-0005-0000-0000-0000BF650000}"/>
    <cellStyle name="표준 5 3 6 2 3" xfId="26054" xr:uid="{00000000-0005-0000-0000-0000C0650000}"/>
    <cellStyle name="표준 5 3 6 2 3 2" xfId="26055" xr:uid="{00000000-0005-0000-0000-0000C1650000}"/>
    <cellStyle name="표준 5 3 6 2 4" xfId="26056" xr:uid="{00000000-0005-0000-0000-0000C2650000}"/>
    <cellStyle name="표준 5 3 6 3" xfId="26057" xr:uid="{00000000-0005-0000-0000-0000C3650000}"/>
    <cellStyle name="표준 5 3 6 3 2" xfId="26058" xr:uid="{00000000-0005-0000-0000-0000C4650000}"/>
    <cellStyle name="표준 5 3 6 3 2 2" xfId="26059" xr:uid="{00000000-0005-0000-0000-0000C5650000}"/>
    <cellStyle name="표준 5 3 6 3 3" xfId="26060" xr:uid="{00000000-0005-0000-0000-0000C6650000}"/>
    <cellStyle name="표준 5 3 6 4" xfId="26061" xr:uid="{00000000-0005-0000-0000-0000C7650000}"/>
    <cellStyle name="표준 5 3 6 4 2" xfId="26062" xr:uid="{00000000-0005-0000-0000-0000C8650000}"/>
    <cellStyle name="표준 5 3 6 5" xfId="26063" xr:uid="{00000000-0005-0000-0000-0000C9650000}"/>
    <cellStyle name="표준 5 3 7" xfId="26064" xr:uid="{00000000-0005-0000-0000-0000CA650000}"/>
    <cellStyle name="표준 5 3 7 2" xfId="26065" xr:uid="{00000000-0005-0000-0000-0000CB650000}"/>
    <cellStyle name="표준 5 3 7 2 2" xfId="26066" xr:uid="{00000000-0005-0000-0000-0000CC650000}"/>
    <cellStyle name="표준 5 3 7 2 2 2" xfId="26067" xr:uid="{00000000-0005-0000-0000-0000CD650000}"/>
    <cellStyle name="표준 5 3 7 2 3" xfId="26068" xr:uid="{00000000-0005-0000-0000-0000CE650000}"/>
    <cellStyle name="표준 5 3 7 3" xfId="26069" xr:uid="{00000000-0005-0000-0000-0000CF650000}"/>
    <cellStyle name="표준 5 3 7 3 2" xfId="26070" xr:uid="{00000000-0005-0000-0000-0000D0650000}"/>
    <cellStyle name="표준 5 3 7 4" xfId="26071" xr:uid="{00000000-0005-0000-0000-0000D1650000}"/>
    <cellStyle name="표준 5 3 8" xfId="26072" xr:uid="{00000000-0005-0000-0000-0000D2650000}"/>
    <cellStyle name="표준 5 3 8 2" xfId="26073" xr:uid="{00000000-0005-0000-0000-0000D3650000}"/>
    <cellStyle name="표준 5 3 8 2 2" xfId="26074" xr:uid="{00000000-0005-0000-0000-0000D4650000}"/>
    <cellStyle name="표준 5 3 8 3" xfId="26075" xr:uid="{00000000-0005-0000-0000-0000D5650000}"/>
    <cellStyle name="표준 5 3 9" xfId="26076" xr:uid="{00000000-0005-0000-0000-0000D6650000}"/>
    <cellStyle name="표준 5 3 9 2" xfId="26077" xr:uid="{00000000-0005-0000-0000-0000D7650000}"/>
    <cellStyle name="표준 5 4" xfId="26078" xr:uid="{00000000-0005-0000-0000-0000D8650000}"/>
    <cellStyle name="표준 5 4 10" xfId="26079" xr:uid="{00000000-0005-0000-0000-0000D9650000}"/>
    <cellStyle name="표준 5 4 11" xfId="26080" xr:uid="{00000000-0005-0000-0000-0000DA650000}"/>
    <cellStyle name="표준 5 4 2" xfId="26081" xr:uid="{00000000-0005-0000-0000-0000DB650000}"/>
    <cellStyle name="표준 5 4 2 10" xfId="26082" xr:uid="{00000000-0005-0000-0000-0000DC650000}"/>
    <cellStyle name="표준 5 4 2 2" xfId="26083" xr:uid="{00000000-0005-0000-0000-0000DD650000}"/>
    <cellStyle name="표준 5 4 2 2 2" xfId="26084" xr:uid="{00000000-0005-0000-0000-0000DE650000}"/>
    <cellStyle name="표준 5 4 2 2 2 2" xfId="26085" xr:uid="{00000000-0005-0000-0000-0000DF650000}"/>
    <cellStyle name="표준 5 4 2 2 2 2 2" xfId="26086" xr:uid="{00000000-0005-0000-0000-0000E0650000}"/>
    <cellStyle name="표준 5 4 2 2 2 2 2 2" xfId="26087" xr:uid="{00000000-0005-0000-0000-0000E1650000}"/>
    <cellStyle name="표준 5 4 2 2 2 2 2 2 2" xfId="26088" xr:uid="{00000000-0005-0000-0000-0000E2650000}"/>
    <cellStyle name="표준 5 4 2 2 2 2 2 2 2 2" xfId="26089" xr:uid="{00000000-0005-0000-0000-0000E3650000}"/>
    <cellStyle name="표준 5 4 2 2 2 2 2 2 2 2 2" xfId="26090" xr:uid="{00000000-0005-0000-0000-0000E4650000}"/>
    <cellStyle name="표준 5 4 2 2 2 2 2 2 2 3" xfId="26091" xr:uid="{00000000-0005-0000-0000-0000E5650000}"/>
    <cellStyle name="표준 5 4 2 2 2 2 2 2 3" xfId="26092" xr:uid="{00000000-0005-0000-0000-0000E6650000}"/>
    <cellStyle name="표준 5 4 2 2 2 2 2 2 3 2" xfId="26093" xr:uid="{00000000-0005-0000-0000-0000E7650000}"/>
    <cellStyle name="표준 5 4 2 2 2 2 2 2 4" xfId="26094" xr:uid="{00000000-0005-0000-0000-0000E8650000}"/>
    <cellStyle name="표준 5 4 2 2 2 2 2 3" xfId="26095" xr:uid="{00000000-0005-0000-0000-0000E9650000}"/>
    <cellStyle name="표준 5 4 2 2 2 2 2 3 2" xfId="26096" xr:uid="{00000000-0005-0000-0000-0000EA650000}"/>
    <cellStyle name="표준 5 4 2 2 2 2 2 3 2 2" xfId="26097" xr:uid="{00000000-0005-0000-0000-0000EB650000}"/>
    <cellStyle name="표준 5 4 2 2 2 2 2 3 3" xfId="26098" xr:uid="{00000000-0005-0000-0000-0000EC650000}"/>
    <cellStyle name="표준 5 4 2 2 2 2 2 4" xfId="26099" xr:uid="{00000000-0005-0000-0000-0000ED650000}"/>
    <cellStyle name="표준 5 4 2 2 2 2 2 4 2" xfId="26100" xr:uid="{00000000-0005-0000-0000-0000EE650000}"/>
    <cellStyle name="표준 5 4 2 2 2 2 2 5" xfId="26101" xr:uid="{00000000-0005-0000-0000-0000EF650000}"/>
    <cellStyle name="표준 5 4 2 2 2 2 3" xfId="26102" xr:uid="{00000000-0005-0000-0000-0000F0650000}"/>
    <cellStyle name="표준 5 4 2 2 2 2 3 2" xfId="26103" xr:uid="{00000000-0005-0000-0000-0000F1650000}"/>
    <cellStyle name="표준 5 4 2 2 2 2 3 2 2" xfId="26104" xr:uid="{00000000-0005-0000-0000-0000F2650000}"/>
    <cellStyle name="표준 5 4 2 2 2 2 3 2 2 2" xfId="26105" xr:uid="{00000000-0005-0000-0000-0000F3650000}"/>
    <cellStyle name="표준 5 4 2 2 2 2 3 2 3" xfId="26106" xr:uid="{00000000-0005-0000-0000-0000F4650000}"/>
    <cellStyle name="표준 5 4 2 2 2 2 3 3" xfId="26107" xr:uid="{00000000-0005-0000-0000-0000F5650000}"/>
    <cellStyle name="표준 5 4 2 2 2 2 3 3 2" xfId="26108" xr:uid="{00000000-0005-0000-0000-0000F6650000}"/>
    <cellStyle name="표준 5 4 2 2 2 2 3 4" xfId="26109" xr:uid="{00000000-0005-0000-0000-0000F7650000}"/>
    <cellStyle name="표준 5 4 2 2 2 2 4" xfId="26110" xr:uid="{00000000-0005-0000-0000-0000F8650000}"/>
    <cellStyle name="표준 5 4 2 2 2 2 4 2" xfId="26111" xr:uid="{00000000-0005-0000-0000-0000F9650000}"/>
    <cellStyle name="표준 5 4 2 2 2 2 4 2 2" xfId="26112" xr:uid="{00000000-0005-0000-0000-0000FA650000}"/>
    <cellStyle name="표준 5 4 2 2 2 2 4 3" xfId="26113" xr:uid="{00000000-0005-0000-0000-0000FB650000}"/>
    <cellStyle name="표준 5 4 2 2 2 2 5" xfId="26114" xr:uid="{00000000-0005-0000-0000-0000FC650000}"/>
    <cellStyle name="표준 5 4 2 2 2 2 5 2" xfId="26115" xr:uid="{00000000-0005-0000-0000-0000FD650000}"/>
    <cellStyle name="표준 5 4 2 2 2 2 6" xfId="26116" xr:uid="{00000000-0005-0000-0000-0000FE650000}"/>
    <cellStyle name="표준 5 4 2 2 2 3" xfId="26117" xr:uid="{00000000-0005-0000-0000-0000FF650000}"/>
    <cellStyle name="표준 5 4 2 2 2 3 2" xfId="26118" xr:uid="{00000000-0005-0000-0000-000000660000}"/>
    <cellStyle name="표준 5 4 2 2 2 3 2 2" xfId="26119" xr:uid="{00000000-0005-0000-0000-000001660000}"/>
    <cellStyle name="표준 5 4 2 2 2 3 2 2 2" xfId="26120" xr:uid="{00000000-0005-0000-0000-000002660000}"/>
    <cellStyle name="표준 5 4 2 2 2 3 2 2 2 2" xfId="26121" xr:uid="{00000000-0005-0000-0000-000003660000}"/>
    <cellStyle name="표준 5 4 2 2 2 3 2 2 3" xfId="26122" xr:uid="{00000000-0005-0000-0000-000004660000}"/>
    <cellStyle name="표준 5 4 2 2 2 3 2 3" xfId="26123" xr:uid="{00000000-0005-0000-0000-000005660000}"/>
    <cellStyle name="표준 5 4 2 2 2 3 2 3 2" xfId="26124" xr:uid="{00000000-0005-0000-0000-000006660000}"/>
    <cellStyle name="표준 5 4 2 2 2 3 2 4" xfId="26125" xr:uid="{00000000-0005-0000-0000-000007660000}"/>
    <cellStyle name="표준 5 4 2 2 2 3 3" xfId="26126" xr:uid="{00000000-0005-0000-0000-000008660000}"/>
    <cellStyle name="표준 5 4 2 2 2 3 3 2" xfId="26127" xr:uid="{00000000-0005-0000-0000-000009660000}"/>
    <cellStyle name="표준 5 4 2 2 2 3 3 2 2" xfId="26128" xr:uid="{00000000-0005-0000-0000-00000A660000}"/>
    <cellStyle name="표준 5 4 2 2 2 3 3 3" xfId="26129" xr:uid="{00000000-0005-0000-0000-00000B660000}"/>
    <cellStyle name="표준 5 4 2 2 2 3 4" xfId="26130" xr:uid="{00000000-0005-0000-0000-00000C660000}"/>
    <cellStyle name="표준 5 4 2 2 2 3 4 2" xfId="26131" xr:uid="{00000000-0005-0000-0000-00000D660000}"/>
    <cellStyle name="표준 5 4 2 2 2 3 5" xfId="26132" xr:uid="{00000000-0005-0000-0000-00000E660000}"/>
    <cellStyle name="표준 5 4 2 2 2 4" xfId="26133" xr:uid="{00000000-0005-0000-0000-00000F660000}"/>
    <cellStyle name="표준 5 4 2 2 2 4 2" xfId="26134" xr:uid="{00000000-0005-0000-0000-000010660000}"/>
    <cellStyle name="표준 5 4 2 2 2 4 2 2" xfId="26135" xr:uid="{00000000-0005-0000-0000-000011660000}"/>
    <cellStyle name="표준 5 4 2 2 2 4 2 2 2" xfId="26136" xr:uid="{00000000-0005-0000-0000-000012660000}"/>
    <cellStyle name="표준 5 4 2 2 2 4 2 3" xfId="26137" xr:uid="{00000000-0005-0000-0000-000013660000}"/>
    <cellStyle name="표준 5 4 2 2 2 4 3" xfId="26138" xr:uid="{00000000-0005-0000-0000-000014660000}"/>
    <cellStyle name="표준 5 4 2 2 2 4 3 2" xfId="26139" xr:uid="{00000000-0005-0000-0000-000015660000}"/>
    <cellStyle name="표준 5 4 2 2 2 4 4" xfId="26140" xr:uid="{00000000-0005-0000-0000-000016660000}"/>
    <cellStyle name="표준 5 4 2 2 2 5" xfId="26141" xr:uid="{00000000-0005-0000-0000-000017660000}"/>
    <cellStyle name="표준 5 4 2 2 2 5 2" xfId="26142" xr:uid="{00000000-0005-0000-0000-000018660000}"/>
    <cellStyle name="표준 5 4 2 2 2 5 2 2" xfId="26143" xr:uid="{00000000-0005-0000-0000-000019660000}"/>
    <cellStyle name="표준 5 4 2 2 2 5 3" xfId="26144" xr:uid="{00000000-0005-0000-0000-00001A660000}"/>
    <cellStyle name="표준 5 4 2 2 2 6" xfId="26145" xr:uid="{00000000-0005-0000-0000-00001B660000}"/>
    <cellStyle name="표준 5 4 2 2 2 6 2" xfId="26146" xr:uid="{00000000-0005-0000-0000-00001C660000}"/>
    <cellStyle name="표준 5 4 2 2 2 7" xfId="26147" xr:uid="{00000000-0005-0000-0000-00001D660000}"/>
    <cellStyle name="표준 5 4 2 2 2 8" xfId="26148" xr:uid="{00000000-0005-0000-0000-00001E660000}"/>
    <cellStyle name="표준 5 4 2 2 3" xfId="26149" xr:uid="{00000000-0005-0000-0000-00001F660000}"/>
    <cellStyle name="표준 5 4 2 2 3 2" xfId="26150" xr:uid="{00000000-0005-0000-0000-000020660000}"/>
    <cellStyle name="표준 5 4 2 2 3 2 2" xfId="26151" xr:uid="{00000000-0005-0000-0000-000021660000}"/>
    <cellStyle name="표준 5 4 2 2 3 2 2 2" xfId="26152" xr:uid="{00000000-0005-0000-0000-000022660000}"/>
    <cellStyle name="표준 5 4 2 2 3 2 2 2 2" xfId="26153" xr:uid="{00000000-0005-0000-0000-000023660000}"/>
    <cellStyle name="표준 5 4 2 2 3 2 2 2 2 2" xfId="26154" xr:uid="{00000000-0005-0000-0000-000024660000}"/>
    <cellStyle name="표준 5 4 2 2 3 2 2 2 3" xfId="26155" xr:uid="{00000000-0005-0000-0000-000025660000}"/>
    <cellStyle name="표준 5 4 2 2 3 2 2 3" xfId="26156" xr:uid="{00000000-0005-0000-0000-000026660000}"/>
    <cellStyle name="표준 5 4 2 2 3 2 2 3 2" xfId="26157" xr:uid="{00000000-0005-0000-0000-000027660000}"/>
    <cellStyle name="표준 5 4 2 2 3 2 2 4" xfId="26158" xr:uid="{00000000-0005-0000-0000-000028660000}"/>
    <cellStyle name="표준 5 4 2 2 3 2 3" xfId="26159" xr:uid="{00000000-0005-0000-0000-000029660000}"/>
    <cellStyle name="표준 5 4 2 2 3 2 3 2" xfId="26160" xr:uid="{00000000-0005-0000-0000-00002A660000}"/>
    <cellStyle name="표준 5 4 2 2 3 2 3 2 2" xfId="26161" xr:uid="{00000000-0005-0000-0000-00002B660000}"/>
    <cellStyle name="표준 5 4 2 2 3 2 3 3" xfId="26162" xr:uid="{00000000-0005-0000-0000-00002C660000}"/>
    <cellStyle name="표준 5 4 2 2 3 2 4" xfId="26163" xr:uid="{00000000-0005-0000-0000-00002D660000}"/>
    <cellStyle name="표준 5 4 2 2 3 2 4 2" xfId="26164" xr:uid="{00000000-0005-0000-0000-00002E660000}"/>
    <cellStyle name="표준 5 4 2 2 3 2 5" xfId="26165" xr:uid="{00000000-0005-0000-0000-00002F660000}"/>
    <cellStyle name="표준 5 4 2 2 3 3" xfId="26166" xr:uid="{00000000-0005-0000-0000-000030660000}"/>
    <cellStyle name="표준 5 4 2 2 3 3 2" xfId="26167" xr:uid="{00000000-0005-0000-0000-000031660000}"/>
    <cellStyle name="표준 5 4 2 2 3 3 2 2" xfId="26168" xr:uid="{00000000-0005-0000-0000-000032660000}"/>
    <cellStyle name="표준 5 4 2 2 3 3 2 2 2" xfId="26169" xr:uid="{00000000-0005-0000-0000-000033660000}"/>
    <cellStyle name="표준 5 4 2 2 3 3 2 3" xfId="26170" xr:uid="{00000000-0005-0000-0000-000034660000}"/>
    <cellStyle name="표준 5 4 2 2 3 3 3" xfId="26171" xr:uid="{00000000-0005-0000-0000-000035660000}"/>
    <cellStyle name="표준 5 4 2 2 3 3 3 2" xfId="26172" xr:uid="{00000000-0005-0000-0000-000036660000}"/>
    <cellStyle name="표준 5 4 2 2 3 3 4" xfId="26173" xr:uid="{00000000-0005-0000-0000-000037660000}"/>
    <cellStyle name="표준 5 4 2 2 3 4" xfId="26174" xr:uid="{00000000-0005-0000-0000-000038660000}"/>
    <cellStyle name="표준 5 4 2 2 3 4 2" xfId="26175" xr:uid="{00000000-0005-0000-0000-000039660000}"/>
    <cellStyle name="표준 5 4 2 2 3 4 2 2" xfId="26176" xr:uid="{00000000-0005-0000-0000-00003A660000}"/>
    <cellStyle name="표준 5 4 2 2 3 4 3" xfId="26177" xr:uid="{00000000-0005-0000-0000-00003B660000}"/>
    <cellStyle name="표준 5 4 2 2 3 5" xfId="26178" xr:uid="{00000000-0005-0000-0000-00003C660000}"/>
    <cellStyle name="표준 5 4 2 2 3 5 2" xfId="26179" xr:uid="{00000000-0005-0000-0000-00003D660000}"/>
    <cellStyle name="표준 5 4 2 2 3 6" xfId="26180" xr:uid="{00000000-0005-0000-0000-00003E660000}"/>
    <cellStyle name="표준 5 4 2 2 4" xfId="26181" xr:uid="{00000000-0005-0000-0000-00003F660000}"/>
    <cellStyle name="표준 5 4 2 2 4 2" xfId="26182" xr:uid="{00000000-0005-0000-0000-000040660000}"/>
    <cellStyle name="표준 5 4 2 2 4 2 2" xfId="26183" xr:uid="{00000000-0005-0000-0000-000041660000}"/>
    <cellStyle name="표준 5 4 2 2 4 2 2 2" xfId="26184" xr:uid="{00000000-0005-0000-0000-000042660000}"/>
    <cellStyle name="표준 5 4 2 2 4 2 2 2 2" xfId="26185" xr:uid="{00000000-0005-0000-0000-000043660000}"/>
    <cellStyle name="표준 5 4 2 2 4 2 2 3" xfId="26186" xr:uid="{00000000-0005-0000-0000-000044660000}"/>
    <cellStyle name="표준 5 4 2 2 4 2 3" xfId="26187" xr:uid="{00000000-0005-0000-0000-000045660000}"/>
    <cellStyle name="표준 5 4 2 2 4 2 3 2" xfId="26188" xr:uid="{00000000-0005-0000-0000-000046660000}"/>
    <cellStyle name="표준 5 4 2 2 4 2 4" xfId="26189" xr:uid="{00000000-0005-0000-0000-000047660000}"/>
    <cellStyle name="표준 5 4 2 2 4 3" xfId="26190" xr:uid="{00000000-0005-0000-0000-000048660000}"/>
    <cellStyle name="표준 5 4 2 2 4 3 2" xfId="26191" xr:uid="{00000000-0005-0000-0000-000049660000}"/>
    <cellStyle name="표준 5 4 2 2 4 3 2 2" xfId="26192" xr:uid="{00000000-0005-0000-0000-00004A660000}"/>
    <cellStyle name="표준 5 4 2 2 4 3 3" xfId="26193" xr:uid="{00000000-0005-0000-0000-00004B660000}"/>
    <cellStyle name="표준 5 4 2 2 4 4" xfId="26194" xr:uid="{00000000-0005-0000-0000-00004C660000}"/>
    <cellStyle name="표준 5 4 2 2 4 4 2" xfId="26195" xr:uid="{00000000-0005-0000-0000-00004D660000}"/>
    <cellStyle name="표준 5 4 2 2 4 5" xfId="26196" xr:uid="{00000000-0005-0000-0000-00004E660000}"/>
    <cellStyle name="표준 5 4 2 2 5" xfId="26197" xr:uid="{00000000-0005-0000-0000-00004F660000}"/>
    <cellStyle name="표준 5 4 2 2 5 2" xfId="26198" xr:uid="{00000000-0005-0000-0000-000050660000}"/>
    <cellStyle name="표준 5 4 2 2 5 2 2" xfId="26199" xr:uid="{00000000-0005-0000-0000-000051660000}"/>
    <cellStyle name="표준 5 4 2 2 5 2 2 2" xfId="26200" xr:uid="{00000000-0005-0000-0000-000052660000}"/>
    <cellStyle name="표준 5 4 2 2 5 2 3" xfId="26201" xr:uid="{00000000-0005-0000-0000-000053660000}"/>
    <cellStyle name="표준 5 4 2 2 5 3" xfId="26202" xr:uid="{00000000-0005-0000-0000-000054660000}"/>
    <cellStyle name="표준 5 4 2 2 5 3 2" xfId="26203" xr:uid="{00000000-0005-0000-0000-000055660000}"/>
    <cellStyle name="표준 5 4 2 2 5 4" xfId="26204" xr:uid="{00000000-0005-0000-0000-000056660000}"/>
    <cellStyle name="표준 5 4 2 2 6" xfId="26205" xr:uid="{00000000-0005-0000-0000-000057660000}"/>
    <cellStyle name="표준 5 4 2 2 6 2" xfId="26206" xr:uid="{00000000-0005-0000-0000-000058660000}"/>
    <cellStyle name="표준 5 4 2 2 6 2 2" xfId="26207" xr:uid="{00000000-0005-0000-0000-000059660000}"/>
    <cellStyle name="표준 5 4 2 2 6 3" xfId="26208" xr:uid="{00000000-0005-0000-0000-00005A660000}"/>
    <cellStyle name="표준 5 4 2 2 7" xfId="26209" xr:uid="{00000000-0005-0000-0000-00005B660000}"/>
    <cellStyle name="표준 5 4 2 2 7 2" xfId="26210" xr:uid="{00000000-0005-0000-0000-00005C660000}"/>
    <cellStyle name="표준 5 4 2 2 8" xfId="26211" xr:uid="{00000000-0005-0000-0000-00005D660000}"/>
    <cellStyle name="표준 5 4 2 2 9" xfId="26212" xr:uid="{00000000-0005-0000-0000-00005E660000}"/>
    <cellStyle name="표준 5 4 2 3" xfId="26213" xr:uid="{00000000-0005-0000-0000-00005F660000}"/>
    <cellStyle name="표준 5 4 2 3 2" xfId="26214" xr:uid="{00000000-0005-0000-0000-000060660000}"/>
    <cellStyle name="표준 5 4 2 3 2 2" xfId="26215" xr:uid="{00000000-0005-0000-0000-000061660000}"/>
    <cellStyle name="표준 5 4 2 3 2 2 2" xfId="26216" xr:uid="{00000000-0005-0000-0000-000062660000}"/>
    <cellStyle name="표준 5 4 2 3 2 2 2 2" xfId="26217" xr:uid="{00000000-0005-0000-0000-000063660000}"/>
    <cellStyle name="표준 5 4 2 3 2 2 2 2 2" xfId="26218" xr:uid="{00000000-0005-0000-0000-000064660000}"/>
    <cellStyle name="표준 5 4 2 3 2 2 2 2 2 2" xfId="26219" xr:uid="{00000000-0005-0000-0000-000065660000}"/>
    <cellStyle name="표준 5 4 2 3 2 2 2 2 3" xfId="26220" xr:uid="{00000000-0005-0000-0000-000066660000}"/>
    <cellStyle name="표준 5 4 2 3 2 2 2 3" xfId="26221" xr:uid="{00000000-0005-0000-0000-000067660000}"/>
    <cellStyle name="표준 5 4 2 3 2 2 2 3 2" xfId="26222" xr:uid="{00000000-0005-0000-0000-000068660000}"/>
    <cellStyle name="표준 5 4 2 3 2 2 2 4" xfId="26223" xr:uid="{00000000-0005-0000-0000-000069660000}"/>
    <cellStyle name="표준 5 4 2 3 2 2 3" xfId="26224" xr:uid="{00000000-0005-0000-0000-00006A660000}"/>
    <cellStyle name="표준 5 4 2 3 2 2 3 2" xfId="26225" xr:uid="{00000000-0005-0000-0000-00006B660000}"/>
    <cellStyle name="표준 5 4 2 3 2 2 3 2 2" xfId="26226" xr:uid="{00000000-0005-0000-0000-00006C660000}"/>
    <cellStyle name="표준 5 4 2 3 2 2 3 3" xfId="26227" xr:uid="{00000000-0005-0000-0000-00006D660000}"/>
    <cellStyle name="표준 5 4 2 3 2 2 4" xfId="26228" xr:uid="{00000000-0005-0000-0000-00006E660000}"/>
    <cellStyle name="표준 5 4 2 3 2 2 4 2" xfId="26229" xr:uid="{00000000-0005-0000-0000-00006F660000}"/>
    <cellStyle name="표준 5 4 2 3 2 2 5" xfId="26230" xr:uid="{00000000-0005-0000-0000-000070660000}"/>
    <cellStyle name="표준 5 4 2 3 2 3" xfId="26231" xr:uid="{00000000-0005-0000-0000-000071660000}"/>
    <cellStyle name="표준 5 4 2 3 2 3 2" xfId="26232" xr:uid="{00000000-0005-0000-0000-000072660000}"/>
    <cellStyle name="표준 5 4 2 3 2 3 2 2" xfId="26233" xr:uid="{00000000-0005-0000-0000-000073660000}"/>
    <cellStyle name="표준 5 4 2 3 2 3 2 2 2" xfId="26234" xr:uid="{00000000-0005-0000-0000-000074660000}"/>
    <cellStyle name="표준 5 4 2 3 2 3 2 3" xfId="26235" xr:uid="{00000000-0005-0000-0000-000075660000}"/>
    <cellStyle name="표준 5 4 2 3 2 3 3" xfId="26236" xr:uid="{00000000-0005-0000-0000-000076660000}"/>
    <cellStyle name="표준 5 4 2 3 2 3 3 2" xfId="26237" xr:uid="{00000000-0005-0000-0000-000077660000}"/>
    <cellStyle name="표준 5 4 2 3 2 3 4" xfId="26238" xr:uid="{00000000-0005-0000-0000-000078660000}"/>
    <cellStyle name="표준 5 4 2 3 2 4" xfId="26239" xr:uid="{00000000-0005-0000-0000-000079660000}"/>
    <cellStyle name="표준 5 4 2 3 2 4 2" xfId="26240" xr:uid="{00000000-0005-0000-0000-00007A660000}"/>
    <cellStyle name="표준 5 4 2 3 2 4 2 2" xfId="26241" xr:uid="{00000000-0005-0000-0000-00007B660000}"/>
    <cellStyle name="표준 5 4 2 3 2 4 3" xfId="26242" xr:uid="{00000000-0005-0000-0000-00007C660000}"/>
    <cellStyle name="표준 5 4 2 3 2 5" xfId="26243" xr:uid="{00000000-0005-0000-0000-00007D660000}"/>
    <cellStyle name="표준 5 4 2 3 2 5 2" xfId="26244" xr:uid="{00000000-0005-0000-0000-00007E660000}"/>
    <cellStyle name="표준 5 4 2 3 2 6" xfId="26245" xr:uid="{00000000-0005-0000-0000-00007F660000}"/>
    <cellStyle name="표준 5 4 2 3 3" xfId="26246" xr:uid="{00000000-0005-0000-0000-000080660000}"/>
    <cellStyle name="표준 5 4 2 3 3 2" xfId="26247" xr:uid="{00000000-0005-0000-0000-000081660000}"/>
    <cellStyle name="표준 5 4 2 3 3 2 2" xfId="26248" xr:uid="{00000000-0005-0000-0000-000082660000}"/>
    <cellStyle name="표준 5 4 2 3 3 2 2 2" xfId="26249" xr:uid="{00000000-0005-0000-0000-000083660000}"/>
    <cellStyle name="표준 5 4 2 3 3 2 2 2 2" xfId="26250" xr:uid="{00000000-0005-0000-0000-000084660000}"/>
    <cellStyle name="표준 5 4 2 3 3 2 2 3" xfId="26251" xr:uid="{00000000-0005-0000-0000-000085660000}"/>
    <cellStyle name="표준 5 4 2 3 3 2 3" xfId="26252" xr:uid="{00000000-0005-0000-0000-000086660000}"/>
    <cellStyle name="표준 5 4 2 3 3 2 3 2" xfId="26253" xr:uid="{00000000-0005-0000-0000-000087660000}"/>
    <cellStyle name="표준 5 4 2 3 3 2 4" xfId="26254" xr:uid="{00000000-0005-0000-0000-000088660000}"/>
    <cellStyle name="표준 5 4 2 3 3 3" xfId="26255" xr:uid="{00000000-0005-0000-0000-000089660000}"/>
    <cellStyle name="표준 5 4 2 3 3 3 2" xfId="26256" xr:uid="{00000000-0005-0000-0000-00008A660000}"/>
    <cellStyle name="표준 5 4 2 3 3 3 2 2" xfId="26257" xr:uid="{00000000-0005-0000-0000-00008B660000}"/>
    <cellStyle name="표준 5 4 2 3 3 3 3" xfId="26258" xr:uid="{00000000-0005-0000-0000-00008C660000}"/>
    <cellStyle name="표준 5 4 2 3 3 4" xfId="26259" xr:uid="{00000000-0005-0000-0000-00008D660000}"/>
    <cellStyle name="표준 5 4 2 3 3 4 2" xfId="26260" xr:uid="{00000000-0005-0000-0000-00008E660000}"/>
    <cellStyle name="표준 5 4 2 3 3 5" xfId="26261" xr:uid="{00000000-0005-0000-0000-00008F660000}"/>
    <cellStyle name="표준 5 4 2 3 4" xfId="26262" xr:uid="{00000000-0005-0000-0000-000090660000}"/>
    <cellStyle name="표준 5 4 2 3 4 2" xfId="26263" xr:uid="{00000000-0005-0000-0000-000091660000}"/>
    <cellStyle name="표준 5 4 2 3 4 2 2" xfId="26264" xr:uid="{00000000-0005-0000-0000-000092660000}"/>
    <cellStyle name="표준 5 4 2 3 4 2 2 2" xfId="26265" xr:uid="{00000000-0005-0000-0000-000093660000}"/>
    <cellStyle name="표준 5 4 2 3 4 2 3" xfId="26266" xr:uid="{00000000-0005-0000-0000-000094660000}"/>
    <cellStyle name="표준 5 4 2 3 4 3" xfId="26267" xr:uid="{00000000-0005-0000-0000-000095660000}"/>
    <cellStyle name="표준 5 4 2 3 4 3 2" xfId="26268" xr:uid="{00000000-0005-0000-0000-000096660000}"/>
    <cellStyle name="표준 5 4 2 3 4 4" xfId="26269" xr:uid="{00000000-0005-0000-0000-000097660000}"/>
    <cellStyle name="표준 5 4 2 3 5" xfId="26270" xr:uid="{00000000-0005-0000-0000-000098660000}"/>
    <cellStyle name="표준 5 4 2 3 5 2" xfId="26271" xr:uid="{00000000-0005-0000-0000-000099660000}"/>
    <cellStyle name="표준 5 4 2 3 5 2 2" xfId="26272" xr:uid="{00000000-0005-0000-0000-00009A660000}"/>
    <cellStyle name="표준 5 4 2 3 5 3" xfId="26273" xr:uid="{00000000-0005-0000-0000-00009B660000}"/>
    <cellStyle name="표준 5 4 2 3 6" xfId="26274" xr:uid="{00000000-0005-0000-0000-00009C660000}"/>
    <cellStyle name="표준 5 4 2 3 6 2" xfId="26275" xr:uid="{00000000-0005-0000-0000-00009D660000}"/>
    <cellStyle name="표준 5 4 2 3 7" xfId="26276" xr:uid="{00000000-0005-0000-0000-00009E660000}"/>
    <cellStyle name="표준 5 4 2 3 8" xfId="26277" xr:uid="{00000000-0005-0000-0000-00009F660000}"/>
    <cellStyle name="표준 5 4 2 4" xfId="26278" xr:uid="{00000000-0005-0000-0000-0000A0660000}"/>
    <cellStyle name="표준 5 4 2 4 2" xfId="26279" xr:uid="{00000000-0005-0000-0000-0000A1660000}"/>
    <cellStyle name="표준 5 4 2 4 2 2" xfId="26280" xr:uid="{00000000-0005-0000-0000-0000A2660000}"/>
    <cellStyle name="표준 5 4 2 4 2 2 2" xfId="26281" xr:uid="{00000000-0005-0000-0000-0000A3660000}"/>
    <cellStyle name="표준 5 4 2 4 2 2 2 2" xfId="26282" xr:uid="{00000000-0005-0000-0000-0000A4660000}"/>
    <cellStyle name="표준 5 4 2 4 2 2 2 2 2" xfId="26283" xr:uid="{00000000-0005-0000-0000-0000A5660000}"/>
    <cellStyle name="표준 5 4 2 4 2 2 2 3" xfId="26284" xr:uid="{00000000-0005-0000-0000-0000A6660000}"/>
    <cellStyle name="표준 5 4 2 4 2 2 3" xfId="26285" xr:uid="{00000000-0005-0000-0000-0000A7660000}"/>
    <cellStyle name="표준 5 4 2 4 2 2 3 2" xfId="26286" xr:uid="{00000000-0005-0000-0000-0000A8660000}"/>
    <cellStyle name="표준 5 4 2 4 2 2 4" xfId="26287" xr:uid="{00000000-0005-0000-0000-0000A9660000}"/>
    <cellStyle name="표준 5 4 2 4 2 3" xfId="26288" xr:uid="{00000000-0005-0000-0000-0000AA660000}"/>
    <cellStyle name="표준 5 4 2 4 2 3 2" xfId="26289" xr:uid="{00000000-0005-0000-0000-0000AB660000}"/>
    <cellStyle name="표준 5 4 2 4 2 3 2 2" xfId="26290" xr:uid="{00000000-0005-0000-0000-0000AC660000}"/>
    <cellStyle name="표준 5 4 2 4 2 3 3" xfId="26291" xr:uid="{00000000-0005-0000-0000-0000AD660000}"/>
    <cellStyle name="표준 5 4 2 4 2 4" xfId="26292" xr:uid="{00000000-0005-0000-0000-0000AE660000}"/>
    <cellStyle name="표준 5 4 2 4 2 4 2" xfId="26293" xr:uid="{00000000-0005-0000-0000-0000AF660000}"/>
    <cellStyle name="표준 5 4 2 4 2 5" xfId="26294" xr:uid="{00000000-0005-0000-0000-0000B0660000}"/>
    <cellStyle name="표준 5 4 2 4 3" xfId="26295" xr:uid="{00000000-0005-0000-0000-0000B1660000}"/>
    <cellStyle name="표준 5 4 2 4 3 2" xfId="26296" xr:uid="{00000000-0005-0000-0000-0000B2660000}"/>
    <cellStyle name="표준 5 4 2 4 3 2 2" xfId="26297" xr:uid="{00000000-0005-0000-0000-0000B3660000}"/>
    <cellStyle name="표준 5 4 2 4 3 2 2 2" xfId="26298" xr:uid="{00000000-0005-0000-0000-0000B4660000}"/>
    <cellStyle name="표준 5 4 2 4 3 2 3" xfId="26299" xr:uid="{00000000-0005-0000-0000-0000B5660000}"/>
    <cellStyle name="표준 5 4 2 4 3 3" xfId="26300" xr:uid="{00000000-0005-0000-0000-0000B6660000}"/>
    <cellStyle name="표준 5 4 2 4 3 3 2" xfId="26301" xr:uid="{00000000-0005-0000-0000-0000B7660000}"/>
    <cellStyle name="표준 5 4 2 4 3 4" xfId="26302" xr:uid="{00000000-0005-0000-0000-0000B8660000}"/>
    <cellStyle name="표준 5 4 2 4 4" xfId="26303" xr:uid="{00000000-0005-0000-0000-0000B9660000}"/>
    <cellStyle name="표준 5 4 2 4 4 2" xfId="26304" xr:uid="{00000000-0005-0000-0000-0000BA660000}"/>
    <cellStyle name="표준 5 4 2 4 4 2 2" xfId="26305" xr:uid="{00000000-0005-0000-0000-0000BB660000}"/>
    <cellStyle name="표준 5 4 2 4 4 3" xfId="26306" xr:uid="{00000000-0005-0000-0000-0000BC660000}"/>
    <cellStyle name="표준 5 4 2 4 5" xfId="26307" xr:uid="{00000000-0005-0000-0000-0000BD660000}"/>
    <cellStyle name="표준 5 4 2 4 5 2" xfId="26308" xr:uid="{00000000-0005-0000-0000-0000BE660000}"/>
    <cellStyle name="표준 5 4 2 4 6" xfId="26309" xr:uid="{00000000-0005-0000-0000-0000BF660000}"/>
    <cellStyle name="표준 5 4 2 5" xfId="26310" xr:uid="{00000000-0005-0000-0000-0000C0660000}"/>
    <cellStyle name="표준 5 4 2 5 2" xfId="26311" xr:uid="{00000000-0005-0000-0000-0000C1660000}"/>
    <cellStyle name="표준 5 4 2 5 2 2" xfId="26312" xr:uid="{00000000-0005-0000-0000-0000C2660000}"/>
    <cellStyle name="표준 5 4 2 5 2 2 2" xfId="26313" xr:uid="{00000000-0005-0000-0000-0000C3660000}"/>
    <cellStyle name="표준 5 4 2 5 2 2 2 2" xfId="26314" xr:uid="{00000000-0005-0000-0000-0000C4660000}"/>
    <cellStyle name="표준 5 4 2 5 2 2 3" xfId="26315" xr:uid="{00000000-0005-0000-0000-0000C5660000}"/>
    <cellStyle name="표준 5 4 2 5 2 3" xfId="26316" xr:uid="{00000000-0005-0000-0000-0000C6660000}"/>
    <cellStyle name="표준 5 4 2 5 2 3 2" xfId="26317" xr:uid="{00000000-0005-0000-0000-0000C7660000}"/>
    <cellStyle name="표준 5 4 2 5 2 4" xfId="26318" xr:uid="{00000000-0005-0000-0000-0000C8660000}"/>
    <cellStyle name="표준 5 4 2 5 3" xfId="26319" xr:uid="{00000000-0005-0000-0000-0000C9660000}"/>
    <cellStyle name="표준 5 4 2 5 3 2" xfId="26320" xr:uid="{00000000-0005-0000-0000-0000CA660000}"/>
    <cellStyle name="표준 5 4 2 5 3 2 2" xfId="26321" xr:uid="{00000000-0005-0000-0000-0000CB660000}"/>
    <cellStyle name="표준 5 4 2 5 3 3" xfId="26322" xr:uid="{00000000-0005-0000-0000-0000CC660000}"/>
    <cellStyle name="표준 5 4 2 5 4" xfId="26323" xr:uid="{00000000-0005-0000-0000-0000CD660000}"/>
    <cellStyle name="표준 5 4 2 5 4 2" xfId="26324" xr:uid="{00000000-0005-0000-0000-0000CE660000}"/>
    <cellStyle name="표준 5 4 2 5 5" xfId="26325" xr:uid="{00000000-0005-0000-0000-0000CF660000}"/>
    <cellStyle name="표준 5 4 2 6" xfId="26326" xr:uid="{00000000-0005-0000-0000-0000D0660000}"/>
    <cellStyle name="표준 5 4 2 6 2" xfId="26327" xr:uid="{00000000-0005-0000-0000-0000D1660000}"/>
    <cellStyle name="표준 5 4 2 6 2 2" xfId="26328" xr:uid="{00000000-0005-0000-0000-0000D2660000}"/>
    <cellStyle name="표준 5 4 2 6 2 2 2" xfId="26329" xr:uid="{00000000-0005-0000-0000-0000D3660000}"/>
    <cellStyle name="표준 5 4 2 6 2 3" xfId="26330" xr:uid="{00000000-0005-0000-0000-0000D4660000}"/>
    <cellStyle name="표준 5 4 2 6 3" xfId="26331" xr:uid="{00000000-0005-0000-0000-0000D5660000}"/>
    <cellStyle name="표준 5 4 2 6 3 2" xfId="26332" xr:uid="{00000000-0005-0000-0000-0000D6660000}"/>
    <cellStyle name="표준 5 4 2 6 4" xfId="26333" xr:uid="{00000000-0005-0000-0000-0000D7660000}"/>
    <cellStyle name="표준 5 4 2 7" xfId="26334" xr:uid="{00000000-0005-0000-0000-0000D8660000}"/>
    <cellStyle name="표준 5 4 2 7 2" xfId="26335" xr:uid="{00000000-0005-0000-0000-0000D9660000}"/>
    <cellStyle name="표준 5 4 2 7 2 2" xfId="26336" xr:uid="{00000000-0005-0000-0000-0000DA660000}"/>
    <cellStyle name="표준 5 4 2 7 3" xfId="26337" xr:uid="{00000000-0005-0000-0000-0000DB660000}"/>
    <cellStyle name="표준 5 4 2 8" xfId="26338" xr:uid="{00000000-0005-0000-0000-0000DC660000}"/>
    <cellStyle name="표준 5 4 2 8 2" xfId="26339" xr:uid="{00000000-0005-0000-0000-0000DD660000}"/>
    <cellStyle name="표준 5 4 2 9" xfId="26340" xr:uid="{00000000-0005-0000-0000-0000DE660000}"/>
    <cellStyle name="표준 5 4 3" xfId="26341" xr:uid="{00000000-0005-0000-0000-0000DF660000}"/>
    <cellStyle name="표준 5 4 3 2" xfId="26342" xr:uid="{00000000-0005-0000-0000-0000E0660000}"/>
    <cellStyle name="표준 5 4 3 2 2" xfId="26343" xr:uid="{00000000-0005-0000-0000-0000E1660000}"/>
    <cellStyle name="표준 5 4 3 2 2 2" xfId="26344" xr:uid="{00000000-0005-0000-0000-0000E2660000}"/>
    <cellStyle name="표준 5 4 3 2 2 2 2" xfId="26345" xr:uid="{00000000-0005-0000-0000-0000E3660000}"/>
    <cellStyle name="표준 5 4 3 2 2 2 2 2" xfId="26346" xr:uid="{00000000-0005-0000-0000-0000E4660000}"/>
    <cellStyle name="표준 5 4 3 2 2 2 2 2 2" xfId="26347" xr:uid="{00000000-0005-0000-0000-0000E5660000}"/>
    <cellStyle name="표준 5 4 3 2 2 2 2 2 2 2" xfId="26348" xr:uid="{00000000-0005-0000-0000-0000E6660000}"/>
    <cellStyle name="표준 5 4 3 2 2 2 2 2 3" xfId="26349" xr:uid="{00000000-0005-0000-0000-0000E7660000}"/>
    <cellStyle name="표준 5 4 3 2 2 2 2 3" xfId="26350" xr:uid="{00000000-0005-0000-0000-0000E8660000}"/>
    <cellStyle name="표준 5 4 3 2 2 2 2 3 2" xfId="26351" xr:uid="{00000000-0005-0000-0000-0000E9660000}"/>
    <cellStyle name="표준 5 4 3 2 2 2 2 4" xfId="26352" xr:uid="{00000000-0005-0000-0000-0000EA660000}"/>
    <cellStyle name="표준 5 4 3 2 2 2 3" xfId="26353" xr:uid="{00000000-0005-0000-0000-0000EB660000}"/>
    <cellStyle name="표준 5 4 3 2 2 2 3 2" xfId="26354" xr:uid="{00000000-0005-0000-0000-0000EC660000}"/>
    <cellStyle name="표준 5 4 3 2 2 2 3 2 2" xfId="26355" xr:uid="{00000000-0005-0000-0000-0000ED660000}"/>
    <cellStyle name="표준 5 4 3 2 2 2 3 3" xfId="26356" xr:uid="{00000000-0005-0000-0000-0000EE660000}"/>
    <cellStyle name="표준 5 4 3 2 2 2 4" xfId="26357" xr:uid="{00000000-0005-0000-0000-0000EF660000}"/>
    <cellStyle name="표준 5 4 3 2 2 2 4 2" xfId="26358" xr:uid="{00000000-0005-0000-0000-0000F0660000}"/>
    <cellStyle name="표준 5 4 3 2 2 2 5" xfId="26359" xr:uid="{00000000-0005-0000-0000-0000F1660000}"/>
    <cellStyle name="표준 5 4 3 2 2 3" xfId="26360" xr:uid="{00000000-0005-0000-0000-0000F2660000}"/>
    <cellStyle name="표준 5 4 3 2 2 3 2" xfId="26361" xr:uid="{00000000-0005-0000-0000-0000F3660000}"/>
    <cellStyle name="표준 5 4 3 2 2 3 2 2" xfId="26362" xr:uid="{00000000-0005-0000-0000-0000F4660000}"/>
    <cellStyle name="표준 5 4 3 2 2 3 2 2 2" xfId="26363" xr:uid="{00000000-0005-0000-0000-0000F5660000}"/>
    <cellStyle name="표준 5 4 3 2 2 3 2 3" xfId="26364" xr:uid="{00000000-0005-0000-0000-0000F6660000}"/>
    <cellStyle name="표준 5 4 3 2 2 3 3" xfId="26365" xr:uid="{00000000-0005-0000-0000-0000F7660000}"/>
    <cellStyle name="표준 5 4 3 2 2 3 3 2" xfId="26366" xr:uid="{00000000-0005-0000-0000-0000F8660000}"/>
    <cellStyle name="표준 5 4 3 2 2 3 4" xfId="26367" xr:uid="{00000000-0005-0000-0000-0000F9660000}"/>
    <cellStyle name="표준 5 4 3 2 2 4" xfId="26368" xr:uid="{00000000-0005-0000-0000-0000FA660000}"/>
    <cellStyle name="표준 5 4 3 2 2 4 2" xfId="26369" xr:uid="{00000000-0005-0000-0000-0000FB660000}"/>
    <cellStyle name="표준 5 4 3 2 2 4 2 2" xfId="26370" xr:uid="{00000000-0005-0000-0000-0000FC660000}"/>
    <cellStyle name="표준 5 4 3 2 2 4 3" xfId="26371" xr:uid="{00000000-0005-0000-0000-0000FD660000}"/>
    <cellStyle name="표준 5 4 3 2 2 5" xfId="26372" xr:uid="{00000000-0005-0000-0000-0000FE660000}"/>
    <cellStyle name="표준 5 4 3 2 2 5 2" xfId="26373" xr:uid="{00000000-0005-0000-0000-0000FF660000}"/>
    <cellStyle name="표준 5 4 3 2 2 6" xfId="26374" xr:uid="{00000000-0005-0000-0000-000000670000}"/>
    <cellStyle name="표준 5 4 3 2 3" xfId="26375" xr:uid="{00000000-0005-0000-0000-000001670000}"/>
    <cellStyle name="표준 5 4 3 2 3 2" xfId="26376" xr:uid="{00000000-0005-0000-0000-000002670000}"/>
    <cellStyle name="표준 5 4 3 2 3 2 2" xfId="26377" xr:uid="{00000000-0005-0000-0000-000003670000}"/>
    <cellStyle name="표준 5 4 3 2 3 2 2 2" xfId="26378" xr:uid="{00000000-0005-0000-0000-000004670000}"/>
    <cellStyle name="표준 5 4 3 2 3 2 2 2 2" xfId="26379" xr:uid="{00000000-0005-0000-0000-000005670000}"/>
    <cellStyle name="표준 5 4 3 2 3 2 2 3" xfId="26380" xr:uid="{00000000-0005-0000-0000-000006670000}"/>
    <cellStyle name="표준 5 4 3 2 3 2 3" xfId="26381" xr:uid="{00000000-0005-0000-0000-000007670000}"/>
    <cellStyle name="표준 5 4 3 2 3 2 3 2" xfId="26382" xr:uid="{00000000-0005-0000-0000-000008670000}"/>
    <cellStyle name="표준 5 4 3 2 3 2 4" xfId="26383" xr:uid="{00000000-0005-0000-0000-000009670000}"/>
    <cellStyle name="표준 5 4 3 2 3 3" xfId="26384" xr:uid="{00000000-0005-0000-0000-00000A670000}"/>
    <cellStyle name="표준 5 4 3 2 3 3 2" xfId="26385" xr:uid="{00000000-0005-0000-0000-00000B670000}"/>
    <cellStyle name="표준 5 4 3 2 3 3 2 2" xfId="26386" xr:uid="{00000000-0005-0000-0000-00000C670000}"/>
    <cellStyle name="표준 5 4 3 2 3 3 3" xfId="26387" xr:uid="{00000000-0005-0000-0000-00000D670000}"/>
    <cellStyle name="표준 5 4 3 2 3 4" xfId="26388" xr:uid="{00000000-0005-0000-0000-00000E670000}"/>
    <cellStyle name="표준 5 4 3 2 3 4 2" xfId="26389" xr:uid="{00000000-0005-0000-0000-00000F670000}"/>
    <cellStyle name="표준 5 4 3 2 3 5" xfId="26390" xr:uid="{00000000-0005-0000-0000-000010670000}"/>
    <cellStyle name="표준 5 4 3 2 4" xfId="26391" xr:uid="{00000000-0005-0000-0000-000011670000}"/>
    <cellStyle name="표준 5 4 3 2 4 2" xfId="26392" xr:uid="{00000000-0005-0000-0000-000012670000}"/>
    <cellStyle name="표준 5 4 3 2 4 2 2" xfId="26393" xr:uid="{00000000-0005-0000-0000-000013670000}"/>
    <cellStyle name="표준 5 4 3 2 4 2 2 2" xfId="26394" xr:uid="{00000000-0005-0000-0000-000014670000}"/>
    <cellStyle name="표준 5 4 3 2 4 2 3" xfId="26395" xr:uid="{00000000-0005-0000-0000-000015670000}"/>
    <cellStyle name="표준 5 4 3 2 4 3" xfId="26396" xr:uid="{00000000-0005-0000-0000-000016670000}"/>
    <cellStyle name="표준 5 4 3 2 4 3 2" xfId="26397" xr:uid="{00000000-0005-0000-0000-000017670000}"/>
    <cellStyle name="표준 5 4 3 2 4 4" xfId="26398" xr:uid="{00000000-0005-0000-0000-000018670000}"/>
    <cellStyle name="표준 5 4 3 2 5" xfId="26399" xr:uid="{00000000-0005-0000-0000-000019670000}"/>
    <cellStyle name="표준 5 4 3 2 5 2" xfId="26400" xr:uid="{00000000-0005-0000-0000-00001A670000}"/>
    <cellStyle name="표준 5 4 3 2 5 2 2" xfId="26401" xr:uid="{00000000-0005-0000-0000-00001B670000}"/>
    <cellStyle name="표준 5 4 3 2 5 3" xfId="26402" xr:uid="{00000000-0005-0000-0000-00001C670000}"/>
    <cellStyle name="표준 5 4 3 2 6" xfId="26403" xr:uid="{00000000-0005-0000-0000-00001D670000}"/>
    <cellStyle name="표준 5 4 3 2 6 2" xfId="26404" xr:uid="{00000000-0005-0000-0000-00001E670000}"/>
    <cellStyle name="표준 5 4 3 2 7" xfId="26405" xr:uid="{00000000-0005-0000-0000-00001F670000}"/>
    <cellStyle name="표준 5 4 3 2 8" xfId="26406" xr:uid="{00000000-0005-0000-0000-000020670000}"/>
    <cellStyle name="표준 5 4 3 3" xfId="26407" xr:uid="{00000000-0005-0000-0000-000021670000}"/>
    <cellStyle name="표준 5 4 3 3 2" xfId="26408" xr:uid="{00000000-0005-0000-0000-000022670000}"/>
    <cellStyle name="표준 5 4 3 3 2 2" xfId="26409" xr:uid="{00000000-0005-0000-0000-000023670000}"/>
    <cellStyle name="표준 5 4 3 3 2 2 2" xfId="26410" xr:uid="{00000000-0005-0000-0000-000024670000}"/>
    <cellStyle name="표준 5 4 3 3 2 2 2 2" xfId="26411" xr:uid="{00000000-0005-0000-0000-000025670000}"/>
    <cellStyle name="표준 5 4 3 3 2 2 2 2 2" xfId="26412" xr:uid="{00000000-0005-0000-0000-000026670000}"/>
    <cellStyle name="표준 5 4 3 3 2 2 2 3" xfId="26413" xr:uid="{00000000-0005-0000-0000-000027670000}"/>
    <cellStyle name="표준 5 4 3 3 2 2 3" xfId="26414" xr:uid="{00000000-0005-0000-0000-000028670000}"/>
    <cellStyle name="표준 5 4 3 3 2 2 3 2" xfId="26415" xr:uid="{00000000-0005-0000-0000-000029670000}"/>
    <cellStyle name="표준 5 4 3 3 2 2 4" xfId="26416" xr:uid="{00000000-0005-0000-0000-00002A670000}"/>
    <cellStyle name="표준 5 4 3 3 2 3" xfId="26417" xr:uid="{00000000-0005-0000-0000-00002B670000}"/>
    <cellStyle name="표준 5 4 3 3 2 3 2" xfId="26418" xr:uid="{00000000-0005-0000-0000-00002C670000}"/>
    <cellStyle name="표준 5 4 3 3 2 3 2 2" xfId="26419" xr:uid="{00000000-0005-0000-0000-00002D670000}"/>
    <cellStyle name="표준 5 4 3 3 2 3 3" xfId="26420" xr:uid="{00000000-0005-0000-0000-00002E670000}"/>
    <cellStyle name="표준 5 4 3 3 2 4" xfId="26421" xr:uid="{00000000-0005-0000-0000-00002F670000}"/>
    <cellStyle name="표준 5 4 3 3 2 4 2" xfId="26422" xr:uid="{00000000-0005-0000-0000-000030670000}"/>
    <cellStyle name="표준 5 4 3 3 2 5" xfId="26423" xr:uid="{00000000-0005-0000-0000-000031670000}"/>
    <cellStyle name="표준 5 4 3 3 3" xfId="26424" xr:uid="{00000000-0005-0000-0000-000032670000}"/>
    <cellStyle name="표준 5 4 3 3 3 2" xfId="26425" xr:uid="{00000000-0005-0000-0000-000033670000}"/>
    <cellStyle name="표준 5 4 3 3 3 2 2" xfId="26426" xr:uid="{00000000-0005-0000-0000-000034670000}"/>
    <cellStyle name="표준 5 4 3 3 3 2 2 2" xfId="26427" xr:uid="{00000000-0005-0000-0000-000035670000}"/>
    <cellStyle name="표준 5 4 3 3 3 2 3" xfId="26428" xr:uid="{00000000-0005-0000-0000-000036670000}"/>
    <cellStyle name="표준 5 4 3 3 3 3" xfId="26429" xr:uid="{00000000-0005-0000-0000-000037670000}"/>
    <cellStyle name="표준 5 4 3 3 3 3 2" xfId="26430" xr:uid="{00000000-0005-0000-0000-000038670000}"/>
    <cellStyle name="표준 5 4 3 3 3 4" xfId="26431" xr:uid="{00000000-0005-0000-0000-000039670000}"/>
    <cellStyle name="표준 5 4 3 3 4" xfId="26432" xr:uid="{00000000-0005-0000-0000-00003A670000}"/>
    <cellStyle name="표준 5 4 3 3 4 2" xfId="26433" xr:uid="{00000000-0005-0000-0000-00003B670000}"/>
    <cellStyle name="표준 5 4 3 3 4 2 2" xfId="26434" xr:uid="{00000000-0005-0000-0000-00003C670000}"/>
    <cellStyle name="표준 5 4 3 3 4 3" xfId="26435" xr:uid="{00000000-0005-0000-0000-00003D670000}"/>
    <cellStyle name="표준 5 4 3 3 5" xfId="26436" xr:uid="{00000000-0005-0000-0000-00003E670000}"/>
    <cellStyle name="표준 5 4 3 3 5 2" xfId="26437" xr:uid="{00000000-0005-0000-0000-00003F670000}"/>
    <cellStyle name="표준 5 4 3 3 6" xfId="26438" xr:uid="{00000000-0005-0000-0000-000040670000}"/>
    <cellStyle name="표준 5 4 3 4" xfId="26439" xr:uid="{00000000-0005-0000-0000-000041670000}"/>
    <cellStyle name="표준 5 4 3 4 2" xfId="26440" xr:uid="{00000000-0005-0000-0000-000042670000}"/>
    <cellStyle name="표준 5 4 3 4 2 2" xfId="26441" xr:uid="{00000000-0005-0000-0000-000043670000}"/>
    <cellStyle name="표준 5 4 3 4 2 2 2" xfId="26442" xr:uid="{00000000-0005-0000-0000-000044670000}"/>
    <cellStyle name="표준 5 4 3 4 2 2 2 2" xfId="26443" xr:uid="{00000000-0005-0000-0000-000045670000}"/>
    <cellStyle name="표준 5 4 3 4 2 2 3" xfId="26444" xr:uid="{00000000-0005-0000-0000-000046670000}"/>
    <cellStyle name="표준 5 4 3 4 2 3" xfId="26445" xr:uid="{00000000-0005-0000-0000-000047670000}"/>
    <cellStyle name="표준 5 4 3 4 2 3 2" xfId="26446" xr:uid="{00000000-0005-0000-0000-000048670000}"/>
    <cellStyle name="표준 5 4 3 4 2 4" xfId="26447" xr:uid="{00000000-0005-0000-0000-000049670000}"/>
    <cellStyle name="표준 5 4 3 4 3" xfId="26448" xr:uid="{00000000-0005-0000-0000-00004A670000}"/>
    <cellStyle name="표준 5 4 3 4 3 2" xfId="26449" xr:uid="{00000000-0005-0000-0000-00004B670000}"/>
    <cellStyle name="표준 5 4 3 4 3 2 2" xfId="26450" xr:uid="{00000000-0005-0000-0000-00004C670000}"/>
    <cellStyle name="표준 5 4 3 4 3 3" xfId="26451" xr:uid="{00000000-0005-0000-0000-00004D670000}"/>
    <cellStyle name="표준 5 4 3 4 4" xfId="26452" xr:uid="{00000000-0005-0000-0000-00004E670000}"/>
    <cellStyle name="표준 5 4 3 4 4 2" xfId="26453" xr:uid="{00000000-0005-0000-0000-00004F670000}"/>
    <cellStyle name="표준 5 4 3 4 5" xfId="26454" xr:uid="{00000000-0005-0000-0000-000050670000}"/>
    <cellStyle name="표준 5 4 3 5" xfId="26455" xr:uid="{00000000-0005-0000-0000-000051670000}"/>
    <cellStyle name="표준 5 4 3 5 2" xfId="26456" xr:uid="{00000000-0005-0000-0000-000052670000}"/>
    <cellStyle name="표준 5 4 3 5 2 2" xfId="26457" xr:uid="{00000000-0005-0000-0000-000053670000}"/>
    <cellStyle name="표준 5 4 3 5 2 2 2" xfId="26458" xr:uid="{00000000-0005-0000-0000-000054670000}"/>
    <cellStyle name="표준 5 4 3 5 2 3" xfId="26459" xr:uid="{00000000-0005-0000-0000-000055670000}"/>
    <cellStyle name="표준 5 4 3 5 3" xfId="26460" xr:uid="{00000000-0005-0000-0000-000056670000}"/>
    <cellStyle name="표준 5 4 3 5 3 2" xfId="26461" xr:uid="{00000000-0005-0000-0000-000057670000}"/>
    <cellStyle name="표준 5 4 3 5 4" xfId="26462" xr:uid="{00000000-0005-0000-0000-000058670000}"/>
    <cellStyle name="표준 5 4 3 6" xfId="26463" xr:uid="{00000000-0005-0000-0000-000059670000}"/>
    <cellStyle name="표준 5 4 3 6 2" xfId="26464" xr:uid="{00000000-0005-0000-0000-00005A670000}"/>
    <cellStyle name="표준 5 4 3 6 2 2" xfId="26465" xr:uid="{00000000-0005-0000-0000-00005B670000}"/>
    <cellStyle name="표준 5 4 3 6 3" xfId="26466" xr:uid="{00000000-0005-0000-0000-00005C670000}"/>
    <cellStyle name="표준 5 4 3 7" xfId="26467" xr:uid="{00000000-0005-0000-0000-00005D670000}"/>
    <cellStyle name="표준 5 4 3 7 2" xfId="26468" xr:uid="{00000000-0005-0000-0000-00005E670000}"/>
    <cellStyle name="표준 5 4 3 8" xfId="26469" xr:uid="{00000000-0005-0000-0000-00005F670000}"/>
    <cellStyle name="표준 5 4 3 9" xfId="26470" xr:uid="{00000000-0005-0000-0000-000060670000}"/>
    <cellStyle name="표준 5 4 4" xfId="26471" xr:uid="{00000000-0005-0000-0000-000061670000}"/>
    <cellStyle name="표준 5 4 4 2" xfId="26472" xr:uid="{00000000-0005-0000-0000-000062670000}"/>
    <cellStyle name="표준 5 4 4 2 2" xfId="26473" xr:uid="{00000000-0005-0000-0000-000063670000}"/>
    <cellStyle name="표준 5 4 4 2 2 2" xfId="26474" xr:uid="{00000000-0005-0000-0000-000064670000}"/>
    <cellStyle name="표준 5 4 4 2 2 2 2" xfId="26475" xr:uid="{00000000-0005-0000-0000-000065670000}"/>
    <cellStyle name="표준 5 4 4 2 2 2 2 2" xfId="26476" xr:uid="{00000000-0005-0000-0000-000066670000}"/>
    <cellStyle name="표준 5 4 4 2 2 2 2 2 2" xfId="26477" xr:uid="{00000000-0005-0000-0000-000067670000}"/>
    <cellStyle name="표준 5 4 4 2 2 2 2 3" xfId="26478" xr:uid="{00000000-0005-0000-0000-000068670000}"/>
    <cellStyle name="표준 5 4 4 2 2 2 3" xfId="26479" xr:uid="{00000000-0005-0000-0000-000069670000}"/>
    <cellStyle name="표준 5 4 4 2 2 2 3 2" xfId="26480" xr:uid="{00000000-0005-0000-0000-00006A670000}"/>
    <cellStyle name="표준 5 4 4 2 2 2 4" xfId="26481" xr:uid="{00000000-0005-0000-0000-00006B670000}"/>
    <cellStyle name="표준 5 4 4 2 2 3" xfId="26482" xr:uid="{00000000-0005-0000-0000-00006C670000}"/>
    <cellStyle name="표준 5 4 4 2 2 3 2" xfId="26483" xr:uid="{00000000-0005-0000-0000-00006D670000}"/>
    <cellStyle name="표준 5 4 4 2 2 3 2 2" xfId="26484" xr:uid="{00000000-0005-0000-0000-00006E670000}"/>
    <cellStyle name="표준 5 4 4 2 2 3 3" xfId="26485" xr:uid="{00000000-0005-0000-0000-00006F670000}"/>
    <cellStyle name="표준 5 4 4 2 2 4" xfId="26486" xr:uid="{00000000-0005-0000-0000-000070670000}"/>
    <cellStyle name="표준 5 4 4 2 2 4 2" xfId="26487" xr:uid="{00000000-0005-0000-0000-000071670000}"/>
    <cellStyle name="표준 5 4 4 2 2 5" xfId="26488" xr:uid="{00000000-0005-0000-0000-000072670000}"/>
    <cellStyle name="표준 5 4 4 2 3" xfId="26489" xr:uid="{00000000-0005-0000-0000-000073670000}"/>
    <cellStyle name="표준 5 4 4 2 3 2" xfId="26490" xr:uid="{00000000-0005-0000-0000-000074670000}"/>
    <cellStyle name="표준 5 4 4 2 3 2 2" xfId="26491" xr:uid="{00000000-0005-0000-0000-000075670000}"/>
    <cellStyle name="표준 5 4 4 2 3 2 2 2" xfId="26492" xr:uid="{00000000-0005-0000-0000-000076670000}"/>
    <cellStyle name="표준 5 4 4 2 3 2 3" xfId="26493" xr:uid="{00000000-0005-0000-0000-000077670000}"/>
    <cellStyle name="표준 5 4 4 2 3 3" xfId="26494" xr:uid="{00000000-0005-0000-0000-000078670000}"/>
    <cellStyle name="표준 5 4 4 2 3 3 2" xfId="26495" xr:uid="{00000000-0005-0000-0000-000079670000}"/>
    <cellStyle name="표준 5 4 4 2 3 4" xfId="26496" xr:uid="{00000000-0005-0000-0000-00007A670000}"/>
    <cellStyle name="표준 5 4 4 2 4" xfId="26497" xr:uid="{00000000-0005-0000-0000-00007B670000}"/>
    <cellStyle name="표준 5 4 4 2 4 2" xfId="26498" xr:uid="{00000000-0005-0000-0000-00007C670000}"/>
    <cellStyle name="표준 5 4 4 2 4 2 2" xfId="26499" xr:uid="{00000000-0005-0000-0000-00007D670000}"/>
    <cellStyle name="표준 5 4 4 2 4 3" xfId="26500" xr:uid="{00000000-0005-0000-0000-00007E670000}"/>
    <cellStyle name="표준 5 4 4 2 5" xfId="26501" xr:uid="{00000000-0005-0000-0000-00007F670000}"/>
    <cellStyle name="표준 5 4 4 2 5 2" xfId="26502" xr:uid="{00000000-0005-0000-0000-000080670000}"/>
    <cellStyle name="표준 5 4 4 2 6" xfId="26503" xr:uid="{00000000-0005-0000-0000-000081670000}"/>
    <cellStyle name="표준 5 4 4 3" xfId="26504" xr:uid="{00000000-0005-0000-0000-000082670000}"/>
    <cellStyle name="표준 5 4 4 3 2" xfId="26505" xr:uid="{00000000-0005-0000-0000-000083670000}"/>
    <cellStyle name="표준 5 4 4 3 2 2" xfId="26506" xr:uid="{00000000-0005-0000-0000-000084670000}"/>
    <cellStyle name="표준 5 4 4 3 2 2 2" xfId="26507" xr:uid="{00000000-0005-0000-0000-000085670000}"/>
    <cellStyle name="표준 5 4 4 3 2 2 2 2" xfId="26508" xr:uid="{00000000-0005-0000-0000-000086670000}"/>
    <cellStyle name="표준 5 4 4 3 2 2 3" xfId="26509" xr:uid="{00000000-0005-0000-0000-000087670000}"/>
    <cellStyle name="표준 5 4 4 3 2 3" xfId="26510" xr:uid="{00000000-0005-0000-0000-000088670000}"/>
    <cellStyle name="표준 5 4 4 3 2 3 2" xfId="26511" xr:uid="{00000000-0005-0000-0000-000089670000}"/>
    <cellStyle name="표준 5 4 4 3 2 4" xfId="26512" xr:uid="{00000000-0005-0000-0000-00008A670000}"/>
    <cellStyle name="표준 5 4 4 3 3" xfId="26513" xr:uid="{00000000-0005-0000-0000-00008B670000}"/>
    <cellStyle name="표준 5 4 4 3 3 2" xfId="26514" xr:uid="{00000000-0005-0000-0000-00008C670000}"/>
    <cellStyle name="표준 5 4 4 3 3 2 2" xfId="26515" xr:uid="{00000000-0005-0000-0000-00008D670000}"/>
    <cellStyle name="표준 5 4 4 3 3 3" xfId="26516" xr:uid="{00000000-0005-0000-0000-00008E670000}"/>
    <cellStyle name="표준 5 4 4 3 4" xfId="26517" xr:uid="{00000000-0005-0000-0000-00008F670000}"/>
    <cellStyle name="표준 5 4 4 3 4 2" xfId="26518" xr:uid="{00000000-0005-0000-0000-000090670000}"/>
    <cellStyle name="표준 5 4 4 3 5" xfId="26519" xr:uid="{00000000-0005-0000-0000-000091670000}"/>
    <cellStyle name="표준 5 4 4 4" xfId="26520" xr:uid="{00000000-0005-0000-0000-000092670000}"/>
    <cellStyle name="표준 5 4 4 4 2" xfId="26521" xr:uid="{00000000-0005-0000-0000-000093670000}"/>
    <cellStyle name="표준 5 4 4 4 2 2" xfId="26522" xr:uid="{00000000-0005-0000-0000-000094670000}"/>
    <cellStyle name="표준 5 4 4 4 2 2 2" xfId="26523" xr:uid="{00000000-0005-0000-0000-000095670000}"/>
    <cellStyle name="표준 5 4 4 4 2 3" xfId="26524" xr:uid="{00000000-0005-0000-0000-000096670000}"/>
    <cellStyle name="표준 5 4 4 4 3" xfId="26525" xr:uid="{00000000-0005-0000-0000-000097670000}"/>
    <cellStyle name="표준 5 4 4 4 3 2" xfId="26526" xr:uid="{00000000-0005-0000-0000-000098670000}"/>
    <cellStyle name="표준 5 4 4 4 4" xfId="26527" xr:uid="{00000000-0005-0000-0000-000099670000}"/>
    <cellStyle name="표준 5 4 4 5" xfId="26528" xr:uid="{00000000-0005-0000-0000-00009A670000}"/>
    <cellStyle name="표준 5 4 4 5 2" xfId="26529" xr:uid="{00000000-0005-0000-0000-00009B670000}"/>
    <cellStyle name="표준 5 4 4 5 2 2" xfId="26530" xr:uid="{00000000-0005-0000-0000-00009C670000}"/>
    <cellStyle name="표준 5 4 4 5 3" xfId="26531" xr:uid="{00000000-0005-0000-0000-00009D670000}"/>
    <cellStyle name="표준 5 4 4 6" xfId="26532" xr:uid="{00000000-0005-0000-0000-00009E670000}"/>
    <cellStyle name="표준 5 4 4 6 2" xfId="26533" xr:uid="{00000000-0005-0000-0000-00009F670000}"/>
    <cellStyle name="표준 5 4 4 7" xfId="26534" xr:uid="{00000000-0005-0000-0000-0000A0670000}"/>
    <cellStyle name="표준 5 4 4 8" xfId="26535" xr:uid="{00000000-0005-0000-0000-0000A1670000}"/>
    <cellStyle name="표준 5 4 5" xfId="26536" xr:uid="{00000000-0005-0000-0000-0000A2670000}"/>
    <cellStyle name="표준 5 4 5 2" xfId="26537" xr:uid="{00000000-0005-0000-0000-0000A3670000}"/>
    <cellStyle name="표준 5 4 5 2 2" xfId="26538" xr:uid="{00000000-0005-0000-0000-0000A4670000}"/>
    <cellStyle name="표준 5 4 5 2 2 2" xfId="26539" xr:uid="{00000000-0005-0000-0000-0000A5670000}"/>
    <cellStyle name="표준 5 4 5 2 2 2 2" xfId="26540" xr:uid="{00000000-0005-0000-0000-0000A6670000}"/>
    <cellStyle name="표준 5 4 5 2 2 2 2 2" xfId="26541" xr:uid="{00000000-0005-0000-0000-0000A7670000}"/>
    <cellStyle name="표준 5 4 5 2 2 2 3" xfId="26542" xr:uid="{00000000-0005-0000-0000-0000A8670000}"/>
    <cellStyle name="표준 5 4 5 2 2 3" xfId="26543" xr:uid="{00000000-0005-0000-0000-0000A9670000}"/>
    <cellStyle name="표준 5 4 5 2 2 3 2" xfId="26544" xr:uid="{00000000-0005-0000-0000-0000AA670000}"/>
    <cellStyle name="표준 5 4 5 2 2 4" xfId="26545" xr:uid="{00000000-0005-0000-0000-0000AB670000}"/>
    <cellStyle name="표준 5 4 5 2 3" xfId="26546" xr:uid="{00000000-0005-0000-0000-0000AC670000}"/>
    <cellStyle name="표준 5 4 5 2 3 2" xfId="26547" xr:uid="{00000000-0005-0000-0000-0000AD670000}"/>
    <cellStyle name="표준 5 4 5 2 3 2 2" xfId="26548" xr:uid="{00000000-0005-0000-0000-0000AE670000}"/>
    <cellStyle name="표준 5 4 5 2 3 3" xfId="26549" xr:uid="{00000000-0005-0000-0000-0000AF670000}"/>
    <cellStyle name="표준 5 4 5 2 4" xfId="26550" xr:uid="{00000000-0005-0000-0000-0000B0670000}"/>
    <cellStyle name="표준 5 4 5 2 4 2" xfId="26551" xr:uid="{00000000-0005-0000-0000-0000B1670000}"/>
    <cellStyle name="표준 5 4 5 2 5" xfId="26552" xr:uid="{00000000-0005-0000-0000-0000B2670000}"/>
    <cellStyle name="표준 5 4 5 3" xfId="26553" xr:uid="{00000000-0005-0000-0000-0000B3670000}"/>
    <cellStyle name="표준 5 4 5 3 2" xfId="26554" xr:uid="{00000000-0005-0000-0000-0000B4670000}"/>
    <cellStyle name="표준 5 4 5 3 2 2" xfId="26555" xr:uid="{00000000-0005-0000-0000-0000B5670000}"/>
    <cellStyle name="표준 5 4 5 3 2 2 2" xfId="26556" xr:uid="{00000000-0005-0000-0000-0000B6670000}"/>
    <cellStyle name="표준 5 4 5 3 2 3" xfId="26557" xr:uid="{00000000-0005-0000-0000-0000B7670000}"/>
    <cellStyle name="표준 5 4 5 3 3" xfId="26558" xr:uid="{00000000-0005-0000-0000-0000B8670000}"/>
    <cellStyle name="표준 5 4 5 3 3 2" xfId="26559" xr:uid="{00000000-0005-0000-0000-0000B9670000}"/>
    <cellStyle name="표준 5 4 5 3 4" xfId="26560" xr:uid="{00000000-0005-0000-0000-0000BA670000}"/>
    <cellStyle name="표준 5 4 5 4" xfId="26561" xr:uid="{00000000-0005-0000-0000-0000BB670000}"/>
    <cellStyle name="표준 5 4 5 4 2" xfId="26562" xr:uid="{00000000-0005-0000-0000-0000BC670000}"/>
    <cellStyle name="표준 5 4 5 4 2 2" xfId="26563" xr:uid="{00000000-0005-0000-0000-0000BD670000}"/>
    <cellStyle name="표준 5 4 5 4 3" xfId="26564" xr:uid="{00000000-0005-0000-0000-0000BE670000}"/>
    <cellStyle name="표준 5 4 5 5" xfId="26565" xr:uid="{00000000-0005-0000-0000-0000BF670000}"/>
    <cellStyle name="표준 5 4 5 5 2" xfId="26566" xr:uid="{00000000-0005-0000-0000-0000C0670000}"/>
    <cellStyle name="표준 5 4 5 6" xfId="26567" xr:uid="{00000000-0005-0000-0000-0000C1670000}"/>
    <cellStyle name="표준 5 4 6" xfId="26568" xr:uid="{00000000-0005-0000-0000-0000C2670000}"/>
    <cellStyle name="표준 5 4 6 2" xfId="26569" xr:uid="{00000000-0005-0000-0000-0000C3670000}"/>
    <cellStyle name="표준 5 4 6 2 2" xfId="26570" xr:uid="{00000000-0005-0000-0000-0000C4670000}"/>
    <cellStyle name="표준 5 4 6 2 2 2" xfId="26571" xr:uid="{00000000-0005-0000-0000-0000C5670000}"/>
    <cellStyle name="표준 5 4 6 2 2 2 2" xfId="26572" xr:uid="{00000000-0005-0000-0000-0000C6670000}"/>
    <cellStyle name="표준 5 4 6 2 2 3" xfId="26573" xr:uid="{00000000-0005-0000-0000-0000C7670000}"/>
    <cellStyle name="표준 5 4 6 2 3" xfId="26574" xr:uid="{00000000-0005-0000-0000-0000C8670000}"/>
    <cellStyle name="표준 5 4 6 2 3 2" xfId="26575" xr:uid="{00000000-0005-0000-0000-0000C9670000}"/>
    <cellStyle name="표준 5 4 6 2 4" xfId="26576" xr:uid="{00000000-0005-0000-0000-0000CA670000}"/>
    <cellStyle name="표준 5 4 6 3" xfId="26577" xr:uid="{00000000-0005-0000-0000-0000CB670000}"/>
    <cellStyle name="표준 5 4 6 3 2" xfId="26578" xr:uid="{00000000-0005-0000-0000-0000CC670000}"/>
    <cellStyle name="표준 5 4 6 3 2 2" xfId="26579" xr:uid="{00000000-0005-0000-0000-0000CD670000}"/>
    <cellStyle name="표준 5 4 6 3 3" xfId="26580" xr:uid="{00000000-0005-0000-0000-0000CE670000}"/>
    <cellStyle name="표준 5 4 6 4" xfId="26581" xr:uid="{00000000-0005-0000-0000-0000CF670000}"/>
    <cellStyle name="표준 5 4 6 4 2" xfId="26582" xr:uid="{00000000-0005-0000-0000-0000D0670000}"/>
    <cellStyle name="표준 5 4 6 5" xfId="26583" xr:uid="{00000000-0005-0000-0000-0000D1670000}"/>
    <cellStyle name="표준 5 4 7" xfId="26584" xr:uid="{00000000-0005-0000-0000-0000D2670000}"/>
    <cellStyle name="표준 5 4 7 2" xfId="26585" xr:uid="{00000000-0005-0000-0000-0000D3670000}"/>
    <cellStyle name="표준 5 4 7 2 2" xfId="26586" xr:uid="{00000000-0005-0000-0000-0000D4670000}"/>
    <cellStyle name="표준 5 4 7 2 2 2" xfId="26587" xr:uid="{00000000-0005-0000-0000-0000D5670000}"/>
    <cellStyle name="표준 5 4 7 2 3" xfId="26588" xr:uid="{00000000-0005-0000-0000-0000D6670000}"/>
    <cellStyle name="표준 5 4 7 3" xfId="26589" xr:uid="{00000000-0005-0000-0000-0000D7670000}"/>
    <cellStyle name="표준 5 4 7 3 2" xfId="26590" xr:uid="{00000000-0005-0000-0000-0000D8670000}"/>
    <cellStyle name="표준 5 4 7 4" xfId="26591" xr:uid="{00000000-0005-0000-0000-0000D9670000}"/>
    <cellStyle name="표준 5 4 8" xfId="26592" xr:uid="{00000000-0005-0000-0000-0000DA670000}"/>
    <cellStyle name="표준 5 4 8 2" xfId="26593" xr:uid="{00000000-0005-0000-0000-0000DB670000}"/>
    <cellStyle name="표준 5 4 8 2 2" xfId="26594" xr:uid="{00000000-0005-0000-0000-0000DC670000}"/>
    <cellStyle name="표준 5 4 8 3" xfId="26595" xr:uid="{00000000-0005-0000-0000-0000DD670000}"/>
    <cellStyle name="표준 5 4 9" xfId="26596" xr:uid="{00000000-0005-0000-0000-0000DE670000}"/>
    <cellStyle name="표준 5 4 9 2" xfId="26597" xr:uid="{00000000-0005-0000-0000-0000DF670000}"/>
    <cellStyle name="표준 5 5" xfId="26598" xr:uid="{00000000-0005-0000-0000-0000E0670000}"/>
    <cellStyle name="표준 5 5 10" xfId="26599" xr:uid="{00000000-0005-0000-0000-0000E1670000}"/>
    <cellStyle name="표준 5 5 11" xfId="26600" xr:uid="{00000000-0005-0000-0000-0000E2670000}"/>
    <cellStyle name="표준 5 5 2" xfId="26601" xr:uid="{00000000-0005-0000-0000-0000E3670000}"/>
    <cellStyle name="표준 5 5 2 10" xfId="26602" xr:uid="{00000000-0005-0000-0000-0000E4670000}"/>
    <cellStyle name="표준 5 5 2 2" xfId="26603" xr:uid="{00000000-0005-0000-0000-0000E5670000}"/>
    <cellStyle name="표준 5 5 2 2 2" xfId="26604" xr:uid="{00000000-0005-0000-0000-0000E6670000}"/>
    <cellStyle name="표준 5 5 2 2 2 2" xfId="26605" xr:uid="{00000000-0005-0000-0000-0000E7670000}"/>
    <cellStyle name="표준 5 5 2 2 2 2 2" xfId="26606" xr:uid="{00000000-0005-0000-0000-0000E8670000}"/>
    <cellStyle name="표준 5 5 2 2 2 2 2 2" xfId="26607" xr:uid="{00000000-0005-0000-0000-0000E9670000}"/>
    <cellStyle name="표준 5 5 2 2 2 2 2 2 2" xfId="26608" xr:uid="{00000000-0005-0000-0000-0000EA670000}"/>
    <cellStyle name="표준 5 5 2 2 2 2 2 2 2 2" xfId="26609" xr:uid="{00000000-0005-0000-0000-0000EB670000}"/>
    <cellStyle name="표준 5 5 2 2 2 2 2 2 2 2 2" xfId="26610" xr:uid="{00000000-0005-0000-0000-0000EC670000}"/>
    <cellStyle name="표준 5 5 2 2 2 2 2 2 2 3" xfId="26611" xr:uid="{00000000-0005-0000-0000-0000ED670000}"/>
    <cellStyle name="표준 5 5 2 2 2 2 2 2 3" xfId="26612" xr:uid="{00000000-0005-0000-0000-0000EE670000}"/>
    <cellStyle name="표준 5 5 2 2 2 2 2 2 3 2" xfId="26613" xr:uid="{00000000-0005-0000-0000-0000EF670000}"/>
    <cellStyle name="표준 5 5 2 2 2 2 2 2 4" xfId="26614" xr:uid="{00000000-0005-0000-0000-0000F0670000}"/>
    <cellStyle name="표준 5 5 2 2 2 2 2 3" xfId="26615" xr:uid="{00000000-0005-0000-0000-0000F1670000}"/>
    <cellStyle name="표준 5 5 2 2 2 2 2 3 2" xfId="26616" xr:uid="{00000000-0005-0000-0000-0000F2670000}"/>
    <cellStyle name="표준 5 5 2 2 2 2 2 3 2 2" xfId="26617" xr:uid="{00000000-0005-0000-0000-0000F3670000}"/>
    <cellStyle name="표준 5 5 2 2 2 2 2 3 3" xfId="26618" xr:uid="{00000000-0005-0000-0000-0000F4670000}"/>
    <cellStyle name="표준 5 5 2 2 2 2 2 4" xfId="26619" xr:uid="{00000000-0005-0000-0000-0000F5670000}"/>
    <cellStyle name="표준 5 5 2 2 2 2 2 4 2" xfId="26620" xr:uid="{00000000-0005-0000-0000-0000F6670000}"/>
    <cellStyle name="표준 5 5 2 2 2 2 2 5" xfId="26621" xr:uid="{00000000-0005-0000-0000-0000F7670000}"/>
    <cellStyle name="표준 5 5 2 2 2 2 3" xfId="26622" xr:uid="{00000000-0005-0000-0000-0000F8670000}"/>
    <cellStyle name="표준 5 5 2 2 2 2 3 2" xfId="26623" xr:uid="{00000000-0005-0000-0000-0000F9670000}"/>
    <cellStyle name="표준 5 5 2 2 2 2 3 2 2" xfId="26624" xr:uid="{00000000-0005-0000-0000-0000FA670000}"/>
    <cellStyle name="표준 5 5 2 2 2 2 3 2 2 2" xfId="26625" xr:uid="{00000000-0005-0000-0000-0000FB670000}"/>
    <cellStyle name="표준 5 5 2 2 2 2 3 2 3" xfId="26626" xr:uid="{00000000-0005-0000-0000-0000FC670000}"/>
    <cellStyle name="표준 5 5 2 2 2 2 3 3" xfId="26627" xr:uid="{00000000-0005-0000-0000-0000FD670000}"/>
    <cellStyle name="표준 5 5 2 2 2 2 3 3 2" xfId="26628" xr:uid="{00000000-0005-0000-0000-0000FE670000}"/>
    <cellStyle name="표준 5 5 2 2 2 2 3 4" xfId="26629" xr:uid="{00000000-0005-0000-0000-0000FF670000}"/>
    <cellStyle name="표준 5 5 2 2 2 2 4" xfId="26630" xr:uid="{00000000-0005-0000-0000-000000680000}"/>
    <cellStyle name="표준 5 5 2 2 2 2 4 2" xfId="26631" xr:uid="{00000000-0005-0000-0000-000001680000}"/>
    <cellStyle name="표준 5 5 2 2 2 2 4 2 2" xfId="26632" xr:uid="{00000000-0005-0000-0000-000002680000}"/>
    <cellStyle name="표준 5 5 2 2 2 2 4 3" xfId="26633" xr:uid="{00000000-0005-0000-0000-000003680000}"/>
    <cellStyle name="표준 5 5 2 2 2 2 5" xfId="26634" xr:uid="{00000000-0005-0000-0000-000004680000}"/>
    <cellStyle name="표준 5 5 2 2 2 2 5 2" xfId="26635" xr:uid="{00000000-0005-0000-0000-000005680000}"/>
    <cellStyle name="표준 5 5 2 2 2 2 6" xfId="26636" xr:uid="{00000000-0005-0000-0000-000006680000}"/>
    <cellStyle name="표준 5 5 2 2 2 3" xfId="26637" xr:uid="{00000000-0005-0000-0000-000007680000}"/>
    <cellStyle name="표준 5 5 2 2 2 3 2" xfId="26638" xr:uid="{00000000-0005-0000-0000-000008680000}"/>
    <cellStyle name="표준 5 5 2 2 2 3 2 2" xfId="26639" xr:uid="{00000000-0005-0000-0000-000009680000}"/>
    <cellStyle name="표준 5 5 2 2 2 3 2 2 2" xfId="26640" xr:uid="{00000000-0005-0000-0000-00000A680000}"/>
    <cellStyle name="표준 5 5 2 2 2 3 2 2 2 2" xfId="26641" xr:uid="{00000000-0005-0000-0000-00000B680000}"/>
    <cellStyle name="표준 5 5 2 2 2 3 2 2 3" xfId="26642" xr:uid="{00000000-0005-0000-0000-00000C680000}"/>
    <cellStyle name="표준 5 5 2 2 2 3 2 3" xfId="26643" xr:uid="{00000000-0005-0000-0000-00000D680000}"/>
    <cellStyle name="표준 5 5 2 2 2 3 2 3 2" xfId="26644" xr:uid="{00000000-0005-0000-0000-00000E680000}"/>
    <cellStyle name="표준 5 5 2 2 2 3 2 4" xfId="26645" xr:uid="{00000000-0005-0000-0000-00000F680000}"/>
    <cellStyle name="표준 5 5 2 2 2 3 3" xfId="26646" xr:uid="{00000000-0005-0000-0000-000010680000}"/>
    <cellStyle name="표준 5 5 2 2 2 3 3 2" xfId="26647" xr:uid="{00000000-0005-0000-0000-000011680000}"/>
    <cellStyle name="표준 5 5 2 2 2 3 3 2 2" xfId="26648" xr:uid="{00000000-0005-0000-0000-000012680000}"/>
    <cellStyle name="표준 5 5 2 2 2 3 3 3" xfId="26649" xr:uid="{00000000-0005-0000-0000-000013680000}"/>
    <cellStyle name="표준 5 5 2 2 2 3 4" xfId="26650" xr:uid="{00000000-0005-0000-0000-000014680000}"/>
    <cellStyle name="표준 5 5 2 2 2 3 4 2" xfId="26651" xr:uid="{00000000-0005-0000-0000-000015680000}"/>
    <cellStyle name="표준 5 5 2 2 2 3 5" xfId="26652" xr:uid="{00000000-0005-0000-0000-000016680000}"/>
    <cellStyle name="표준 5 5 2 2 2 4" xfId="26653" xr:uid="{00000000-0005-0000-0000-000017680000}"/>
    <cellStyle name="표준 5 5 2 2 2 4 2" xfId="26654" xr:uid="{00000000-0005-0000-0000-000018680000}"/>
    <cellStyle name="표준 5 5 2 2 2 4 2 2" xfId="26655" xr:uid="{00000000-0005-0000-0000-000019680000}"/>
    <cellStyle name="표준 5 5 2 2 2 4 2 2 2" xfId="26656" xr:uid="{00000000-0005-0000-0000-00001A680000}"/>
    <cellStyle name="표준 5 5 2 2 2 4 2 3" xfId="26657" xr:uid="{00000000-0005-0000-0000-00001B680000}"/>
    <cellStyle name="표준 5 5 2 2 2 4 3" xfId="26658" xr:uid="{00000000-0005-0000-0000-00001C680000}"/>
    <cellStyle name="표준 5 5 2 2 2 4 3 2" xfId="26659" xr:uid="{00000000-0005-0000-0000-00001D680000}"/>
    <cellStyle name="표준 5 5 2 2 2 4 4" xfId="26660" xr:uid="{00000000-0005-0000-0000-00001E680000}"/>
    <cellStyle name="표준 5 5 2 2 2 5" xfId="26661" xr:uid="{00000000-0005-0000-0000-00001F680000}"/>
    <cellStyle name="표준 5 5 2 2 2 5 2" xfId="26662" xr:uid="{00000000-0005-0000-0000-000020680000}"/>
    <cellStyle name="표준 5 5 2 2 2 5 2 2" xfId="26663" xr:uid="{00000000-0005-0000-0000-000021680000}"/>
    <cellStyle name="표준 5 5 2 2 2 5 3" xfId="26664" xr:uid="{00000000-0005-0000-0000-000022680000}"/>
    <cellStyle name="표준 5 5 2 2 2 6" xfId="26665" xr:uid="{00000000-0005-0000-0000-000023680000}"/>
    <cellStyle name="표준 5 5 2 2 2 6 2" xfId="26666" xr:uid="{00000000-0005-0000-0000-000024680000}"/>
    <cellStyle name="표준 5 5 2 2 2 7" xfId="26667" xr:uid="{00000000-0005-0000-0000-000025680000}"/>
    <cellStyle name="표준 5 5 2 2 2 8" xfId="26668" xr:uid="{00000000-0005-0000-0000-000026680000}"/>
    <cellStyle name="표준 5 5 2 2 3" xfId="26669" xr:uid="{00000000-0005-0000-0000-000027680000}"/>
    <cellStyle name="표준 5 5 2 2 3 2" xfId="26670" xr:uid="{00000000-0005-0000-0000-000028680000}"/>
    <cellStyle name="표준 5 5 2 2 3 2 2" xfId="26671" xr:uid="{00000000-0005-0000-0000-000029680000}"/>
    <cellStyle name="표준 5 5 2 2 3 2 2 2" xfId="26672" xr:uid="{00000000-0005-0000-0000-00002A680000}"/>
    <cellStyle name="표준 5 5 2 2 3 2 2 2 2" xfId="26673" xr:uid="{00000000-0005-0000-0000-00002B680000}"/>
    <cellStyle name="표준 5 5 2 2 3 2 2 2 2 2" xfId="26674" xr:uid="{00000000-0005-0000-0000-00002C680000}"/>
    <cellStyle name="표준 5 5 2 2 3 2 2 2 3" xfId="26675" xr:uid="{00000000-0005-0000-0000-00002D680000}"/>
    <cellStyle name="표준 5 5 2 2 3 2 2 3" xfId="26676" xr:uid="{00000000-0005-0000-0000-00002E680000}"/>
    <cellStyle name="표준 5 5 2 2 3 2 2 3 2" xfId="26677" xr:uid="{00000000-0005-0000-0000-00002F680000}"/>
    <cellStyle name="표준 5 5 2 2 3 2 2 4" xfId="26678" xr:uid="{00000000-0005-0000-0000-000030680000}"/>
    <cellStyle name="표준 5 5 2 2 3 2 3" xfId="26679" xr:uid="{00000000-0005-0000-0000-000031680000}"/>
    <cellStyle name="표준 5 5 2 2 3 2 3 2" xfId="26680" xr:uid="{00000000-0005-0000-0000-000032680000}"/>
    <cellStyle name="표준 5 5 2 2 3 2 3 2 2" xfId="26681" xr:uid="{00000000-0005-0000-0000-000033680000}"/>
    <cellStyle name="표준 5 5 2 2 3 2 3 3" xfId="26682" xr:uid="{00000000-0005-0000-0000-000034680000}"/>
    <cellStyle name="표준 5 5 2 2 3 2 4" xfId="26683" xr:uid="{00000000-0005-0000-0000-000035680000}"/>
    <cellStyle name="표준 5 5 2 2 3 2 4 2" xfId="26684" xr:uid="{00000000-0005-0000-0000-000036680000}"/>
    <cellStyle name="표준 5 5 2 2 3 2 5" xfId="26685" xr:uid="{00000000-0005-0000-0000-000037680000}"/>
    <cellStyle name="표준 5 5 2 2 3 3" xfId="26686" xr:uid="{00000000-0005-0000-0000-000038680000}"/>
    <cellStyle name="표준 5 5 2 2 3 3 2" xfId="26687" xr:uid="{00000000-0005-0000-0000-000039680000}"/>
    <cellStyle name="표준 5 5 2 2 3 3 2 2" xfId="26688" xr:uid="{00000000-0005-0000-0000-00003A680000}"/>
    <cellStyle name="표준 5 5 2 2 3 3 2 2 2" xfId="26689" xr:uid="{00000000-0005-0000-0000-00003B680000}"/>
    <cellStyle name="표준 5 5 2 2 3 3 2 3" xfId="26690" xr:uid="{00000000-0005-0000-0000-00003C680000}"/>
    <cellStyle name="표준 5 5 2 2 3 3 3" xfId="26691" xr:uid="{00000000-0005-0000-0000-00003D680000}"/>
    <cellStyle name="표준 5 5 2 2 3 3 3 2" xfId="26692" xr:uid="{00000000-0005-0000-0000-00003E680000}"/>
    <cellStyle name="표준 5 5 2 2 3 3 4" xfId="26693" xr:uid="{00000000-0005-0000-0000-00003F680000}"/>
    <cellStyle name="표준 5 5 2 2 3 4" xfId="26694" xr:uid="{00000000-0005-0000-0000-000040680000}"/>
    <cellStyle name="표준 5 5 2 2 3 4 2" xfId="26695" xr:uid="{00000000-0005-0000-0000-000041680000}"/>
    <cellStyle name="표준 5 5 2 2 3 4 2 2" xfId="26696" xr:uid="{00000000-0005-0000-0000-000042680000}"/>
    <cellStyle name="표준 5 5 2 2 3 4 3" xfId="26697" xr:uid="{00000000-0005-0000-0000-000043680000}"/>
    <cellStyle name="표준 5 5 2 2 3 5" xfId="26698" xr:uid="{00000000-0005-0000-0000-000044680000}"/>
    <cellStyle name="표준 5 5 2 2 3 5 2" xfId="26699" xr:uid="{00000000-0005-0000-0000-000045680000}"/>
    <cellStyle name="표준 5 5 2 2 3 6" xfId="26700" xr:uid="{00000000-0005-0000-0000-000046680000}"/>
    <cellStyle name="표준 5 5 2 2 4" xfId="26701" xr:uid="{00000000-0005-0000-0000-000047680000}"/>
    <cellStyle name="표준 5 5 2 2 4 2" xfId="26702" xr:uid="{00000000-0005-0000-0000-000048680000}"/>
    <cellStyle name="표준 5 5 2 2 4 2 2" xfId="26703" xr:uid="{00000000-0005-0000-0000-000049680000}"/>
    <cellStyle name="표준 5 5 2 2 4 2 2 2" xfId="26704" xr:uid="{00000000-0005-0000-0000-00004A680000}"/>
    <cellStyle name="표준 5 5 2 2 4 2 2 2 2" xfId="26705" xr:uid="{00000000-0005-0000-0000-00004B680000}"/>
    <cellStyle name="표준 5 5 2 2 4 2 2 3" xfId="26706" xr:uid="{00000000-0005-0000-0000-00004C680000}"/>
    <cellStyle name="표준 5 5 2 2 4 2 3" xfId="26707" xr:uid="{00000000-0005-0000-0000-00004D680000}"/>
    <cellStyle name="표준 5 5 2 2 4 2 3 2" xfId="26708" xr:uid="{00000000-0005-0000-0000-00004E680000}"/>
    <cellStyle name="표준 5 5 2 2 4 2 4" xfId="26709" xr:uid="{00000000-0005-0000-0000-00004F680000}"/>
    <cellStyle name="표준 5 5 2 2 4 3" xfId="26710" xr:uid="{00000000-0005-0000-0000-000050680000}"/>
    <cellStyle name="표준 5 5 2 2 4 3 2" xfId="26711" xr:uid="{00000000-0005-0000-0000-000051680000}"/>
    <cellStyle name="표준 5 5 2 2 4 3 2 2" xfId="26712" xr:uid="{00000000-0005-0000-0000-000052680000}"/>
    <cellStyle name="표준 5 5 2 2 4 3 3" xfId="26713" xr:uid="{00000000-0005-0000-0000-000053680000}"/>
    <cellStyle name="표준 5 5 2 2 4 4" xfId="26714" xr:uid="{00000000-0005-0000-0000-000054680000}"/>
    <cellStyle name="표준 5 5 2 2 4 4 2" xfId="26715" xr:uid="{00000000-0005-0000-0000-000055680000}"/>
    <cellStyle name="표준 5 5 2 2 4 5" xfId="26716" xr:uid="{00000000-0005-0000-0000-000056680000}"/>
    <cellStyle name="표준 5 5 2 2 5" xfId="26717" xr:uid="{00000000-0005-0000-0000-000057680000}"/>
    <cellStyle name="표준 5 5 2 2 5 2" xfId="26718" xr:uid="{00000000-0005-0000-0000-000058680000}"/>
    <cellStyle name="표준 5 5 2 2 5 2 2" xfId="26719" xr:uid="{00000000-0005-0000-0000-000059680000}"/>
    <cellStyle name="표준 5 5 2 2 5 2 2 2" xfId="26720" xr:uid="{00000000-0005-0000-0000-00005A680000}"/>
    <cellStyle name="표준 5 5 2 2 5 2 3" xfId="26721" xr:uid="{00000000-0005-0000-0000-00005B680000}"/>
    <cellStyle name="표준 5 5 2 2 5 3" xfId="26722" xr:uid="{00000000-0005-0000-0000-00005C680000}"/>
    <cellStyle name="표준 5 5 2 2 5 3 2" xfId="26723" xr:uid="{00000000-0005-0000-0000-00005D680000}"/>
    <cellStyle name="표준 5 5 2 2 5 4" xfId="26724" xr:uid="{00000000-0005-0000-0000-00005E680000}"/>
    <cellStyle name="표준 5 5 2 2 6" xfId="26725" xr:uid="{00000000-0005-0000-0000-00005F680000}"/>
    <cellStyle name="표준 5 5 2 2 6 2" xfId="26726" xr:uid="{00000000-0005-0000-0000-000060680000}"/>
    <cellStyle name="표준 5 5 2 2 6 2 2" xfId="26727" xr:uid="{00000000-0005-0000-0000-000061680000}"/>
    <cellStyle name="표준 5 5 2 2 6 3" xfId="26728" xr:uid="{00000000-0005-0000-0000-000062680000}"/>
    <cellStyle name="표준 5 5 2 2 7" xfId="26729" xr:uid="{00000000-0005-0000-0000-000063680000}"/>
    <cellStyle name="표준 5 5 2 2 7 2" xfId="26730" xr:uid="{00000000-0005-0000-0000-000064680000}"/>
    <cellStyle name="표준 5 5 2 2 8" xfId="26731" xr:uid="{00000000-0005-0000-0000-000065680000}"/>
    <cellStyle name="표준 5 5 2 2 9" xfId="26732" xr:uid="{00000000-0005-0000-0000-000066680000}"/>
    <cellStyle name="표준 5 5 2 3" xfId="26733" xr:uid="{00000000-0005-0000-0000-000067680000}"/>
    <cellStyle name="표준 5 5 2 3 2" xfId="26734" xr:uid="{00000000-0005-0000-0000-000068680000}"/>
    <cellStyle name="표준 5 5 2 3 2 2" xfId="26735" xr:uid="{00000000-0005-0000-0000-000069680000}"/>
    <cellStyle name="표준 5 5 2 3 2 2 2" xfId="26736" xr:uid="{00000000-0005-0000-0000-00006A680000}"/>
    <cellStyle name="표준 5 5 2 3 2 2 2 2" xfId="26737" xr:uid="{00000000-0005-0000-0000-00006B680000}"/>
    <cellStyle name="표준 5 5 2 3 2 2 2 2 2" xfId="26738" xr:uid="{00000000-0005-0000-0000-00006C680000}"/>
    <cellStyle name="표준 5 5 2 3 2 2 2 2 2 2" xfId="26739" xr:uid="{00000000-0005-0000-0000-00006D680000}"/>
    <cellStyle name="표준 5 5 2 3 2 2 2 2 3" xfId="26740" xr:uid="{00000000-0005-0000-0000-00006E680000}"/>
    <cellStyle name="표준 5 5 2 3 2 2 2 3" xfId="26741" xr:uid="{00000000-0005-0000-0000-00006F680000}"/>
    <cellStyle name="표준 5 5 2 3 2 2 2 3 2" xfId="26742" xr:uid="{00000000-0005-0000-0000-000070680000}"/>
    <cellStyle name="표준 5 5 2 3 2 2 2 4" xfId="26743" xr:uid="{00000000-0005-0000-0000-000071680000}"/>
    <cellStyle name="표준 5 5 2 3 2 2 3" xfId="26744" xr:uid="{00000000-0005-0000-0000-000072680000}"/>
    <cellStyle name="표준 5 5 2 3 2 2 3 2" xfId="26745" xr:uid="{00000000-0005-0000-0000-000073680000}"/>
    <cellStyle name="표준 5 5 2 3 2 2 3 2 2" xfId="26746" xr:uid="{00000000-0005-0000-0000-000074680000}"/>
    <cellStyle name="표준 5 5 2 3 2 2 3 3" xfId="26747" xr:uid="{00000000-0005-0000-0000-000075680000}"/>
    <cellStyle name="표준 5 5 2 3 2 2 4" xfId="26748" xr:uid="{00000000-0005-0000-0000-000076680000}"/>
    <cellStyle name="표준 5 5 2 3 2 2 4 2" xfId="26749" xr:uid="{00000000-0005-0000-0000-000077680000}"/>
    <cellStyle name="표준 5 5 2 3 2 2 5" xfId="26750" xr:uid="{00000000-0005-0000-0000-000078680000}"/>
    <cellStyle name="표준 5 5 2 3 2 3" xfId="26751" xr:uid="{00000000-0005-0000-0000-000079680000}"/>
    <cellStyle name="표준 5 5 2 3 2 3 2" xfId="26752" xr:uid="{00000000-0005-0000-0000-00007A680000}"/>
    <cellStyle name="표준 5 5 2 3 2 3 2 2" xfId="26753" xr:uid="{00000000-0005-0000-0000-00007B680000}"/>
    <cellStyle name="표준 5 5 2 3 2 3 2 2 2" xfId="26754" xr:uid="{00000000-0005-0000-0000-00007C680000}"/>
    <cellStyle name="표준 5 5 2 3 2 3 2 3" xfId="26755" xr:uid="{00000000-0005-0000-0000-00007D680000}"/>
    <cellStyle name="표준 5 5 2 3 2 3 3" xfId="26756" xr:uid="{00000000-0005-0000-0000-00007E680000}"/>
    <cellStyle name="표준 5 5 2 3 2 3 3 2" xfId="26757" xr:uid="{00000000-0005-0000-0000-00007F680000}"/>
    <cellStyle name="표준 5 5 2 3 2 3 4" xfId="26758" xr:uid="{00000000-0005-0000-0000-000080680000}"/>
    <cellStyle name="표준 5 5 2 3 2 4" xfId="26759" xr:uid="{00000000-0005-0000-0000-000081680000}"/>
    <cellStyle name="표준 5 5 2 3 2 4 2" xfId="26760" xr:uid="{00000000-0005-0000-0000-000082680000}"/>
    <cellStyle name="표준 5 5 2 3 2 4 2 2" xfId="26761" xr:uid="{00000000-0005-0000-0000-000083680000}"/>
    <cellStyle name="표준 5 5 2 3 2 4 3" xfId="26762" xr:uid="{00000000-0005-0000-0000-000084680000}"/>
    <cellStyle name="표준 5 5 2 3 2 5" xfId="26763" xr:uid="{00000000-0005-0000-0000-000085680000}"/>
    <cellStyle name="표준 5 5 2 3 2 5 2" xfId="26764" xr:uid="{00000000-0005-0000-0000-000086680000}"/>
    <cellStyle name="표준 5 5 2 3 2 6" xfId="26765" xr:uid="{00000000-0005-0000-0000-000087680000}"/>
    <cellStyle name="표준 5 5 2 3 3" xfId="26766" xr:uid="{00000000-0005-0000-0000-000088680000}"/>
    <cellStyle name="표준 5 5 2 3 3 2" xfId="26767" xr:uid="{00000000-0005-0000-0000-000089680000}"/>
    <cellStyle name="표준 5 5 2 3 3 2 2" xfId="26768" xr:uid="{00000000-0005-0000-0000-00008A680000}"/>
    <cellStyle name="표준 5 5 2 3 3 2 2 2" xfId="26769" xr:uid="{00000000-0005-0000-0000-00008B680000}"/>
    <cellStyle name="표준 5 5 2 3 3 2 2 2 2" xfId="26770" xr:uid="{00000000-0005-0000-0000-00008C680000}"/>
    <cellStyle name="표준 5 5 2 3 3 2 2 3" xfId="26771" xr:uid="{00000000-0005-0000-0000-00008D680000}"/>
    <cellStyle name="표준 5 5 2 3 3 2 3" xfId="26772" xr:uid="{00000000-0005-0000-0000-00008E680000}"/>
    <cellStyle name="표준 5 5 2 3 3 2 3 2" xfId="26773" xr:uid="{00000000-0005-0000-0000-00008F680000}"/>
    <cellStyle name="표준 5 5 2 3 3 2 4" xfId="26774" xr:uid="{00000000-0005-0000-0000-000090680000}"/>
    <cellStyle name="표준 5 5 2 3 3 3" xfId="26775" xr:uid="{00000000-0005-0000-0000-000091680000}"/>
    <cellStyle name="표준 5 5 2 3 3 3 2" xfId="26776" xr:uid="{00000000-0005-0000-0000-000092680000}"/>
    <cellStyle name="표준 5 5 2 3 3 3 2 2" xfId="26777" xr:uid="{00000000-0005-0000-0000-000093680000}"/>
    <cellStyle name="표준 5 5 2 3 3 3 3" xfId="26778" xr:uid="{00000000-0005-0000-0000-000094680000}"/>
    <cellStyle name="표준 5 5 2 3 3 4" xfId="26779" xr:uid="{00000000-0005-0000-0000-000095680000}"/>
    <cellStyle name="표준 5 5 2 3 3 4 2" xfId="26780" xr:uid="{00000000-0005-0000-0000-000096680000}"/>
    <cellStyle name="표준 5 5 2 3 3 5" xfId="26781" xr:uid="{00000000-0005-0000-0000-000097680000}"/>
    <cellStyle name="표준 5 5 2 3 4" xfId="26782" xr:uid="{00000000-0005-0000-0000-000098680000}"/>
    <cellStyle name="표준 5 5 2 3 4 2" xfId="26783" xr:uid="{00000000-0005-0000-0000-000099680000}"/>
    <cellStyle name="표준 5 5 2 3 4 2 2" xfId="26784" xr:uid="{00000000-0005-0000-0000-00009A680000}"/>
    <cellStyle name="표준 5 5 2 3 4 2 2 2" xfId="26785" xr:uid="{00000000-0005-0000-0000-00009B680000}"/>
    <cellStyle name="표준 5 5 2 3 4 2 3" xfId="26786" xr:uid="{00000000-0005-0000-0000-00009C680000}"/>
    <cellStyle name="표준 5 5 2 3 4 3" xfId="26787" xr:uid="{00000000-0005-0000-0000-00009D680000}"/>
    <cellStyle name="표준 5 5 2 3 4 3 2" xfId="26788" xr:uid="{00000000-0005-0000-0000-00009E680000}"/>
    <cellStyle name="표준 5 5 2 3 4 4" xfId="26789" xr:uid="{00000000-0005-0000-0000-00009F680000}"/>
    <cellStyle name="표준 5 5 2 3 5" xfId="26790" xr:uid="{00000000-0005-0000-0000-0000A0680000}"/>
    <cellStyle name="표준 5 5 2 3 5 2" xfId="26791" xr:uid="{00000000-0005-0000-0000-0000A1680000}"/>
    <cellStyle name="표준 5 5 2 3 5 2 2" xfId="26792" xr:uid="{00000000-0005-0000-0000-0000A2680000}"/>
    <cellStyle name="표준 5 5 2 3 5 3" xfId="26793" xr:uid="{00000000-0005-0000-0000-0000A3680000}"/>
    <cellStyle name="표준 5 5 2 3 6" xfId="26794" xr:uid="{00000000-0005-0000-0000-0000A4680000}"/>
    <cellStyle name="표준 5 5 2 3 6 2" xfId="26795" xr:uid="{00000000-0005-0000-0000-0000A5680000}"/>
    <cellStyle name="표준 5 5 2 3 7" xfId="26796" xr:uid="{00000000-0005-0000-0000-0000A6680000}"/>
    <cellStyle name="표준 5 5 2 3 8" xfId="26797" xr:uid="{00000000-0005-0000-0000-0000A7680000}"/>
    <cellStyle name="표준 5 5 2 4" xfId="26798" xr:uid="{00000000-0005-0000-0000-0000A8680000}"/>
    <cellStyle name="표준 5 5 2 4 2" xfId="26799" xr:uid="{00000000-0005-0000-0000-0000A9680000}"/>
    <cellStyle name="표준 5 5 2 4 2 2" xfId="26800" xr:uid="{00000000-0005-0000-0000-0000AA680000}"/>
    <cellStyle name="표준 5 5 2 4 2 2 2" xfId="26801" xr:uid="{00000000-0005-0000-0000-0000AB680000}"/>
    <cellStyle name="표준 5 5 2 4 2 2 2 2" xfId="26802" xr:uid="{00000000-0005-0000-0000-0000AC680000}"/>
    <cellStyle name="표준 5 5 2 4 2 2 2 2 2" xfId="26803" xr:uid="{00000000-0005-0000-0000-0000AD680000}"/>
    <cellStyle name="표준 5 5 2 4 2 2 2 3" xfId="26804" xr:uid="{00000000-0005-0000-0000-0000AE680000}"/>
    <cellStyle name="표준 5 5 2 4 2 2 3" xfId="26805" xr:uid="{00000000-0005-0000-0000-0000AF680000}"/>
    <cellStyle name="표준 5 5 2 4 2 2 3 2" xfId="26806" xr:uid="{00000000-0005-0000-0000-0000B0680000}"/>
    <cellStyle name="표준 5 5 2 4 2 2 4" xfId="26807" xr:uid="{00000000-0005-0000-0000-0000B1680000}"/>
    <cellStyle name="표준 5 5 2 4 2 3" xfId="26808" xr:uid="{00000000-0005-0000-0000-0000B2680000}"/>
    <cellStyle name="표준 5 5 2 4 2 3 2" xfId="26809" xr:uid="{00000000-0005-0000-0000-0000B3680000}"/>
    <cellStyle name="표준 5 5 2 4 2 3 2 2" xfId="26810" xr:uid="{00000000-0005-0000-0000-0000B4680000}"/>
    <cellStyle name="표준 5 5 2 4 2 3 3" xfId="26811" xr:uid="{00000000-0005-0000-0000-0000B5680000}"/>
    <cellStyle name="표준 5 5 2 4 2 4" xfId="26812" xr:uid="{00000000-0005-0000-0000-0000B6680000}"/>
    <cellStyle name="표준 5 5 2 4 2 4 2" xfId="26813" xr:uid="{00000000-0005-0000-0000-0000B7680000}"/>
    <cellStyle name="표준 5 5 2 4 2 5" xfId="26814" xr:uid="{00000000-0005-0000-0000-0000B8680000}"/>
    <cellStyle name="표준 5 5 2 4 3" xfId="26815" xr:uid="{00000000-0005-0000-0000-0000B9680000}"/>
    <cellStyle name="표준 5 5 2 4 3 2" xfId="26816" xr:uid="{00000000-0005-0000-0000-0000BA680000}"/>
    <cellStyle name="표준 5 5 2 4 3 2 2" xfId="26817" xr:uid="{00000000-0005-0000-0000-0000BB680000}"/>
    <cellStyle name="표준 5 5 2 4 3 2 2 2" xfId="26818" xr:uid="{00000000-0005-0000-0000-0000BC680000}"/>
    <cellStyle name="표준 5 5 2 4 3 2 3" xfId="26819" xr:uid="{00000000-0005-0000-0000-0000BD680000}"/>
    <cellStyle name="표준 5 5 2 4 3 3" xfId="26820" xr:uid="{00000000-0005-0000-0000-0000BE680000}"/>
    <cellStyle name="표준 5 5 2 4 3 3 2" xfId="26821" xr:uid="{00000000-0005-0000-0000-0000BF680000}"/>
    <cellStyle name="표준 5 5 2 4 3 4" xfId="26822" xr:uid="{00000000-0005-0000-0000-0000C0680000}"/>
    <cellStyle name="표준 5 5 2 4 4" xfId="26823" xr:uid="{00000000-0005-0000-0000-0000C1680000}"/>
    <cellStyle name="표준 5 5 2 4 4 2" xfId="26824" xr:uid="{00000000-0005-0000-0000-0000C2680000}"/>
    <cellStyle name="표준 5 5 2 4 4 2 2" xfId="26825" xr:uid="{00000000-0005-0000-0000-0000C3680000}"/>
    <cellStyle name="표준 5 5 2 4 4 3" xfId="26826" xr:uid="{00000000-0005-0000-0000-0000C4680000}"/>
    <cellStyle name="표준 5 5 2 4 5" xfId="26827" xr:uid="{00000000-0005-0000-0000-0000C5680000}"/>
    <cellStyle name="표준 5 5 2 4 5 2" xfId="26828" xr:uid="{00000000-0005-0000-0000-0000C6680000}"/>
    <cellStyle name="표준 5 5 2 4 6" xfId="26829" xr:uid="{00000000-0005-0000-0000-0000C7680000}"/>
    <cellStyle name="표준 5 5 2 5" xfId="26830" xr:uid="{00000000-0005-0000-0000-0000C8680000}"/>
    <cellStyle name="표준 5 5 2 5 2" xfId="26831" xr:uid="{00000000-0005-0000-0000-0000C9680000}"/>
    <cellStyle name="표준 5 5 2 5 2 2" xfId="26832" xr:uid="{00000000-0005-0000-0000-0000CA680000}"/>
    <cellStyle name="표준 5 5 2 5 2 2 2" xfId="26833" xr:uid="{00000000-0005-0000-0000-0000CB680000}"/>
    <cellStyle name="표준 5 5 2 5 2 2 2 2" xfId="26834" xr:uid="{00000000-0005-0000-0000-0000CC680000}"/>
    <cellStyle name="표준 5 5 2 5 2 2 3" xfId="26835" xr:uid="{00000000-0005-0000-0000-0000CD680000}"/>
    <cellStyle name="표준 5 5 2 5 2 3" xfId="26836" xr:uid="{00000000-0005-0000-0000-0000CE680000}"/>
    <cellStyle name="표준 5 5 2 5 2 3 2" xfId="26837" xr:uid="{00000000-0005-0000-0000-0000CF680000}"/>
    <cellStyle name="표준 5 5 2 5 2 4" xfId="26838" xr:uid="{00000000-0005-0000-0000-0000D0680000}"/>
    <cellStyle name="표준 5 5 2 5 3" xfId="26839" xr:uid="{00000000-0005-0000-0000-0000D1680000}"/>
    <cellStyle name="표준 5 5 2 5 3 2" xfId="26840" xr:uid="{00000000-0005-0000-0000-0000D2680000}"/>
    <cellStyle name="표준 5 5 2 5 3 2 2" xfId="26841" xr:uid="{00000000-0005-0000-0000-0000D3680000}"/>
    <cellStyle name="표준 5 5 2 5 3 3" xfId="26842" xr:uid="{00000000-0005-0000-0000-0000D4680000}"/>
    <cellStyle name="표준 5 5 2 5 4" xfId="26843" xr:uid="{00000000-0005-0000-0000-0000D5680000}"/>
    <cellStyle name="표준 5 5 2 5 4 2" xfId="26844" xr:uid="{00000000-0005-0000-0000-0000D6680000}"/>
    <cellStyle name="표준 5 5 2 5 5" xfId="26845" xr:uid="{00000000-0005-0000-0000-0000D7680000}"/>
    <cellStyle name="표준 5 5 2 6" xfId="26846" xr:uid="{00000000-0005-0000-0000-0000D8680000}"/>
    <cellStyle name="표준 5 5 2 6 2" xfId="26847" xr:uid="{00000000-0005-0000-0000-0000D9680000}"/>
    <cellStyle name="표준 5 5 2 6 2 2" xfId="26848" xr:uid="{00000000-0005-0000-0000-0000DA680000}"/>
    <cellStyle name="표준 5 5 2 6 2 2 2" xfId="26849" xr:uid="{00000000-0005-0000-0000-0000DB680000}"/>
    <cellStyle name="표준 5 5 2 6 2 3" xfId="26850" xr:uid="{00000000-0005-0000-0000-0000DC680000}"/>
    <cellStyle name="표준 5 5 2 6 3" xfId="26851" xr:uid="{00000000-0005-0000-0000-0000DD680000}"/>
    <cellStyle name="표준 5 5 2 6 3 2" xfId="26852" xr:uid="{00000000-0005-0000-0000-0000DE680000}"/>
    <cellStyle name="표준 5 5 2 6 4" xfId="26853" xr:uid="{00000000-0005-0000-0000-0000DF680000}"/>
    <cellStyle name="표준 5 5 2 7" xfId="26854" xr:uid="{00000000-0005-0000-0000-0000E0680000}"/>
    <cellStyle name="표준 5 5 2 7 2" xfId="26855" xr:uid="{00000000-0005-0000-0000-0000E1680000}"/>
    <cellStyle name="표준 5 5 2 7 2 2" xfId="26856" xr:uid="{00000000-0005-0000-0000-0000E2680000}"/>
    <cellStyle name="표준 5 5 2 7 3" xfId="26857" xr:uid="{00000000-0005-0000-0000-0000E3680000}"/>
    <cellStyle name="표준 5 5 2 8" xfId="26858" xr:uid="{00000000-0005-0000-0000-0000E4680000}"/>
    <cellStyle name="표준 5 5 2 8 2" xfId="26859" xr:uid="{00000000-0005-0000-0000-0000E5680000}"/>
    <cellStyle name="표준 5 5 2 9" xfId="26860" xr:uid="{00000000-0005-0000-0000-0000E6680000}"/>
    <cellStyle name="표준 5 5 3" xfId="26861" xr:uid="{00000000-0005-0000-0000-0000E7680000}"/>
    <cellStyle name="표준 5 5 3 2" xfId="26862" xr:uid="{00000000-0005-0000-0000-0000E8680000}"/>
    <cellStyle name="표준 5 5 3 2 2" xfId="26863" xr:uid="{00000000-0005-0000-0000-0000E9680000}"/>
    <cellStyle name="표준 5 5 3 2 2 2" xfId="26864" xr:uid="{00000000-0005-0000-0000-0000EA680000}"/>
    <cellStyle name="표준 5 5 3 2 2 2 2" xfId="26865" xr:uid="{00000000-0005-0000-0000-0000EB680000}"/>
    <cellStyle name="표준 5 5 3 2 2 2 2 2" xfId="26866" xr:uid="{00000000-0005-0000-0000-0000EC680000}"/>
    <cellStyle name="표준 5 5 3 2 2 2 2 2 2" xfId="26867" xr:uid="{00000000-0005-0000-0000-0000ED680000}"/>
    <cellStyle name="표준 5 5 3 2 2 2 2 2 2 2" xfId="26868" xr:uid="{00000000-0005-0000-0000-0000EE680000}"/>
    <cellStyle name="표준 5 5 3 2 2 2 2 2 3" xfId="26869" xr:uid="{00000000-0005-0000-0000-0000EF680000}"/>
    <cellStyle name="표준 5 5 3 2 2 2 2 3" xfId="26870" xr:uid="{00000000-0005-0000-0000-0000F0680000}"/>
    <cellStyle name="표준 5 5 3 2 2 2 2 3 2" xfId="26871" xr:uid="{00000000-0005-0000-0000-0000F1680000}"/>
    <cellStyle name="표준 5 5 3 2 2 2 2 4" xfId="26872" xr:uid="{00000000-0005-0000-0000-0000F2680000}"/>
    <cellStyle name="표준 5 5 3 2 2 2 3" xfId="26873" xr:uid="{00000000-0005-0000-0000-0000F3680000}"/>
    <cellStyle name="표준 5 5 3 2 2 2 3 2" xfId="26874" xr:uid="{00000000-0005-0000-0000-0000F4680000}"/>
    <cellStyle name="표준 5 5 3 2 2 2 3 2 2" xfId="26875" xr:uid="{00000000-0005-0000-0000-0000F5680000}"/>
    <cellStyle name="표준 5 5 3 2 2 2 3 3" xfId="26876" xr:uid="{00000000-0005-0000-0000-0000F6680000}"/>
    <cellStyle name="표준 5 5 3 2 2 2 4" xfId="26877" xr:uid="{00000000-0005-0000-0000-0000F7680000}"/>
    <cellStyle name="표준 5 5 3 2 2 2 4 2" xfId="26878" xr:uid="{00000000-0005-0000-0000-0000F8680000}"/>
    <cellStyle name="표준 5 5 3 2 2 2 5" xfId="26879" xr:uid="{00000000-0005-0000-0000-0000F9680000}"/>
    <cellStyle name="표준 5 5 3 2 2 3" xfId="26880" xr:uid="{00000000-0005-0000-0000-0000FA680000}"/>
    <cellStyle name="표준 5 5 3 2 2 3 2" xfId="26881" xr:uid="{00000000-0005-0000-0000-0000FB680000}"/>
    <cellStyle name="표준 5 5 3 2 2 3 2 2" xfId="26882" xr:uid="{00000000-0005-0000-0000-0000FC680000}"/>
    <cellStyle name="표준 5 5 3 2 2 3 2 2 2" xfId="26883" xr:uid="{00000000-0005-0000-0000-0000FD680000}"/>
    <cellStyle name="표준 5 5 3 2 2 3 2 3" xfId="26884" xr:uid="{00000000-0005-0000-0000-0000FE680000}"/>
    <cellStyle name="표준 5 5 3 2 2 3 3" xfId="26885" xr:uid="{00000000-0005-0000-0000-0000FF680000}"/>
    <cellStyle name="표준 5 5 3 2 2 3 3 2" xfId="26886" xr:uid="{00000000-0005-0000-0000-000000690000}"/>
    <cellStyle name="표준 5 5 3 2 2 3 4" xfId="26887" xr:uid="{00000000-0005-0000-0000-000001690000}"/>
    <cellStyle name="표준 5 5 3 2 2 4" xfId="26888" xr:uid="{00000000-0005-0000-0000-000002690000}"/>
    <cellStyle name="표준 5 5 3 2 2 4 2" xfId="26889" xr:uid="{00000000-0005-0000-0000-000003690000}"/>
    <cellStyle name="표준 5 5 3 2 2 4 2 2" xfId="26890" xr:uid="{00000000-0005-0000-0000-000004690000}"/>
    <cellStyle name="표준 5 5 3 2 2 4 3" xfId="26891" xr:uid="{00000000-0005-0000-0000-000005690000}"/>
    <cellStyle name="표준 5 5 3 2 2 5" xfId="26892" xr:uid="{00000000-0005-0000-0000-000006690000}"/>
    <cellStyle name="표준 5 5 3 2 2 5 2" xfId="26893" xr:uid="{00000000-0005-0000-0000-000007690000}"/>
    <cellStyle name="표준 5 5 3 2 2 6" xfId="26894" xr:uid="{00000000-0005-0000-0000-000008690000}"/>
    <cellStyle name="표준 5 5 3 2 3" xfId="26895" xr:uid="{00000000-0005-0000-0000-000009690000}"/>
    <cellStyle name="표준 5 5 3 2 3 2" xfId="26896" xr:uid="{00000000-0005-0000-0000-00000A690000}"/>
    <cellStyle name="표준 5 5 3 2 3 2 2" xfId="26897" xr:uid="{00000000-0005-0000-0000-00000B690000}"/>
    <cellStyle name="표준 5 5 3 2 3 2 2 2" xfId="26898" xr:uid="{00000000-0005-0000-0000-00000C690000}"/>
    <cellStyle name="표준 5 5 3 2 3 2 2 2 2" xfId="26899" xr:uid="{00000000-0005-0000-0000-00000D690000}"/>
    <cellStyle name="표준 5 5 3 2 3 2 2 3" xfId="26900" xr:uid="{00000000-0005-0000-0000-00000E690000}"/>
    <cellStyle name="표준 5 5 3 2 3 2 3" xfId="26901" xr:uid="{00000000-0005-0000-0000-00000F690000}"/>
    <cellStyle name="표준 5 5 3 2 3 2 3 2" xfId="26902" xr:uid="{00000000-0005-0000-0000-000010690000}"/>
    <cellStyle name="표준 5 5 3 2 3 2 4" xfId="26903" xr:uid="{00000000-0005-0000-0000-000011690000}"/>
    <cellStyle name="표준 5 5 3 2 3 3" xfId="26904" xr:uid="{00000000-0005-0000-0000-000012690000}"/>
    <cellStyle name="표준 5 5 3 2 3 3 2" xfId="26905" xr:uid="{00000000-0005-0000-0000-000013690000}"/>
    <cellStyle name="표준 5 5 3 2 3 3 2 2" xfId="26906" xr:uid="{00000000-0005-0000-0000-000014690000}"/>
    <cellStyle name="표준 5 5 3 2 3 3 3" xfId="26907" xr:uid="{00000000-0005-0000-0000-000015690000}"/>
    <cellStyle name="표준 5 5 3 2 3 4" xfId="26908" xr:uid="{00000000-0005-0000-0000-000016690000}"/>
    <cellStyle name="표준 5 5 3 2 3 4 2" xfId="26909" xr:uid="{00000000-0005-0000-0000-000017690000}"/>
    <cellStyle name="표준 5 5 3 2 3 5" xfId="26910" xr:uid="{00000000-0005-0000-0000-000018690000}"/>
    <cellStyle name="표준 5 5 3 2 4" xfId="26911" xr:uid="{00000000-0005-0000-0000-000019690000}"/>
    <cellStyle name="표준 5 5 3 2 4 2" xfId="26912" xr:uid="{00000000-0005-0000-0000-00001A690000}"/>
    <cellStyle name="표준 5 5 3 2 4 2 2" xfId="26913" xr:uid="{00000000-0005-0000-0000-00001B690000}"/>
    <cellStyle name="표준 5 5 3 2 4 2 2 2" xfId="26914" xr:uid="{00000000-0005-0000-0000-00001C690000}"/>
    <cellStyle name="표준 5 5 3 2 4 2 3" xfId="26915" xr:uid="{00000000-0005-0000-0000-00001D690000}"/>
    <cellStyle name="표준 5 5 3 2 4 3" xfId="26916" xr:uid="{00000000-0005-0000-0000-00001E690000}"/>
    <cellStyle name="표준 5 5 3 2 4 3 2" xfId="26917" xr:uid="{00000000-0005-0000-0000-00001F690000}"/>
    <cellStyle name="표준 5 5 3 2 4 4" xfId="26918" xr:uid="{00000000-0005-0000-0000-000020690000}"/>
    <cellStyle name="표준 5 5 3 2 5" xfId="26919" xr:uid="{00000000-0005-0000-0000-000021690000}"/>
    <cellStyle name="표준 5 5 3 2 5 2" xfId="26920" xr:uid="{00000000-0005-0000-0000-000022690000}"/>
    <cellStyle name="표준 5 5 3 2 5 2 2" xfId="26921" xr:uid="{00000000-0005-0000-0000-000023690000}"/>
    <cellStyle name="표준 5 5 3 2 5 3" xfId="26922" xr:uid="{00000000-0005-0000-0000-000024690000}"/>
    <cellStyle name="표준 5 5 3 2 6" xfId="26923" xr:uid="{00000000-0005-0000-0000-000025690000}"/>
    <cellStyle name="표준 5 5 3 2 6 2" xfId="26924" xr:uid="{00000000-0005-0000-0000-000026690000}"/>
    <cellStyle name="표준 5 5 3 2 7" xfId="26925" xr:uid="{00000000-0005-0000-0000-000027690000}"/>
    <cellStyle name="표준 5 5 3 2 8" xfId="26926" xr:uid="{00000000-0005-0000-0000-000028690000}"/>
    <cellStyle name="표준 5 5 3 3" xfId="26927" xr:uid="{00000000-0005-0000-0000-000029690000}"/>
    <cellStyle name="표준 5 5 3 3 2" xfId="26928" xr:uid="{00000000-0005-0000-0000-00002A690000}"/>
    <cellStyle name="표준 5 5 3 3 2 2" xfId="26929" xr:uid="{00000000-0005-0000-0000-00002B690000}"/>
    <cellStyle name="표준 5 5 3 3 2 2 2" xfId="26930" xr:uid="{00000000-0005-0000-0000-00002C690000}"/>
    <cellStyle name="표준 5 5 3 3 2 2 2 2" xfId="26931" xr:uid="{00000000-0005-0000-0000-00002D690000}"/>
    <cellStyle name="표준 5 5 3 3 2 2 2 2 2" xfId="26932" xr:uid="{00000000-0005-0000-0000-00002E690000}"/>
    <cellStyle name="표준 5 5 3 3 2 2 2 3" xfId="26933" xr:uid="{00000000-0005-0000-0000-00002F690000}"/>
    <cellStyle name="표준 5 5 3 3 2 2 3" xfId="26934" xr:uid="{00000000-0005-0000-0000-000030690000}"/>
    <cellStyle name="표준 5 5 3 3 2 2 3 2" xfId="26935" xr:uid="{00000000-0005-0000-0000-000031690000}"/>
    <cellStyle name="표준 5 5 3 3 2 2 4" xfId="26936" xr:uid="{00000000-0005-0000-0000-000032690000}"/>
    <cellStyle name="표준 5 5 3 3 2 3" xfId="26937" xr:uid="{00000000-0005-0000-0000-000033690000}"/>
    <cellStyle name="표준 5 5 3 3 2 3 2" xfId="26938" xr:uid="{00000000-0005-0000-0000-000034690000}"/>
    <cellStyle name="표준 5 5 3 3 2 3 2 2" xfId="26939" xr:uid="{00000000-0005-0000-0000-000035690000}"/>
    <cellStyle name="표준 5 5 3 3 2 3 3" xfId="26940" xr:uid="{00000000-0005-0000-0000-000036690000}"/>
    <cellStyle name="표준 5 5 3 3 2 4" xfId="26941" xr:uid="{00000000-0005-0000-0000-000037690000}"/>
    <cellStyle name="표준 5 5 3 3 2 4 2" xfId="26942" xr:uid="{00000000-0005-0000-0000-000038690000}"/>
    <cellStyle name="표준 5 5 3 3 2 5" xfId="26943" xr:uid="{00000000-0005-0000-0000-000039690000}"/>
    <cellStyle name="표준 5 5 3 3 3" xfId="26944" xr:uid="{00000000-0005-0000-0000-00003A690000}"/>
    <cellStyle name="표준 5 5 3 3 3 2" xfId="26945" xr:uid="{00000000-0005-0000-0000-00003B690000}"/>
    <cellStyle name="표준 5 5 3 3 3 2 2" xfId="26946" xr:uid="{00000000-0005-0000-0000-00003C690000}"/>
    <cellStyle name="표준 5 5 3 3 3 2 2 2" xfId="26947" xr:uid="{00000000-0005-0000-0000-00003D690000}"/>
    <cellStyle name="표준 5 5 3 3 3 2 3" xfId="26948" xr:uid="{00000000-0005-0000-0000-00003E690000}"/>
    <cellStyle name="표준 5 5 3 3 3 3" xfId="26949" xr:uid="{00000000-0005-0000-0000-00003F690000}"/>
    <cellStyle name="표준 5 5 3 3 3 3 2" xfId="26950" xr:uid="{00000000-0005-0000-0000-000040690000}"/>
    <cellStyle name="표준 5 5 3 3 3 4" xfId="26951" xr:uid="{00000000-0005-0000-0000-000041690000}"/>
    <cellStyle name="표준 5 5 3 3 4" xfId="26952" xr:uid="{00000000-0005-0000-0000-000042690000}"/>
    <cellStyle name="표준 5 5 3 3 4 2" xfId="26953" xr:uid="{00000000-0005-0000-0000-000043690000}"/>
    <cellStyle name="표준 5 5 3 3 4 2 2" xfId="26954" xr:uid="{00000000-0005-0000-0000-000044690000}"/>
    <cellStyle name="표준 5 5 3 3 4 3" xfId="26955" xr:uid="{00000000-0005-0000-0000-000045690000}"/>
    <cellStyle name="표준 5 5 3 3 5" xfId="26956" xr:uid="{00000000-0005-0000-0000-000046690000}"/>
    <cellStyle name="표준 5 5 3 3 5 2" xfId="26957" xr:uid="{00000000-0005-0000-0000-000047690000}"/>
    <cellStyle name="표준 5 5 3 3 6" xfId="26958" xr:uid="{00000000-0005-0000-0000-000048690000}"/>
    <cellStyle name="표준 5 5 3 4" xfId="26959" xr:uid="{00000000-0005-0000-0000-000049690000}"/>
    <cellStyle name="표준 5 5 3 4 2" xfId="26960" xr:uid="{00000000-0005-0000-0000-00004A690000}"/>
    <cellStyle name="표준 5 5 3 4 2 2" xfId="26961" xr:uid="{00000000-0005-0000-0000-00004B690000}"/>
    <cellStyle name="표준 5 5 3 4 2 2 2" xfId="26962" xr:uid="{00000000-0005-0000-0000-00004C690000}"/>
    <cellStyle name="표준 5 5 3 4 2 2 2 2" xfId="26963" xr:uid="{00000000-0005-0000-0000-00004D690000}"/>
    <cellStyle name="표준 5 5 3 4 2 2 3" xfId="26964" xr:uid="{00000000-0005-0000-0000-00004E690000}"/>
    <cellStyle name="표준 5 5 3 4 2 3" xfId="26965" xr:uid="{00000000-0005-0000-0000-00004F690000}"/>
    <cellStyle name="표준 5 5 3 4 2 3 2" xfId="26966" xr:uid="{00000000-0005-0000-0000-000050690000}"/>
    <cellStyle name="표준 5 5 3 4 2 4" xfId="26967" xr:uid="{00000000-0005-0000-0000-000051690000}"/>
    <cellStyle name="표준 5 5 3 4 3" xfId="26968" xr:uid="{00000000-0005-0000-0000-000052690000}"/>
    <cellStyle name="표준 5 5 3 4 3 2" xfId="26969" xr:uid="{00000000-0005-0000-0000-000053690000}"/>
    <cellStyle name="표준 5 5 3 4 3 2 2" xfId="26970" xr:uid="{00000000-0005-0000-0000-000054690000}"/>
    <cellStyle name="표준 5 5 3 4 3 3" xfId="26971" xr:uid="{00000000-0005-0000-0000-000055690000}"/>
    <cellStyle name="표준 5 5 3 4 4" xfId="26972" xr:uid="{00000000-0005-0000-0000-000056690000}"/>
    <cellStyle name="표준 5 5 3 4 4 2" xfId="26973" xr:uid="{00000000-0005-0000-0000-000057690000}"/>
    <cellStyle name="표준 5 5 3 4 5" xfId="26974" xr:uid="{00000000-0005-0000-0000-000058690000}"/>
    <cellStyle name="표준 5 5 3 5" xfId="26975" xr:uid="{00000000-0005-0000-0000-000059690000}"/>
    <cellStyle name="표준 5 5 3 5 2" xfId="26976" xr:uid="{00000000-0005-0000-0000-00005A690000}"/>
    <cellStyle name="표준 5 5 3 5 2 2" xfId="26977" xr:uid="{00000000-0005-0000-0000-00005B690000}"/>
    <cellStyle name="표준 5 5 3 5 2 2 2" xfId="26978" xr:uid="{00000000-0005-0000-0000-00005C690000}"/>
    <cellStyle name="표준 5 5 3 5 2 3" xfId="26979" xr:uid="{00000000-0005-0000-0000-00005D690000}"/>
    <cellStyle name="표준 5 5 3 5 3" xfId="26980" xr:uid="{00000000-0005-0000-0000-00005E690000}"/>
    <cellStyle name="표준 5 5 3 5 3 2" xfId="26981" xr:uid="{00000000-0005-0000-0000-00005F690000}"/>
    <cellStyle name="표준 5 5 3 5 4" xfId="26982" xr:uid="{00000000-0005-0000-0000-000060690000}"/>
    <cellStyle name="표준 5 5 3 6" xfId="26983" xr:uid="{00000000-0005-0000-0000-000061690000}"/>
    <cellStyle name="표준 5 5 3 6 2" xfId="26984" xr:uid="{00000000-0005-0000-0000-000062690000}"/>
    <cellStyle name="표준 5 5 3 6 2 2" xfId="26985" xr:uid="{00000000-0005-0000-0000-000063690000}"/>
    <cellStyle name="표준 5 5 3 6 3" xfId="26986" xr:uid="{00000000-0005-0000-0000-000064690000}"/>
    <cellStyle name="표준 5 5 3 7" xfId="26987" xr:uid="{00000000-0005-0000-0000-000065690000}"/>
    <cellStyle name="표준 5 5 3 7 2" xfId="26988" xr:uid="{00000000-0005-0000-0000-000066690000}"/>
    <cellStyle name="표준 5 5 3 8" xfId="26989" xr:uid="{00000000-0005-0000-0000-000067690000}"/>
    <cellStyle name="표준 5 5 3 9" xfId="26990" xr:uid="{00000000-0005-0000-0000-000068690000}"/>
    <cellStyle name="표준 5 5 4" xfId="26991" xr:uid="{00000000-0005-0000-0000-000069690000}"/>
    <cellStyle name="표준 5 5 4 2" xfId="26992" xr:uid="{00000000-0005-0000-0000-00006A690000}"/>
    <cellStyle name="표준 5 5 4 2 2" xfId="26993" xr:uid="{00000000-0005-0000-0000-00006B690000}"/>
    <cellStyle name="표준 5 5 4 2 2 2" xfId="26994" xr:uid="{00000000-0005-0000-0000-00006C690000}"/>
    <cellStyle name="표준 5 5 4 2 2 2 2" xfId="26995" xr:uid="{00000000-0005-0000-0000-00006D690000}"/>
    <cellStyle name="표준 5 5 4 2 2 2 2 2" xfId="26996" xr:uid="{00000000-0005-0000-0000-00006E690000}"/>
    <cellStyle name="표준 5 5 4 2 2 2 2 2 2" xfId="26997" xr:uid="{00000000-0005-0000-0000-00006F690000}"/>
    <cellStyle name="표준 5 5 4 2 2 2 2 3" xfId="26998" xr:uid="{00000000-0005-0000-0000-000070690000}"/>
    <cellStyle name="표준 5 5 4 2 2 2 3" xfId="26999" xr:uid="{00000000-0005-0000-0000-000071690000}"/>
    <cellStyle name="표준 5 5 4 2 2 2 3 2" xfId="27000" xr:uid="{00000000-0005-0000-0000-000072690000}"/>
    <cellStyle name="표준 5 5 4 2 2 2 4" xfId="27001" xr:uid="{00000000-0005-0000-0000-000073690000}"/>
    <cellStyle name="표준 5 5 4 2 2 3" xfId="27002" xr:uid="{00000000-0005-0000-0000-000074690000}"/>
    <cellStyle name="표준 5 5 4 2 2 3 2" xfId="27003" xr:uid="{00000000-0005-0000-0000-000075690000}"/>
    <cellStyle name="표준 5 5 4 2 2 3 2 2" xfId="27004" xr:uid="{00000000-0005-0000-0000-000076690000}"/>
    <cellStyle name="표준 5 5 4 2 2 3 3" xfId="27005" xr:uid="{00000000-0005-0000-0000-000077690000}"/>
    <cellStyle name="표준 5 5 4 2 2 4" xfId="27006" xr:uid="{00000000-0005-0000-0000-000078690000}"/>
    <cellStyle name="표준 5 5 4 2 2 4 2" xfId="27007" xr:uid="{00000000-0005-0000-0000-000079690000}"/>
    <cellStyle name="표준 5 5 4 2 2 5" xfId="27008" xr:uid="{00000000-0005-0000-0000-00007A690000}"/>
    <cellStyle name="표준 5 5 4 2 3" xfId="27009" xr:uid="{00000000-0005-0000-0000-00007B690000}"/>
    <cellStyle name="표준 5 5 4 2 3 2" xfId="27010" xr:uid="{00000000-0005-0000-0000-00007C690000}"/>
    <cellStyle name="표준 5 5 4 2 3 2 2" xfId="27011" xr:uid="{00000000-0005-0000-0000-00007D690000}"/>
    <cellStyle name="표준 5 5 4 2 3 2 2 2" xfId="27012" xr:uid="{00000000-0005-0000-0000-00007E690000}"/>
    <cellStyle name="표준 5 5 4 2 3 2 3" xfId="27013" xr:uid="{00000000-0005-0000-0000-00007F690000}"/>
    <cellStyle name="표준 5 5 4 2 3 3" xfId="27014" xr:uid="{00000000-0005-0000-0000-000080690000}"/>
    <cellStyle name="표준 5 5 4 2 3 3 2" xfId="27015" xr:uid="{00000000-0005-0000-0000-000081690000}"/>
    <cellStyle name="표준 5 5 4 2 3 4" xfId="27016" xr:uid="{00000000-0005-0000-0000-000082690000}"/>
    <cellStyle name="표준 5 5 4 2 4" xfId="27017" xr:uid="{00000000-0005-0000-0000-000083690000}"/>
    <cellStyle name="표준 5 5 4 2 4 2" xfId="27018" xr:uid="{00000000-0005-0000-0000-000084690000}"/>
    <cellStyle name="표준 5 5 4 2 4 2 2" xfId="27019" xr:uid="{00000000-0005-0000-0000-000085690000}"/>
    <cellStyle name="표준 5 5 4 2 4 3" xfId="27020" xr:uid="{00000000-0005-0000-0000-000086690000}"/>
    <cellStyle name="표준 5 5 4 2 5" xfId="27021" xr:uid="{00000000-0005-0000-0000-000087690000}"/>
    <cellStyle name="표준 5 5 4 2 5 2" xfId="27022" xr:uid="{00000000-0005-0000-0000-000088690000}"/>
    <cellStyle name="표준 5 5 4 2 6" xfId="27023" xr:uid="{00000000-0005-0000-0000-000089690000}"/>
    <cellStyle name="표준 5 5 4 3" xfId="27024" xr:uid="{00000000-0005-0000-0000-00008A690000}"/>
    <cellStyle name="표준 5 5 4 3 2" xfId="27025" xr:uid="{00000000-0005-0000-0000-00008B690000}"/>
    <cellStyle name="표준 5 5 4 3 2 2" xfId="27026" xr:uid="{00000000-0005-0000-0000-00008C690000}"/>
    <cellStyle name="표준 5 5 4 3 2 2 2" xfId="27027" xr:uid="{00000000-0005-0000-0000-00008D690000}"/>
    <cellStyle name="표준 5 5 4 3 2 2 2 2" xfId="27028" xr:uid="{00000000-0005-0000-0000-00008E690000}"/>
    <cellStyle name="표준 5 5 4 3 2 2 3" xfId="27029" xr:uid="{00000000-0005-0000-0000-00008F690000}"/>
    <cellStyle name="표준 5 5 4 3 2 3" xfId="27030" xr:uid="{00000000-0005-0000-0000-000090690000}"/>
    <cellStyle name="표준 5 5 4 3 2 3 2" xfId="27031" xr:uid="{00000000-0005-0000-0000-000091690000}"/>
    <cellStyle name="표준 5 5 4 3 2 4" xfId="27032" xr:uid="{00000000-0005-0000-0000-000092690000}"/>
    <cellStyle name="표준 5 5 4 3 3" xfId="27033" xr:uid="{00000000-0005-0000-0000-000093690000}"/>
    <cellStyle name="표준 5 5 4 3 3 2" xfId="27034" xr:uid="{00000000-0005-0000-0000-000094690000}"/>
    <cellStyle name="표준 5 5 4 3 3 2 2" xfId="27035" xr:uid="{00000000-0005-0000-0000-000095690000}"/>
    <cellStyle name="표준 5 5 4 3 3 3" xfId="27036" xr:uid="{00000000-0005-0000-0000-000096690000}"/>
    <cellStyle name="표준 5 5 4 3 4" xfId="27037" xr:uid="{00000000-0005-0000-0000-000097690000}"/>
    <cellStyle name="표준 5 5 4 3 4 2" xfId="27038" xr:uid="{00000000-0005-0000-0000-000098690000}"/>
    <cellStyle name="표준 5 5 4 3 5" xfId="27039" xr:uid="{00000000-0005-0000-0000-000099690000}"/>
    <cellStyle name="표준 5 5 4 4" xfId="27040" xr:uid="{00000000-0005-0000-0000-00009A690000}"/>
    <cellStyle name="표준 5 5 4 4 2" xfId="27041" xr:uid="{00000000-0005-0000-0000-00009B690000}"/>
    <cellStyle name="표준 5 5 4 4 2 2" xfId="27042" xr:uid="{00000000-0005-0000-0000-00009C690000}"/>
    <cellStyle name="표준 5 5 4 4 2 2 2" xfId="27043" xr:uid="{00000000-0005-0000-0000-00009D690000}"/>
    <cellStyle name="표준 5 5 4 4 2 3" xfId="27044" xr:uid="{00000000-0005-0000-0000-00009E690000}"/>
    <cellStyle name="표준 5 5 4 4 3" xfId="27045" xr:uid="{00000000-0005-0000-0000-00009F690000}"/>
    <cellStyle name="표준 5 5 4 4 3 2" xfId="27046" xr:uid="{00000000-0005-0000-0000-0000A0690000}"/>
    <cellStyle name="표준 5 5 4 4 4" xfId="27047" xr:uid="{00000000-0005-0000-0000-0000A1690000}"/>
    <cellStyle name="표준 5 5 4 5" xfId="27048" xr:uid="{00000000-0005-0000-0000-0000A2690000}"/>
    <cellStyle name="표준 5 5 4 5 2" xfId="27049" xr:uid="{00000000-0005-0000-0000-0000A3690000}"/>
    <cellStyle name="표준 5 5 4 5 2 2" xfId="27050" xr:uid="{00000000-0005-0000-0000-0000A4690000}"/>
    <cellStyle name="표준 5 5 4 5 3" xfId="27051" xr:uid="{00000000-0005-0000-0000-0000A5690000}"/>
    <cellStyle name="표준 5 5 4 6" xfId="27052" xr:uid="{00000000-0005-0000-0000-0000A6690000}"/>
    <cellStyle name="표준 5 5 4 6 2" xfId="27053" xr:uid="{00000000-0005-0000-0000-0000A7690000}"/>
    <cellStyle name="표준 5 5 4 7" xfId="27054" xr:uid="{00000000-0005-0000-0000-0000A8690000}"/>
    <cellStyle name="표준 5 5 4 8" xfId="27055" xr:uid="{00000000-0005-0000-0000-0000A9690000}"/>
    <cellStyle name="표준 5 5 5" xfId="27056" xr:uid="{00000000-0005-0000-0000-0000AA690000}"/>
    <cellStyle name="표준 5 5 5 2" xfId="27057" xr:uid="{00000000-0005-0000-0000-0000AB690000}"/>
    <cellStyle name="표준 5 5 5 2 2" xfId="27058" xr:uid="{00000000-0005-0000-0000-0000AC690000}"/>
    <cellStyle name="표준 5 5 5 2 2 2" xfId="27059" xr:uid="{00000000-0005-0000-0000-0000AD690000}"/>
    <cellStyle name="표준 5 5 5 2 2 2 2" xfId="27060" xr:uid="{00000000-0005-0000-0000-0000AE690000}"/>
    <cellStyle name="표준 5 5 5 2 2 2 2 2" xfId="27061" xr:uid="{00000000-0005-0000-0000-0000AF690000}"/>
    <cellStyle name="표준 5 5 5 2 2 2 3" xfId="27062" xr:uid="{00000000-0005-0000-0000-0000B0690000}"/>
    <cellStyle name="표준 5 5 5 2 2 3" xfId="27063" xr:uid="{00000000-0005-0000-0000-0000B1690000}"/>
    <cellStyle name="표준 5 5 5 2 2 3 2" xfId="27064" xr:uid="{00000000-0005-0000-0000-0000B2690000}"/>
    <cellStyle name="표준 5 5 5 2 2 4" xfId="27065" xr:uid="{00000000-0005-0000-0000-0000B3690000}"/>
    <cellStyle name="표준 5 5 5 2 3" xfId="27066" xr:uid="{00000000-0005-0000-0000-0000B4690000}"/>
    <cellStyle name="표준 5 5 5 2 3 2" xfId="27067" xr:uid="{00000000-0005-0000-0000-0000B5690000}"/>
    <cellStyle name="표준 5 5 5 2 3 2 2" xfId="27068" xr:uid="{00000000-0005-0000-0000-0000B6690000}"/>
    <cellStyle name="표준 5 5 5 2 3 3" xfId="27069" xr:uid="{00000000-0005-0000-0000-0000B7690000}"/>
    <cellStyle name="표준 5 5 5 2 4" xfId="27070" xr:uid="{00000000-0005-0000-0000-0000B8690000}"/>
    <cellStyle name="표준 5 5 5 2 4 2" xfId="27071" xr:uid="{00000000-0005-0000-0000-0000B9690000}"/>
    <cellStyle name="표준 5 5 5 2 5" xfId="27072" xr:uid="{00000000-0005-0000-0000-0000BA690000}"/>
    <cellStyle name="표준 5 5 5 3" xfId="27073" xr:uid="{00000000-0005-0000-0000-0000BB690000}"/>
    <cellStyle name="표준 5 5 5 3 2" xfId="27074" xr:uid="{00000000-0005-0000-0000-0000BC690000}"/>
    <cellStyle name="표준 5 5 5 3 2 2" xfId="27075" xr:uid="{00000000-0005-0000-0000-0000BD690000}"/>
    <cellStyle name="표준 5 5 5 3 2 2 2" xfId="27076" xr:uid="{00000000-0005-0000-0000-0000BE690000}"/>
    <cellStyle name="표준 5 5 5 3 2 3" xfId="27077" xr:uid="{00000000-0005-0000-0000-0000BF690000}"/>
    <cellStyle name="표준 5 5 5 3 3" xfId="27078" xr:uid="{00000000-0005-0000-0000-0000C0690000}"/>
    <cellStyle name="표준 5 5 5 3 3 2" xfId="27079" xr:uid="{00000000-0005-0000-0000-0000C1690000}"/>
    <cellStyle name="표준 5 5 5 3 4" xfId="27080" xr:uid="{00000000-0005-0000-0000-0000C2690000}"/>
    <cellStyle name="표준 5 5 5 4" xfId="27081" xr:uid="{00000000-0005-0000-0000-0000C3690000}"/>
    <cellStyle name="표준 5 5 5 4 2" xfId="27082" xr:uid="{00000000-0005-0000-0000-0000C4690000}"/>
    <cellStyle name="표준 5 5 5 4 2 2" xfId="27083" xr:uid="{00000000-0005-0000-0000-0000C5690000}"/>
    <cellStyle name="표준 5 5 5 4 3" xfId="27084" xr:uid="{00000000-0005-0000-0000-0000C6690000}"/>
    <cellStyle name="표준 5 5 5 5" xfId="27085" xr:uid="{00000000-0005-0000-0000-0000C7690000}"/>
    <cellStyle name="표준 5 5 5 5 2" xfId="27086" xr:uid="{00000000-0005-0000-0000-0000C8690000}"/>
    <cellStyle name="표준 5 5 5 6" xfId="27087" xr:uid="{00000000-0005-0000-0000-0000C9690000}"/>
    <cellStyle name="표준 5 5 6" xfId="27088" xr:uid="{00000000-0005-0000-0000-0000CA690000}"/>
    <cellStyle name="표준 5 5 6 2" xfId="27089" xr:uid="{00000000-0005-0000-0000-0000CB690000}"/>
    <cellStyle name="표준 5 5 6 2 2" xfId="27090" xr:uid="{00000000-0005-0000-0000-0000CC690000}"/>
    <cellStyle name="표준 5 5 6 2 2 2" xfId="27091" xr:uid="{00000000-0005-0000-0000-0000CD690000}"/>
    <cellStyle name="표준 5 5 6 2 2 2 2" xfId="27092" xr:uid="{00000000-0005-0000-0000-0000CE690000}"/>
    <cellStyle name="표준 5 5 6 2 2 3" xfId="27093" xr:uid="{00000000-0005-0000-0000-0000CF690000}"/>
    <cellStyle name="표준 5 5 6 2 3" xfId="27094" xr:uid="{00000000-0005-0000-0000-0000D0690000}"/>
    <cellStyle name="표준 5 5 6 2 3 2" xfId="27095" xr:uid="{00000000-0005-0000-0000-0000D1690000}"/>
    <cellStyle name="표준 5 5 6 2 4" xfId="27096" xr:uid="{00000000-0005-0000-0000-0000D2690000}"/>
    <cellStyle name="표준 5 5 6 3" xfId="27097" xr:uid="{00000000-0005-0000-0000-0000D3690000}"/>
    <cellStyle name="표준 5 5 6 3 2" xfId="27098" xr:uid="{00000000-0005-0000-0000-0000D4690000}"/>
    <cellStyle name="표준 5 5 6 3 2 2" xfId="27099" xr:uid="{00000000-0005-0000-0000-0000D5690000}"/>
    <cellStyle name="표준 5 5 6 3 3" xfId="27100" xr:uid="{00000000-0005-0000-0000-0000D6690000}"/>
    <cellStyle name="표준 5 5 6 4" xfId="27101" xr:uid="{00000000-0005-0000-0000-0000D7690000}"/>
    <cellStyle name="표준 5 5 6 4 2" xfId="27102" xr:uid="{00000000-0005-0000-0000-0000D8690000}"/>
    <cellStyle name="표준 5 5 6 5" xfId="27103" xr:uid="{00000000-0005-0000-0000-0000D9690000}"/>
    <cellStyle name="표준 5 5 7" xfId="27104" xr:uid="{00000000-0005-0000-0000-0000DA690000}"/>
    <cellStyle name="표준 5 5 7 2" xfId="27105" xr:uid="{00000000-0005-0000-0000-0000DB690000}"/>
    <cellStyle name="표준 5 5 7 2 2" xfId="27106" xr:uid="{00000000-0005-0000-0000-0000DC690000}"/>
    <cellStyle name="표준 5 5 7 2 2 2" xfId="27107" xr:uid="{00000000-0005-0000-0000-0000DD690000}"/>
    <cellStyle name="표준 5 5 7 2 3" xfId="27108" xr:uid="{00000000-0005-0000-0000-0000DE690000}"/>
    <cellStyle name="표준 5 5 7 3" xfId="27109" xr:uid="{00000000-0005-0000-0000-0000DF690000}"/>
    <cellStyle name="표준 5 5 7 3 2" xfId="27110" xr:uid="{00000000-0005-0000-0000-0000E0690000}"/>
    <cellStyle name="표준 5 5 7 4" xfId="27111" xr:uid="{00000000-0005-0000-0000-0000E1690000}"/>
    <cellStyle name="표준 5 5 8" xfId="27112" xr:uid="{00000000-0005-0000-0000-0000E2690000}"/>
    <cellStyle name="표준 5 5 8 2" xfId="27113" xr:uid="{00000000-0005-0000-0000-0000E3690000}"/>
    <cellStyle name="표준 5 5 8 2 2" xfId="27114" xr:uid="{00000000-0005-0000-0000-0000E4690000}"/>
    <cellStyle name="표준 5 5 8 3" xfId="27115" xr:uid="{00000000-0005-0000-0000-0000E5690000}"/>
    <cellStyle name="표준 5 5 9" xfId="27116" xr:uid="{00000000-0005-0000-0000-0000E6690000}"/>
    <cellStyle name="표준 5 5 9 2" xfId="27117" xr:uid="{00000000-0005-0000-0000-0000E7690000}"/>
    <cellStyle name="표준 5 6" xfId="27118" xr:uid="{00000000-0005-0000-0000-0000E8690000}"/>
    <cellStyle name="표준 5 6 10" xfId="27119" xr:uid="{00000000-0005-0000-0000-0000E9690000}"/>
    <cellStyle name="표준 5 6 2" xfId="27120" xr:uid="{00000000-0005-0000-0000-0000EA690000}"/>
    <cellStyle name="표준 5 6 2 2" xfId="27121" xr:uid="{00000000-0005-0000-0000-0000EB690000}"/>
    <cellStyle name="표준 5 6 2 2 2" xfId="27122" xr:uid="{00000000-0005-0000-0000-0000EC690000}"/>
    <cellStyle name="표준 5 6 2 2 2 2" xfId="27123" xr:uid="{00000000-0005-0000-0000-0000ED690000}"/>
    <cellStyle name="표준 5 6 2 2 2 2 2" xfId="27124" xr:uid="{00000000-0005-0000-0000-0000EE690000}"/>
    <cellStyle name="표준 5 6 2 2 2 2 2 2" xfId="27125" xr:uid="{00000000-0005-0000-0000-0000EF690000}"/>
    <cellStyle name="표준 5 6 2 2 2 2 2 2 2" xfId="27126" xr:uid="{00000000-0005-0000-0000-0000F0690000}"/>
    <cellStyle name="표준 5 6 2 2 2 2 2 2 2 2" xfId="27127" xr:uid="{00000000-0005-0000-0000-0000F1690000}"/>
    <cellStyle name="표준 5 6 2 2 2 2 2 2 3" xfId="27128" xr:uid="{00000000-0005-0000-0000-0000F2690000}"/>
    <cellStyle name="표준 5 6 2 2 2 2 2 3" xfId="27129" xr:uid="{00000000-0005-0000-0000-0000F3690000}"/>
    <cellStyle name="표준 5 6 2 2 2 2 2 3 2" xfId="27130" xr:uid="{00000000-0005-0000-0000-0000F4690000}"/>
    <cellStyle name="표준 5 6 2 2 2 2 2 4" xfId="27131" xr:uid="{00000000-0005-0000-0000-0000F5690000}"/>
    <cellStyle name="표준 5 6 2 2 2 2 3" xfId="27132" xr:uid="{00000000-0005-0000-0000-0000F6690000}"/>
    <cellStyle name="표준 5 6 2 2 2 2 3 2" xfId="27133" xr:uid="{00000000-0005-0000-0000-0000F7690000}"/>
    <cellStyle name="표준 5 6 2 2 2 2 3 2 2" xfId="27134" xr:uid="{00000000-0005-0000-0000-0000F8690000}"/>
    <cellStyle name="표준 5 6 2 2 2 2 3 3" xfId="27135" xr:uid="{00000000-0005-0000-0000-0000F9690000}"/>
    <cellStyle name="표준 5 6 2 2 2 2 4" xfId="27136" xr:uid="{00000000-0005-0000-0000-0000FA690000}"/>
    <cellStyle name="표준 5 6 2 2 2 2 4 2" xfId="27137" xr:uid="{00000000-0005-0000-0000-0000FB690000}"/>
    <cellStyle name="표준 5 6 2 2 2 2 5" xfId="27138" xr:uid="{00000000-0005-0000-0000-0000FC690000}"/>
    <cellStyle name="표준 5 6 2 2 2 3" xfId="27139" xr:uid="{00000000-0005-0000-0000-0000FD690000}"/>
    <cellStyle name="표준 5 6 2 2 2 3 2" xfId="27140" xr:uid="{00000000-0005-0000-0000-0000FE690000}"/>
    <cellStyle name="표준 5 6 2 2 2 3 2 2" xfId="27141" xr:uid="{00000000-0005-0000-0000-0000FF690000}"/>
    <cellStyle name="표준 5 6 2 2 2 3 2 2 2" xfId="27142" xr:uid="{00000000-0005-0000-0000-0000006A0000}"/>
    <cellStyle name="표준 5 6 2 2 2 3 2 3" xfId="27143" xr:uid="{00000000-0005-0000-0000-0000016A0000}"/>
    <cellStyle name="표준 5 6 2 2 2 3 3" xfId="27144" xr:uid="{00000000-0005-0000-0000-0000026A0000}"/>
    <cellStyle name="표준 5 6 2 2 2 3 3 2" xfId="27145" xr:uid="{00000000-0005-0000-0000-0000036A0000}"/>
    <cellStyle name="표준 5 6 2 2 2 3 4" xfId="27146" xr:uid="{00000000-0005-0000-0000-0000046A0000}"/>
    <cellStyle name="표준 5 6 2 2 2 4" xfId="27147" xr:uid="{00000000-0005-0000-0000-0000056A0000}"/>
    <cellStyle name="표준 5 6 2 2 2 4 2" xfId="27148" xr:uid="{00000000-0005-0000-0000-0000066A0000}"/>
    <cellStyle name="표준 5 6 2 2 2 4 2 2" xfId="27149" xr:uid="{00000000-0005-0000-0000-0000076A0000}"/>
    <cellStyle name="표준 5 6 2 2 2 4 3" xfId="27150" xr:uid="{00000000-0005-0000-0000-0000086A0000}"/>
    <cellStyle name="표준 5 6 2 2 2 5" xfId="27151" xr:uid="{00000000-0005-0000-0000-0000096A0000}"/>
    <cellStyle name="표준 5 6 2 2 2 5 2" xfId="27152" xr:uid="{00000000-0005-0000-0000-00000A6A0000}"/>
    <cellStyle name="표준 5 6 2 2 2 6" xfId="27153" xr:uid="{00000000-0005-0000-0000-00000B6A0000}"/>
    <cellStyle name="표준 5 6 2 2 3" xfId="27154" xr:uid="{00000000-0005-0000-0000-00000C6A0000}"/>
    <cellStyle name="표준 5 6 2 2 3 2" xfId="27155" xr:uid="{00000000-0005-0000-0000-00000D6A0000}"/>
    <cellStyle name="표준 5 6 2 2 3 2 2" xfId="27156" xr:uid="{00000000-0005-0000-0000-00000E6A0000}"/>
    <cellStyle name="표준 5 6 2 2 3 2 2 2" xfId="27157" xr:uid="{00000000-0005-0000-0000-00000F6A0000}"/>
    <cellStyle name="표준 5 6 2 2 3 2 2 2 2" xfId="27158" xr:uid="{00000000-0005-0000-0000-0000106A0000}"/>
    <cellStyle name="표준 5 6 2 2 3 2 2 3" xfId="27159" xr:uid="{00000000-0005-0000-0000-0000116A0000}"/>
    <cellStyle name="표준 5 6 2 2 3 2 3" xfId="27160" xr:uid="{00000000-0005-0000-0000-0000126A0000}"/>
    <cellStyle name="표준 5 6 2 2 3 2 3 2" xfId="27161" xr:uid="{00000000-0005-0000-0000-0000136A0000}"/>
    <cellStyle name="표준 5 6 2 2 3 2 4" xfId="27162" xr:uid="{00000000-0005-0000-0000-0000146A0000}"/>
    <cellStyle name="표준 5 6 2 2 3 3" xfId="27163" xr:uid="{00000000-0005-0000-0000-0000156A0000}"/>
    <cellStyle name="표준 5 6 2 2 3 3 2" xfId="27164" xr:uid="{00000000-0005-0000-0000-0000166A0000}"/>
    <cellStyle name="표준 5 6 2 2 3 3 2 2" xfId="27165" xr:uid="{00000000-0005-0000-0000-0000176A0000}"/>
    <cellStyle name="표준 5 6 2 2 3 3 3" xfId="27166" xr:uid="{00000000-0005-0000-0000-0000186A0000}"/>
    <cellStyle name="표준 5 6 2 2 3 4" xfId="27167" xr:uid="{00000000-0005-0000-0000-0000196A0000}"/>
    <cellStyle name="표준 5 6 2 2 3 4 2" xfId="27168" xr:uid="{00000000-0005-0000-0000-00001A6A0000}"/>
    <cellStyle name="표준 5 6 2 2 3 5" xfId="27169" xr:uid="{00000000-0005-0000-0000-00001B6A0000}"/>
    <cellStyle name="표준 5 6 2 2 4" xfId="27170" xr:uid="{00000000-0005-0000-0000-00001C6A0000}"/>
    <cellStyle name="표준 5 6 2 2 4 2" xfId="27171" xr:uid="{00000000-0005-0000-0000-00001D6A0000}"/>
    <cellStyle name="표준 5 6 2 2 4 2 2" xfId="27172" xr:uid="{00000000-0005-0000-0000-00001E6A0000}"/>
    <cellStyle name="표준 5 6 2 2 4 2 2 2" xfId="27173" xr:uid="{00000000-0005-0000-0000-00001F6A0000}"/>
    <cellStyle name="표준 5 6 2 2 4 2 3" xfId="27174" xr:uid="{00000000-0005-0000-0000-0000206A0000}"/>
    <cellStyle name="표준 5 6 2 2 4 3" xfId="27175" xr:uid="{00000000-0005-0000-0000-0000216A0000}"/>
    <cellStyle name="표준 5 6 2 2 4 3 2" xfId="27176" xr:uid="{00000000-0005-0000-0000-0000226A0000}"/>
    <cellStyle name="표준 5 6 2 2 4 4" xfId="27177" xr:uid="{00000000-0005-0000-0000-0000236A0000}"/>
    <cellStyle name="표준 5 6 2 2 5" xfId="27178" xr:uid="{00000000-0005-0000-0000-0000246A0000}"/>
    <cellStyle name="표준 5 6 2 2 5 2" xfId="27179" xr:uid="{00000000-0005-0000-0000-0000256A0000}"/>
    <cellStyle name="표준 5 6 2 2 5 2 2" xfId="27180" xr:uid="{00000000-0005-0000-0000-0000266A0000}"/>
    <cellStyle name="표준 5 6 2 2 5 3" xfId="27181" xr:uid="{00000000-0005-0000-0000-0000276A0000}"/>
    <cellStyle name="표준 5 6 2 2 6" xfId="27182" xr:uid="{00000000-0005-0000-0000-0000286A0000}"/>
    <cellStyle name="표준 5 6 2 2 6 2" xfId="27183" xr:uid="{00000000-0005-0000-0000-0000296A0000}"/>
    <cellStyle name="표준 5 6 2 2 7" xfId="27184" xr:uid="{00000000-0005-0000-0000-00002A6A0000}"/>
    <cellStyle name="표준 5 6 2 2 8" xfId="27185" xr:uid="{00000000-0005-0000-0000-00002B6A0000}"/>
    <cellStyle name="표준 5 6 2 3" xfId="27186" xr:uid="{00000000-0005-0000-0000-00002C6A0000}"/>
    <cellStyle name="표준 5 6 2 3 2" xfId="27187" xr:uid="{00000000-0005-0000-0000-00002D6A0000}"/>
    <cellStyle name="표준 5 6 2 3 2 2" xfId="27188" xr:uid="{00000000-0005-0000-0000-00002E6A0000}"/>
    <cellStyle name="표준 5 6 2 3 2 2 2" xfId="27189" xr:uid="{00000000-0005-0000-0000-00002F6A0000}"/>
    <cellStyle name="표준 5 6 2 3 2 2 2 2" xfId="27190" xr:uid="{00000000-0005-0000-0000-0000306A0000}"/>
    <cellStyle name="표준 5 6 2 3 2 2 2 2 2" xfId="27191" xr:uid="{00000000-0005-0000-0000-0000316A0000}"/>
    <cellStyle name="표준 5 6 2 3 2 2 2 3" xfId="27192" xr:uid="{00000000-0005-0000-0000-0000326A0000}"/>
    <cellStyle name="표준 5 6 2 3 2 2 3" xfId="27193" xr:uid="{00000000-0005-0000-0000-0000336A0000}"/>
    <cellStyle name="표준 5 6 2 3 2 2 3 2" xfId="27194" xr:uid="{00000000-0005-0000-0000-0000346A0000}"/>
    <cellStyle name="표준 5 6 2 3 2 2 4" xfId="27195" xr:uid="{00000000-0005-0000-0000-0000356A0000}"/>
    <cellStyle name="표준 5 6 2 3 2 3" xfId="27196" xr:uid="{00000000-0005-0000-0000-0000366A0000}"/>
    <cellStyle name="표준 5 6 2 3 2 3 2" xfId="27197" xr:uid="{00000000-0005-0000-0000-0000376A0000}"/>
    <cellStyle name="표준 5 6 2 3 2 3 2 2" xfId="27198" xr:uid="{00000000-0005-0000-0000-0000386A0000}"/>
    <cellStyle name="표준 5 6 2 3 2 3 3" xfId="27199" xr:uid="{00000000-0005-0000-0000-0000396A0000}"/>
    <cellStyle name="표준 5 6 2 3 2 4" xfId="27200" xr:uid="{00000000-0005-0000-0000-00003A6A0000}"/>
    <cellStyle name="표준 5 6 2 3 2 4 2" xfId="27201" xr:uid="{00000000-0005-0000-0000-00003B6A0000}"/>
    <cellStyle name="표준 5 6 2 3 2 5" xfId="27202" xr:uid="{00000000-0005-0000-0000-00003C6A0000}"/>
    <cellStyle name="표준 5 6 2 3 3" xfId="27203" xr:uid="{00000000-0005-0000-0000-00003D6A0000}"/>
    <cellStyle name="표준 5 6 2 3 3 2" xfId="27204" xr:uid="{00000000-0005-0000-0000-00003E6A0000}"/>
    <cellStyle name="표준 5 6 2 3 3 2 2" xfId="27205" xr:uid="{00000000-0005-0000-0000-00003F6A0000}"/>
    <cellStyle name="표준 5 6 2 3 3 2 2 2" xfId="27206" xr:uid="{00000000-0005-0000-0000-0000406A0000}"/>
    <cellStyle name="표준 5 6 2 3 3 2 3" xfId="27207" xr:uid="{00000000-0005-0000-0000-0000416A0000}"/>
    <cellStyle name="표준 5 6 2 3 3 3" xfId="27208" xr:uid="{00000000-0005-0000-0000-0000426A0000}"/>
    <cellStyle name="표준 5 6 2 3 3 3 2" xfId="27209" xr:uid="{00000000-0005-0000-0000-0000436A0000}"/>
    <cellStyle name="표준 5 6 2 3 3 4" xfId="27210" xr:uid="{00000000-0005-0000-0000-0000446A0000}"/>
    <cellStyle name="표준 5 6 2 3 4" xfId="27211" xr:uid="{00000000-0005-0000-0000-0000456A0000}"/>
    <cellStyle name="표준 5 6 2 3 4 2" xfId="27212" xr:uid="{00000000-0005-0000-0000-0000466A0000}"/>
    <cellStyle name="표준 5 6 2 3 4 2 2" xfId="27213" xr:uid="{00000000-0005-0000-0000-0000476A0000}"/>
    <cellStyle name="표준 5 6 2 3 4 3" xfId="27214" xr:uid="{00000000-0005-0000-0000-0000486A0000}"/>
    <cellStyle name="표준 5 6 2 3 5" xfId="27215" xr:uid="{00000000-0005-0000-0000-0000496A0000}"/>
    <cellStyle name="표준 5 6 2 3 5 2" xfId="27216" xr:uid="{00000000-0005-0000-0000-00004A6A0000}"/>
    <cellStyle name="표준 5 6 2 3 6" xfId="27217" xr:uid="{00000000-0005-0000-0000-00004B6A0000}"/>
    <cellStyle name="표준 5 6 2 4" xfId="27218" xr:uid="{00000000-0005-0000-0000-00004C6A0000}"/>
    <cellStyle name="표준 5 6 2 4 2" xfId="27219" xr:uid="{00000000-0005-0000-0000-00004D6A0000}"/>
    <cellStyle name="표준 5 6 2 4 2 2" xfId="27220" xr:uid="{00000000-0005-0000-0000-00004E6A0000}"/>
    <cellStyle name="표준 5 6 2 4 2 2 2" xfId="27221" xr:uid="{00000000-0005-0000-0000-00004F6A0000}"/>
    <cellStyle name="표준 5 6 2 4 2 2 2 2" xfId="27222" xr:uid="{00000000-0005-0000-0000-0000506A0000}"/>
    <cellStyle name="표준 5 6 2 4 2 2 3" xfId="27223" xr:uid="{00000000-0005-0000-0000-0000516A0000}"/>
    <cellStyle name="표준 5 6 2 4 2 3" xfId="27224" xr:uid="{00000000-0005-0000-0000-0000526A0000}"/>
    <cellStyle name="표준 5 6 2 4 2 3 2" xfId="27225" xr:uid="{00000000-0005-0000-0000-0000536A0000}"/>
    <cellStyle name="표준 5 6 2 4 2 4" xfId="27226" xr:uid="{00000000-0005-0000-0000-0000546A0000}"/>
    <cellStyle name="표준 5 6 2 4 3" xfId="27227" xr:uid="{00000000-0005-0000-0000-0000556A0000}"/>
    <cellStyle name="표준 5 6 2 4 3 2" xfId="27228" xr:uid="{00000000-0005-0000-0000-0000566A0000}"/>
    <cellStyle name="표준 5 6 2 4 3 2 2" xfId="27229" xr:uid="{00000000-0005-0000-0000-0000576A0000}"/>
    <cellStyle name="표준 5 6 2 4 3 3" xfId="27230" xr:uid="{00000000-0005-0000-0000-0000586A0000}"/>
    <cellStyle name="표준 5 6 2 4 4" xfId="27231" xr:uid="{00000000-0005-0000-0000-0000596A0000}"/>
    <cellStyle name="표준 5 6 2 4 4 2" xfId="27232" xr:uid="{00000000-0005-0000-0000-00005A6A0000}"/>
    <cellStyle name="표준 5 6 2 4 5" xfId="27233" xr:uid="{00000000-0005-0000-0000-00005B6A0000}"/>
    <cellStyle name="표준 5 6 2 5" xfId="27234" xr:uid="{00000000-0005-0000-0000-00005C6A0000}"/>
    <cellStyle name="표준 5 6 2 5 2" xfId="27235" xr:uid="{00000000-0005-0000-0000-00005D6A0000}"/>
    <cellStyle name="표준 5 6 2 5 2 2" xfId="27236" xr:uid="{00000000-0005-0000-0000-00005E6A0000}"/>
    <cellStyle name="표준 5 6 2 5 2 2 2" xfId="27237" xr:uid="{00000000-0005-0000-0000-00005F6A0000}"/>
    <cellStyle name="표준 5 6 2 5 2 3" xfId="27238" xr:uid="{00000000-0005-0000-0000-0000606A0000}"/>
    <cellStyle name="표준 5 6 2 5 3" xfId="27239" xr:uid="{00000000-0005-0000-0000-0000616A0000}"/>
    <cellStyle name="표준 5 6 2 5 3 2" xfId="27240" xr:uid="{00000000-0005-0000-0000-0000626A0000}"/>
    <cellStyle name="표준 5 6 2 5 4" xfId="27241" xr:uid="{00000000-0005-0000-0000-0000636A0000}"/>
    <cellStyle name="표준 5 6 2 6" xfId="27242" xr:uid="{00000000-0005-0000-0000-0000646A0000}"/>
    <cellStyle name="표준 5 6 2 6 2" xfId="27243" xr:uid="{00000000-0005-0000-0000-0000656A0000}"/>
    <cellStyle name="표준 5 6 2 6 2 2" xfId="27244" xr:uid="{00000000-0005-0000-0000-0000666A0000}"/>
    <cellStyle name="표준 5 6 2 6 3" xfId="27245" xr:uid="{00000000-0005-0000-0000-0000676A0000}"/>
    <cellStyle name="표준 5 6 2 7" xfId="27246" xr:uid="{00000000-0005-0000-0000-0000686A0000}"/>
    <cellStyle name="표준 5 6 2 7 2" xfId="27247" xr:uid="{00000000-0005-0000-0000-0000696A0000}"/>
    <cellStyle name="표준 5 6 2 8" xfId="27248" xr:uid="{00000000-0005-0000-0000-00006A6A0000}"/>
    <cellStyle name="표준 5 6 2 9" xfId="27249" xr:uid="{00000000-0005-0000-0000-00006B6A0000}"/>
    <cellStyle name="표준 5 6 3" xfId="27250" xr:uid="{00000000-0005-0000-0000-00006C6A0000}"/>
    <cellStyle name="표준 5 6 3 2" xfId="27251" xr:uid="{00000000-0005-0000-0000-00006D6A0000}"/>
    <cellStyle name="표준 5 6 3 2 2" xfId="27252" xr:uid="{00000000-0005-0000-0000-00006E6A0000}"/>
    <cellStyle name="표준 5 6 3 2 2 2" xfId="27253" xr:uid="{00000000-0005-0000-0000-00006F6A0000}"/>
    <cellStyle name="표준 5 6 3 2 2 2 2" xfId="27254" xr:uid="{00000000-0005-0000-0000-0000706A0000}"/>
    <cellStyle name="표준 5 6 3 2 2 2 2 2" xfId="27255" xr:uid="{00000000-0005-0000-0000-0000716A0000}"/>
    <cellStyle name="표준 5 6 3 2 2 2 2 2 2" xfId="27256" xr:uid="{00000000-0005-0000-0000-0000726A0000}"/>
    <cellStyle name="표준 5 6 3 2 2 2 2 3" xfId="27257" xr:uid="{00000000-0005-0000-0000-0000736A0000}"/>
    <cellStyle name="표준 5 6 3 2 2 2 3" xfId="27258" xr:uid="{00000000-0005-0000-0000-0000746A0000}"/>
    <cellStyle name="표준 5 6 3 2 2 2 3 2" xfId="27259" xr:uid="{00000000-0005-0000-0000-0000756A0000}"/>
    <cellStyle name="표준 5 6 3 2 2 2 4" xfId="27260" xr:uid="{00000000-0005-0000-0000-0000766A0000}"/>
    <cellStyle name="표준 5 6 3 2 2 3" xfId="27261" xr:uid="{00000000-0005-0000-0000-0000776A0000}"/>
    <cellStyle name="표준 5 6 3 2 2 3 2" xfId="27262" xr:uid="{00000000-0005-0000-0000-0000786A0000}"/>
    <cellStyle name="표준 5 6 3 2 2 3 2 2" xfId="27263" xr:uid="{00000000-0005-0000-0000-0000796A0000}"/>
    <cellStyle name="표준 5 6 3 2 2 3 3" xfId="27264" xr:uid="{00000000-0005-0000-0000-00007A6A0000}"/>
    <cellStyle name="표준 5 6 3 2 2 4" xfId="27265" xr:uid="{00000000-0005-0000-0000-00007B6A0000}"/>
    <cellStyle name="표준 5 6 3 2 2 4 2" xfId="27266" xr:uid="{00000000-0005-0000-0000-00007C6A0000}"/>
    <cellStyle name="표준 5 6 3 2 2 5" xfId="27267" xr:uid="{00000000-0005-0000-0000-00007D6A0000}"/>
    <cellStyle name="표준 5 6 3 2 3" xfId="27268" xr:uid="{00000000-0005-0000-0000-00007E6A0000}"/>
    <cellStyle name="표준 5 6 3 2 3 2" xfId="27269" xr:uid="{00000000-0005-0000-0000-00007F6A0000}"/>
    <cellStyle name="표준 5 6 3 2 3 2 2" xfId="27270" xr:uid="{00000000-0005-0000-0000-0000806A0000}"/>
    <cellStyle name="표준 5 6 3 2 3 2 2 2" xfId="27271" xr:uid="{00000000-0005-0000-0000-0000816A0000}"/>
    <cellStyle name="표준 5 6 3 2 3 2 3" xfId="27272" xr:uid="{00000000-0005-0000-0000-0000826A0000}"/>
    <cellStyle name="표준 5 6 3 2 3 3" xfId="27273" xr:uid="{00000000-0005-0000-0000-0000836A0000}"/>
    <cellStyle name="표준 5 6 3 2 3 3 2" xfId="27274" xr:uid="{00000000-0005-0000-0000-0000846A0000}"/>
    <cellStyle name="표준 5 6 3 2 3 4" xfId="27275" xr:uid="{00000000-0005-0000-0000-0000856A0000}"/>
    <cellStyle name="표준 5 6 3 2 4" xfId="27276" xr:uid="{00000000-0005-0000-0000-0000866A0000}"/>
    <cellStyle name="표준 5 6 3 2 4 2" xfId="27277" xr:uid="{00000000-0005-0000-0000-0000876A0000}"/>
    <cellStyle name="표준 5 6 3 2 4 2 2" xfId="27278" xr:uid="{00000000-0005-0000-0000-0000886A0000}"/>
    <cellStyle name="표준 5 6 3 2 4 3" xfId="27279" xr:uid="{00000000-0005-0000-0000-0000896A0000}"/>
    <cellStyle name="표준 5 6 3 2 5" xfId="27280" xr:uid="{00000000-0005-0000-0000-00008A6A0000}"/>
    <cellStyle name="표준 5 6 3 2 5 2" xfId="27281" xr:uid="{00000000-0005-0000-0000-00008B6A0000}"/>
    <cellStyle name="표준 5 6 3 2 6" xfId="27282" xr:uid="{00000000-0005-0000-0000-00008C6A0000}"/>
    <cellStyle name="표준 5 6 3 3" xfId="27283" xr:uid="{00000000-0005-0000-0000-00008D6A0000}"/>
    <cellStyle name="표준 5 6 3 3 2" xfId="27284" xr:uid="{00000000-0005-0000-0000-00008E6A0000}"/>
    <cellStyle name="표준 5 6 3 3 2 2" xfId="27285" xr:uid="{00000000-0005-0000-0000-00008F6A0000}"/>
    <cellStyle name="표준 5 6 3 3 2 2 2" xfId="27286" xr:uid="{00000000-0005-0000-0000-0000906A0000}"/>
    <cellStyle name="표준 5 6 3 3 2 2 2 2" xfId="27287" xr:uid="{00000000-0005-0000-0000-0000916A0000}"/>
    <cellStyle name="표준 5 6 3 3 2 2 3" xfId="27288" xr:uid="{00000000-0005-0000-0000-0000926A0000}"/>
    <cellStyle name="표준 5 6 3 3 2 3" xfId="27289" xr:uid="{00000000-0005-0000-0000-0000936A0000}"/>
    <cellStyle name="표준 5 6 3 3 2 3 2" xfId="27290" xr:uid="{00000000-0005-0000-0000-0000946A0000}"/>
    <cellStyle name="표준 5 6 3 3 2 4" xfId="27291" xr:uid="{00000000-0005-0000-0000-0000956A0000}"/>
    <cellStyle name="표준 5 6 3 3 3" xfId="27292" xr:uid="{00000000-0005-0000-0000-0000966A0000}"/>
    <cellStyle name="표준 5 6 3 3 3 2" xfId="27293" xr:uid="{00000000-0005-0000-0000-0000976A0000}"/>
    <cellStyle name="표준 5 6 3 3 3 2 2" xfId="27294" xr:uid="{00000000-0005-0000-0000-0000986A0000}"/>
    <cellStyle name="표준 5 6 3 3 3 3" xfId="27295" xr:uid="{00000000-0005-0000-0000-0000996A0000}"/>
    <cellStyle name="표준 5 6 3 3 4" xfId="27296" xr:uid="{00000000-0005-0000-0000-00009A6A0000}"/>
    <cellStyle name="표준 5 6 3 3 4 2" xfId="27297" xr:uid="{00000000-0005-0000-0000-00009B6A0000}"/>
    <cellStyle name="표준 5 6 3 3 5" xfId="27298" xr:uid="{00000000-0005-0000-0000-00009C6A0000}"/>
    <cellStyle name="표준 5 6 3 4" xfId="27299" xr:uid="{00000000-0005-0000-0000-00009D6A0000}"/>
    <cellStyle name="표준 5 6 3 4 2" xfId="27300" xr:uid="{00000000-0005-0000-0000-00009E6A0000}"/>
    <cellStyle name="표준 5 6 3 4 2 2" xfId="27301" xr:uid="{00000000-0005-0000-0000-00009F6A0000}"/>
    <cellStyle name="표준 5 6 3 4 2 2 2" xfId="27302" xr:uid="{00000000-0005-0000-0000-0000A06A0000}"/>
    <cellStyle name="표준 5 6 3 4 2 3" xfId="27303" xr:uid="{00000000-0005-0000-0000-0000A16A0000}"/>
    <cellStyle name="표준 5 6 3 4 3" xfId="27304" xr:uid="{00000000-0005-0000-0000-0000A26A0000}"/>
    <cellStyle name="표준 5 6 3 4 3 2" xfId="27305" xr:uid="{00000000-0005-0000-0000-0000A36A0000}"/>
    <cellStyle name="표준 5 6 3 4 4" xfId="27306" xr:uid="{00000000-0005-0000-0000-0000A46A0000}"/>
    <cellStyle name="표준 5 6 3 5" xfId="27307" xr:uid="{00000000-0005-0000-0000-0000A56A0000}"/>
    <cellStyle name="표준 5 6 3 5 2" xfId="27308" xr:uid="{00000000-0005-0000-0000-0000A66A0000}"/>
    <cellStyle name="표준 5 6 3 5 2 2" xfId="27309" xr:uid="{00000000-0005-0000-0000-0000A76A0000}"/>
    <cellStyle name="표준 5 6 3 5 3" xfId="27310" xr:uid="{00000000-0005-0000-0000-0000A86A0000}"/>
    <cellStyle name="표준 5 6 3 6" xfId="27311" xr:uid="{00000000-0005-0000-0000-0000A96A0000}"/>
    <cellStyle name="표준 5 6 3 6 2" xfId="27312" xr:uid="{00000000-0005-0000-0000-0000AA6A0000}"/>
    <cellStyle name="표준 5 6 3 7" xfId="27313" xr:uid="{00000000-0005-0000-0000-0000AB6A0000}"/>
    <cellStyle name="표준 5 6 3 8" xfId="27314" xr:uid="{00000000-0005-0000-0000-0000AC6A0000}"/>
    <cellStyle name="표준 5 6 4" xfId="27315" xr:uid="{00000000-0005-0000-0000-0000AD6A0000}"/>
    <cellStyle name="표준 5 6 4 2" xfId="27316" xr:uid="{00000000-0005-0000-0000-0000AE6A0000}"/>
    <cellStyle name="표준 5 6 4 2 2" xfId="27317" xr:uid="{00000000-0005-0000-0000-0000AF6A0000}"/>
    <cellStyle name="표준 5 6 4 2 2 2" xfId="27318" xr:uid="{00000000-0005-0000-0000-0000B06A0000}"/>
    <cellStyle name="표준 5 6 4 2 2 2 2" xfId="27319" xr:uid="{00000000-0005-0000-0000-0000B16A0000}"/>
    <cellStyle name="표준 5 6 4 2 2 2 2 2" xfId="27320" xr:uid="{00000000-0005-0000-0000-0000B26A0000}"/>
    <cellStyle name="표준 5 6 4 2 2 2 3" xfId="27321" xr:uid="{00000000-0005-0000-0000-0000B36A0000}"/>
    <cellStyle name="표준 5 6 4 2 2 3" xfId="27322" xr:uid="{00000000-0005-0000-0000-0000B46A0000}"/>
    <cellStyle name="표준 5 6 4 2 2 3 2" xfId="27323" xr:uid="{00000000-0005-0000-0000-0000B56A0000}"/>
    <cellStyle name="표준 5 6 4 2 2 4" xfId="27324" xr:uid="{00000000-0005-0000-0000-0000B66A0000}"/>
    <cellStyle name="표준 5 6 4 2 3" xfId="27325" xr:uid="{00000000-0005-0000-0000-0000B76A0000}"/>
    <cellStyle name="표준 5 6 4 2 3 2" xfId="27326" xr:uid="{00000000-0005-0000-0000-0000B86A0000}"/>
    <cellStyle name="표준 5 6 4 2 3 2 2" xfId="27327" xr:uid="{00000000-0005-0000-0000-0000B96A0000}"/>
    <cellStyle name="표준 5 6 4 2 3 3" xfId="27328" xr:uid="{00000000-0005-0000-0000-0000BA6A0000}"/>
    <cellStyle name="표준 5 6 4 2 4" xfId="27329" xr:uid="{00000000-0005-0000-0000-0000BB6A0000}"/>
    <cellStyle name="표준 5 6 4 2 4 2" xfId="27330" xr:uid="{00000000-0005-0000-0000-0000BC6A0000}"/>
    <cellStyle name="표준 5 6 4 2 5" xfId="27331" xr:uid="{00000000-0005-0000-0000-0000BD6A0000}"/>
    <cellStyle name="표준 5 6 4 3" xfId="27332" xr:uid="{00000000-0005-0000-0000-0000BE6A0000}"/>
    <cellStyle name="표준 5 6 4 3 2" xfId="27333" xr:uid="{00000000-0005-0000-0000-0000BF6A0000}"/>
    <cellStyle name="표준 5 6 4 3 2 2" xfId="27334" xr:uid="{00000000-0005-0000-0000-0000C06A0000}"/>
    <cellStyle name="표준 5 6 4 3 2 2 2" xfId="27335" xr:uid="{00000000-0005-0000-0000-0000C16A0000}"/>
    <cellStyle name="표준 5 6 4 3 2 3" xfId="27336" xr:uid="{00000000-0005-0000-0000-0000C26A0000}"/>
    <cellStyle name="표준 5 6 4 3 3" xfId="27337" xr:uid="{00000000-0005-0000-0000-0000C36A0000}"/>
    <cellStyle name="표준 5 6 4 3 3 2" xfId="27338" xr:uid="{00000000-0005-0000-0000-0000C46A0000}"/>
    <cellStyle name="표준 5 6 4 3 4" xfId="27339" xr:uid="{00000000-0005-0000-0000-0000C56A0000}"/>
    <cellStyle name="표준 5 6 4 4" xfId="27340" xr:uid="{00000000-0005-0000-0000-0000C66A0000}"/>
    <cellStyle name="표준 5 6 4 4 2" xfId="27341" xr:uid="{00000000-0005-0000-0000-0000C76A0000}"/>
    <cellStyle name="표준 5 6 4 4 2 2" xfId="27342" xr:uid="{00000000-0005-0000-0000-0000C86A0000}"/>
    <cellStyle name="표준 5 6 4 4 3" xfId="27343" xr:uid="{00000000-0005-0000-0000-0000C96A0000}"/>
    <cellStyle name="표준 5 6 4 5" xfId="27344" xr:uid="{00000000-0005-0000-0000-0000CA6A0000}"/>
    <cellStyle name="표준 5 6 4 5 2" xfId="27345" xr:uid="{00000000-0005-0000-0000-0000CB6A0000}"/>
    <cellStyle name="표준 5 6 4 6" xfId="27346" xr:uid="{00000000-0005-0000-0000-0000CC6A0000}"/>
    <cellStyle name="표준 5 6 5" xfId="27347" xr:uid="{00000000-0005-0000-0000-0000CD6A0000}"/>
    <cellStyle name="표준 5 6 5 2" xfId="27348" xr:uid="{00000000-0005-0000-0000-0000CE6A0000}"/>
    <cellStyle name="표준 5 6 5 2 2" xfId="27349" xr:uid="{00000000-0005-0000-0000-0000CF6A0000}"/>
    <cellStyle name="표준 5 6 5 2 2 2" xfId="27350" xr:uid="{00000000-0005-0000-0000-0000D06A0000}"/>
    <cellStyle name="표준 5 6 5 2 2 2 2" xfId="27351" xr:uid="{00000000-0005-0000-0000-0000D16A0000}"/>
    <cellStyle name="표준 5 6 5 2 2 3" xfId="27352" xr:uid="{00000000-0005-0000-0000-0000D26A0000}"/>
    <cellStyle name="표준 5 6 5 2 3" xfId="27353" xr:uid="{00000000-0005-0000-0000-0000D36A0000}"/>
    <cellStyle name="표준 5 6 5 2 3 2" xfId="27354" xr:uid="{00000000-0005-0000-0000-0000D46A0000}"/>
    <cellStyle name="표준 5 6 5 2 4" xfId="27355" xr:uid="{00000000-0005-0000-0000-0000D56A0000}"/>
    <cellStyle name="표준 5 6 5 3" xfId="27356" xr:uid="{00000000-0005-0000-0000-0000D66A0000}"/>
    <cellStyle name="표준 5 6 5 3 2" xfId="27357" xr:uid="{00000000-0005-0000-0000-0000D76A0000}"/>
    <cellStyle name="표준 5 6 5 3 2 2" xfId="27358" xr:uid="{00000000-0005-0000-0000-0000D86A0000}"/>
    <cellStyle name="표준 5 6 5 3 3" xfId="27359" xr:uid="{00000000-0005-0000-0000-0000D96A0000}"/>
    <cellStyle name="표준 5 6 5 4" xfId="27360" xr:uid="{00000000-0005-0000-0000-0000DA6A0000}"/>
    <cellStyle name="표준 5 6 5 4 2" xfId="27361" xr:uid="{00000000-0005-0000-0000-0000DB6A0000}"/>
    <cellStyle name="표준 5 6 5 5" xfId="27362" xr:uid="{00000000-0005-0000-0000-0000DC6A0000}"/>
    <cellStyle name="표준 5 6 6" xfId="27363" xr:uid="{00000000-0005-0000-0000-0000DD6A0000}"/>
    <cellStyle name="표준 5 6 6 2" xfId="27364" xr:uid="{00000000-0005-0000-0000-0000DE6A0000}"/>
    <cellStyle name="표준 5 6 6 2 2" xfId="27365" xr:uid="{00000000-0005-0000-0000-0000DF6A0000}"/>
    <cellStyle name="표준 5 6 6 2 2 2" xfId="27366" xr:uid="{00000000-0005-0000-0000-0000E06A0000}"/>
    <cellStyle name="표준 5 6 6 2 3" xfId="27367" xr:uid="{00000000-0005-0000-0000-0000E16A0000}"/>
    <cellStyle name="표준 5 6 6 3" xfId="27368" xr:uid="{00000000-0005-0000-0000-0000E26A0000}"/>
    <cellStyle name="표준 5 6 6 3 2" xfId="27369" xr:uid="{00000000-0005-0000-0000-0000E36A0000}"/>
    <cellStyle name="표준 5 6 6 4" xfId="27370" xr:uid="{00000000-0005-0000-0000-0000E46A0000}"/>
    <cellStyle name="표준 5 6 7" xfId="27371" xr:uid="{00000000-0005-0000-0000-0000E56A0000}"/>
    <cellStyle name="표준 5 6 7 2" xfId="27372" xr:uid="{00000000-0005-0000-0000-0000E66A0000}"/>
    <cellStyle name="표준 5 6 7 2 2" xfId="27373" xr:uid="{00000000-0005-0000-0000-0000E76A0000}"/>
    <cellStyle name="표준 5 6 7 3" xfId="27374" xr:uid="{00000000-0005-0000-0000-0000E86A0000}"/>
    <cellStyle name="표준 5 6 8" xfId="27375" xr:uid="{00000000-0005-0000-0000-0000E96A0000}"/>
    <cellStyle name="표준 5 6 8 2" xfId="27376" xr:uid="{00000000-0005-0000-0000-0000EA6A0000}"/>
    <cellStyle name="표준 5 6 9" xfId="27377" xr:uid="{00000000-0005-0000-0000-0000EB6A0000}"/>
    <cellStyle name="표준 5 7" xfId="27378" xr:uid="{00000000-0005-0000-0000-0000EC6A0000}"/>
    <cellStyle name="표준 5 7 2" xfId="27379" xr:uid="{00000000-0005-0000-0000-0000ED6A0000}"/>
    <cellStyle name="표준 5 7 2 2" xfId="27380" xr:uid="{00000000-0005-0000-0000-0000EE6A0000}"/>
    <cellStyle name="표준 5 7 2 2 2" xfId="27381" xr:uid="{00000000-0005-0000-0000-0000EF6A0000}"/>
    <cellStyle name="표준 5 7 2 2 2 2" xfId="27382" xr:uid="{00000000-0005-0000-0000-0000F06A0000}"/>
    <cellStyle name="표준 5 7 2 2 2 2 2" xfId="27383" xr:uid="{00000000-0005-0000-0000-0000F16A0000}"/>
    <cellStyle name="표준 5 7 2 2 2 2 2 2" xfId="27384" xr:uid="{00000000-0005-0000-0000-0000F26A0000}"/>
    <cellStyle name="표준 5 7 2 2 2 2 2 2 2" xfId="27385" xr:uid="{00000000-0005-0000-0000-0000F36A0000}"/>
    <cellStyle name="표준 5 7 2 2 2 2 2 3" xfId="27386" xr:uid="{00000000-0005-0000-0000-0000F46A0000}"/>
    <cellStyle name="표준 5 7 2 2 2 2 3" xfId="27387" xr:uid="{00000000-0005-0000-0000-0000F56A0000}"/>
    <cellStyle name="표준 5 7 2 2 2 2 3 2" xfId="27388" xr:uid="{00000000-0005-0000-0000-0000F66A0000}"/>
    <cellStyle name="표준 5 7 2 2 2 2 4" xfId="27389" xr:uid="{00000000-0005-0000-0000-0000F76A0000}"/>
    <cellStyle name="표준 5 7 2 2 2 3" xfId="27390" xr:uid="{00000000-0005-0000-0000-0000F86A0000}"/>
    <cellStyle name="표준 5 7 2 2 2 3 2" xfId="27391" xr:uid="{00000000-0005-0000-0000-0000F96A0000}"/>
    <cellStyle name="표준 5 7 2 2 2 3 2 2" xfId="27392" xr:uid="{00000000-0005-0000-0000-0000FA6A0000}"/>
    <cellStyle name="표준 5 7 2 2 2 3 3" xfId="27393" xr:uid="{00000000-0005-0000-0000-0000FB6A0000}"/>
    <cellStyle name="표준 5 7 2 2 2 4" xfId="27394" xr:uid="{00000000-0005-0000-0000-0000FC6A0000}"/>
    <cellStyle name="표준 5 7 2 2 2 4 2" xfId="27395" xr:uid="{00000000-0005-0000-0000-0000FD6A0000}"/>
    <cellStyle name="표준 5 7 2 2 2 5" xfId="27396" xr:uid="{00000000-0005-0000-0000-0000FE6A0000}"/>
    <cellStyle name="표준 5 7 2 2 3" xfId="27397" xr:uid="{00000000-0005-0000-0000-0000FF6A0000}"/>
    <cellStyle name="표준 5 7 2 2 3 2" xfId="27398" xr:uid="{00000000-0005-0000-0000-0000006B0000}"/>
    <cellStyle name="표준 5 7 2 2 3 2 2" xfId="27399" xr:uid="{00000000-0005-0000-0000-0000016B0000}"/>
    <cellStyle name="표준 5 7 2 2 3 2 2 2" xfId="27400" xr:uid="{00000000-0005-0000-0000-0000026B0000}"/>
    <cellStyle name="표준 5 7 2 2 3 2 3" xfId="27401" xr:uid="{00000000-0005-0000-0000-0000036B0000}"/>
    <cellStyle name="표준 5 7 2 2 3 3" xfId="27402" xr:uid="{00000000-0005-0000-0000-0000046B0000}"/>
    <cellStyle name="표준 5 7 2 2 3 3 2" xfId="27403" xr:uid="{00000000-0005-0000-0000-0000056B0000}"/>
    <cellStyle name="표준 5 7 2 2 3 4" xfId="27404" xr:uid="{00000000-0005-0000-0000-0000066B0000}"/>
    <cellStyle name="표준 5 7 2 2 4" xfId="27405" xr:uid="{00000000-0005-0000-0000-0000076B0000}"/>
    <cellStyle name="표준 5 7 2 2 4 2" xfId="27406" xr:uid="{00000000-0005-0000-0000-0000086B0000}"/>
    <cellStyle name="표준 5 7 2 2 4 2 2" xfId="27407" xr:uid="{00000000-0005-0000-0000-0000096B0000}"/>
    <cellStyle name="표준 5 7 2 2 4 3" xfId="27408" xr:uid="{00000000-0005-0000-0000-00000A6B0000}"/>
    <cellStyle name="표준 5 7 2 2 5" xfId="27409" xr:uid="{00000000-0005-0000-0000-00000B6B0000}"/>
    <cellStyle name="표준 5 7 2 2 5 2" xfId="27410" xr:uid="{00000000-0005-0000-0000-00000C6B0000}"/>
    <cellStyle name="표준 5 7 2 2 6" xfId="27411" xr:uid="{00000000-0005-0000-0000-00000D6B0000}"/>
    <cellStyle name="표준 5 7 2 3" xfId="27412" xr:uid="{00000000-0005-0000-0000-00000E6B0000}"/>
    <cellStyle name="표준 5 7 2 3 2" xfId="27413" xr:uid="{00000000-0005-0000-0000-00000F6B0000}"/>
    <cellStyle name="표준 5 7 2 3 2 2" xfId="27414" xr:uid="{00000000-0005-0000-0000-0000106B0000}"/>
    <cellStyle name="표준 5 7 2 3 2 2 2" xfId="27415" xr:uid="{00000000-0005-0000-0000-0000116B0000}"/>
    <cellStyle name="표준 5 7 2 3 2 2 2 2" xfId="27416" xr:uid="{00000000-0005-0000-0000-0000126B0000}"/>
    <cellStyle name="표준 5 7 2 3 2 2 3" xfId="27417" xr:uid="{00000000-0005-0000-0000-0000136B0000}"/>
    <cellStyle name="표준 5 7 2 3 2 3" xfId="27418" xr:uid="{00000000-0005-0000-0000-0000146B0000}"/>
    <cellStyle name="표준 5 7 2 3 2 3 2" xfId="27419" xr:uid="{00000000-0005-0000-0000-0000156B0000}"/>
    <cellStyle name="표준 5 7 2 3 2 4" xfId="27420" xr:uid="{00000000-0005-0000-0000-0000166B0000}"/>
    <cellStyle name="표준 5 7 2 3 3" xfId="27421" xr:uid="{00000000-0005-0000-0000-0000176B0000}"/>
    <cellStyle name="표준 5 7 2 3 3 2" xfId="27422" xr:uid="{00000000-0005-0000-0000-0000186B0000}"/>
    <cellStyle name="표준 5 7 2 3 3 2 2" xfId="27423" xr:uid="{00000000-0005-0000-0000-0000196B0000}"/>
    <cellStyle name="표준 5 7 2 3 3 3" xfId="27424" xr:uid="{00000000-0005-0000-0000-00001A6B0000}"/>
    <cellStyle name="표준 5 7 2 3 4" xfId="27425" xr:uid="{00000000-0005-0000-0000-00001B6B0000}"/>
    <cellStyle name="표준 5 7 2 3 4 2" xfId="27426" xr:uid="{00000000-0005-0000-0000-00001C6B0000}"/>
    <cellStyle name="표준 5 7 2 3 5" xfId="27427" xr:uid="{00000000-0005-0000-0000-00001D6B0000}"/>
    <cellStyle name="표준 5 7 2 4" xfId="27428" xr:uid="{00000000-0005-0000-0000-00001E6B0000}"/>
    <cellStyle name="표준 5 7 2 4 2" xfId="27429" xr:uid="{00000000-0005-0000-0000-00001F6B0000}"/>
    <cellStyle name="표준 5 7 2 4 2 2" xfId="27430" xr:uid="{00000000-0005-0000-0000-0000206B0000}"/>
    <cellStyle name="표준 5 7 2 4 2 2 2" xfId="27431" xr:uid="{00000000-0005-0000-0000-0000216B0000}"/>
    <cellStyle name="표준 5 7 2 4 2 3" xfId="27432" xr:uid="{00000000-0005-0000-0000-0000226B0000}"/>
    <cellStyle name="표준 5 7 2 4 3" xfId="27433" xr:uid="{00000000-0005-0000-0000-0000236B0000}"/>
    <cellStyle name="표준 5 7 2 4 3 2" xfId="27434" xr:uid="{00000000-0005-0000-0000-0000246B0000}"/>
    <cellStyle name="표준 5 7 2 4 4" xfId="27435" xr:uid="{00000000-0005-0000-0000-0000256B0000}"/>
    <cellStyle name="표준 5 7 2 5" xfId="27436" xr:uid="{00000000-0005-0000-0000-0000266B0000}"/>
    <cellStyle name="표준 5 7 2 5 2" xfId="27437" xr:uid="{00000000-0005-0000-0000-0000276B0000}"/>
    <cellStyle name="표준 5 7 2 5 2 2" xfId="27438" xr:uid="{00000000-0005-0000-0000-0000286B0000}"/>
    <cellStyle name="표준 5 7 2 5 3" xfId="27439" xr:uid="{00000000-0005-0000-0000-0000296B0000}"/>
    <cellStyle name="표준 5 7 2 6" xfId="27440" xr:uid="{00000000-0005-0000-0000-00002A6B0000}"/>
    <cellStyle name="표준 5 7 2 6 2" xfId="27441" xr:uid="{00000000-0005-0000-0000-00002B6B0000}"/>
    <cellStyle name="표준 5 7 2 7" xfId="27442" xr:uid="{00000000-0005-0000-0000-00002C6B0000}"/>
    <cellStyle name="표준 5 7 2 8" xfId="27443" xr:uid="{00000000-0005-0000-0000-00002D6B0000}"/>
    <cellStyle name="표준 5 7 3" xfId="27444" xr:uid="{00000000-0005-0000-0000-00002E6B0000}"/>
    <cellStyle name="표준 5 7 3 2" xfId="27445" xr:uid="{00000000-0005-0000-0000-00002F6B0000}"/>
    <cellStyle name="표준 5 7 3 2 2" xfId="27446" xr:uid="{00000000-0005-0000-0000-0000306B0000}"/>
    <cellStyle name="표준 5 7 3 2 2 2" xfId="27447" xr:uid="{00000000-0005-0000-0000-0000316B0000}"/>
    <cellStyle name="표준 5 7 3 2 2 2 2" xfId="27448" xr:uid="{00000000-0005-0000-0000-0000326B0000}"/>
    <cellStyle name="표준 5 7 3 2 2 2 2 2" xfId="27449" xr:uid="{00000000-0005-0000-0000-0000336B0000}"/>
    <cellStyle name="표준 5 7 3 2 2 2 3" xfId="27450" xr:uid="{00000000-0005-0000-0000-0000346B0000}"/>
    <cellStyle name="표준 5 7 3 2 2 3" xfId="27451" xr:uid="{00000000-0005-0000-0000-0000356B0000}"/>
    <cellStyle name="표준 5 7 3 2 2 3 2" xfId="27452" xr:uid="{00000000-0005-0000-0000-0000366B0000}"/>
    <cellStyle name="표준 5 7 3 2 2 4" xfId="27453" xr:uid="{00000000-0005-0000-0000-0000376B0000}"/>
    <cellStyle name="표준 5 7 3 2 3" xfId="27454" xr:uid="{00000000-0005-0000-0000-0000386B0000}"/>
    <cellStyle name="표준 5 7 3 2 3 2" xfId="27455" xr:uid="{00000000-0005-0000-0000-0000396B0000}"/>
    <cellStyle name="표준 5 7 3 2 3 2 2" xfId="27456" xr:uid="{00000000-0005-0000-0000-00003A6B0000}"/>
    <cellStyle name="표준 5 7 3 2 3 3" xfId="27457" xr:uid="{00000000-0005-0000-0000-00003B6B0000}"/>
    <cellStyle name="표준 5 7 3 2 4" xfId="27458" xr:uid="{00000000-0005-0000-0000-00003C6B0000}"/>
    <cellStyle name="표준 5 7 3 2 4 2" xfId="27459" xr:uid="{00000000-0005-0000-0000-00003D6B0000}"/>
    <cellStyle name="표준 5 7 3 2 5" xfId="27460" xr:uid="{00000000-0005-0000-0000-00003E6B0000}"/>
    <cellStyle name="표준 5 7 3 3" xfId="27461" xr:uid="{00000000-0005-0000-0000-00003F6B0000}"/>
    <cellStyle name="표준 5 7 3 3 2" xfId="27462" xr:uid="{00000000-0005-0000-0000-0000406B0000}"/>
    <cellStyle name="표준 5 7 3 3 2 2" xfId="27463" xr:uid="{00000000-0005-0000-0000-0000416B0000}"/>
    <cellStyle name="표준 5 7 3 3 2 2 2" xfId="27464" xr:uid="{00000000-0005-0000-0000-0000426B0000}"/>
    <cellStyle name="표준 5 7 3 3 2 3" xfId="27465" xr:uid="{00000000-0005-0000-0000-0000436B0000}"/>
    <cellStyle name="표준 5 7 3 3 3" xfId="27466" xr:uid="{00000000-0005-0000-0000-0000446B0000}"/>
    <cellStyle name="표준 5 7 3 3 3 2" xfId="27467" xr:uid="{00000000-0005-0000-0000-0000456B0000}"/>
    <cellStyle name="표준 5 7 3 3 4" xfId="27468" xr:uid="{00000000-0005-0000-0000-0000466B0000}"/>
    <cellStyle name="표준 5 7 3 4" xfId="27469" xr:uid="{00000000-0005-0000-0000-0000476B0000}"/>
    <cellStyle name="표준 5 7 3 4 2" xfId="27470" xr:uid="{00000000-0005-0000-0000-0000486B0000}"/>
    <cellStyle name="표준 5 7 3 4 2 2" xfId="27471" xr:uid="{00000000-0005-0000-0000-0000496B0000}"/>
    <cellStyle name="표준 5 7 3 4 3" xfId="27472" xr:uid="{00000000-0005-0000-0000-00004A6B0000}"/>
    <cellStyle name="표준 5 7 3 5" xfId="27473" xr:uid="{00000000-0005-0000-0000-00004B6B0000}"/>
    <cellStyle name="표준 5 7 3 5 2" xfId="27474" xr:uid="{00000000-0005-0000-0000-00004C6B0000}"/>
    <cellStyle name="표준 5 7 3 6" xfId="27475" xr:uid="{00000000-0005-0000-0000-00004D6B0000}"/>
    <cellStyle name="표준 5 7 4" xfId="27476" xr:uid="{00000000-0005-0000-0000-00004E6B0000}"/>
    <cellStyle name="표준 5 7 4 2" xfId="27477" xr:uid="{00000000-0005-0000-0000-00004F6B0000}"/>
    <cellStyle name="표준 5 7 4 2 2" xfId="27478" xr:uid="{00000000-0005-0000-0000-0000506B0000}"/>
    <cellStyle name="표준 5 7 4 2 2 2" xfId="27479" xr:uid="{00000000-0005-0000-0000-0000516B0000}"/>
    <cellStyle name="표준 5 7 4 2 2 2 2" xfId="27480" xr:uid="{00000000-0005-0000-0000-0000526B0000}"/>
    <cellStyle name="표준 5 7 4 2 2 3" xfId="27481" xr:uid="{00000000-0005-0000-0000-0000536B0000}"/>
    <cellStyle name="표준 5 7 4 2 3" xfId="27482" xr:uid="{00000000-0005-0000-0000-0000546B0000}"/>
    <cellStyle name="표준 5 7 4 2 3 2" xfId="27483" xr:uid="{00000000-0005-0000-0000-0000556B0000}"/>
    <cellStyle name="표준 5 7 4 2 4" xfId="27484" xr:uid="{00000000-0005-0000-0000-0000566B0000}"/>
    <cellStyle name="표준 5 7 4 3" xfId="27485" xr:uid="{00000000-0005-0000-0000-0000576B0000}"/>
    <cellStyle name="표준 5 7 4 3 2" xfId="27486" xr:uid="{00000000-0005-0000-0000-0000586B0000}"/>
    <cellStyle name="표준 5 7 4 3 2 2" xfId="27487" xr:uid="{00000000-0005-0000-0000-0000596B0000}"/>
    <cellStyle name="표준 5 7 4 3 3" xfId="27488" xr:uid="{00000000-0005-0000-0000-00005A6B0000}"/>
    <cellStyle name="표준 5 7 4 4" xfId="27489" xr:uid="{00000000-0005-0000-0000-00005B6B0000}"/>
    <cellStyle name="표준 5 7 4 4 2" xfId="27490" xr:uid="{00000000-0005-0000-0000-00005C6B0000}"/>
    <cellStyle name="표준 5 7 4 5" xfId="27491" xr:uid="{00000000-0005-0000-0000-00005D6B0000}"/>
    <cellStyle name="표준 5 7 5" xfId="27492" xr:uid="{00000000-0005-0000-0000-00005E6B0000}"/>
    <cellStyle name="표준 5 7 5 2" xfId="27493" xr:uid="{00000000-0005-0000-0000-00005F6B0000}"/>
    <cellStyle name="표준 5 7 5 2 2" xfId="27494" xr:uid="{00000000-0005-0000-0000-0000606B0000}"/>
    <cellStyle name="표준 5 7 5 2 2 2" xfId="27495" xr:uid="{00000000-0005-0000-0000-0000616B0000}"/>
    <cellStyle name="표준 5 7 5 2 3" xfId="27496" xr:uid="{00000000-0005-0000-0000-0000626B0000}"/>
    <cellStyle name="표준 5 7 5 3" xfId="27497" xr:uid="{00000000-0005-0000-0000-0000636B0000}"/>
    <cellStyle name="표준 5 7 5 3 2" xfId="27498" xr:uid="{00000000-0005-0000-0000-0000646B0000}"/>
    <cellStyle name="표준 5 7 5 4" xfId="27499" xr:uid="{00000000-0005-0000-0000-0000656B0000}"/>
    <cellStyle name="표준 5 7 6" xfId="27500" xr:uid="{00000000-0005-0000-0000-0000666B0000}"/>
    <cellStyle name="표준 5 7 6 2" xfId="27501" xr:uid="{00000000-0005-0000-0000-0000676B0000}"/>
    <cellStyle name="표준 5 7 6 2 2" xfId="27502" xr:uid="{00000000-0005-0000-0000-0000686B0000}"/>
    <cellStyle name="표준 5 7 6 3" xfId="27503" xr:uid="{00000000-0005-0000-0000-0000696B0000}"/>
    <cellStyle name="표준 5 7 7" xfId="27504" xr:uid="{00000000-0005-0000-0000-00006A6B0000}"/>
    <cellStyle name="표준 5 7 7 2" xfId="27505" xr:uid="{00000000-0005-0000-0000-00006B6B0000}"/>
    <cellStyle name="표준 5 7 8" xfId="27506" xr:uid="{00000000-0005-0000-0000-00006C6B0000}"/>
    <cellStyle name="표준 5 7 9" xfId="27507" xr:uid="{00000000-0005-0000-0000-00006D6B0000}"/>
    <cellStyle name="표준 5 8" xfId="27508" xr:uid="{00000000-0005-0000-0000-00006E6B0000}"/>
    <cellStyle name="표준 5 8 2" xfId="27509" xr:uid="{00000000-0005-0000-0000-00006F6B0000}"/>
    <cellStyle name="표준 5 8 2 2" xfId="27510" xr:uid="{00000000-0005-0000-0000-0000706B0000}"/>
    <cellStyle name="표준 5 8 2 2 2" xfId="27511" xr:uid="{00000000-0005-0000-0000-0000716B0000}"/>
    <cellStyle name="표준 5 8 2 2 2 2" xfId="27512" xr:uid="{00000000-0005-0000-0000-0000726B0000}"/>
    <cellStyle name="표준 5 8 2 2 2 2 2" xfId="27513" xr:uid="{00000000-0005-0000-0000-0000736B0000}"/>
    <cellStyle name="표준 5 8 2 2 2 2 2 2" xfId="27514" xr:uid="{00000000-0005-0000-0000-0000746B0000}"/>
    <cellStyle name="표준 5 8 2 2 2 2 3" xfId="27515" xr:uid="{00000000-0005-0000-0000-0000756B0000}"/>
    <cellStyle name="표준 5 8 2 2 2 3" xfId="27516" xr:uid="{00000000-0005-0000-0000-0000766B0000}"/>
    <cellStyle name="표준 5 8 2 2 2 3 2" xfId="27517" xr:uid="{00000000-0005-0000-0000-0000776B0000}"/>
    <cellStyle name="표준 5 8 2 2 2 4" xfId="27518" xr:uid="{00000000-0005-0000-0000-0000786B0000}"/>
    <cellStyle name="표준 5 8 2 2 3" xfId="27519" xr:uid="{00000000-0005-0000-0000-0000796B0000}"/>
    <cellStyle name="표준 5 8 2 2 3 2" xfId="27520" xr:uid="{00000000-0005-0000-0000-00007A6B0000}"/>
    <cellStyle name="표준 5 8 2 2 3 2 2" xfId="27521" xr:uid="{00000000-0005-0000-0000-00007B6B0000}"/>
    <cellStyle name="표준 5 8 2 2 3 3" xfId="27522" xr:uid="{00000000-0005-0000-0000-00007C6B0000}"/>
    <cellStyle name="표준 5 8 2 2 4" xfId="27523" xr:uid="{00000000-0005-0000-0000-00007D6B0000}"/>
    <cellStyle name="표준 5 8 2 2 4 2" xfId="27524" xr:uid="{00000000-0005-0000-0000-00007E6B0000}"/>
    <cellStyle name="표준 5 8 2 2 5" xfId="27525" xr:uid="{00000000-0005-0000-0000-00007F6B0000}"/>
    <cellStyle name="표준 5 8 2 3" xfId="27526" xr:uid="{00000000-0005-0000-0000-0000806B0000}"/>
    <cellStyle name="표준 5 8 2 3 2" xfId="27527" xr:uid="{00000000-0005-0000-0000-0000816B0000}"/>
    <cellStyle name="표준 5 8 2 3 2 2" xfId="27528" xr:uid="{00000000-0005-0000-0000-0000826B0000}"/>
    <cellStyle name="표준 5 8 2 3 2 2 2" xfId="27529" xr:uid="{00000000-0005-0000-0000-0000836B0000}"/>
    <cellStyle name="표준 5 8 2 3 2 3" xfId="27530" xr:uid="{00000000-0005-0000-0000-0000846B0000}"/>
    <cellStyle name="표준 5 8 2 3 3" xfId="27531" xr:uid="{00000000-0005-0000-0000-0000856B0000}"/>
    <cellStyle name="표준 5 8 2 3 3 2" xfId="27532" xr:uid="{00000000-0005-0000-0000-0000866B0000}"/>
    <cellStyle name="표준 5 8 2 3 4" xfId="27533" xr:uid="{00000000-0005-0000-0000-0000876B0000}"/>
    <cellStyle name="표준 5 8 2 4" xfId="27534" xr:uid="{00000000-0005-0000-0000-0000886B0000}"/>
    <cellStyle name="표준 5 8 2 4 2" xfId="27535" xr:uid="{00000000-0005-0000-0000-0000896B0000}"/>
    <cellStyle name="표준 5 8 2 4 2 2" xfId="27536" xr:uid="{00000000-0005-0000-0000-00008A6B0000}"/>
    <cellStyle name="표준 5 8 2 4 3" xfId="27537" xr:uid="{00000000-0005-0000-0000-00008B6B0000}"/>
    <cellStyle name="표준 5 8 2 5" xfId="27538" xr:uid="{00000000-0005-0000-0000-00008C6B0000}"/>
    <cellStyle name="표준 5 8 2 5 2" xfId="27539" xr:uid="{00000000-0005-0000-0000-00008D6B0000}"/>
    <cellStyle name="표준 5 8 2 6" xfId="27540" xr:uid="{00000000-0005-0000-0000-00008E6B0000}"/>
    <cellStyle name="표준 5 8 3" xfId="27541" xr:uid="{00000000-0005-0000-0000-00008F6B0000}"/>
    <cellStyle name="표준 5 8 3 2" xfId="27542" xr:uid="{00000000-0005-0000-0000-0000906B0000}"/>
    <cellStyle name="표준 5 8 3 2 2" xfId="27543" xr:uid="{00000000-0005-0000-0000-0000916B0000}"/>
    <cellStyle name="표준 5 8 3 2 2 2" xfId="27544" xr:uid="{00000000-0005-0000-0000-0000926B0000}"/>
    <cellStyle name="표준 5 8 3 2 2 2 2" xfId="27545" xr:uid="{00000000-0005-0000-0000-0000936B0000}"/>
    <cellStyle name="표준 5 8 3 2 2 3" xfId="27546" xr:uid="{00000000-0005-0000-0000-0000946B0000}"/>
    <cellStyle name="표준 5 8 3 2 3" xfId="27547" xr:uid="{00000000-0005-0000-0000-0000956B0000}"/>
    <cellStyle name="표준 5 8 3 2 3 2" xfId="27548" xr:uid="{00000000-0005-0000-0000-0000966B0000}"/>
    <cellStyle name="표준 5 8 3 2 4" xfId="27549" xr:uid="{00000000-0005-0000-0000-0000976B0000}"/>
    <cellStyle name="표준 5 8 3 3" xfId="27550" xr:uid="{00000000-0005-0000-0000-0000986B0000}"/>
    <cellStyle name="표준 5 8 3 3 2" xfId="27551" xr:uid="{00000000-0005-0000-0000-0000996B0000}"/>
    <cellStyle name="표준 5 8 3 3 2 2" xfId="27552" xr:uid="{00000000-0005-0000-0000-00009A6B0000}"/>
    <cellStyle name="표준 5 8 3 3 3" xfId="27553" xr:uid="{00000000-0005-0000-0000-00009B6B0000}"/>
    <cellStyle name="표준 5 8 3 4" xfId="27554" xr:uid="{00000000-0005-0000-0000-00009C6B0000}"/>
    <cellStyle name="표준 5 8 3 4 2" xfId="27555" xr:uid="{00000000-0005-0000-0000-00009D6B0000}"/>
    <cellStyle name="표준 5 8 3 5" xfId="27556" xr:uid="{00000000-0005-0000-0000-00009E6B0000}"/>
    <cellStyle name="표준 5 8 4" xfId="27557" xr:uid="{00000000-0005-0000-0000-00009F6B0000}"/>
    <cellStyle name="표준 5 8 4 2" xfId="27558" xr:uid="{00000000-0005-0000-0000-0000A06B0000}"/>
    <cellStyle name="표준 5 8 4 2 2" xfId="27559" xr:uid="{00000000-0005-0000-0000-0000A16B0000}"/>
    <cellStyle name="표준 5 8 4 2 2 2" xfId="27560" xr:uid="{00000000-0005-0000-0000-0000A26B0000}"/>
    <cellStyle name="표준 5 8 4 2 3" xfId="27561" xr:uid="{00000000-0005-0000-0000-0000A36B0000}"/>
    <cellStyle name="표준 5 8 4 3" xfId="27562" xr:uid="{00000000-0005-0000-0000-0000A46B0000}"/>
    <cellStyle name="표준 5 8 4 3 2" xfId="27563" xr:uid="{00000000-0005-0000-0000-0000A56B0000}"/>
    <cellStyle name="표준 5 8 4 4" xfId="27564" xr:uid="{00000000-0005-0000-0000-0000A66B0000}"/>
    <cellStyle name="표준 5 8 5" xfId="27565" xr:uid="{00000000-0005-0000-0000-0000A76B0000}"/>
    <cellStyle name="표준 5 8 5 2" xfId="27566" xr:uid="{00000000-0005-0000-0000-0000A86B0000}"/>
    <cellStyle name="표준 5 8 5 2 2" xfId="27567" xr:uid="{00000000-0005-0000-0000-0000A96B0000}"/>
    <cellStyle name="표준 5 8 5 3" xfId="27568" xr:uid="{00000000-0005-0000-0000-0000AA6B0000}"/>
    <cellStyle name="표준 5 8 6" xfId="27569" xr:uid="{00000000-0005-0000-0000-0000AB6B0000}"/>
    <cellStyle name="표준 5 8 6 2" xfId="27570" xr:uid="{00000000-0005-0000-0000-0000AC6B0000}"/>
    <cellStyle name="표준 5 8 7" xfId="27571" xr:uid="{00000000-0005-0000-0000-0000AD6B0000}"/>
    <cellStyle name="표준 5 8 8" xfId="27572" xr:uid="{00000000-0005-0000-0000-0000AE6B0000}"/>
    <cellStyle name="표준 5 9" xfId="27573" xr:uid="{00000000-0005-0000-0000-0000AF6B0000}"/>
    <cellStyle name="표준 5 9 2" xfId="27574" xr:uid="{00000000-0005-0000-0000-0000B06B0000}"/>
    <cellStyle name="표준 5 9 2 2" xfId="27575" xr:uid="{00000000-0005-0000-0000-0000B16B0000}"/>
    <cellStyle name="표준 5 9 2 2 2" xfId="27576" xr:uid="{00000000-0005-0000-0000-0000B26B0000}"/>
    <cellStyle name="표준 5 9 2 2 2 2" xfId="27577" xr:uid="{00000000-0005-0000-0000-0000B36B0000}"/>
    <cellStyle name="표준 5 9 2 2 2 2 2" xfId="27578" xr:uid="{00000000-0005-0000-0000-0000B46B0000}"/>
    <cellStyle name="표준 5 9 2 2 2 3" xfId="27579" xr:uid="{00000000-0005-0000-0000-0000B56B0000}"/>
    <cellStyle name="표준 5 9 2 2 3" xfId="27580" xr:uid="{00000000-0005-0000-0000-0000B66B0000}"/>
    <cellStyle name="표준 5 9 2 2 3 2" xfId="27581" xr:uid="{00000000-0005-0000-0000-0000B76B0000}"/>
    <cellStyle name="표준 5 9 2 2 4" xfId="27582" xr:uid="{00000000-0005-0000-0000-0000B86B0000}"/>
    <cellStyle name="표준 5 9 2 3" xfId="27583" xr:uid="{00000000-0005-0000-0000-0000B96B0000}"/>
    <cellStyle name="표준 5 9 2 3 2" xfId="27584" xr:uid="{00000000-0005-0000-0000-0000BA6B0000}"/>
    <cellStyle name="표준 5 9 2 3 2 2" xfId="27585" xr:uid="{00000000-0005-0000-0000-0000BB6B0000}"/>
    <cellStyle name="표준 5 9 2 3 3" xfId="27586" xr:uid="{00000000-0005-0000-0000-0000BC6B0000}"/>
    <cellStyle name="표준 5 9 2 4" xfId="27587" xr:uid="{00000000-0005-0000-0000-0000BD6B0000}"/>
    <cellStyle name="표준 5 9 2 4 2" xfId="27588" xr:uid="{00000000-0005-0000-0000-0000BE6B0000}"/>
    <cellStyle name="표준 5 9 2 5" xfId="27589" xr:uid="{00000000-0005-0000-0000-0000BF6B0000}"/>
    <cellStyle name="표준 5 9 3" xfId="27590" xr:uid="{00000000-0005-0000-0000-0000C06B0000}"/>
    <cellStyle name="표준 5 9 3 2" xfId="27591" xr:uid="{00000000-0005-0000-0000-0000C16B0000}"/>
    <cellStyle name="표준 5 9 3 2 2" xfId="27592" xr:uid="{00000000-0005-0000-0000-0000C26B0000}"/>
    <cellStyle name="표준 5 9 3 2 2 2" xfId="27593" xr:uid="{00000000-0005-0000-0000-0000C36B0000}"/>
    <cellStyle name="표준 5 9 3 2 3" xfId="27594" xr:uid="{00000000-0005-0000-0000-0000C46B0000}"/>
    <cellStyle name="표준 5 9 3 3" xfId="27595" xr:uid="{00000000-0005-0000-0000-0000C56B0000}"/>
    <cellStyle name="표준 5 9 3 3 2" xfId="27596" xr:uid="{00000000-0005-0000-0000-0000C66B0000}"/>
    <cellStyle name="표준 5 9 3 4" xfId="27597" xr:uid="{00000000-0005-0000-0000-0000C76B0000}"/>
    <cellStyle name="표준 5 9 4" xfId="27598" xr:uid="{00000000-0005-0000-0000-0000C86B0000}"/>
    <cellStyle name="표준 5 9 4 2" xfId="27599" xr:uid="{00000000-0005-0000-0000-0000C96B0000}"/>
    <cellStyle name="표준 5 9 4 2 2" xfId="27600" xr:uid="{00000000-0005-0000-0000-0000CA6B0000}"/>
    <cellStyle name="표준 5 9 4 3" xfId="27601" xr:uid="{00000000-0005-0000-0000-0000CB6B0000}"/>
    <cellStyle name="표준 5 9 5" xfId="27602" xr:uid="{00000000-0005-0000-0000-0000CC6B0000}"/>
    <cellStyle name="표준 5 9 5 2" xfId="27603" xr:uid="{00000000-0005-0000-0000-0000CD6B0000}"/>
    <cellStyle name="표준 5 9 6" xfId="27604" xr:uid="{00000000-0005-0000-0000-0000CE6B0000}"/>
    <cellStyle name="표준 51" xfId="27605" xr:uid="{00000000-0005-0000-0000-0000CF6B0000}"/>
    <cellStyle name="표준 52" xfId="27606" xr:uid="{00000000-0005-0000-0000-0000D06B0000}"/>
    <cellStyle name="표준 53" xfId="27607" xr:uid="{00000000-0005-0000-0000-0000D16B0000}"/>
    <cellStyle name="표준 54" xfId="27608" xr:uid="{00000000-0005-0000-0000-0000D26B0000}"/>
    <cellStyle name="표준 55" xfId="27609" xr:uid="{00000000-0005-0000-0000-0000D36B0000}"/>
    <cellStyle name="표준 56" xfId="27610" xr:uid="{00000000-0005-0000-0000-0000D46B0000}"/>
    <cellStyle name="표준 57" xfId="27611" xr:uid="{00000000-0005-0000-0000-0000D56B0000}"/>
    <cellStyle name="표준 58" xfId="27612" xr:uid="{00000000-0005-0000-0000-0000D66B0000}"/>
    <cellStyle name="표준 6" xfId="43" xr:uid="{00000000-0005-0000-0000-0000D76B0000}"/>
    <cellStyle name="표준 6 10" xfId="27613" xr:uid="{00000000-0005-0000-0000-0000D86B0000}"/>
    <cellStyle name="표준 6 10 2" xfId="27614" xr:uid="{00000000-0005-0000-0000-0000D96B0000}"/>
    <cellStyle name="표준 6 10 2 2" xfId="27615" xr:uid="{00000000-0005-0000-0000-0000DA6B0000}"/>
    <cellStyle name="표준 6 10 3" xfId="27616" xr:uid="{00000000-0005-0000-0000-0000DB6B0000}"/>
    <cellStyle name="표준 6 11" xfId="27617" xr:uid="{00000000-0005-0000-0000-0000DC6B0000}"/>
    <cellStyle name="표준 6 11 2" xfId="27618" xr:uid="{00000000-0005-0000-0000-0000DD6B0000}"/>
    <cellStyle name="표준 6 12" xfId="27619" xr:uid="{00000000-0005-0000-0000-0000DE6B0000}"/>
    <cellStyle name="표준 6 13" xfId="27620" xr:uid="{00000000-0005-0000-0000-0000DF6B0000}"/>
    <cellStyle name="표준 6 2" xfId="27621" xr:uid="{00000000-0005-0000-0000-0000E06B0000}"/>
    <cellStyle name="표준 6 2 10" xfId="27622" xr:uid="{00000000-0005-0000-0000-0000E16B0000}"/>
    <cellStyle name="표준 6 2 10 2" xfId="27623" xr:uid="{00000000-0005-0000-0000-0000E26B0000}"/>
    <cellStyle name="표준 6 2 11" xfId="27624" xr:uid="{00000000-0005-0000-0000-0000E36B0000}"/>
    <cellStyle name="표준 6 2 12" xfId="27625" xr:uid="{00000000-0005-0000-0000-0000E46B0000}"/>
    <cellStyle name="표준 6 2 2" xfId="27626" xr:uid="{00000000-0005-0000-0000-0000E56B0000}"/>
    <cellStyle name="표준 6 2 2 10" xfId="27627" xr:uid="{00000000-0005-0000-0000-0000E66B0000}"/>
    <cellStyle name="표준 6 2 2 11" xfId="27628" xr:uid="{00000000-0005-0000-0000-0000E76B0000}"/>
    <cellStyle name="표준 6 2 2 2" xfId="27629" xr:uid="{00000000-0005-0000-0000-0000E86B0000}"/>
    <cellStyle name="표준 6 2 2 2 10" xfId="27630" xr:uid="{00000000-0005-0000-0000-0000E96B0000}"/>
    <cellStyle name="표준 6 2 2 2 2" xfId="27631" xr:uid="{00000000-0005-0000-0000-0000EA6B0000}"/>
    <cellStyle name="표준 6 2 2 2 2 2" xfId="27632" xr:uid="{00000000-0005-0000-0000-0000EB6B0000}"/>
    <cellStyle name="표준 6 2 2 2 2 2 2" xfId="27633" xr:uid="{00000000-0005-0000-0000-0000EC6B0000}"/>
    <cellStyle name="표준 6 2 2 2 2 2 2 2" xfId="27634" xr:uid="{00000000-0005-0000-0000-0000ED6B0000}"/>
    <cellStyle name="표준 6 2 2 2 2 2 2 2 2" xfId="27635" xr:uid="{00000000-0005-0000-0000-0000EE6B0000}"/>
    <cellStyle name="표준 6 2 2 2 2 2 2 2 2 2" xfId="27636" xr:uid="{00000000-0005-0000-0000-0000EF6B0000}"/>
    <cellStyle name="표준 6 2 2 2 2 2 2 2 2 2 2" xfId="27637" xr:uid="{00000000-0005-0000-0000-0000F06B0000}"/>
    <cellStyle name="표준 6 2 2 2 2 2 2 2 2 2 2 2" xfId="27638" xr:uid="{00000000-0005-0000-0000-0000F16B0000}"/>
    <cellStyle name="표준 6 2 2 2 2 2 2 2 2 2 3" xfId="27639" xr:uid="{00000000-0005-0000-0000-0000F26B0000}"/>
    <cellStyle name="표준 6 2 2 2 2 2 2 2 2 3" xfId="27640" xr:uid="{00000000-0005-0000-0000-0000F36B0000}"/>
    <cellStyle name="표준 6 2 2 2 2 2 2 2 2 3 2" xfId="27641" xr:uid="{00000000-0005-0000-0000-0000F46B0000}"/>
    <cellStyle name="표준 6 2 2 2 2 2 2 2 2 4" xfId="27642" xr:uid="{00000000-0005-0000-0000-0000F56B0000}"/>
    <cellStyle name="표준 6 2 2 2 2 2 2 2 3" xfId="27643" xr:uid="{00000000-0005-0000-0000-0000F66B0000}"/>
    <cellStyle name="표준 6 2 2 2 2 2 2 2 3 2" xfId="27644" xr:uid="{00000000-0005-0000-0000-0000F76B0000}"/>
    <cellStyle name="표준 6 2 2 2 2 2 2 2 3 2 2" xfId="27645" xr:uid="{00000000-0005-0000-0000-0000F86B0000}"/>
    <cellStyle name="표준 6 2 2 2 2 2 2 2 3 3" xfId="27646" xr:uid="{00000000-0005-0000-0000-0000F96B0000}"/>
    <cellStyle name="표준 6 2 2 2 2 2 2 2 4" xfId="27647" xr:uid="{00000000-0005-0000-0000-0000FA6B0000}"/>
    <cellStyle name="표준 6 2 2 2 2 2 2 2 4 2" xfId="27648" xr:uid="{00000000-0005-0000-0000-0000FB6B0000}"/>
    <cellStyle name="표준 6 2 2 2 2 2 2 2 5" xfId="27649" xr:uid="{00000000-0005-0000-0000-0000FC6B0000}"/>
    <cellStyle name="표준 6 2 2 2 2 2 2 3" xfId="27650" xr:uid="{00000000-0005-0000-0000-0000FD6B0000}"/>
    <cellStyle name="표준 6 2 2 2 2 2 2 3 2" xfId="27651" xr:uid="{00000000-0005-0000-0000-0000FE6B0000}"/>
    <cellStyle name="표준 6 2 2 2 2 2 2 3 2 2" xfId="27652" xr:uid="{00000000-0005-0000-0000-0000FF6B0000}"/>
    <cellStyle name="표준 6 2 2 2 2 2 2 3 2 2 2" xfId="27653" xr:uid="{00000000-0005-0000-0000-0000006C0000}"/>
    <cellStyle name="표준 6 2 2 2 2 2 2 3 2 3" xfId="27654" xr:uid="{00000000-0005-0000-0000-0000016C0000}"/>
    <cellStyle name="표준 6 2 2 2 2 2 2 3 3" xfId="27655" xr:uid="{00000000-0005-0000-0000-0000026C0000}"/>
    <cellStyle name="표준 6 2 2 2 2 2 2 3 3 2" xfId="27656" xr:uid="{00000000-0005-0000-0000-0000036C0000}"/>
    <cellStyle name="표준 6 2 2 2 2 2 2 3 4" xfId="27657" xr:uid="{00000000-0005-0000-0000-0000046C0000}"/>
    <cellStyle name="표준 6 2 2 2 2 2 2 4" xfId="27658" xr:uid="{00000000-0005-0000-0000-0000056C0000}"/>
    <cellStyle name="표준 6 2 2 2 2 2 2 4 2" xfId="27659" xr:uid="{00000000-0005-0000-0000-0000066C0000}"/>
    <cellStyle name="표준 6 2 2 2 2 2 2 4 2 2" xfId="27660" xr:uid="{00000000-0005-0000-0000-0000076C0000}"/>
    <cellStyle name="표준 6 2 2 2 2 2 2 4 3" xfId="27661" xr:uid="{00000000-0005-0000-0000-0000086C0000}"/>
    <cellStyle name="표준 6 2 2 2 2 2 2 5" xfId="27662" xr:uid="{00000000-0005-0000-0000-0000096C0000}"/>
    <cellStyle name="표준 6 2 2 2 2 2 2 5 2" xfId="27663" xr:uid="{00000000-0005-0000-0000-00000A6C0000}"/>
    <cellStyle name="표준 6 2 2 2 2 2 2 6" xfId="27664" xr:uid="{00000000-0005-0000-0000-00000B6C0000}"/>
    <cellStyle name="표준 6 2 2 2 2 2 3" xfId="27665" xr:uid="{00000000-0005-0000-0000-00000C6C0000}"/>
    <cellStyle name="표준 6 2 2 2 2 2 3 2" xfId="27666" xr:uid="{00000000-0005-0000-0000-00000D6C0000}"/>
    <cellStyle name="표준 6 2 2 2 2 2 3 2 2" xfId="27667" xr:uid="{00000000-0005-0000-0000-00000E6C0000}"/>
    <cellStyle name="표준 6 2 2 2 2 2 3 2 2 2" xfId="27668" xr:uid="{00000000-0005-0000-0000-00000F6C0000}"/>
    <cellStyle name="표준 6 2 2 2 2 2 3 2 2 2 2" xfId="27669" xr:uid="{00000000-0005-0000-0000-0000106C0000}"/>
    <cellStyle name="표준 6 2 2 2 2 2 3 2 2 3" xfId="27670" xr:uid="{00000000-0005-0000-0000-0000116C0000}"/>
    <cellStyle name="표준 6 2 2 2 2 2 3 2 3" xfId="27671" xr:uid="{00000000-0005-0000-0000-0000126C0000}"/>
    <cellStyle name="표준 6 2 2 2 2 2 3 2 3 2" xfId="27672" xr:uid="{00000000-0005-0000-0000-0000136C0000}"/>
    <cellStyle name="표준 6 2 2 2 2 2 3 2 4" xfId="27673" xr:uid="{00000000-0005-0000-0000-0000146C0000}"/>
    <cellStyle name="표준 6 2 2 2 2 2 3 3" xfId="27674" xr:uid="{00000000-0005-0000-0000-0000156C0000}"/>
    <cellStyle name="표준 6 2 2 2 2 2 3 3 2" xfId="27675" xr:uid="{00000000-0005-0000-0000-0000166C0000}"/>
    <cellStyle name="표준 6 2 2 2 2 2 3 3 2 2" xfId="27676" xr:uid="{00000000-0005-0000-0000-0000176C0000}"/>
    <cellStyle name="표준 6 2 2 2 2 2 3 3 3" xfId="27677" xr:uid="{00000000-0005-0000-0000-0000186C0000}"/>
    <cellStyle name="표준 6 2 2 2 2 2 3 4" xfId="27678" xr:uid="{00000000-0005-0000-0000-0000196C0000}"/>
    <cellStyle name="표준 6 2 2 2 2 2 3 4 2" xfId="27679" xr:uid="{00000000-0005-0000-0000-00001A6C0000}"/>
    <cellStyle name="표준 6 2 2 2 2 2 3 5" xfId="27680" xr:uid="{00000000-0005-0000-0000-00001B6C0000}"/>
    <cellStyle name="표준 6 2 2 2 2 2 4" xfId="27681" xr:uid="{00000000-0005-0000-0000-00001C6C0000}"/>
    <cellStyle name="표준 6 2 2 2 2 2 4 2" xfId="27682" xr:uid="{00000000-0005-0000-0000-00001D6C0000}"/>
    <cellStyle name="표준 6 2 2 2 2 2 4 2 2" xfId="27683" xr:uid="{00000000-0005-0000-0000-00001E6C0000}"/>
    <cellStyle name="표준 6 2 2 2 2 2 4 2 2 2" xfId="27684" xr:uid="{00000000-0005-0000-0000-00001F6C0000}"/>
    <cellStyle name="표준 6 2 2 2 2 2 4 2 3" xfId="27685" xr:uid="{00000000-0005-0000-0000-0000206C0000}"/>
    <cellStyle name="표준 6 2 2 2 2 2 4 3" xfId="27686" xr:uid="{00000000-0005-0000-0000-0000216C0000}"/>
    <cellStyle name="표준 6 2 2 2 2 2 4 3 2" xfId="27687" xr:uid="{00000000-0005-0000-0000-0000226C0000}"/>
    <cellStyle name="표준 6 2 2 2 2 2 4 4" xfId="27688" xr:uid="{00000000-0005-0000-0000-0000236C0000}"/>
    <cellStyle name="표준 6 2 2 2 2 2 5" xfId="27689" xr:uid="{00000000-0005-0000-0000-0000246C0000}"/>
    <cellStyle name="표준 6 2 2 2 2 2 5 2" xfId="27690" xr:uid="{00000000-0005-0000-0000-0000256C0000}"/>
    <cellStyle name="표준 6 2 2 2 2 2 5 2 2" xfId="27691" xr:uid="{00000000-0005-0000-0000-0000266C0000}"/>
    <cellStyle name="표준 6 2 2 2 2 2 5 3" xfId="27692" xr:uid="{00000000-0005-0000-0000-0000276C0000}"/>
    <cellStyle name="표준 6 2 2 2 2 2 6" xfId="27693" xr:uid="{00000000-0005-0000-0000-0000286C0000}"/>
    <cellStyle name="표준 6 2 2 2 2 2 6 2" xfId="27694" xr:uid="{00000000-0005-0000-0000-0000296C0000}"/>
    <cellStyle name="표준 6 2 2 2 2 2 7" xfId="27695" xr:uid="{00000000-0005-0000-0000-00002A6C0000}"/>
    <cellStyle name="표준 6 2 2 2 2 2 8" xfId="27696" xr:uid="{00000000-0005-0000-0000-00002B6C0000}"/>
    <cellStyle name="표준 6 2 2 2 2 3" xfId="27697" xr:uid="{00000000-0005-0000-0000-00002C6C0000}"/>
    <cellStyle name="표준 6 2 2 2 2 3 2" xfId="27698" xr:uid="{00000000-0005-0000-0000-00002D6C0000}"/>
    <cellStyle name="표준 6 2 2 2 2 3 2 2" xfId="27699" xr:uid="{00000000-0005-0000-0000-00002E6C0000}"/>
    <cellStyle name="표준 6 2 2 2 2 3 2 2 2" xfId="27700" xr:uid="{00000000-0005-0000-0000-00002F6C0000}"/>
    <cellStyle name="표준 6 2 2 2 2 3 2 2 2 2" xfId="27701" xr:uid="{00000000-0005-0000-0000-0000306C0000}"/>
    <cellStyle name="표준 6 2 2 2 2 3 2 2 2 2 2" xfId="27702" xr:uid="{00000000-0005-0000-0000-0000316C0000}"/>
    <cellStyle name="표준 6 2 2 2 2 3 2 2 2 3" xfId="27703" xr:uid="{00000000-0005-0000-0000-0000326C0000}"/>
    <cellStyle name="표준 6 2 2 2 2 3 2 2 3" xfId="27704" xr:uid="{00000000-0005-0000-0000-0000336C0000}"/>
    <cellStyle name="표준 6 2 2 2 2 3 2 2 3 2" xfId="27705" xr:uid="{00000000-0005-0000-0000-0000346C0000}"/>
    <cellStyle name="표준 6 2 2 2 2 3 2 2 4" xfId="27706" xr:uid="{00000000-0005-0000-0000-0000356C0000}"/>
    <cellStyle name="표준 6 2 2 2 2 3 2 3" xfId="27707" xr:uid="{00000000-0005-0000-0000-0000366C0000}"/>
    <cellStyle name="표준 6 2 2 2 2 3 2 3 2" xfId="27708" xr:uid="{00000000-0005-0000-0000-0000376C0000}"/>
    <cellStyle name="표준 6 2 2 2 2 3 2 3 2 2" xfId="27709" xr:uid="{00000000-0005-0000-0000-0000386C0000}"/>
    <cellStyle name="표준 6 2 2 2 2 3 2 3 3" xfId="27710" xr:uid="{00000000-0005-0000-0000-0000396C0000}"/>
    <cellStyle name="표준 6 2 2 2 2 3 2 4" xfId="27711" xr:uid="{00000000-0005-0000-0000-00003A6C0000}"/>
    <cellStyle name="표준 6 2 2 2 2 3 2 4 2" xfId="27712" xr:uid="{00000000-0005-0000-0000-00003B6C0000}"/>
    <cellStyle name="표준 6 2 2 2 2 3 2 5" xfId="27713" xr:uid="{00000000-0005-0000-0000-00003C6C0000}"/>
    <cellStyle name="표준 6 2 2 2 2 3 3" xfId="27714" xr:uid="{00000000-0005-0000-0000-00003D6C0000}"/>
    <cellStyle name="표준 6 2 2 2 2 3 3 2" xfId="27715" xr:uid="{00000000-0005-0000-0000-00003E6C0000}"/>
    <cellStyle name="표준 6 2 2 2 2 3 3 2 2" xfId="27716" xr:uid="{00000000-0005-0000-0000-00003F6C0000}"/>
    <cellStyle name="표준 6 2 2 2 2 3 3 2 2 2" xfId="27717" xr:uid="{00000000-0005-0000-0000-0000406C0000}"/>
    <cellStyle name="표준 6 2 2 2 2 3 3 2 3" xfId="27718" xr:uid="{00000000-0005-0000-0000-0000416C0000}"/>
    <cellStyle name="표준 6 2 2 2 2 3 3 3" xfId="27719" xr:uid="{00000000-0005-0000-0000-0000426C0000}"/>
    <cellStyle name="표준 6 2 2 2 2 3 3 3 2" xfId="27720" xr:uid="{00000000-0005-0000-0000-0000436C0000}"/>
    <cellStyle name="표준 6 2 2 2 2 3 3 4" xfId="27721" xr:uid="{00000000-0005-0000-0000-0000446C0000}"/>
    <cellStyle name="표준 6 2 2 2 2 3 4" xfId="27722" xr:uid="{00000000-0005-0000-0000-0000456C0000}"/>
    <cellStyle name="표준 6 2 2 2 2 3 4 2" xfId="27723" xr:uid="{00000000-0005-0000-0000-0000466C0000}"/>
    <cellStyle name="표준 6 2 2 2 2 3 4 2 2" xfId="27724" xr:uid="{00000000-0005-0000-0000-0000476C0000}"/>
    <cellStyle name="표준 6 2 2 2 2 3 4 3" xfId="27725" xr:uid="{00000000-0005-0000-0000-0000486C0000}"/>
    <cellStyle name="표준 6 2 2 2 2 3 5" xfId="27726" xr:uid="{00000000-0005-0000-0000-0000496C0000}"/>
    <cellStyle name="표준 6 2 2 2 2 3 5 2" xfId="27727" xr:uid="{00000000-0005-0000-0000-00004A6C0000}"/>
    <cellStyle name="표준 6 2 2 2 2 3 6" xfId="27728" xr:uid="{00000000-0005-0000-0000-00004B6C0000}"/>
    <cellStyle name="표준 6 2 2 2 2 4" xfId="27729" xr:uid="{00000000-0005-0000-0000-00004C6C0000}"/>
    <cellStyle name="표준 6 2 2 2 2 4 2" xfId="27730" xr:uid="{00000000-0005-0000-0000-00004D6C0000}"/>
    <cellStyle name="표준 6 2 2 2 2 4 2 2" xfId="27731" xr:uid="{00000000-0005-0000-0000-00004E6C0000}"/>
    <cellStyle name="표준 6 2 2 2 2 4 2 2 2" xfId="27732" xr:uid="{00000000-0005-0000-0000-00004F6C0000}"/>
    <cellStyle name="표준 6 2 2 2 2 4 2 2 2 2" xfId="27733" xr:uid="{00000000-0005-0000-0000-0000506C0000}"/>
    <cellStyle name="표준 6 2 2 2 2 4 2 2 3" xfId="27734" xr:uid="{00000000-0005-0000-0000-0000516C0000}"/>
    <cellStyle name="표준 6 2 2 2 2 4 2 3" xfId="27735" xr:uid="{00000000-0005-0000-0000-0000526C0000}"/>
    <cellStyle name="표준 6 2 2 2 2 4 2 3 2" xfId="27736" xr:uid="{00000000-0005-0000-0000-0000536C0000}"/>
    <cellStyle name="표준 6 2 2 2 2 4 2 4" xfId="27737" xr:uid="{00000000-0005-0000-0000-0000546C0000}"/>
    <cellStyle name="표준 6 2 2 2 2 4 3" xfId="27738" xr:uid="{00000000-0005-0000-0000-0000556C0000}"/>
    <cellStyle name="표준 6 2 2 2 2 4 3 2" xfId="27739" xr:uid="{00000000-0005-0000-0000-0000566C0000}"/>
    <cellStyle name="표준 6 2 2 2 2 4 3 2 2" xfId="27740" xr:uid="{00000000-0005-0000-0000-0000576C0000}"/>
    <cellStyle name="표준 6 2 2 2 2 4 3 3" xfId="27741" xr:uid="{00000000-0005-0000-0000-0000586C0000}"/>
    <cellStyle name="표준 6 2 2 2 2 4 4" xfId="27742" xr:uid="{00000000-0005-0000-0000-0000596C0000}"/>
    <cellStyle name="표준 6 2 2 2 2 4 4 2" xfId="27743" xr:uid="{00000000-0005-0000-0000-00005A6C0000}"/>
    <cellStyle name="표준 6 2 2 2 2 4 5" xfId="27744" xr:uid="{00000000-0005-0000-0000-00005B6C0000}"/>
    <cellStyle name="표준 6 2 2 2 2 5" xfId="27745" xr:uid="{00000000-0005-0000-0000-00005C6C0000}"/>
    <cellStyle name="표준 6 2 2 2 2 5 2" xfId="27746" xr:uid="{00000000-0005-0000-0000-00005D6C0000}"/>
    <cellStyle name="표준 6 2 2 2 2 5 2 2" xfId="27747" xr:uid="{00000000-0005-0000-0000-00005E6C0000}"/>
    <cellStyle name="표준 6 2 2 2 2 5 2 2 2" xfId="27748" xr:uid="{00000000-0005-0000-0000-00005F6C0000}"/>
    <cellStyle name="표준 6 2 2 2 2 5 2 3" xfId="27749" xr:uid="{00000000-0005-0000-0000-0000606C0000}"/>
    <cellStyle name="표준 6 2 2 2 2 5 3" xfId="27750" xr:uid="{00000000-0005-0000-0000-0000616C0000}"/>
    <cellStyle name="표준 6 2 2 2 2 5 3 2" xfId="27751" xr:uid="{00000000-0005-0000-0000-0000626C0000}"/>
    <cellStyle name="표준 6 2 2 2 2 5 4" xfId="27752" xr:uid="{00000000-0005-0000-0000-0000636C0000}"/>
    <cellStyle name="표준 6 2 2 2 2 6" xfId="27753" xr:uid="{00000000-0005-0000-0000-0000646C0000}"/>
    <cellStyle name="표준 6 2 2 2 2 6 2" xfId="27754" xr:uid="{00000000-0005-0000-0000-0000656C0000}"/>
    <cellStyle name="표준 6 2 2 2 2 6 2 2" xfId="27755" xr:uid="{00000000-0005-0000-0000-0000666C0000}"/>
    <cellStyle name="표준 6 2 2 2 2 6 3" xfId="27756" xr:uid="{00000000-0005-0000-0000-0000676C0000}"/>
    <cellStyle name="표준 6 2 2 2 2 7" xfId="27757" xr:uid="{00000000-0005-0000-0000-0000686C0000}"/>
    <cellStyle name="표준 6 2 2 2 2 7 2" xfId="27758" xr:uid="{00000000-0005-0000-0000-0000696C0000}"/>
    <cellStyle name="표준 6 2 2 2 2 8" xfId="27759" xr:uid="{00000000-0005-0000-0000-00006A6C0000}"/>
    <cellStyle name="표준 6 2 2 2 2 9" xfId="27760" xr:uid="{00000000-0005-0000-0000-00006B6C0000}"/>
    <cellStyle name="표준 6 2 2 2 3" xfId="27761" xr:uid="{00000000-0005-0000-0000-00006C6C0000}"/>
    <cellStyle name="표준 6 2 2 2 3 2" xfId="27762" xr:uid="{00000000-0005-0000-0000-00006D6C0000}"/>
    <cellStyle name="표준 6 2 2 2 3 2 2" xfId="27763" xr:uid="{00000000-0005-0000-0000-00006E6C0000}"/>
    <cellStyle name="표준 6 2 2 2 3 2 2 2" xfId="27764" xr:uid="{00000000-0005-0000-0000-00006F6C0000}"/>
    <cellStyle name="표준 6 2 2 2 3 2 2 2 2" xfId="27765" xr:uid="{00000000-0005-0000-0000-0000706C0000}"/>
    <cellStyle name="표준 6 2 2 2 3 2 2 2 2 2" xfId="27766" xr:uid="{00000000-0005-0000-0000-0000716C0000}"/>
    <cellStyle name="표준 6 2 2 2 3 2 2 2 2 2 2" xfId="27767" xr:uid="{00000000-0005-0000-0000-0000726C0000}"/>
    <cellStyle name="표준 6 2 2 2 3 2 2 2 2 3" xfId="27768" xr:uid="{00000000-0005-0000-0000-0000736C0000}"/>
    <cellStyle name="표준 6 2 2 2 3 2 2 2 3" xfId="27769" xr:uid="{00000000-0005-0000-0000-0000746C0000}"/>
    <cellStyle name="표준 6 2 2 2 3 2 2 2 3 2" xfId="27770" xr:uid="{00000000-0005-0000-0000-0000756C0000}"/>
    <cellStyle name="표준 6 2 2 2 3 2 2 2 4" xfId="27771" xr:uid="{00000000-0005-0000-0000-0000766C0000}"/>
    <cellStyle name="표준 6 2 2 2 3 2 2 3" xfId="27772" xr:uid="{00000000-0005-0000-0000-0000776C0000}"/>
    <cellStyle name="표준 6 2 2 2 3 2 2 3 2" xfId="27773" xr:uid="{00000000-0005-0000-0000-0000786C0000}"/>
    <cellStyle name="표준 6 2 2 2 3 2 2 3 2 2" xfId="27774" xr:uid="{00000000-0005-0000-0000-0000796C0000}"/>
    <cellStyle name="표준 6 2 2 2 3 2 2 3 3" xfId="27775" xr:uid="{00000000-0005-0000-0000-00007A6C0000}"/>
    <cellStyle name="표준 6 2 2 2 3 2 2 4" xfId="27776" xr:uid="{00000000-0005-0000-0000-00007B6C0000}"/>
    <cellStyle name="표준 6 2 2 2 3 2 2 4 2" xfId="27777" xr:uid="{00000000-0005-0000-0000-00007C6C0000}"/>
    <cellStyle name="표준 6 2 2 2 3 2 2 5" xfId="27778" xr:uid="{00000000-0005-0000-0000-00007D6C0000}"/>
    <cellStyle name="표준 6 2 2 2 3 2 3" xfId="27779" xr:uid="{00000000-0005-0000-0000-00007E6C0000}"/>
    <cellStyle name="표준 6 2 2 2 3 2 3 2" xfId="27780" xr:uid="{00000000-0005-0000-0000-00007F6C0000}"/>
    <cellStyle name="표준 6 2 2 2 3 2 3 2 2" xfId="27781" xr:uid="{00000000-0005-0000-0000-0000806C0000}"/>
    <cellStyle name="표준 6 2 2 2 3 2 3 2 2 2" xfId="27782" xr:uid="{00000000-0005-0000-0000-0000816C0000}"/>
    <cellStyle name="표준 6 2 2 2 3 2 3 2 3" xfId="27783" xr:uid="{00000000-0005-0000-0000-0000826C0000}"/>
    <cellStyle name="표준 6 2 2 2 3 2 3 3" xfId="27784" xr:uid="{00000000-0005-0000-0000-0000836C0000}"/>
    <cellStyle name="표준 6 2 2 2 3 2 3 3 2" xfId="27785" xr:uid="{00000000-0005-0000-0000-0000846C0000}"/>
    <cellStyle name="표준 6 2 2 2 3 2 3 4" xfId="27786" xr:uid="{00000000-0005-0000-0000-0000856C0000}"/>
    <cellStyle name="표준 6 2 2 2 3 2 4" xfId="27787" xr:uid="{00000000-0005-0000-0000-0000866C0000}"/>
    <cellStyle name="표준 6 2 2 2 3 2 4 2" xfId="27788" xr:uid="{00000000-0005-0000-0000-0000876C0000}"/>
    <cellStyle name="표준 6 2 2 2 3 2 4 2 2" xfId="27789" xr:uid="{00000000-0005-0000-0000-0000886C0000}"/>
    <cellStyle name="표준 6 2 2 2 3 2 4 3" xfId="27790" xr:uid="{00000000-0005-0000-0000-0000896C0000}"/>
    <cellStyle name="표준 6 2 2 2 3 2 5" xfId="27791" xr:uid="{00000000-0005-0000-0000-00008A6C0000}"/>
    <cellStyle name="표준 6 2 2 2 3 2 5 2" xfId="27792" xr:uid="{00000000-0005-0000-0000-00008B6C0000}"/>
    <cellStyle name="표준 6 2 2 2 3 2 6" xfId="27793" xr:uid="{00000000-0005-0000-0000-00008C6C0000}"/>
    <cellStyle name="표준 6 2 2 2 3 3" xfId="27794" xr:uid="{00000000-0005-0000-0000-00008D6C0000}"/>
    <cellStyle name="표준 6 2 2 2 3 3 2" xfId="27795" xr:uid="{00000000-0005-0000-0000-00008E6C0000}"/>
    <cellStyle name="표준 6 2 2 2 3 3 2 2" xfId="27796" xr:uid="{00000000-0005-0000-0000-00008F6C0000}"/>
    <cellStyle name="표준 6 2 2 2 3 3 2 2 2" xfId="27797" xr:uid="{00000000-0005-0000-0000-0000906C0000}"/>
    <cellStyle name="표준 6 2 2 2 3 3 2 2 2 2" xfId="27798" xr:uid="{00000000-0005-0000-0000-0000916C0000}"/>
    <cellStyle name="표준 6 2 2 2 3 3 2 2 3" xfId="27799" xr:uid="{00000000-0005-0000-0000-0000926C0000}"/>
    <cellStyle name="표준 6 2 2 2 3 3 2 3" xfId="27800" xr:uid="{00000000-0005-0000-0000-0000936C0000}"/>
    <cellStyle name="표준 6 2 2 2 3 3 2 3 2" xfId="27801" xr:uid="{00000000-0005-0000-0000-0000946C0000}"/>
    <cellStyle name="표준 6 2 2 2 3 3 2 4" xfId="27802" xr:uid="{00000000-0005-0000-0000-0000956C0000}"/>
    <cellStyle name="표준 6 2 2 2 3 3 3" xfId="27803" xr:uid="{00000000-0005-0000-0000-0000966C0000}"/>
    <cellStyle name="표준 6 2 2 2 3 3 3 2" xfId="27804" xr:uid="{00000000-0005-0000-0000-0000976C0000}"/>
    <cellStyle name="표준 6 2 2 2 3 3 3 2 2" xfId="27805" xr:uid="{00000000-0005-0000-0000-0000986C0000}"/>
    <cellStyle name="표준 6 2 2 2 3 3 3 3" xfId="27806" xr:uid="{00000000-0005-0000-0000-0000996C0000}"/>
    <cellStyle name="표준 6 2 2 2 3 3 4" xfId="27807" xr:uid="{00000000-0005-0000-0000-00009A6C0000}"/>
    <cellStyle name="표준 6 2 2 2 3 3 4 2" xfId="27808" xr:uid="{00000000-0005-0000-0000-00009B6C0000}"/>
    <cellStyle name="표준 6 2 2 2 3 3 5" xfId="27809" xr:uid="{00000000-0005-0000-0000-00009C6C0000}"/>
    <cellStyle name="표준 6 2 2 2 3 4" xfId="27810" xr:uid="{00000000-0005-0000-0000-00009D6C0000}"/>
    <cellStyle name="표준 6 2 2 2 3 4 2" xfId="27811" xr:uid="{00000000-0005-0000-0000-00009E6C0000}"/>
    <cellStyle name="표준 6 2 2 2 3 4 2 2" xfId="27812" xr:uid="{00000000-0005-0000-0000-00009F6C0000}"/>
    <cellStyle name="표준 6 2 2 2 3 4 2 2 2" xfId="27813" xr:uid="{00000000-0005-0000-0000-0000A06C0000}"/>
    <cellStyle name="표준 6 2 2 2 3 4 2 3" xfId="27814" xr:uid="{00000000-0005-0000-0000-0000A16C0000}"/>
    <cellStyle name="표준 6 2 2 2 3 4 3" xfId="27815" xr:uid="{00000000-0005-0000-0000-0000A26C0000}"/>
    <cellStyle name="표준 6 2 2 2 3 4 3 2" xfId="27816" xr:uid="{00000000-0005-0000-0000-0000A36C0000}"/>
    <cellStyle name="표준 6 2 2 2 3 4 4" xfId="27817" xr:uid="{00000000-0005-0000-0000-0000A46C0000}"/>
    <cellStyle name="표준 6 2 2 2 3 5" xfId="27818" xr:uid="{00000000-0005-0000-0000-0000A56C0000}"/>
    <cellStyle name="표준 6 2 2 2 3 5 2" xfId="27819" xr:uid="{00000000-0005-0000-0000-0000A66C0000}"/>
    <cellStyle name="표준 6 2 2 2 3 5 2 2" xfId="27820" xr:uid="{00000000-0005-0000-0000-0000A76C0000}"/>
    <cellStyle name="표준 6 2 2 2 3 5 3" xfId="27821" xr:uid="{00000000-0005-0000-0000-0000A86C0000}"/>
    <cellStyle name="표준 6 2 2 2 3 6" xfId="27822" xr:uid="{00000000-0005-0000-0000-0000A96C0000}"/>
    <cellStyle name="표준 6 2 2 2 3 6 2" xfId="27823" xr:uid="{00000000-0005-0000-0000-0000AA6C0000}"/>
    <cellStyle name="표준 6 2 2 2 3 7" xfId="27824" xr:uid="{00000000-0005-0000-0000-0000AB6C0000}"/>
    <cellStyle name="표준 6 2 2 2 3 8" xfId="27825" xr:uid="{00000000-0005-0000-0000-0000AC6C0000}"/>
    <cellStyle name="표준 6 2 2 2 4" xfId="27826" xr:uid="{00000000-0005-0000-0000-0000AD6C0000}"/>
    <cellStyle name="표준 6 2 2 2 4 2" xfId="27827" xr:uid="{00000000-0005-0000-0000-0000AE6C0000}"/>
    <cellStyle name="표준 6 2 2 2 4 2 2" xfId="27828" xr:uid="{00000000-0005-0000-0000-0000AF6C0000}"/>
    <cellStyle name="표준 6 2 2 2 4 2 2 2" xfId="27829" xr:uid="{00000000-0005-0000-0000-0000B06C0000}"/>
    <cellStyle name="표준 6 2 2 2 4 2 2 2 2" xfId="27830" xr:uid="{00000000-0005-0000-0000-0000B16C0000}"/>
    <cellStyle name="표준 6 2 2 2 4 2 2 2 2 2" xfId="27831" xr:uid="{00000000-0005-0000-0000-0000B26C0000}"/>
    <cellStyle name="표준 6 2 2 2 4 2 2 2 3" xfId="27832" xr:uid="{00000000-0005-0000-0000-0000B36C0000}"/>
    <cellStyle name="표준 6 2 2 2 4 2 2 3" xfId="27833" xr:uid="{00000000-0005-0000-0000-0000B46C0000}"/>
    <cellStyle name="표준 6 2 2 2 4 2 2 3 2" xfId="27834" xr:uid="{00000000-0005-0000-0000-0000B56C0000}"/>
    <cellStyle name="표준 6 2 2 2 4 2 2 4" xfId="27835" xr:uid="{00000000-0005-0000-0000-0000B66C0000}"/>
    <cellStyle name="표준 6 2 2 2 4 2 3" xfId="27836" xr:uid="{00000000-0005-0000-0000-0000B76C0000}"/>
    <cellStyle name="표준 6 2 2 2 4 2 3 2" xfId="27837" xr:uid="{00000000-0005-0000-0000-0000B86C0000}"/>
    <cellStyle name="표준 6 2 2 2 4 2 3 2 2" xfId="27838" xr:uid="{00000000-0005-0000-0000-0000B96C0000}"/>
    <cellStyle name="표준 6 2 2 2 4 2 3 3" xfId="27839" xr:uid="{00000000-0005-0000-0000-0000BA6C0000}"/>
    <cellStyle name="표준 6 2 2 2 4 2 4" xfId="27840" xr:uid="{00000000-0005-0000-0000-0000BB6C0000}"/>
    <cellStyle name="표준 6 2 2 2 4 2 4 2" xfId="27841" xr:uid="{00000000-0005-0000-0000-0000BC6C0000}"/>
    <cellStyle name="표준 6 2 2 2 4 2 5" xfId="27842" xr:uid="{00000000-0005-0000-0000-0000BD6C0000}"/>
    <cellStyle name="표준 6 2 2 2 4 3" xfId="27843" xr:uid="{00000000-0005-0000-0000-0000BE6C0000}"/>
    <cellStyle name="표준 6 2 2 2 4 3 2" xfId="27844" xr:uid="{00000000-0005-0000-0000-0000BF6C0000}"/>
    <cellStyle name="표준 6 2 2 2 4 3 2 2" xfId="27845" xr:uid="{00000000-0005-0000-0000-0000C06C0000}"/>
    <cellStyle name="표준 6 2 2 2 4 3 2 2 2" xfId="27846" xr:uid="{00000000-0005-0000-0000-0000C16C0000}"/>
    <cellStyle name="표준 6 2 2 2 4 3 2 3" xfId="27847" xr:uid="{00000000-0005-0000-0000-0000C26C0000}"/>
    <cellStyle name="표준 6 2 2 2 4 3 3" xfId="27848" xr:uid="{00000000-0005-0000-0000-0000C36C0000}"/>
    <cellStyle name="표준 6 2 2 2 4 3 3 2" xfId="27849" xr:uid="{00000000-0005-0000-0000-0000C46C0000}"/>
    <cellStyle name="표준 6 2 2 2 4 3 4" xfId="27850" xr:uid="{00000000-0005-0000-0000-0000C56C0000}"/>
    <cellStyle name="표준 6 2 2 2 4 4" xfId="27851" xr:uid="{00000000-0005-0000-0000-0000C66C0000}"/>
    <cellStyle name="표준 6 2 2 2 4 4 2" xfId="27852" xr:uid="{00000000-0005-0000-0000-0000C76C0000}"/>
    <cellStyle name="표준 6 2 2 2 4 4 2 2" xfId="27853" xr:uid="{00000000-0005-0000-0000-0000C86C0000}"/>
    <cellStyle name="표준 6 2 2 2 4 4 3" xfId="27854" xr:uid="{00000000-0005-0000-0000-0000C96C0000}"/>
    <cellStyle name="표준 6 2 2 2 4 5" xfId="27855" xr:uid="{00000000-0005-0000-0000-0000CA6C0000}"/>
    <cellStyle name="표준 6 2 2 2 4 5 2" xfId="27856" xr:uid="{00000000-0005-0000-0000-0000CB6C0000}"/>
    <cellStyle name="표준 6 2 2 2 4 6" xfId="27857" xr:uid="{00000000-0005-0000-0000-0000CC6C0000}"/>
    <cellStyle name="표준 6 2 2 2 5" xfId="27858" xr:uid="{00000000-0005-0000-0000-0000CD6C0000}"/>
    <cellStyle name="표준 6 2 2 2 5 2" xfId="27859" xr:uid="{00000000-0005-0000-0000-0000CE6C0000}"/>
    <cellStyle name="표준 6 2 2 2 5 2 2" xfId="27860" xr:uid="{00000000-0005-0000-0000-0000CF6C0000}"/>
    <cellStyle name="표준 6 2 2 2 5 2 2 2" xfId="27861" xr:uid="{00000000-0005-0000-0000-0000D06C0000}"/>
    <cellStyle name="표준 6 2 2 2 5 2 2 2 2" xfId="27862" xr:uid="{00000000-0005-0000-0000-0000D16C0000}"/>
    <cellStyle name="표준 6 2 2 2 5 2 2 3" xfId="27863" xr:uid="{00000000-0005-0000-0000-0000D26C0000}"/>
    <cellStyle name="표준 6 2 2 2 5 2 3" xfId="27864" xr:uid="{00000000-0005-0000-0000-0000D36C0000}"/>
    <cellStyle name="표준 6 2 2 2 5 2 3 2" xfId="27865" xr:uid="{00000000-0005-0000-0000-0000D46C0000}"/>
    <cellStyle name="표준 6 2 2 2 5 2 4" xfId="27866" xr:uid="{00000000-0005-0000-0000-0000D56C0000}"/>
    <cellStyle name="표준 6 2 2 2 5 3" xfId="27867" xr:uid="{00000000-0005-0000-0000-0000D66C0000}"/>
    <cellStyle name="표준 6 2 2 2 5 3 2" xfId="27868" xr:uid="{00000000-0005-0000-0000-0000D76C0000}"/>
    <cellStyle name="표준 6 2 2 2 5 3 2 2" xfId="27869" xr:uid="{00000000-0005-0000-0000-0000D86C0000}"/>
    <cellStyle name="표준 6 2 2 2 5 3 3" xfId="27870" xr:uid="{00000000-0005-0000-0000-0000D96C0000}"/>
    <cellStyle name="표준 6 2 2 2 5 4" xfId="27871" xr:uid="{00000000-0005-0000-0000-0000DA6C0000}"/>
    <cellStyle name="표준 6 2 2 2 5 4 2" xfId="27872" xr:uid="{00000000-0005-0000-0000-0000DB6C0000}"/>
    <cellStyle name="표준 6 2 2 2 5 5" xfId="27873" xr:uid="{00000000-0005-0000-0000-0000DC6C0000}"/>
    <cellStyle name="표준 6 2 2 2 6" xfId="27874" xr:uid="{00000000-0005-0000-0000-0000DD6C0000}"/>
    <cellStyle name="표준 6 2 2 2 6 2" xfId="27875" xr:uid="{00000000-0005-0000-0000-0000DE6C0000}"/>
    <cellStyle name="표준 6 2 2 2 6 2 2" xfId="27876" xr:uid="{00000000-0005-0000-0000-0000DF6C0000}"/>
    <cellStyle name="표준 6 2 2 2 6 2 2 2" xfId="27877" xr:uid="{00000000-0005-0000-0000-0000E06C0000}"/>
    <cellStyle name="표준 6 2 2 2 6 2 3" xfId="27878" xr:uid="{00000000-0005-0000-0000-0000E16C0000}"/>
    <cellStyle name="표준 6 2 2 2 6 3" xfId="27879" xr:uid="{00000000-0005-0000-0000-0000E26C0000}"/>
    <cellStyle name="표준 6 2 2 2 6 3 2" xfId="27880" xr:uid="{00000000-0005-0000-0000-0000E36C0000}"/>
    <cellStyle name="표준 6 2 2 2 6 4" xfId="27881" xr:uid="{00000000-0005-0000-0000-0000E46C0000}"/>
    <cellStyle name="표준 6 2 2 2 7" xfId="27882" xr:uid="{00000000-0005-0000-0000-0000E56C0000}"/>
    <cellStyle name="표준 6 2 2 2 7 2" xfId="27883" xr:uid="{00000000-0005-0000-0000-0000E66C0000}"/>
    <cellStyle name="표준 6 2 2 2 7 2 2" xfId="27884" xr:uid="{00000000-0005-0000-0000-0000E76C0000}"/>
    <cellStyle name="표준 6 2 2 2 7 3" xfId="27885" xr:uid="{00000000-0005-0000-0000-0000E86C0000}"/>
    <cellStyle name="표준 6 2 2 2 8" xfId="27886" xr:uid="{00000000-0005-0000-0000-0000E96C0000}"/>
    <cellStyle name="표준 6 2 2 2 8 2" xfId="27887" xr:uid="{00000000-0005-0000-0000-0000EA6C0000}"/>
    <cellStyle name="표준 6 2 2 2 9" xfId="27888" xr:uid="{00000000-0005-0000-0000-0000EB6C0000}"/>
    <cellStyle name="표준 6 2 2 3" xfId="27889" xr:uid="{00000000-0005-0000-0000-0000EC6C0000}"/>
    <cellStyle name="표준 6 2 2 3 2" xfId="27890" xr:uid="{00000000-0005-0000-0000-0000ED6C0000}"/>
    <cellStyle name="표준 6 2 2 3 2 2" xfId="27891" xr:uid="{00000000-0005-0000-0000-0000EE6C0000}"/>
    <cellStyle name="표준 6 2 2 3 2 2 2" xfId="27892" xr:uid="{00000000-0005-0000-0000-0000EF6C0000}"/>
    <cellStyle name="표준 6 2 2 3 2 2 2 2" xfId="27893" xr:uid="{00000000-0005-0000-0000-0000F06C0000}"/>
    <cellStyle name="표준 6 2 2 3 2 2 2 2 2" xfId="27894" xr:uid="{00000000-0005-0000-0000-0000F16C0000}"/>
    <cellStyle name="표준 6 2 2 3 2 2 2 2 2 2" xfId="27895" xr:uid="{00000000-0005-0000-0000-0000F26C0000}"/>
    <cellStyle name="표준 6 2 2 3 2 2 2 2 2 2 2" xfId="27896" xr:uid="{00000000-0005-0000-0000-0000F36C0000}"/>
    <cellStyle name="표준 6 2 2 3 2 2 2 2 2 3" xfId="27897" xr:uid="{00000000-0005-0000-0000-0000F46C0000}"/>
    <cellStyle name="표준 6 2 2 3 2 2 2 2 3" xfId="27898" xr:uid="{00000000-0005-0000-0000-0000F56C0000}"/>
    <cellStyle name="표준 6 2 2 3 2 2 2 2 3 2" xfId="27899" xr:uid="{00000000-0005-0000-0000-0000F66C0000}"/>
    <cellStyle name="표준 6 2 2 3 2 2 2 2 4" xfId="27900" xr:uid="{00000000-0005-0000-0000-0000F76C0000}"/>
    <cellStyle name="표준 6 2 2 3 2 2 2 3" xfId="27901" xr:uid="{00000000-0005-0000-0000-0000F86C0000}"/>
    <cellStyle name="표준 6 2 2 3 2 2 2 3 2" xfId="27902" xr:uid="{00000000-0005-0000-0000-0000F96C0000}"/>
    <cellStyle name="표준 6 2 2 3 2 2 2 3 2 2" xfId="27903" xr:uid="{00000000-0005-0000-0000-0000FA6C0000}"/>
    <cellStyle name="표준 6 2 2 3 2 2 2 3 3" xfId="27904" xr:uid="{00000000-0005-0000-0000-0000FB6C0000}"/>
    <cellStyle name="표준 6 2 2 3 2 2 2 4" xfId="27905" xr:uid="{00000000-0005-0000-0000-0000FC6C0000}"/>
    <cellStyle name="표준 6 2 2 3 2 2 2 4 2" xfId="27906" xr:uid="{00000000-0005-0000-0000-0000FD6C0000}"/>
    <cellStyle name="표준 6 2 2 3 2 2 2 5" xfId="27907" xr:uid="{00000000-0005-0000-0000-0000FE6C0000}"/>
    <cellStyle name="표준 6 2 2 3 2 2 3" xfId="27908" xr:uid="{00000000-0005-0000-0000-0000FF6C0000}"/>
    <cellStyle name="표준 6 2 2 3 2 2 3 2" xfId="27909" xr:uid="{00000000-0005-0000-0000-0000006D0000}"/>
    <cellStyle name="표준 6 2 2 3 2 2 3 2 2" xfId="27910" xr:uid="{00000000-0005-0000-0000-0000016D0000}"/>
    <cellStyle name="표준 6 2 2 3 2 2 3 2 2 2" xfId="27911" xr:uid="{00000000-0005-0000-0000-0000026D0000}"/>
    <cellStyle name="표준 6 2 2 3 2 2 3 2 3" xfId="27912" xr:uid="{00000000-0005-0000-0000-0000036D0000}"/>
    <cellStyle name="표준 6 2 2 3 2 2 3 3" xfId="27913" xr:uid="{00000000-0005-0000-0000-0000046D0000}"/>
    <cellStyle name="표준 6 2 2 3 2 2 3 3 2" xfId="27914" xr:uid="{00000000-0005-0000-0000-0000056D0000}"/>
    <cellStyle name="표준 6 2 2 3 2 2 3 4" xfId="27915" xr:uid="{00000000-0005-0000-0000-0000066D0000}"/>
    <cellStyle name="표준 6 2 2 3 2 2 4" xfId="27916" xr:uid="{00000000-0005-0000-0000-0000076D0000}"/>
    <cellStyle name="표준 6 2 2 3 2 2 4 2" xfId="27917" xr:uid="{00000000-0005-0000-0000-0000086D0000}"/>
    <cellStyle name="표준 6 2 2 3 2 2 4 2 2" xfId="27918" xr:uid="{00000000-0005-0000-0000-0000096D0000}"/>
    <cellStyle name="표준 6 2 2 3 2 2 4 3" xfId="27919" xr:uid="{00000000-0005-0000-0000-00000A6D0000}"/>
    <cellStyle name="표준 6 2 2 3 2 2 5" xfId="27920" xr:uid="{00000000-0005-0000-0000-00000B6D0000}"/>
    <cellStyle name="표준 6 2 2 3 2 2 5 2" xfId="27921" xr:uid="{00000000-0005-0000-0000-00000C6D0000}"/>
    <cellStyle name="표준 6 2 2 3 2 2 6" xfId="27922" xr:uid="{00000000-0005-0000-0000-00000D6D0000}"/>
    <cellStyle name="표준 6 2 2 3 2 3" xfId="27923" xr:uid="{00000000-0005-0000-0000-00000E6D0000}"/>
    <cellStyle name="표준 6 2 2 3 2 3 2" xfId="27924" xr:uid="{00000000-0005-0000-0000-00000F6D0000}"/>
    <cellStyle name="표준 6 2 2 3 2 3 2 2" xfId="27925" xr:uid="{00000000-0005-0000-0000-0000106D0000}"/>
    <cellStyle name="표준 6 2 2 3 2 3 2 2 2" xfId="27926" xr:uid="{00000000-0005-0000-0000-0000116D0000}"/>
    <cellStyle name="표준 6 2 2 3 2 3 2 2 2 2" xfId="27927" xr:uid="{00000000-0005-0000-0000-0000126D0000}"/>
    <cellStyle name="표준 6 2 2 3 2 3 2 2 3" xfId="27928" xr:uid="{00000000-0005-0000-0000-0000136D0000}"/>
    <cellStyle name="표준 6 2 2 3 2 3 2 3" xfId="27929" xr:uid="{00000000-0005-0000-0000-0000146D0000}"/>
    <cellStyle name="표준 6 2 2 3 2 3 2 3 2" xfId="27930" xr:uid="{00000000-0005-0000-0000-0000156D0000}"/>
    <cellStyle name="표준 6 2 2 3 2 3 2 4" xfId="27931" xr:uid="{00000000-0005-0000-0000-0000166D0000}"/>
    <cellStyle name="표준 6 2 2 3 2 3 3" xfId="27932" xr:uid="{00000000-0005-0000-0000-0000176D0000}"/>
    <cellStyle name="표준 6 2 2 3 2 3 3 2" xfId="27933" xr:uid="{00000000-0005-0000-0000-0000186D0000}"/>
    <cellStyle name="표준 6 2 2 3 2 3 3 2 2" xfId="27934" xr:uid="{00000000-0005-0000-0000-0000196D0000}"/>
    <cellStyle name="표준 6 2 2 3 2 3 3 3" xfId="27935" xr:uid="{00000000-0005-0000-0000-00001A6D0000}"/>
    <cellStyle name="표준 6 2 2 3 2 3 4" xfId="27936" xr:uid="{00000000-0005-0000-0000-00001B6D0000}"/>
    <cellStyle name="표준 6 2 2 3 2 3 4 2" xfId="27937" xr:uid="{00000000-0005-0000-0000-00001C6D0000}"/>
    <cellStyle name="표준 6 2 2 3 2 3 5" xfId="27938" xr:uid="{00000000-0005-0000-0000-00001D6D0000}"/>
    <cellStyle name="표준 6 2 2 3 2 4" xfId="27939" xr:uid="{00000000-0005-0000-0000-00001E6D0000}"/>
    <cellStyle name="표준 6 2 2 3 2 4 2" xfId="27940" xr:uid="{00000000-0005-0000-0000-00001F6D0000}"/>
    <cellStyle name="표준 6 2 2 3 2 4 2 2" xfId="27941" xr:uid="{00000000-0005-0000-0000-0000206D0000}"/>
    <cellStyle name="표준 6 2 2 3 2 4 2 2 2" xfId="27942" xr:uid="{00000000-0005-0000-0000-0000216D0000}"/>
    <cellStyle name="표준 6 2 2 3 2 4 2 3" xfId="27943" xr:uid="{00000000-0005-0000-0000-0000226D0000}"/>
    <cellStyle name="표준 6 2 2 3 2 4 3" xfId="27944" xr:uid="{00000000-0005-0000-0000-0000236D0000}"/>
    <cellStyle name="표준 6 2 2 3 2 4 3 2" xfId="27945" xr:uid="{00000000-0005-0000-0000-0000246D0000}"/>
    <cellStyle name="표준 6 2 2 3 2 4 4" xfId="27946" xr:uid="{00000000-0005-0000-0000-0000256D0000}"/>
    <cellStyle name="표준 6 2 2 3 2 5" xfId="27947" xr:uid="{00000000-0005-0000-0000-0000266D0000}"/>
    <cellStyle name="표준 6 2 2 3 2 5 2" xfId="27948" xr:uid="{00000000-0005-0000-0000-0000276D0000}"/>
    <cellStyle name="표준 6 2 2 3 2 5 2 2" xfId="27949" xr:uid="{00000000-0005-0000-0000-0000286D0000}"/>
    <cellStyle name="표준 6 2 2 3 2 5 3" xfId="27950" xr:uid="{00000000-0005-0000-0000-0000296D0000}"/>
    <cellStyle name="표준 6 2 2 3 2 6" xfId="27951" xr:uid="{00000000-0005-0000-0000-00002A6D0000}"/>
    <cellStyle name="표준 6 2 2 3 2 6 2" xfId="27952" xr:uid="{00000000-0005-0000-0000-00002B6D0000}"/>
    <cellStyle name="표준 6 2 2 3 2 7" xfId="27953" xr:uid="{00000000-0005-0000-0000-00002C6D0000}"/>
    <cellStyle name="표준 6 2 2 3 2 8" xfId="27954" xr:uid="{00000000-0005-0000-0000-00002D6D0000}"/>
    <cellStyle name="표준 6 2 2 3 3" xfId="27955" xr:uid="{00000000-0005-0000-0000-00002E6D0000}"/>
    <cellStyle name="표준 6 2 2 3 3 2" xfId="27956" xr:uid="{00000000-0005-0000-0000-00002F6D0000}"/>
    <cellStyle name="표준 6 2 2 3 3 2 2" xfId="27957" xr:uid="{00000000-0005-0000-0000-0000306D0000}"/>
    <cellStyle name="표준 6 2 2 3 3 2 2 2" xfId="27958" xr:uid="{00000000-0005-0000-0000-0000316D0000}"/>
    <cellStyle name="표준 6 2 2 3 3 2 2 2 2" xfId="27959" xr:uid="{00000000-0005-0000-0000-0000326D0000}"/>
    <cellStyle name="표준 6 2 2 3 3 2 2 2 2 2" xfId="27960" xr:uid="{00000000-0005-0000-0000-0000336D0000}"/>
    <cellStyle name="표준 6 2 2 3 3 2 2 2 3" xfId="27961" xr:uid="{00000000-0005-0000-0000-0000346D0000}"/>
    <cellStyle name="표준 6 2 2 3 3 2 2 3" xfId="27962" xr:uid="{00000000-0005-0000-0000-0000356D0000}"/>
    <cellStyle name="표준 6 2 2 3 3 2 2 3 2" xfId="27963" xr:uid="{00000000-0005-0000-0000-0000366D0000}"/>
    <cellStyle name="표준 6 2 2 3 3 2 2 4" xfId="27964" xr:uid="{00000000-0005-0000-0000-0000376D0000}"/>
    <cellStyle name="표준 6 2 2 3 3 2 3" xfId="27965" xr:uid="{00000000-0005-0000-0000-0000386D0000}"/>
    <cellStyle name="표준 6 2 2 3 3 2 3 2" xfId="27966" xr:uid="{00000000-0005-0000-0000-0000396D0000}"/>
    <cellStyle name="표준 6 2 2 3 3 2 3 2 2" xfId="27967" xr:uid="{00000000-0005-0000-0000-00003A6D0000}"/>
    <cellStyle name="표준 6 2 2 3 3 2 3 3" xfId="27968" xr:uid="{00000000-0005-0000-0000-00003B6D0000}"/>
    <cellStyle name="표준 6 2 2 3 3 2 4" xfId="27969" xr:uid="{00000000-0005-0000-0000-00003C6D0000}"/>
    <cellStyle name="표준 6 2 2 3 3 2 4 2" xfId="27970" xr:uid="{00000000-0005-0000-0000-00003D6D0000}"/>
    <cellStyle name="표준 6 2 2 3 3 2 5" xfId="27971" xr:uid="{00000000-0005-0000-0000-00003E6D0000}"/>
    <cellStyle name="표준 6 2 2 3 3 3" xfId="27972" xr:uid="{00000000-0005-0000-0000-00003F6D0000}"/>
    <cellStyle name="표준 6 2 2 3 3 3 2" xfId="27973" xr:uid="{00000000-0005-0000-0000-0000406D0000}"/>
    <cellStyle name="표준 6 2 2 3 3 3 2 2" xfId="27974" xr:uid="{00000000-0005-0000-0000-0000416D0000}"/>
    <cellStyle name="표준 6 2 2 3 3 3 2 2 2" xfId="27975" xr:uid="{00000000-0005-0000-0000-0000426D0000}"/>
    <cellStyle name="표준 6 2 2 3 3 3 2 3" xfId="27976" xr:uid="{00000000-0005-0000-0000-0000436D0000}"/>
    <cellStyle name="표준 6 2 2 3 3 3 3" xfId="27977" xr:uid="{00000000-0005-0000-0000-0000446D0000}"/>
    <cellStyle name="표준 6 2 2 3 3 3 3 2" xfId="27978" xr:uid="{00000000-0005-0000-0000-0000456D0000}"/>
    <cellStyle name="표준 6 2 2 3 3 3 4" xfId="27979" xr:uid="{00000000-0005-0000-0000-0000466D0000}"/>
    <cellStyle name="표준 6 2 2 3 3 4" xfId="27980" xr:uid="{00000000-0005-0000-0000-0000476D0000}"/>
    <cellStyle name="표준 6 2 2 3 3 4 2" xfId="27981" xr:uid="{00000000-0005-0000-0000-0000486D0000}"/>
    <cellStyle name="표준 6 2 2 3 3 4 2 2" xfId="27982" xr:uid="{00000000-0005-0000-0000-0000496D0000}"/>
    <cellStyle name="표준 6 2 2 3 3 4 3" xfId="27983" xr:uid="{00000000-0005-0000-0000-00004A6D0000}"/>
    <cellStyle name="표준 6 2 2 3 3 5" xfId="27984" xr:uid="{00000000-0005-0000-0000-00004B6D0000}"/>
    <cellStyle name="표준 6 2 2 3 3 5 2" xfId="27985" xr:uid="{00000000-0005-0000-0000-00004C6D0000}"/>
    <cellStyle name="표준 6 2 2 3 3 6" xfId="27986" xr:uid="{00000000-0005-0000-0000-00004D6D0000}"/>
    <cellStyle name="표준 6 2 2 3 4" xfId="27987" xr:uid="{00000000-0005-0000-0000-00004E6D0000}"/>
    <cellStyle name="표준 6 2 2 3 4 2" xfId="27988" xr:uid="{00000000-0005-0000-0000-00004F6D0000}"/>
    <cellStyle name="표준 6 2 2 3 4 2 2" xfId="27989" xr:uid="{00000000-0005-0000-0000-0000506D0000}"/>
    <cellStyle name="표준 6 2 2 3 4 2 2 2" xfId="27990" xr:uid="{00000000-0005-0000-0000-0000516D0000}"/>
    <cellStyle name="표준 6 2 2 3 4 2 2 2 2" xfId="27991" xr:uid="{00000000-0005-0000-0000-0000526D0000}"/>
    <cellStyle name="표준 6 2 2 3 4 2 2 3" xfId="27992" xr:uid="{00000000-0005-0000-0000-0000536D0000}"/>
    <cellStyle name="표준 6 2 2 3 4 2 3" xfId="27993" xr:uid="{00000000-0005-0000-0000-0000546D0000}"/>
    <cellStyle name="표준 6 2 2 3 4 2 3 2" xfId="27994" xr:uid="{00000000-0005-0000-0000-0000556D0000}"/>
    <cellStyle name="표준 6 2 2 3 4 2 4" xfId="27995" xr:uid="{00000000-0005-0000-0000-0000566D0000}"/>
    <cellStyle name="표준 6 2 2 3 4 3" xfId="27996" xr:uid="{00000000-0005-0000-0000-0000576D0000}"/>
    <cellStyle name="표준 6 2 2 3 4 3 2" xfId="27997" xr:uid="{00000000-0005-0000-0000-0000586D0000}"/>
    <cellStyle name="표준 6 2 2 3 4 3 2 2" xfId="27998" xr:uid="{00000000-0005-0000-0000-0000596D0000}"/>
    <cellStyle name="표준 6 2 2 3 4 3 3" xfId="27999" xr:uid="{00000000-0005-0000-0000-00005A6D0000}"/>
    <cellStyle name="표준 6 2 2 3 4 4" xfId="28000" xr:uid="{00000000-0005-0000-0000-00005B6D0000}"/>
    <cellStyle name="표준 6 2 2 3 4 4 2" xfId="28001" xr:uid="{00000000-0005-0000-0000-00005C6D0000}"/>
    <cellStyle name="표준 6 2 2 3 4 5" xfId="28002" xr:uid="{00000000-0005-0000-0000-00005D6D0000}"/>
    <cellStyle name="표준 6 2 2 3 5" xfId="28003" xr:uid="{00000000-0005-0000-0000-00005E6D0000}"/>
    <cellStyle name="표준 6 2 2 3 5 2" xfId="28004" xr:uid="{00000000-0005-0000-0000-00005F6D0000}"/>
    <cellStyle name="표준 6 2 2 3 5 2 2" xfId="28005" xr:uid="{00000000-0005-0000-0000-0000606D0000}"/>
    <cellStyle name="표준 6 2 2 3 5 2 2 2" xfId="28006" xr:uid="{00000000-0005-0000-0000-0000616D0000}"/>
    <cellStyle name="표준 6 2 2 3 5 2 3" xfId="28007" xr:uid="{00000000-0005-0000-0000-0000626D0000}"/>
    <cellStyle name="표준 6 2 2 3 5 3" xfId="28008" xr:uid="{00000000-0005-0000-0000-0000636D0000}"/>
    <cellStyle name="표준 6 2 2 3 5 3 2" xfId="28009" xr:uid="{00000000-0005-0000-0000-0000646D0000}"/>
    <cellStyle name="표준 6 2 2 3 5 4" xfId="28010" xr:uid="{00000000-0005-0000-0000-0000656D0000}"/>
    <cellStyle name="표준 6 2 2 3 6" xfId="28011" xr:uid="{00000000-0005-0000-0000-0000666D0000}"/>
    <cellStyle name="표준 6 2 2 3 6 2" xfId="28012" xr:uid="{00000000-0005-0000-0000-0000676D0000}"/>
    <cellStyle name="표준 6 2 2 3 6 2 2" xfId="28013" xr:uid="{00000000-0005-0000-0000-0000686D0000}"/>
    <cellStyle name="표준 6 2 2 3 6 3" xfId="28014" xr:uid="{00000000-0005-0000-0000-0000696D0000}"/>
    <cellStyle name="표준 6 2 2 3 7" xfId="28015" xr:uid="{00000000-0005-0000-0000-00006A6D0000}"/>
    <cellStyle name="표준 6 2 2 3 7 2" xfId="28016" xr:uid="{00000000-0005-0000-0000-00006B6D0000}"/>
    <cellStyle name="표준 6 2 2 3 8" xfId="28017" xr:uid="{00000000-0005-0000-0000-00006C6D0000}"/>
    <cellStyle name="표준 6 2 2 3 9" xfId="28018" xr:uid="{00000000-0005-0000-0000-00006D6D0000}"/>
    <cellStyle name="표준 6 2 2 4" xfId="28019" xr:uid="{00000000-0005-0000-0000-00006E6D0000}"/>
    <cellStyle name="표준 6 2 2 4 2" xfId="28020" xr:uid="{00000000-0005-0000-0000-00006F6D0000}"/>
    <cellStyle name="표준 6 2 2 4 2 2" xfId="28021" xr:uid="{00000000-0005-0000-0000-0000706D0000}"/>
    <cellStyle name="표준 6 2 2 4 2 2 2" xfId="28022" xr:uid="{00000000-0005-0000-0000-0000716D0000}"/>
    <cellStyle name="표준 6 2 2 4 2 2 2 2" xfId="28023" xr:uid="{00000000-0005-0000-0000-0000726D0000}"/>
    <cellStyle name="표준 6 2 2 4 2 2 2 2 2" xfId="28024" xr:uid="{00000000-0005-0000-0000-0000736D0000}"/>
    <cellStyle name="표준 6 2 2 4 2 2 2 2 2 2" xfId="28025" xr:uid="{00000000-0005-0000-0000-0000746D0000}"/>
    <cellStyle name="표준 6 2 2 4 2 2 2 2 3" xfId="28026" xr:uid="{00000000-0005-0000-0000-0000756D0000}"/>
    <cellStyle name="표준 6 2 2 4 2 2 2 3" xfId="28027" xr:uid="{00000000-0005-0000-0000-0000766D0000}"/>
    <cellStyle name="표준 6 2 2 4 2 2 2 3 2" xfId="28028" xr:uid="{00000000-0005-0000-0000-0000776D0000}"/>
    <cellStyle name="표준 6 2 2 4 2 2 2 4" xfId="28029" xr:uid="{00000000-0005-0000-0000-0000786D0000}"/>
    <cellStyle name="표준 6 2 2 4 2 2 3" xfId="28030" xr:uid="{00000000-0005-0000-0000-0000796D0000}"/>
    <cellStyle name="표준 6 2 2 4 2 2 3 2" xfId="28031" xr:uid="{00000000-0005-0000-0000-00007A6D0000}"/>
    <cellStyle name="표준 6 2 2 4 2 2 3 2 2" xfId="28032" xr:uid="{00000000-0005-0000-0000-00007B6D0000}"/>
    <cellStyle name="표준 6 2 2 4 2 2 3 3" xfId="28033" xr:uid="{00000000-0005-0000-0000-00007C6D0000}"/>
    <cellStyle name="표준 6 2 2 4 2 2 4" xfId="28034" xr:uid="{00000000-0005-0000-0000-00007D6D0000}"/>
    <cellStyle name="표준 6 2 2 4 2 2 4 2" xfId="28035" xr:uid="{00000000-0005-0000-0000-00007E6D0000}"/>
    <cellStyle name="표준 6 2 2 4 2 2 5" xfId="28036" xr:uid="{00000000-0005-0000-0000-00007F6D0000}"/>
    <cellStyle name="표준 6 2 2 4 2 3" xfId="28037" xr:uid="{00000000-0005-0000-0000-0000806D0000}"/>
    <cellStyle name="표준 6 2 2 4 2 3 2" xfId="28038" xr:uid="{00000000-0005-0000-0000-0000816D0000}"/>
    <cellStyle name="표준 6 2 2 4 2 3 2 2" xfId="28039" xr:uid="{00000000-0005-0000-0000-0000826D0000}"/>
    <cellStyle name="표준 6 2 2 4 2 3 2 2 2" xfId="28040" xr:uid="{00000000-0005-0000-0000-0000836D0000}"/>
    <cellStyle name="표준 6 2 2 4 2 3 2 3" xfId="28041" xr:uid="{00000000-0005-0000-0000-0000846D0000}"/>
    <cellStyle name="표준 6 2 2 4 2 3 3" xfId="28042" xr:uid="{00000000-0005-0000-0000-0000856D0000}"/>
    <cellStyle name="표준 6 2 2 4 2 3 3 2" xfId="28043" xr:uid="{00000000-0005-0000-0000-0000866D0000}"/>
    <cellStyle name="표준 6 2 2 4 2 3 4" xfId="28044" xr:uid="{00000000-0005-0000-0000-0000876D0000}"/>
    <cellStyle name="표준 6 2 2 4 2 4" xfId="28045" xr:uid="{00000000-0005-0000-0000-0000886D0000}"/>
    <cellStyle name="표준 6 2 2 4 2 4 2" xfId="28046" xr:uid="{00000000-0005-0000-0000-0000896D0000}"/>
    <cellStyle name="표준 6 2 2 4 2 4 2 2" xfId="28047" xr:uid="{00000000-0005-0000-0000-00008A6D0000}"/>
    <cellStyle name="표준 6 2 2 4 2 4 3" xfId="28048" xr:uid="{00000000-0005-0000-0000-00008B6D0000}"/>
    <cellStyle name="표준 6 2 2 4 2 5" xfId="28049" xr:uid="{00000000-0005-0000-0000-00008C6D0000}"/>
    <cellStyle name="표준 6 2 2 4 2 5 2" xfId="28050" xr:uid="{00000000-0005-0000-0000-00008D6D0000}"/>
    <cellStyle name="표준 6 2 2 4 2 6" xfId="28051" xr:uid="{00000000-0005-0000-0000-00008E6D0000}"/>
    <cellStyle name="표준 6 2 2 4 3" xfId="28052" xr:uid="{00000000-0005-0000-0000-00008F6D0000}"/>
    <cellStyle name="표준 6 2 2 4 3 2" xfId="28053" xr:uid="{00000000-0005-0000-0000-0000906D0000}"/>
    <cellStyle name="표준 6 2 2 4 3 2 2" xfId="28054" xr:uid="{00000000-0005-0000-0000-0000916D0000}"/>
    <cellStyle name="표준 6 2 2 4 3 2 2 2" xfId="28055" xr:uid="{00000000-0005-0000-0000-0000926D0000}"/>
    <cellStyle name="표준 6 2 2 4 3 2 2 2 2" xfId="28056" xr:uid="{00000000-0005-0000-0000-0000936D0000}"/>
    <cellStyle name="표준 6 2 2 4 3 2 2 3" xfId="28057" xr:uid="{00000000-0005-0000-0000-0000946D0000}"/>
    <cellStyle name="표준 6 2 2 4 3 2 3" xfId="28058" xr:uid="{00000000-0005-0000-0000-0000956D0000}"/>
    <cellStyle name="표준 6 2 2 4 3 2 3 2" xfId="28059" xr:uid="{00000000-0005-0000-0000-0000966D0000}"/>
    <cellStyle name="표준 6 2 2 4 3 2 4" xfId="28060" xr:uid="{00000000-0005-0000-0000-0000976D0000}"/>
    <cellStyle name="표준 6 2 2 4 3 3" xfId="28061" xr:uid="{00000000-0005-0000-0000-0000986D0000}"/>
    <cellStyle name="표준 6 2 2 4 3 3 2" xfId="28062" xr:uid="{00000000-0005-0000-0000-0000996D0000}"/>
    <cellStyle name="표준 6 2 2 4 3 3 2 2" xfId="28063" xr:uid="{00000000-0005-0000-0000-00009A6D0000}"/>
    <cellStyle name="표준 6 2 2 4 3 3 3" xfId="28064" xr:uid="{00000000-0005-0000-0000-00009B6D0000}"/>
    <cellStyle name="표준 6 2 2 4 3 4" xfId="28065" xr:uid="{00000000-0005-0000-0000-00009C6D0000}"/>
    <cellStyle name="표준 6 2 2 4 3 4 2" xfId="28066" xr:uid="{00000000-0005-0000-0000-00009D6D0000}"/>
    <cellStyle name="표준 6 2 2 4 3 5" xfId="28067" xr:uid="{00000000-0005-0000-0000-00009E6D0000}"/>
    <cellStyle name="표준 6 2 2 4 4" xfId="28068" xr:uid="{00000000-0005-0000-0000-00009F6D0000}"/>
    <cellStyle name="표준 6 2 2 4 4 2" xfId="28069" xr:uid="{00000000-0005-0000-0000-0000A06D0000}"/>
    <cellStyle name="표준 6 2 2 4 4 2 2" xfId="28070" xr:uid="{00000000-0005-0000-0000-0000A16D0000}"/>
    <cellStyle name="표준 6 2 2 4 4 2 2 2" xfId="28071" xr:uid="{00000000-0005-0000-0000-0000A26D0000}"/>
    <cellStyle name="표준 6 2 2 4 4 2 3" xfId="28072" xr:uid="{00000000-0005-0000-0000-0000A36D0000}"/>
    <cellStyle name="표준 6 2 2 4 4 3" xfId="28073" xr:uid="{00000000-0005-0000-0000-0000A46D0000}"/>
    <cellStyle name="표준 6 2 2 4 4 3 2" xfId="28074" xr:uid="{00000000-0005-0000-0000-0000A56D0000}"/>
    <cellStyle name="표준 6 2 2 4 4 4" xfId="28075" xr:uid="{00000000-0005-0000-0000-0000A66D0000}"/>
    <cellStyle name="표준 6 2 2 4 5" xfId="28076" xr:uid="{00000000-0005-0000-0000-0000A76D0000}"/>
    <cellStyle name="표준 6 2 2 4 5 2" xfId="28077" xr:uid="{00000000-0005-0000-0000-0000A86D0000}"/>
    <cellStyle name="표준 6 2 2 4 5 2 2" xfId="28078" xr:uid="{00000000-0005-0000-0000-0000A96D0000}"/>
    <cellStyle name="표준 6 2 2 4 5 3" xfId="28079" xr:uid="{00000000-0005-0000-0000-0000AA6D0000}"/>
    <cellStyle name="표준 6 2 2 4 6" xfId="28080" xr:uid="{00000000-0005-0000-0000-0000AB6D0000}"/>
    <cellStyle name="표준 6 2 2 4 6 2" xfId="28081" xr:uid="{00000000-0005-0000-0000-0000AC6D0000}"/>
    <cellStyle name="표준 6 2 2 4 7" xfId="28082" xr:uid="{00000000-0005-0000-0000-0000AD6D0000}"/>
    <cellStyle name="표준 6 2 2 4 8" xfId="28083" xr:uid="{00000000-0005-0000-0000-0000AE6D0000}"/>
    <cellStyle name="표준 6 2 2 5" xfId="28084" xr:uid="{00000000-0005-0000-0000-0000AF6D0000}"/>
    <cellStyle name="표준 6 2 2 5 2" xfId="28085" xr:uid="{00000000-0005-0000-0000-0000B06D0000}"/>
    <cellStyle name="표준 6 2 2 5 2 2" xfId="28086" xr:uid="{00000000-0005-0000-0000-0000B16D0000}"/>
    <cellStyle name="표준 6 2 2 5 2 2 2" xfId="28087" xr:uid="{00000000-0005-0000-0000-0000B26D0000}"/>
    <cellStyle name="표준 6 2 2 5 2 2 2 2" xfId="28088" xr:uid="{00000000-0005-0000-0000-0000B36D0000}"/>
    <cellStyle name="표준 6 2 2 5 2 2 2 2 2" xfId="28089" xr:uid="{00000000-0005-0000-0000-0000B46D0000}"/>
    <cellStyle name="표준 6 2 2 5 2 2 2 3" xfId="28090" xr:uid="{00000000-0005-0000-0000-0000B56D0000}"/>
    <cellStyle name="표준 6 2 2 5 2 2 3" xfId="28091" xr:uid="{00000000-0005-0000-0000-0000B66D0000}"/>
    <cellStyle name="표준 6 2 2 5 2 2 3 2" xfId="28092" xr:uid="{00000000-0005-0000-0000-0000B76D0000}"/>
    <cellStyle name="표준 6 2 2 5 2 2 4" xfId="28093" xr:uid="{00000000-0005-0000-0000-0000B86D0000}"/>
    <cellStyle name="표준 6 2 2 5 2 3" xfId="28094" xr:uid="{00000000-0005-0000-0000-0000B96D0000}"/>
    <cellStyle name="표준 6 2 2 5 2 3 2" xfId="28095" xr:uid="{00000000-0005-0000-0000-0000BA6D0000}"/>
    <cellStyle name="표준 6 2 2 5 2 3 2 2" xfId="28096" xr:uid="{00000000-0005-0000-0000-0000BB6D0000}"/>
    <cellStyle name="표준 6 2 2 5 2 3 3" xfId="28097" xr:uid="{00000000-0005-0000-0000-0000BC6D0000}"/>
    <cellStyle name="표준 6 2 2 5 2 4" xfId="28098" xr:uid="{00000000-0005-0000-0000-0000BD6D0000}"/>
    <cellStyle name="표준 6 2 2 5 2 4 2" xfId="28099" xr:uid="{00000000-0005-0000-0000-0000BE6D0000}"/>
    <cellStyle name="표준 6 2 2 5 2 5" xfId="28100" xr:uid="{00000000-0005-0000-0000-0000BF6D0000}"/>
    <cellStyle name="표준 6 2 2 5 3" xfId="28101" xr:uid="{00000000-0005-0000-0000-0000C06D0000}"/>
    <cellStyle name="표준 6 2 2 5 3 2" xfId="28102" xr:uid="{00000000-0005-0000-0000-0000C16D0000}"/>
    <cellStyle name="표준 6 2 2 5 3 2 2" xfId="28103" xr:uid="{00000000-0005-0000-0000-0000C26D0000}"/>
    <cellStyle name="표준 6 2 2 5 3 2 2 2" xfId="28104" xr:uid="{00000000-0005-0000-0000-0000C36D0000}"/>
    <cellStyle name="표준 6 2 2 5 3 2 3" xfId="28105" xr:uid="{00000000-0005-0000-0000-0000C46D0000}"/>
    <cellStyle name="표준 6 2 2 5 3 3" xfId="28106" xr:uid="{00000000-0005-0000-0000-0000C56D0000}"/>
    <cellStyle name="표준 6 2 2 5 3 3 2" xfId="28107" xr:uid="{00000000-0005-0000-0000-0000C66D0000}"/>
    <cellStyle name="표준 6 2 2 5 3 4" xfId="28108" xr:uid="{00000000-0005-0000-0000-0000C76D0000}"/>
    <cellStyle name="표준 6 2 2 5 4" xfId="28109" xr:uid="{00000000-0005-0000-0000-0000C86D0000}"/>
    <cellStyle name="표준 6 2 2 5 4 2" xfId="28110" xr:uid="{00000000-0005-0000-0000-0000C96D0000}"/>
    <cellStyle name="표준 6 2 2 5 4 2 2" xfId="28111" xr:uid="{00000000-0005-0000-0000-0000CA6D0000}"/>
    <cellStyle name="표준 6 2 2 5 4 3" xfId="28112" xr:uid="{00000000-0005-0000-0000-0000CB6D0000}"/>
    <cellStyle name="표준 6 2 2 5 5" xfId="28113" xr:uid="{00000000-0005-0000-0000-0000CC6D0000}"/>
    <cellStyle name="표준 6 2 2 5 5 2" xfId="28114" xr:uid="{00000000-0005-0000-0000-0000CD6D0000}"/>
    <cellStyle name="표준 6 2 2 5 6" xfId="28115" xr:uid="{00000000-0005-0000-0000-0000CE6D0000}"/>
    <cellStyle name="표준 6 2 2 6" xfId="28116" xr:uid="{00000000-0005-0000-0000-0000CF6D0000}"/>
    <cellStyle name="표준 6 2 2 6 2" xfId="28117" xr:uid="{00000000-0005-0000-0000-0000D06D0000}"/>
    <cellStyle name="표준 6 2 2 6 2 2" xfId="28118" xr:uid="{00000000-0005-0000-0000-0000D16D0000}"/>
    <cellStyle name="표준 6 2 2 6 2 2 2" xfId="28119" xr:uid="{00000000-0005-0000-0000-0000D26D0000}"/>
    <cellStyle name="표준 6 2 2 6 2 2 2 2" xfId="28120" xr:uid="{00000000-0005-0000-0000-0000D36D0000}"/>
    <cellStyle name="표준 6 2 2 6 2 2 3" xfId="28121" xr:uid="{00000000-0005-0000-0000-0000D46D0000}"/>
    <cellStyle name="표준 6 2 2 6 2 3" xfId="28122" xr:uid="{00000000-0005-0000-0000-0000D56D0000}"/>
    <cellStyle name="표준 6 2 2 6 2 3 2" xfId="28123" xr:uid="{00000000-0005-0000-0000-0000D66D0000}"/>
    <cellStyle name="표준 6 2 2 6 2 4" xfId="28124" xr:uid="{00000000-0005-0000-0000-0000D76D0000}"/>
    <cellStyle name="표준 6 2 2 6 3" xfId="28125" xr:uid="{00000000-0005-0000-0000-0000D86D0000}"/>
    <cellStyle name="표준 6 2 2 6 3 2" xfId="28126" xr:uid="{00000000-0005-0000-0000-0000D96D0000}"/>
    <cellStyle name="표준 6 2 2 6 3 2 2" xfId="28127" xr:uid="{00000000-0005-0000-0000-0000DA6D0000}"/>
    <cellStyle name="표준 6 2 2 6 3 3" xfId="28128" xr:uid="{00000000-0005-0000-0000-0000DB6D0000}"/>
    <cellStyle name="표준 6 2 2 6 4" xfId="28129" xr:uid="{00000000-0005-0000-0000-0000DC6D0000}"/>
    <cellStyle name="표준 6 2 2 6 4 2" xfId="28130" xr:uid="{00000000-0005-0000-0000-0000DD6D0000}"/>
    <cellStyle name="표준 6 2 2 6 5" xfId="28131" xr:uid="{00000000-0005-0000-0000-0000DE6D0000}"/>
    <cellStyle name="표준 6 2 2 7" xfId="28132" xr:uid="{00000000-0005-0000-0000-0000DF6D0000}"/>
    <cellStyle name="표준 6 2 2 7 2" xfId="28133" xr:uid="{00000000-0005-0000-0000-0000E06D0000}"/>
    <cellStyle name="표준 6 2 2 7 2 2" xfId="28134" xr:uid="{00000000-0005-0000-0000-0000E16D0000}"/>
    <cellStyle name="표준 6 2 2 7 2 2 2" xfId="28135" xr:uid="{00000000-0005-0000-0000-0000E26D0000}"/>
    <cellStyle name="표준 6 2 2 7 2 3" xfId="28136" xr:uid="{00000000-0005-0000-0000-0000E36D0000}"/>
    <cellStyle name="표준 6 2 2 7 3" xfId="28137" xr:uid="{00000000-0005-0000-0000-0000E46D0000}"/>
    <cellStyle name="표준 6 2 2 7 3 2" xfId="28138" xr:uid="{00000000-0005-0000-0000-0000E56D0000}"/>
    <cellStyle name="표준 6 2 2 7 4" xfId="28139" xr:uid="{00000000-0005-0000-0000-0000E66D0000}"/>
    <cellStyle name="표준 6 2 2 8" xfId="28140" xr:uid="{00000000-0005-0000-0000-0000E76D0000}"/>
    <cellStyle name="표준 6 2 2 8 2" xfId="28141" xr:uid="{00000000-0005-0000-0000-0000E86D0000}"/>
    <cellStyle name="표준 6 2 2 8 2 2" xfId="28142" xr:uid="{00000000-0005-0000-0000-0000E96D0000}"/>
    <cellStyle name="표준 6 2 2 8 3" xfId="28143" xr:uid="{00000000-0005-0000-0000-0000EA6D0000}"/>
    <cellStyle name="표준 6 2 2 9" xfId="28144" xr:uid="{00000000-0005-0000-0000-0000EB6D0000}"/>
    <cellStyle name="표준 6 2 2 9 2" xfId="28145" xr:uid="{00000000-0005-0000-0000-0000EC6D0000}"/>
    <cellStyle name="표준 6 2 3" xfId="28146" xr:uid="{00000000-0005-0000-0000-0000ED6D0000}"/>
    <cellStyle name="표준 6 2 3 10" xfId="28147" xr:uid="{00000000-0005-0000-0000-0000EE6D0000}"/>
    <cellStyle name="표준 6 2 3 2" xfId="28148" xr:uid="{00000000-0005-0000-0000-0000EF6D0000}"/>
    <cellStyle name="표준 6 2 3 2 2" xfId="28149" xr:uid="{00000000-0005-0000-0000-0000F06D0000}"/>
    <cellStyle name="표준 6 2 3 2 2 2" xfId="28150" xr:uid="{00000000-0005-0000-0000-0000F16D0000}"/>
    <cellStyle name="표준 6 2 3 2 2 2 2" xfId="28151" xr:uid="{00000000-0005-0000-0000-0000F26D0000}"/>
    <cellStyle name="표준 6 2 3 2 2 2 2 2" xfId="28152" xr:uid="{00000000-0005-0000-0000-0000F36D0000}"/>
    <cellStyle name="표준 6 2 3 2 2 2 2 2 2" xfId="28153" xr:uid="{00000000-0005-0000-0000-0000F46D0000}"/>
    <cellStyle name="표준 6 2 3 2 2 2 2 2 2 2" xfId="28154" xr:uid="{00000000-0005-0000-0000-0000F56D0000}"/>
    <cellStyle name="표준 6 2 3 2 2 2 2 2 2 2 2" xfId="28155" xr:uid="{00000000-0005-0000-0000-0000F66D0000}"/>
    <cellStyle name="표준 6 2 3 2 2 2 2 2 2 3" xfId="28156" xr:uid="{00000000-0005-0000-0000-0000F76D0000}"/>
    <cellStyle name="표준 6 2 3 2 2 2 2 2 3" xfId="28157" xr:uid="{00000000-0005-0000-0000-0000F86D0000}"/>
    <cellStyle name="표준 6 2 3 2 2 2 2 2 3 2" xfId="28158" xr:uid="{00000000-0005-0000-0000-0000F96D0000}"/>
    <cellStyle name="표준 6 2 3 2 2 2 2 2 4" xfId="28159" xr:uid="{00000000-0005-0000-0000-0000FA6D0000}"/>
    <cellStyle name="표준 6 2 3 2 2 2 2 3" xfId="28160" xr:uid="{00000000-0005-0000-0000-0000FB6D0000}"/>
    <cellStyle name="표준 6 2 3 2 2 2 2 3 2" xfId="28161" xr:uid="{00000000-0005-0000-0000-0000FC6D0000}"/>
    <cellStyle name="표준 6 2 3 2 2 2 2 3 2 2" xfId="28162" xr:uid="{00000000-0005-0000-0000-0000FD6D0000}"/>
    <cellStyle name="표준 6 2 3 2 2 2 2 3 3" xfId="28163" xr:uid="{00000000-0005-0000-0000-0000FE6D0000}"/>
    <cellStyle name="표준 6 2 3 2 2 2 2 4" xfId="28164" xr:uid="{00000000-0005-0000-0000-0000FF6D0000}"/>
    <cellStyle name="표준 6 2 3 2 2 2 2 4 2" xfId="28165" xr:uid="{00000000-0005-0000-0000-0000006E0000}"/>
    <cellStyle name="표준 6 2 3 2 2 2 2 5" xfId="28166" xr:uid="{00000000-0005-0000-0000-0000016E0000}"/>
    <cellStyle name="표준 6 2 3 2 2 2 3" xfId="28167" xr:uid="{00000000-0005-0000-0000-0000026E0000}"/>
    <cellStyle name="표준 6 2 3 2 2 2 3 2" xfId="28168" xr:uid="{00000000-0005-0000-0000-0000036E0000}"/>
    <cellStyle name="표준 6 2 3 2 2 2 3 2 2" xfId="28169" xr:uid="{00000000-0005-0000-0000-0000046E0000}"/>
    <cellStyle name="표준 6 2 3 2 2 2 3 2 2 2" xfId="28170" xr:uid="{00000000-0005-0000-0000-0000056E0000}"/>
    <cellStyle name="표준 6 2 3 2 2 2 3 2 3" xfId="28171" xr:uid="{00000000-0005-0000-0000-0000066E0000}"/>
    <cellStyle name="표준 6 2 3 2 2 2 3 3" xfId="28172" xr:uid="{00000000-0005-0000-0000-0000076E0000}"/>
    <cellStyle name="표준 6 2 3 2 2 2 3 3 2" xfId="28173" xr:uid="{00000000-0005-0000-0000-0000086E0000}"/>
    <cellStyle name="표준 6 2 3 2 2 2 3 4" xfId="28174" xr:uid="{00000000-0005-0000-0000-0000096E0000}"/>
    <cellStyle name="표준 6 2 3 2 2 2 4" xfId="28175" xr:uid="{00000000-0005-0000-0000-00000A6E0000}"/>
    <cellStyle name="표준 6 2 3 2 2 2 4 2" xfId="28176" xr:uid="{00000000-0005-0000-0000-00000B6E0000}"/>
    <cellStyle name="표준 6 2 3 2 2 2 4 2 2" xfId="28177" xr:uid="{00000000-0005-0000-0000-00000C6E0000}"/>
    <cellStyle name="표준 6 2 3 2 2 2 4 3" xfId="28178" xr:uid="{00000000-0005-0000-0000-00000D6E0000}"/>
    <cellStyle name="표준 6 2 3 2 2 2 5" xfId="28179" xr:uid="{00000000-0005-0000-0000-00000E6E0000}"/>
    <cellStyle name="표준 6 2 3 2 2 2 5 2" xfId="28180" xr:uid="{00000000-0005-0000-0000-00000F6E0000}"/>
    <cellStyle name="표준 6 2 3 2 2 2 6" xfId="28181" xr:uid="{00000000-0005-0000-0000-0000106E0000}"/>
    <cellStyle name="표준 6 2 3 2 2 3" xfId="28182" xr:uid="{00000000-0005-0000-0000-0000116E0000}"/>
    <cellStyle name="표준 6 2 3 2 2 3 2" xfId="28183" xr:uid="{00000000-0005-0000-0000-0000126E0000}"/>
    <cellStyle name="표준 6 2 3 2 2 3 2 2" xfId="28184" xr:uid="{00000000-0005-0000-0000-0000136E0000}"/>
    <cellStyle name="표준 6 2 3 2 2 3 2 2 2" xfId="28185" xr:uid="{00000000-0005-0000-0000-0000146E0000}"/>
    <cellStyle name="표준 6 2 3 2 2 3 2 2 2 2" xfId="28186" xr:uid="{00000000-0005-0000-0000-0000156E0000}"/>
    <cellStyle name="표준 6 2 3 2 2 3 2 2 3" xfId="28187" xr:uid="{00000000-0005-0000-0000-0000166E0000}"/>
    <cellStyle name="표준 6 2 3 2 2 3 2 3" xfId="28188" xr:uid="{00000000-0005-0000-0000-0000176E0000}"/>
    <cellStyle name="표준 6 2 3 2 2 3 2 3 2" xfId="28189" xr:uid="{00000000-0005-0000-0000-0000186E0000}"/>
    <cellStyle name="표준 6 2 3 2 2 3 2 4" xfId="28190" xr:uid="{00000000-0005-0000-0000-0000196E0000}"/>
    <cellStyle name="표준 6 2 3 2 2 3 3" xfId="28191" xr:uid="{00000000-0005-0000-0000-00001A6E0000}"/>
    <cellStyle name="표준 6 2 3 2 2 3 3 2" xfId="28192" xr:uid="{00000000-0005-0000-0000-00001B6E0000}"/>
    <cellStyle name="표준 6 2 3 2 2 3 3 2 2" xfId="28193" xr:uid="{00000000-0005-0000-0000-00001C6E0000}"/>
    <cellStyle name="표준 6 2 3 2 2 3 3 3" xfId="28194" xr:uid="{00000000-0005-0000-0000-00001D6E0000}"/>
    <cellStyle name="표준 6 2 3 2 2 3 4" xfId="28195" xr:uid="{00000000-0005-0000-0000-00001E6E0000}"/>
    <cellStyle name="표준 6 2 3 2 2 3 4 2" xfId="28196" xr:uid="{00000000-0005-0000-0000-00001F6E0000}"/>
    <cellStyle name="표준 6 2 3 2 2 3 5" xfId="28197" xr:uid="{00000000-0005-0000-0000-0000206E0000}"/>
    <cellStyle name="표준 6 2 3 2 2 4" xfId="28198" xr:uid="{00000000-0005-0000-0000-0000216E0000}"/>
    <cellStyle name="표준 6 2 3 2 2 4 2" xfId="28199" xr:uid="{00000000-0005-0000-0000-0000226E0000}"/>
    <cellStyle name="표준 6 2 3 2 2 4 2 2" xfId="28200" xr:uid="{00000000-0005-0000-0000-0000236E0000}"/>
    <cellStyle name="표준 6 2 3 2 2 4 2 2 2" xfId="28201" xr:uid="{00000000-0005-0000-0000-0000246E0000}"/>
    <cellStyle name="표준 6 2 3 2 2 4 2 3" xfId="28202" xr:uid="{00000000-0005-0000-0000-0000256E0000}"/>
    <cellStyle name="표준 6 2 3 2 2 4 3" xfId="28203" xr:uid="{00000000-0005-0000-0000-0000266E0000}"/>
    <cellStyle name="표준 6 2 3 2 2 4 3 2" xfId="28204" xr:uid="{00000000-0005-0000-0000-0000276E0000}"/>
    <cellStyle name="표준 6 2 3 2 2 4 4" xfId="28205" xr:uid="{00000000-0005-0000-0000-0000286E0000}"/>
    <cellStyle name="표준 6 2 3 2 2 5" xfId="28206" xr:uid="{00000000-0005-0000-0000-0000296E0000}"/>
    <cellStyle name="표준 6 2 3 2 2 5 2" xfId="28207" xr:uid="{00000000-0005-0000-0000-00002A6E0000}"/>
    <cellStyle name="표준 6 2 3 2 2 5 2 2" xfId="28208" xr:uid="{00000000-0005-0000-0000-00002B6E0000}"/>
    <cellStyle name="표준 6 2 3 2 2 5 3" xfId="28209" xr:uid="{00000000-0005-0000-0000-00002C6E0000}"/>
    <cellStyle name="표준 6 2 3 2 2 6" xfId="28210" xr:uid="{00000000-0005-0000-0000-00002D6E0000}"/>
    <cellStyle name="표준 6 2 3 2 2 6 2" xfId="28211" xr:uid="{00000000-0005-0000-0000-00002E6E0000}"/>
    <cellStyle name="표준 6 2 3 2 2 7" xfId="28212" xr:uid="{00000000-0005-0000-0000-00002F6E0000}"/>
    <cellStyle name="표준 6 2 3 2 2 8" xfId="28213" xr:uid="{00000000-0005-0000-0000-0000306E0000}"/>
    <cellStyle name="표준 6 2 3 2 3" xfId="28214" xr:uid="{00000000-0005-0000-0000-0000316E0000}"/>
    <cellStyle name="표준 6 2 3 2 3 2" xfId="28215" xr:uid="{00000000-0005-0000-0000-0000326E0000}"/>
    <cellStyle name="표준 6 2 3 2 3 2 2" xfId="28216" xr:uid="{00000000-0005-0000-0000-0000336E0000}"/>
    <cellStyle name="표준 6 2 3 2 3 2 2 2" xfId="28217" xr:uid="{00000000-0005-0000-0000-0000346E0000}"/>
    <cellStyle name="표준 6 2 3 2 3 2 2 2 2" xfId="28218" xr:uid="{00000000-0005-0000-0000-0000356E0000}"/>
    <cellStyle name="표준 6 2 3 2 3 2 2 2 2 2" xfId="28219" xr:uid="{00000000-0005-0000-0000-0000366E0000}"/>
    <cellStyle name="표준 6 2 3 2 3 2 2 2 3" xfId="28220" xr:uid="{00000000-0005-0000-0000-0000376E0000}"/>
    <cellStyle name="표준 6 2 3 2 3 2 2 3" xfId="28221" xr:uid="{00000000-0005-0000-0000-0000386E0000}"/>
    <cellStyle name="표준 6 2 3 2 3 2 2 3 2" xfId="28222" xr:uid="{00000000-0005-0000-0000-0000396E0000}"/>
    <cellStyle name="표준 6 2 3 2 3 2 2 4" xfId="28223" xr:uid="{00000000-0005-0000-0000-00003A6E0000}"/>
    <cellStyle name="표준 6 2 3 2 3 2 3" xfId="28224" xr:uid="{00000000-0005-0000-0000-00003B6E0000}"/>
    <cellStyle name="표준 6 2 3 2 3 2 3 2" xfId="28225" xr:uid="{00000000-0005-0000-0000-00003C6E0000}"/>
    <cellStyle name="표준 6 2 3 2 3 2 3 2 2" xfId="28226" xr:uid="{00000000-0005-0000-0000-00003D6E0000}"/>
    <cellStyle name="표준 6 2 3 2 3 2 3 3" xfId="28227" xr:uid="{00000000-0005-0000-0000-00003E6E0000}"/>
    <cellStyle name="표준 6 2 3 2 3 2 4" xfId="28228" xr:uid="{00000000-0005-0000-0000-00003F6E0000}"/>
    <cellStyle name="표준 6 2 3 2 3 2 4 2" xfId="28229" xr:uid="{00000000-0005-0000-0000-0000406E0000}"/>
    <cellStyle name="표준 6 2 3 2 3 2 5" xfId="28230" xr:uid="{00000000-0005-0000-0000-0000416E0000}"/>
    <cellStyle name="표준 6 2 3 2 3 3" xfId="28231" xr:uid="{00000000-0005-0000-0000-0000426E0000}"/>
    <cellStyle name="표준 6 2 3 2 3 3 2" xfId="28232" xr:uid="{00000000-0005-0000-0000-0000436E0000}"/>
    <cellStyle name="표준 6 2 3 2 3 3 2 2" xfId="28233" xr:uid="{00000000-0005-0000-0000-0000446E0000}"/>
    <cellStyle name="표준 6 2 3 2 3 3 2 2 2" xfId="28234" xr:uid="{00000000-0005-0000-0000-0000456E0000}"/>
    <cellStyle name="표준 6 2 3 2 3 3 2 3" xfId="28235" xr:uid="{00000000-0005-0000-0000-0000466E0000}"/>
    <cellStyle name="표준 6 2 3 2 3 3 3" xfId="28236" xr:uid="{00000000-0005-0000-0000-0000476E0000}"/>
    <cellStyle name="표준 6 2 3 2 3 3 3 2" xfId="28237" xr:uid="{00000000-0005-0000-0000-0000486E0000}"/>
    <cellStyle name="표준 6 2 3 2 3 3 4" xfId="28238" xr:uid="{00000000-0005-0000-0000-0000496E0000}"/>
    <cellStyle name="표준 6 2 3 2 3 4" xfId="28239" xr:uid="{00000000-0005-0000-0000-00004A6E0000}"/>
    <cellStyle name="표준 6 2 3 2 3 4 2" xfId="28240" xr:uid="{00000000-0005-0000-0000-00004B6E0000}"/>
    <cellStyle name="표준 6 2 3 2 3 4 2 2" xfId="28241" xr:uid="{00000000-0005-0000-0000-00004C6E0000}"/>
    <cellStyle name="표준 6 2 3 2 3 4 3" xfId="28242" xr:uid="{00000000-0005-0000-0000-00004D6E0000}"/>
    <cellStyle name="표준 6 2 3 2 3 5" xfId="28243" xr:uid="{00000000-0005-0000-0000-00004E6E0000}"/>
    <cellStyle name="표준 6 2 3 2 3 5 2" xfId="28244" xr:uid="{00000000-0005-0000-0000-00004F6E0000}"/>
    <cellStyle name="표준 6 2 3 2 3 6" xfId="28245" xr:uid="{00000000-0005-0000-0000-0000506E0000}"/>
    <cellStyle name="표준 6 2 3 2 4" xfId="28246" xr:uid="{00000000-0005-0000-0000-0000516E0000}"/>
    <cellStyle name="표준 6 2 3 2 4 2" xfId="28247" xr:uid="{00000000-0005-0000-0000-0000526E0000}"/>
    <cellStyle name="표준 6 2 3 2 4 2 2" xfId="28248" xr:uid="{00000000-0005-0000-0000-0000536E0000}"/>
    <cellStyle name="표준 6 2 3 2 4 2 2 2" xfId="28249" xr:uid="{00000000-0005-0000-0000-0000546E0000}"/>
    <cellStyle name="표준 6 2 3 2 4 2 2 2 2" xfId="28250" xr:uid="{00000000-0005-0000-0000-0000556E0000}"/>
    <cellStyle name="표준 6 2 3 2 4 2 2 3" xfId="28251" xr:uid="{00000000-0005-0000-0000-0000566E0000}"/>
    <cellStyle name="표준 6 2 3 2 4 2 3" xfId="28252" xr:uid="{00000000-0005-0000-0000-0000576E0000}"/>
    <cellStyle name="표준 6 2 3 2 4 2 3 2" xfId="28253" xr:uid="{00000000-0005-0000-0000-0000586E0000}"/>
    <cellStyle name="표준 6 2 3 2 4 2 4" xfId="28254" xr:uid="{00000000-0005-0000-0000-0000596E0000}"/>
    <cellStyle name="표준 6 2 3 2 4 3" xfId="28255" xr:uid="{00000000-0005-0000-0000-00005A6E0000}"/>
    <cellStyle name="표준 6 2 3 2 4 3 2" xfId="28256" xr:uid="{00000000-0005-0000-0000-00005B6E0000}"/>
    <cellStyle name="표준 6 2 3 2 4 3 2 2" xfId="28257" xr:uid="{00000000-0005-0000-0000-00005C6E0000}"/>
    <cellStyle name="표준 6 2 3 2 4 3 3" xfId="28258" xr:uid="{00000000-0005-0000-0000-00005D6E0000}"/>
    <cellStyle name="표준 6 2 3 2 4 4" xfId="28259" xr:uid="{00000000-0005-0000-0000-00005E6E0000}"/>
    <cellStyle name="표준 6 2 3 2 4 4 2" xfId="28260" xr:uid="{00000000-0005-0000-0000-00005F6E0000}"/>
    <cellStyle name="표준 6 2 3 2 4 5" xfId="28261" xr:uid="{00000000-0005-0000-0000-0000606E0000}"/>
    <cellStyle name="표준 6 2 3 2 5" xfId="28262" xr:uid="{00000000-0005-0000-0000-0000616E0000}"/>
    <cellStyle name="표준 6 2 3 2 5 2" xfId="28263" xr:uid="{00000000-0005-0000-0000-0000626E0000}"/>
    <cellStyle name="표준 6 2 3 2 5 2 2" xfId="28264" xr:uid="{00000000-0005-0000-0000-0000636E0000}"/>
    <cellStyle name="표준 6 2 3 2 5 2 2 2" xfId="28265" xr:uid="{00000000-0005-0000-0000-0000646E0000}"/>
    <cellStyle name="표준 6 2 3 2 5 2 3" xfId="28266" xr:uid="{00000000-0005-0000-0000-0000656E0000}"/>
    <cellStyle name="표준 6 2 3 2 5 3" xfId="28267" xr:uid="{00000000-0005-0000-0000-0000666E0000}"/>
    <cellStyle name="표준 6 2 3 2 5 3 2" xfId="28268" xr:uid="{00000000-0005-0000-0000-0000676E0000}"/>
    <cellStyle name="표준 6 2 3 2 5 4" xfId="28269" xr:uid="{00000000-0005-0000-0000-0000686E0000}"/>
    <cellStyle name="표준 6 2 3 2 6" xfId="28270" xr:uid="{00000000-0005-0000-0000-0000696E0000}"/>
    <cellStyle name="표준 6 2 3 2 6 2" xfId="28271" xr:uid="{00000000-0005-0000-0000-00006A6E0000}"/>
    <cellStyle name="표준 6 2 3 2 6 2 2" xfId="28272" xr:uid="{00000000-0005-0000-0000-00006B6E0000}"/>
    <cellStyle name="표준 6 2 3 2 6 3" xfId="28273" xr:uid="{00000000-0005-0000-0000-00006C6E0000}"/>
    <cellStyle name="표준 6 2 3 2 7" xfId="28274" xr:uid="{00000000-0005-0000-0000-00006D6E0000}"/>
    <cellStyle name="표준 6 2 3 2 7 2" xfId="28275" xr:uid="{00000000-0005-0000-0000-00006E6E0000}"/>
    <cellStyle name="표준 6 2 3 2 8" xfId="28276" xr:uid="{00000000-0005-0000-0000-00006F6E0000}"/>
    <cellStyle name="표준 6 2 3 2 9" xfId="28277" xr:uid="{00000000-0005-0000-0000-0000706E0000}"/>
    <cellStyle name="표준 6 2 3 3" xfId="28278" xr:uid="{00000000-0005-0000-0000-0000716E0000}"/>
    <cellStyle name="표준 6 2 3 3 2" xfId="28279" xr:uid="{00000000-0005-0000-0000-0000726E0000}"/>
    <cellStyle name="표준 6 2 3 3 2 2" xfId="28280" xr:uid="{00000000-0005-0000-0000-0000736E0000}"/>
    <cellStyle name="표준 6 2 3 3 2 2 2" xfId="28281" xr:uid="{00000000-0005-0000-0000-0000746E0000}"/>
    <cellStyle name="표준 6 2 3 3 2 2 2 2" xfId="28282" xr:uid="{00000000-0005-0000-0000-0000756E0000}"/>
    <cellStyle name="표준 6 2 3 3 2 2 2 2 2" xfId="28283" xr:uid="{00000000-0005-0000-0000-0000766E0000}"/>
    <cellStyle name="표준 6 2 3 3 2 2 2 2 2 2" xfId="28284" xr:uid="{00000000-0005-0000-0000-0000776E0000}"/>
    <cellStyle name="표준 6 2 3 3 2 2 2 2 3" xfId="28285" xr:uid="{00000000-0005-0000-0000-0000786E0000}"/>
    <cellStyle name="표준 6 2 3 3 2 2 2 3" xfId="28286" xr:uid="{00000000-0005-0000-0000-0000796E0000}"/>
    <cellStyle name="표준 6 2 3 3 2 2 2 3 2" xfId="28287" xr:uid="{00000000-0005-0000-0000-00007A6E0000}"/>
    <cellStyle name="표준 6 2 3 3 2 2 2 4" xfId="28288" xr:uid="{00000000-0005-0000-0000-00007B6E0000}"/>
    <cellStyle name="표준 6 2 3 3 2 2 3" xfId="28289" xr:uid="{00000000-0005-0000-0000-00007C6E0000}"/>
    <cellStyle name="표준 6 2 3 3 2 2 3 2" xfId="28290" xr:uid="{00000000-0005-0000-0000-00007D6E0000}"/>
    <cellStyle name="표준 6 2 3 3 2 2 3 2 2" xfId="28291" xr:uid="{00000000-0005-0000-0000-00007E6E0000}"/>
    <cellStyle name="표준 6 2 3 3 2 2 3 3" xfId="28292" xr:uid="{00000000-0005-0000-0000-00007F6E0000}"/>
    <cellStyle name="표준 6 2 3 3 2 2 4" xfId="28293" xr:uid="{00000000-0005-0000-0000-0000806E0000}"/>
    <cellStyle name="표준 6 2 3 3 2 2 4 2" xfId="28294" xr:uid="{00000000-0005-0000-0000-0000816E0000}"/>
    <cellStyle name="표준 6 2 3 3 2 2 5" xfId="28295" xr:uid="{00000000-0005-0000-0000-0000826E0000}"/>
    <cellStyle name="표준 6 2 3 3 2 3" xfId="28296" xr:uid="{00000000-0005-0000-0000-0000836E0000}"/>
    <cellStyle name="표준 6 2 3 3 2 3 2" xfId="28297" xr:uid="{00000000-0005-0000-0000-0000846E0000}"/>
    <cellStyle name="표준 6 2 3 3 2 3 2 2" xfId="28298" xr:uid="{00000000-0005-0000-0000-0000856E0000}"/>
    <cellStyle name="표준 6 2 3 3 2 3 2 2 2" xfId="28299" xr:uid="{00000000-0005-0000-0000-0000866E0000}"/>
    <cellStyle name="표준 6 2 3 3 2 3 2 3" xfId="28300" xr:uid="{00000000-0005-0000-0000-0000876E0000}"/>
    <cellStyle name="표준 6 2 3 3 2 3 3" xfId="28301" xr:uid="{00000000-0005-0000-0000-0000886E0000}"/>
    <cellStyle name="표준 6 2 3 3 2 3 3 2" xfId="28302" xr:uid="{00000000-0005-0000-0000-0000896E0000}"/>
    <cellStyle name="표준 6 2 3 3 2 3 4" xfId="28303" xr:uid="{00000000-0005-0000-0000-00008A6E0000}"/>
    <cellStyle name="표준 6 2 3 3 2 4" xfId="28304" xr:uid="{00000000-0005-0000-0000-00008B6E0000}"/>
    <cellStyle name="표준 6 2 3 3 2 4 2" xfId="28305" xr:uid="{00000000-0005-0000-0000-00008C6E0000}"/>
    <cellStyle name="표준 6 2 3 3 2 4 2 2" xfId="28306" xr:uid="{00000000-0005-0000-0000-00008D6E0000}"/>
    <cellStyle name="표준 6 2 3 3 2 4 3" xfId="28307" xr:uid="{00000000-0005-0000-0000-00008E6E0000}"/>
    <cellStyle name="표준 6 2 3 3 2 5" xfId="28308" xr:uid="{00000000-0005-0000-0000-00008F6E0000}"/>
    <cellStyle name="표준 6 2 3 3 2 5 2" xfId="28309" xr:uid="{00000000-0005-0000-0000-0000906E0000}"/>
    <cellStyle name="표준 6 2 3 3 2 6" xfId="28310" xr:uid="{00000000-0005-0000-0000-0000916E0000}"/>
    <cellStyle name="표준 6 2 3 3 3" xfId="28311" xr:uid="{00000000-0005-0000-0000-0000926E0000}"/>
    <cellStyle name="표준 6 2 3 3 3 2" xfId="28312" xr:uid="{00000000-0005-0000-0000-0000936E0000}"/>
    <cellStyle name="표준 6 2 3 3 3 2 2" xfId="28313" xr:uid="{00000000-0005-0000-0000-0000946E0000}"/>
    <cellStyle name="표준 6 2 3 3 3 2 2 2" xfId="28314" xr:uid="{00000000-0005-0000-0000-0000956E0000}"/>
    <cellStyle name="표준 6 2 3 3 3 2 2 2 2" xfId="28315" xr:uid="{00000000-0005-0000-0000-0000966E0000}"/>
    <cellStyle name="표준 6 2 3 3 3 2 2 3" xfId="28316" xr:uid="{00000000-0005-0000-0000-0000976E0000}"/>
    <cellStyle name="표준 6 2 3 3 3 2 3" xfId="28317" xr:uid="{00000000-0005-0000-0000-0000986E0000}"/>
    <cellStyle name="표준 6 2 3 3 3 2 3 2" xfId="28318" xr:uid="{00000000-0005-0000-0000-0000996E0000}"/>
    <cellStyle name="표준 6 2 3 3 3 2 4" xfId="28319" xr:uid="{00000000-0005-0000-0000-00009A6E0000}"/>
    <cellStyle name="표준 6 2 3 3 3 3" xfId="28320" xr:uid="{00000000-0005-0000-0000-00009B6E0000}"/>
    <cellStyle name="표준 6 2 3 3 3 3 2" xfId="28321" xr:uid="{00000000-0005-0000-0000-00009C6E0000}"/>
    <cellStyle name="표준 6 2 3 3 3 3 2 2" xfId="28322" xr:uid="{00000000-0005-0000-0000-00009D6E0000}"/>
    <cellStyle name="표준 6 2 3 3 3 3 3" xfId="28323" xr:uid="{00000000-0005-0000-0000-00009E6E0000}"/>
    <cellStyle name="표준 6 2 3 3 3 4" xfId="28324" xr:uid="{00000000-0005-0000-0000-00009F6E0000}"/>
    <cellStyle name="표준 6 2 3 3 3 4 2" xfId="28325" xr:uid="{00000000-0005-0000-0000-0000A06E0000}"/>
    <cellStyle name="표준 6 2 3 3 3 5" xfId="28326" xr:uid="{00000000-0005-0000-0000-0000A16E0000}"/>
    <cellStyle name="표준 6 2 3 3 4" xfId="28327" xr:uid="{00000000-0005-0000-0000-0000A26E0000}"/>
    <cellStyle name="표준 6 2 3 3 4 2" xfId="28328" xr:uid="{00000000-0005-0000-0000-0000A36E0000}"/>
    <cellStyle name="표준 6 2 3 3 4 2 2" xfId="28329" xr:uid="{00000000-0005-0000-0000-0000A46E0000}"/>
    <cellStyle name="표준 6 2 3 3 4 2 2 2" xfId="28330" xr:uid="{00000000-0005-0000-0000-0000A56E0000}"/>
    <cellStyle name="표준 6 2 3 3 4 2 3" xfId="28331" xr:uid="{00000000-0005-0000-0000-0000A66E0000}"/>
    <cellStyle name="표준 6 2 3 3 4 3" xfId="28332" xr:uid="{00000000-0005-0000-0000-0000A76E0000}"/>
    <cellStyle name="표준 6 2 3 3 4 3 2" xfId="28333" xr:uid="{00000000-0005-0000-0000-0000A86E0000}"/>
    <cellStyle name="표준 6 2 3 3 4 4" xfId="28334" xr:uid="{00000000-0005-0000-0000-0000A96E0000}"/>
    <cellStyle name="표준 6 2 3 3 5" xfId="28335" xr:uid="{00000000-0005-0000-0000-0000AA6E0000}"/>
    <cellStyle name="표준 6 2 3 3 5 2" xfId="28336" xr:uid="{00000000-0005-0000-0000-0000AB6E0000}"/>
    <cellStyle name="표준 6 2 3 3 5 2 2" xfId="28337" xr:uid="{00000000-0005-0000-0000-0000AC6E0000}"/>
    <cellStyle name="표준 6 2 3 3 5 3" xfId="28338" xr:uid="{00000000-0005-0000-0000-0000AD6E0000}"/>
    <cellStyle name="표준 6 2 3 3 6" xfId="28339" xr:uid="{00000000-0005-0000-0000-0000AE6E0000}"/>
    <cellStyle name="표준 6 2 3 3 6 2" xfId="28340" xr:uid="{00000000-0005-0000-0000-0000AF6E0000}"/>
    <cellStyle name="표준 6 2 3 3 7" xfId="28341" xr:uid="{00000000-0005-0000-0000-0000B06E0000}"/>
    <cellStyle name="표준 6 2 3 3 8" xfId="28342" xr:uid="{00000000-0005-0000-0000-0000B16E0000}"/>
    <cellStyle name="표준 6 2 3 4" xfId="28343" xr:uid="{00000000-0005-0000-0000-0000B26E0000}"/>
    <cellStyle name="표준 6 2 3 4 2" xfId="28344" xr:uid="{00000000-0005-0000-0000-0000B36E0000}"/>
    <cellStyle name="표준 6 2 3 4 2 2" xfId="28345" xr:uid="{00000000-0005-0000-0000-0000B46E0000}"/>
    <cellStyle name="표준 6 2 3 4 2 2 2" xfId="28346" xr:uid="{00000000-0005-0000-0000-0000B56E0000}"/>
    <cellStyle name="표준 6 2 3 4 2 2 2 2" xfId="28347" xr:uid="{00000000-0005-0000-0000-0000B66E0000}"/>
    <cellStyle name="표준 6 2 3 4 2 2 2 2 2" xfId="28348" xr:uid="{00000000-0005-0000-0000-0000B76E0000}"/>
    <cellStyle name="표준 6 2 3 4 2 2 2 3" xfId="28349" xr:uid="{00000000-0005-0000-0000-0000B86E0000}"/>
    <cellStyle name="표준 6 2 3 4 2 2 3" xfId="28350" xr:uid="{00000000-0005-0000-0000-0000B96E0000}"/>
    <cellStyle name="표준 6 2 3 4 2 2 3 2" xfId="28351" xr:uid="{00000000-0005-0000-0000-0000BA6E0000}"/>
    <cellStyle name="표준 6 2 3 4 2 2 4" xfId="28352" xr:uid="{00000000-0005-0000-0000-0000BB6E0000}"/>
    <cellStyle name="표준 6 2 3 4 2 3" xfId="28353" xr:uid="{00000000-0005-0000-0000-0000BC6E0000}"/>
    <cellStyle name="표준 6 2 3 4 2 3 2" xfId="28354" xr:uid="{00000000-0005-0000-0000-0000BD6E0000}"/>
    <cellStyle name="표준 6 2 3 4 2 3 2 2" xfId="28355" xr:uid="{00000000-0005-0000-0000-0000BE6E0000}"/>
    <cellStyle name="표준 6 2 3 4 2 3 3" xfId="28356" xr:uid="{00000000-0005-0000-0000-0000BF6E0000}"/>
    <cellStyle name="표준 6 2 3 4 2 4" xfId="28357" xr:uid="{00000000-0005-0000-0000-0000C06E0000}"/>
    <cellStyle name="표준 6 2 3 4 2 4 2" xfId="28358" xr:uid="{00000000-0005-0000-0000-0000C16E0000}"/>
    <cellStyle name="표준 6 2 3 4 2 5" xfId="28359" xr:uid="{00000000-0005-0000-0000-0000C26E0000}"/>
    <cellStyle name="표준 6 2 3 4 3" xfId="28360" xr:uid="{00000000-0005-0000-0000-0000C36E0000}"/>
    <cellStyle name="표준 6 2 3 4 3 2" xfId="28361" xr:uid="{00000000-0005-0000-0000-0000C46E0000}"/>
    <cellStyle name="표준 6 2 3 4 3 2 2" xfId="28362" xr:uid="{00000000-0005-0000-0000-0000C56E0000}"/>
    <cellStyle name="표준 6 2 3 4 3 2 2 2" xfId="28363" xr:uid="{00000000-0005-0000-0000-0000C66E0000}"/>
    <cellStyle name="표준 6 2 3 4 3 2 3" xfId="28364" xr:uid="{00000000-0005-0000-0000-0000C76E0000}"/>
    <cellStyle name="표준 6 2 3 4 3 3" xfId="28365" xr:uid="{00000000-0005-0000-0000-0000C86E0000}"/>
    <cellStyle name="표준 6 2 3 4 3 3 2" xfId="28366" xr:uid="{00000000-0005-0000-0000-0000C96E0000}"/>
    <cellStyle name="표준 6 2 3 4 3 4" xfId="28367" xr:uid="{00000000-0005-0000-0000-0000CA6E0000}"/>
    <cellStyle name="표준 6 2 3 4 4" xfId="28368" xr:uid="{00000000-0005-0000-0000-0000CB6E0000}"/>
    <cellStyle name="표준 6 2 3 4 4 2" xfId="28369" xr:uid="{00000000-0005-0000-0000-0000CC6E0000}"/>
    <cellStyle name="표준 6 2 3 4 4 2 2" xfId="28370" xr:uid="{00000000-0005-0000-0000-0000CD6E0000}"/>
    <cellStyle name="표준 6 2 3 4 4 3" xfId="28371" xr:uid="{00000000-0005-0000-0000-0000CE6E0000}"/>
    <cellStyle name="표준 6 2 3 4 5" xfId="28372" xr:uid="{00000000-0005-0000-0000-0000CF6E0000}"/>
    <cellStyle name="표준 6 2 3 4 5 2" xfId="28373" xr:uid="{00000000-0005-0000-0000-0000D06E0000}"/>
    <cellStyle name="표준 6 2 3 4 6" xfId="28374" xr:uid="{00000000-0005-0000-0000-0000D16E0000}"/>
    <cellStyle name="표준 6 2 3 5" xfId="28375" xr:uid="{00000000-0005-0000-0000-0000D26E0000}"/>
    <cellStyle name="표준 6 2 3 5 2" xfId="28376" xr:uid="{00000000-0005-0000-0000-0000D36E0000}"/>
    <cellStyle name="표준 6 2 3 5 2 2" xfId="28377" xr:uid="{00000000-0005-0000-0000-0000D46E0000}"/>
    <cellStyle name="표준 6 2 3 5 2 2 2" xfId="28378" xr:uid="{00000000-0005-0000-0000-0000D56E0000}"/>
    <cellStyle name="표준 6 2 3 5 2 2 2 2" xfId="28379" xr:uid="{00000000-0005-0000-0000-0000D66E0000}"/>
    <cellStyle name="표준 6 2 3 5 2 2 3" xfId="28380" xr:uid="{00000000-0005-0000-0000-0000D76E0000}"/>
    <cellStyle name="표준 6 2 3 5 2 3" xfId="28381" xr:uid="{00000000-0005-0000-0000-0000D86E0000}"/>
    <cellStyle name="표준 6 2 3 5 2 3 2" xfId="28382" xr:uid="{00000000-0005-0000-0000-0000D96E0000}"/>
    <cellStyle name="표준 6 2 3 5 2 4" xfId="28383" xr:uid="{00000000-0005-0000-0000-0000DA6E0000}"/>
    <cellStyle name="표준 6 2 3 5 3" xfId="28384" xr:uid="{00000000-0005-0000-0000-0000DB6E0000}"/>
    <cellStyle name="표준 6 2 3 5 3 2" xfId="28385" xr:uid="{00000000-0005-0000-0000-0000DC6E0000}"/>
    <cellStyle name="표준 6 2 3 5 3 2 2" xfId="28386" xr:uid="{00000000-0005-0000-0000-0000DD6E0000}"/>
    <cellStyle name="표준 6 2 3 5 3 3" xfId="28387" xr:uid="{00000000-0005-0000-0000-0000DE6E0000}"/>
    <cellStyle name="표준 6 2 3 5 4" xfId="28388" xr:uid="{00000000-0005-0000-0000-0000DF6E0000}"/>
    <cellStyle name="표준 6 2 3 5 4 2" xfId="28389" xr:uid="{00000000-0005-0000-0000-0000E06E0000}"/>
    <cellStyle name="표준 6 2 3 5 5" xfId="28390" xr:uid="{00000000-0005-0000-0000-0000E16E0000}"/>
    <cellStyle name="표준 6 2 3 6" xfId="28391" xr:uid="{00000000-0005-0000-0000-0000E26E0000}"/>
    <cellStyle name="표준 6 2 3 6 2" xfId="28392" xr:uid="{00000000-0005-0000-0000-0000E36E0000}"/>
    <cellStyle name="표준 6 2 3 6 2 2" xfId="28393" xr:uid="{00000000-0005-0000-0000-0000E46E0000}"/>
    <cellStyle name="표준 6 2 3 6 2 2 2" xfId="28394" xr:uid="{00000000-0005-0000-0000-0000E56E0000}"/>
    <cellStyle name="표준 6 2 3 6 2 3" xfId="28395" xr:uid="{00000000-0005-0000-0000-0000E66E0000}"/>
    <cellStyle name="표준 6 2 3 6 3" xfId="28396" xr:uid="{00000000-0005-0000-0000-0000E76E0000}"/>
    <cellStyle name="표준 6 2 3 6 3 2" xfId="28397" xr:uid="{00000000-0005-0000-0000-0000E86E0000}"/>
    <cellStyle name="표준 6 2 3 6 4" xfId="28398" xr:uid="{00000000-0005-0000-0000-0000E96E0000}"/>
    <cellStyle name="표준 6 2 3 7" xfId="28399" xr:uid="{00000000-0005-0000-0000-0000EA6E0000}"/>
    <cellStyle name="표준 6 2 3 7 2" xfId="28400" xr:uid="{00000000-0005-0000-0000-0000EB6E0000}"/>
    <cellStyle name="표준 6 2 3 7 2 2" xfId="28401" xr:uid="{00000000-0005-0000-0000-0000EC6E0000}"/>
    <cellStyle name="표준 6 2 3 7 3" xfId="28402" xr:uid="{00000000-0005-0000-0000-0000ED6E0000}"/>
    <cellStyle name="표준 6 2 3 8" xfId="28403" xr:uid="{00000000-0005-0000-0000-0000EE6E0000}"/>
    <cellStyle name="표준 6 2 3 8 2" xfId="28404" xr:uid="{00000000-0005-0000-0000-0000EF6E0000}"/>
    <cellStyle name="표준 6 2 3 9" xfId="28405" xr:uid="{00000000-0005-0000-0000-0000F06E0000}"/>
    <cellStyle name="표준 6 2 4" xfId="28406" xr:uid="{00000000-0005-0000-0000-0000F16E0000}"/>
    <cellStyle name="표준 6 2 4 2" xfId="28407" xr:uid="{00000000-0005-0000-0000-0000F26E0000}"/>
    <cellStyle name="표준 6 2 4 2 2" xfId="28408" xr:uid="{00000000-0005-0000-0000-0000F36E0000}"/>
    <cellStyle name="표준 6 2 4 2 2 2" xfId="28409" xr:uid="{00000000-0005-0000-0000-0000F46E0000}"/>
    <cellStyle name="표준 6 2 4 2 2 2 2" xfId="28410" xr:uid="{00000000-0005-0000-0000-0000F56E0000}"/>
    <cellStyle name="표준 6 2 4 2 2 2 2 2" xfId="28411" xr:uid="{00000000-0005-0000-0000-0000F66E0000}"/>
    <cellStyle name="표준 6 2 4 2 2 2 2 2 2" xfId="28412" xr:uid="{00000000-0005-0000-0000-0000F76E0000}"/>
    <cellStyle name="표준 6 2 4 2 2 2 2 2 2 2" xfId="28413" xr:uid="{00000000-0005-0000-0000-0000F86E0000}"/>
    <cellStyle name="표준 6 2 4 2 2 2 2 2 3" xfId="28414" xr:uid="{00000000-0005-0000-0000-0000F96E0000}"/>
    <cellStyle name="표준 6 2 4 2 2 2 2 3" xfId="28415" xr:uid="{00000000-0005-0000-0000-0000FA6E0000}"/>
    <cellStyle name="표준 6 2 4 2 2 2 2 3 2" xfId="28416" xr:uid="{00000000-0005-0000-0000-0000FB6E0000}"/>
    <cellStyle name="표준 6 2 4 2 2 2 2 4" xfId="28417" xr:uid="{00000000-0005-0000-0000-0000FC6E0000}"/>
    <cellStyle name="표준 6 2 4 2 2 2 3" xfId="28418" xr:uid="{00000000-0005-0000-0000-0000FD6E0000}"/>
    <cellStyle name="표준 6 2 4 2 2 2 3 2" xfId="28419" xr:uid="{00000000-0005-0000-0000-0000FE6E0000}"/>
    <cellStyle name="표준 6 2 4 2 2 2 3 2 2" xfId="28420" xr:uid="{00000000-0005-0000-0000-0000FF6E0000}"/>
    <cellStyle name="표준 6 2 4 2 2 2 3 3" xfId="28421" xr:uid="{00000000-0005-0000-0000-0000006F0000}"/>
    <cellStyle name="표준 6 2 4 2 2 2 4" xfId="28422" xr:uid="{00000000-0005-0000-0000-0000016F0000}"/>
    <cellStyle name="표준 6 2 4 2 2 2 4 2" xfId="28423" xr:uid="{00000000-0005-0000-0000-0000026F0000}"/>
    <cellStyle name="표준 6 2 4 2 2 2 5" xfId="28424" xr:uid="{00000000-0005-0000-0000-0000036F0000}"/>
    <cellStyle name="표준 6 2 4 2 2 3" xfId="28425" xr:uid="{00000000-0005-0000-0000-0000046F0000}"/>
    <cellStyle name="표준 6 2 4 2 2 3 2" xfId="28426" xr:uid="{00000000-0005-0000-0000-0000056F0000}"/>
    <cellStyle name="표준 6 2 4 2 2 3 2 2" xfId="28427" xr:uid="{00000000-0005-0000-0000-0000066F0000}"/>
    <cellStyle name="표준 6 2 4 2 2 3 2 2 2" xfId="28428" xr:uid="{00000000-0005-0000-0000-0000076F0000}"/>
    <cellStyle name="표준 6 2 4 2 2 3 2 3" xfId="28429" xr:uid="{00000000-0005-0000-0000-0000086F0000}"/>
    <cellStyle name="표준 6 2 4 2 2 3 3" xfId="28430" xr:uid="{00000000-0005-0000-0000-0000096F0000}"/>
    <cellStyle name="표준 6 2 4 2 2 3 3 2" xfId="28431" xr:uid="{00000000-0005-0000-0000-00000A6F0000}"/>
    <cellStyle name="표준 6 2 4 2 2 3 4" xfId="28432" xr:uid="{00000000-0005-0000-0000-00000B6F0000}"/>
    <cellStyle name="표준 6 2 4 2 2 4" xfId="28433" xr:uid="{00000000-0005-0000-0000-00000C6F0000}"/>
    <cellStyle name="표준 6 2 4 2 2 4 2" xfId="28434" xr:uid="{00000000-0005-0000-0000-00000D6F0000}"/>
    <cellStyle name="표준 6 2 4 2 2 4 2 2" xfId="28435" xr:uid="{00000000-0005-0000-0000-00000E6F0000}"/>
    <cellStyle name="표준 6 2 4 2 2 4 3" xfId="28436" xr:uid="{00000000-0005-0000-0000-00000F6F0000}"/>
    <cellStyle name="표준 6 2 4 2 2 5" xfId="28437" xr:uid="{00000000-0005-0000-0000-0000106F0000}"/>
    <cellStyle name="표준 6 2 4 2 2 5 2" xfId="28438" xr:uid="{00000000-0005-0000-0000-0000116F0000}"/>
    <cellStyle name="표준 6 2 4 2 2 6" xfId="28439" xr:uid="{00000000-0005-0000-0000-0000126F0000}"/>
    <cellStyle name="표준 6 2 4 2 3" xfId="28440" xr:uid="{00000000-0005-0000-0000-0000136F0000}"/>
    <cellStyle name="표준 6 2 4 2 3 2" xfId="28441" xr:uid="{00000000-0005-0000-0000-0000146F0000}"/>
    <cellStyle name="표준 6 2 4 2 3 2 2" xfId="28442" xr:uid="{00000000-0005-0000-0000-0000156F0000}"/>
    <cellStyle name="표준 6 2 4 2 3 2 2 2" xfId="28443" xr:uid="{00000000-0005-0000-0000-0000166F0000}"/>
    <cellStyle name="표준 6 2 4 2 3 2 2 2 2" xfId="28444" xr:uid="{00000000-0005-0000-0000-0000176F0000}"/>
    <cellStyle name="표준 6 2 4 2 3 2 2 3" xfId="28445" xr:uid="{00000000-0005-0000-0000-0000186F0000}"/>
    <cellStyle name="표준 6 2 4 2 3 2 3" xfId="28446" xr:uid="{00000000-0005-0000-0000-0000196F0000}"/>
    <cellStyle name="표준 6 2 4 2 3 2 3 2" xfId="28447" xr:uid="{00000000-0005-0000-0000-00001A6F0000}"/>
    <cellStyle name="표준 6 2 4 2 3 2 4" xfId="28448" xr:uid="{00000000-0005-0000-0000-00001B6F0000}"/>
    <cellStyle name="표준 6 2 4 2 3 3" xfId="28449" xr:uid="{00000000-0005-0000-0000-00001C6F0000}"/>
    <cellStyle name="표준 6 2 4 2 3 3 2" xfId="28450" xr:uid="{00000000-0005-0000-0000-00001D6F0000}"/>
    <cellStyle name="표준 6 2 4 2 3 3 2 2" xfId="28451" xr:uid="{00000000-0005-0000-0000-00001E6F0000}"/>
    <cellStyle name="표준 6 2 4 2 3 3 3" xfId="28452" xr:uid="{00000000-0005-0000-0000-00001F6F0000}"/>
    <cellStyle name="표준 6 2 4 2 3 4" xfId="28453" xr:uid="{00000000-0005-0000-0000-0000206F0000}"/>
    <cellStyle name="표준 6 2 4 2 3 4 2" xfId="28454" xr:uid="{00000000-0005-0000-0000-0000216F0000}"/>
    <cellStyle name="표준 6 2 4 2 3 5" xfId="28455" xr:uid="{00000000-0005-0000-0000-0000226F0000}"/>
    <cellStyle name="표준 6 2 4 2 4" xfId="28456" xr:uid="{00000000-0005-0000-0000-0000236F0000}"/>
    <cellStyle name="표준 6 2 4 2 4 2" xfId="28457" xr:uid="{00000000-0005-0000-0000-0000246F0000}"/>
    <cellStyle name="표준 6 2 4 2 4 2 2" xfId="28458" xr:uid="{00000000-0005-0000-0000-0000256F0000}"/>
    <cellStyle name="표준 6 2 4 2 4 2 2 2" xfId="28459" xr:uid="{00000000-0005-0000-0000-0000266F0000}"/>
    <cellStyle name="표준 6 2 4 2 4 2 3" xfId="28460" xr:uid="{00000000-0005-0000-0000-0000276F0000}"/>
    <cellStyle name="표준 6 2 4 2 4 3" xfId="28461" xr:uid="{00000000-0005-0000-0000-0000286F0000}"/>
    <cellStyle name="표준 6 2 4 2 4 3 2" xfId="28462" xr:uid="{00000000-0005-0000-0000-0000296F0000}"/>
    <cellStyle name="표준 6 2 4 2 4 4" xfId="28463" xr:uid="{00000000-0005-0000-0000-00002A6F0000}"/>
    <cellStyle name="표준 6 2 4 2 5" xfId="28464" xr:uid="{00000000-0005-0000-0000-00002B6F0000}"/>
    <cellStyle name="표준 6 2 4 2 5 2" xfId="28465" xr:uid="{00000000-0005-0000-0000-00002C6F0000}"/>
    <cellStyle name="표준 6 2 4 2 5 2 2" xfId="28466" xr:uid="{00000000-0005-0000-0000-00002D6F0000}"/>
    <cellStyle name="표준 6 2 4 2 5 3" xfId="28467" xr:uid="{00000000-0005-0000-0000-00002E6F0000}"/>
    <cellStyle name="표준 6 2 4 2 6" xfId="28468" xr:uid="{00000000-0005-0000-0000-00002F6F0000}"/>
    <cellStyle name="표준 6 2 4 2 6 2" xfId="28469" xr:uid="{00000000-0005-0000-0000-0000306F0000}"/>
    <cellStyle name="표준 6 2 4 2 7" xfId="28470" xr:uid="{00000000-0005-0000-0000-0000316F0000}"/>
    <cellStyle name="표준 6 2 4 2 8" xfId="28471" xr:uid="{00000000-0005-0000-0000-0000326F0000}"/>
    <cellStyle name="표준 6 2 4 3" xfId="28472" xr:uid="{00000000-0005-0000-0000-0000336F0000}"/>
    <cellStyle name="표준 6 2 4 3 2" xfId="28473" xr:uid="{00000000-0005-0000-0000-0000346F0000}"/>
    <cellStyle name="표준 6 2 4 3 2 2" xfId="28474" xr:uid="{00000000-0005-0000-0000-0000356F0000}"/>
    <cellStyle name="표준 6 2 4 3 2 2 2" xfId="28475" xr:uid="{00000000-0005-0000-0000-0000366F0000}"/>
    <cellStyle name="표준 6 2 4 3 2 2 2 2" xfId="28476" xr:uid="{00000000-0005-0000-0000-0000376F0000}"/>
    <cellStyle name="표준 6 2 4 3 2 2 2 2 2" xfId="28477" xr:uid="{00000000-0005-0000-0000-0000386F0000}"/>
    <cellStyle name="표준 6 2 4 3 2 2 2 3" xfId="28478" xr:uid="{00000000-0005-0000-0000-0000396F0000}"/>
    <cellStyle name="표준 6 2 4 3 2 2 3" xfId="28479" xr:uid="{00000000-0005-0000-0000-00003A6F0000}"/>
    <cellStyle name="표준 6 2 4 3 2 2 3 2" xfId="28480" xr:uid="{00000000-0005-0000-0000-00003B6F0000}"/>
    <cellStyle name="표준 6 2 4 3 2 2 4" xfId="28481" xr:uid="{00000000-0005-0000-0000-00003C6F0000}"/>
    <cellStyle name="표준 6 2 4 3 2 3" xfId="28482" xr:uid="{00000000-0005-0000-0000-00003D6F0000}"/>
    <cellStyle name="표준 6 2 4 3 2 3 2" xfId="28483" xr:uid="{00000000-0005-0000-0000-00003E6F0000}"/>
    <cellStyle name="표준 6 2 4 3 2 3 2 2" xfId="28484" xr:uid="{00000000-0005-0000-0000-00003F6F0000}"/>
    <cellStyle name="표준 6 2 4 3 2 3 3" xfId="28485" xr:uid="{00000000-0005-0000-0000-0000406F0000}"/>
    <cellStyle name="표준 6 2 4 3 2 4" xfId="28486" xr:uid="{00000000-0005-0000-0000-0000416F0000}"/>
    <cellStyle name="표준 6 2 4 3 2 4 2" xfId="28487" xr:uid="{00000000-0005-0000-0000-0000426F0000}"/>
    <cellStyle name="표준 6 2 4 3 2 5" xfId="28488" xr:uid="{00000000-0005-0000-0000-0000436F0000}"/>
    <cellStyle name="표준 6 2 4 3 3" xfId="28489" xr:uid="{00000000-0005-0000-0000-0000446F0000}"/>
    <cellStyle name="표준 6 2 4 3 3 2" xfId="28490" xr:uid="{00000000-0005-0000-0000-0000456F0000}"/>
    <cellStyle name="표준 6 2 4 3 3 2 2" xfId="28491" xr:uid="{00000000-0005-0000-0000-0000466F0000}"/>
    <cellStyle name="표준 6 2 4 3 3 2 2 2" xfId="28492" xr:uid="{00000000-0005-0000-0000-0000476F0000}"/>
    <cellStyle name="표준 6 2 4 3 3 2 3" xfId="28493" xr:uid="{00000000-0005-0000-0000-0000486F0000}"/>
    <cellStyle name="표준 6 2 4 3 3 3" xfId="28494" xr:uid="{00000000-0005-0000-0000-0000496F0000}"/>
    <cellStyle name="표준 6 2 4 3 3 3 2" xfId="28495" xr:uid="{00000000-0005-0000-0000-00004A6F0000}"/>
    <cellStyle name="표준 6 2 4 3 3 4" xfId="28496" xr:uid="{00000000-0005-0000-0000-00004B6F0000}"/>
    <cellStyle name="표준 6 2 4 3 4" xfId="28497" xr:uid="{00000000-0005-0000-0000-00004C6F0000}"/>
    <cellStyle name="표준 6 2 4 3 4 2" xfId="28498" xr:uid="{00000000-0005-0000-0000-00004D6F0000}"/>
    <cellStyle name="표준 6 2 4 3 4 2 2" xfId="28499" xr:uid="{00000000-0005-0000-0000-00004E6F0000}"/>
    <cellStyle name="표준 6 2 4 3 4 3" xfId="28500" xr:uid="{00000000-0005-0000-0000-00004F6F0000}"/>
    <cellStyle name="표준 6 2 4 3 5" xfId="28501" xr:uid="{00000000-0005-0000-0000-0000506F0000}"/>
    <cellStyle name="표준 6 2 4 3 5 2" xfId="28502" xr:uid="{00000000-0005-0000-0000-0000516F0000}"/>
    <cellStyle name="표준 6 2 4 3 6" xfId="28503" xr:uid="{00000000-0005-0000-0000-0000526F0000}"/>
    <cellStyle name="표준 6 2 4 4" xfId="28504" xr:uid="{00000000-0005-0000-0000-0000536F0000}"/>
    <cellStyle name="표준 6 2 4 4 2" xfId="28505" xr:uid="{00000000-0005-0000-0000-0000546F0000}"/>
    <cellStyle name="표준 6 2 4 4 2 2" xfId="28506" xr:uid="{00000000-0005-0000-0000-0000556F0000}"/>
    <cellStyle name="표준 6 2 4 4 2 2 2" xfId="28507" xr:uid="{00000000-0005-0000-0000-0000566F0000}"/>
    <cellStyle name="표준 6 2 4 4 2 2 2 2" xfId="28508" xr:uid="{00000000-0005-0000-0000-0000576F0000}"/>
    <cellStyle name="표준 6 2 4 4 2 2 3" xfId="28509" xr:uid="{00000000-0005-0000-0000-0000586F0000}"/>
    <cellStyle name="표준 6 2 4 4 2 3" xfId="28510" xr:uid="{00000000-0005-0000-0000-0000596F0000}"/>
    <cellStyle name="표준 6 2 4 4 2 3 2" xfId="28511" xr:uid="{00000000-0005-0000-0000-00005A6F0000}"/>
    <cellStyle name="표준 6 2 4 4 2 4" xfId="28512" xr:uid="{00000000-0005-0000-0000-00005B6F0000}"/>
    <cellStyle name="표준 6 2 4 4 3" xfId="28513" xr:uid="{00000000-0005-0000-0000-00005C6F0000}"/>
    <cellStyle name="표준 6 2 4 4 3 2" xfId="28514" xr:uid="{00000000-0005-0000-0000-00005D6F0000}"/>
    <cellStyle name="표준 6 2 4 4 3 2 2" xfId="28515" xr:uid="{00000000-0005-0000-0000-00005E6F0000}"/>
    <cellStyle name="표준 6 2 4 4 3 3" xfId="28516" xr:uid="{00000000-0005-0000-0000-00005F6F0000}"/>
    <cellStyle name="표준 6 2 4 4 4" xfId="28517" xr:uid="{00000000-0005-0000-0000-0000606F0000}"/>
    <cellStyle name="표준 6 2 4 4 4 2" xfId="28518" xr:uid="{00000000-0005-0000-0000-0000616F0000}"/>
    <cellStyle name="표준 6 2 4 4 5" xfId="28519" xr:uid="{00000000-0005-0000-0000-0000626F0000}"/>
    <cellStyle name="표준 6 2 4 5" xfId="28520" xr:uid="{00000000-0005-0000-0000-0000636F0000}"/>
    <cellStyle name="표준 6 2 4 5 2" xfId="28521" xr:uid="{00000000-0005-0000-0000-0000646F0000}"/>
    <cellStyle name="표준 6 2 4 5 2 2" xfId="28522" xr:uid="{00000000-0005-0000-0000-0000656F0000}"/>
    <cellStyle name="표준 6 2 4 5 2 2 2" xfId="28523" xr:uid="{00000000-0005-0000-0000-0000666F0000}"/>
    <cellStyle name="표준 6 2 4 5 2 3" xfId="28524" xr:uid="{00000000-0005-0000-0000-0000676F0000}"/>
    <cellStyle name="표준 6 2 4 5 3" xfId="28525" xr:uid="{00000000-0005-0000-0000-0000686F0000}"/>
    <cellStyle name="표준 6 2 4 5 3 2" xfId="28526" xr:uid="{00000000-0005-0000-0000-0000696F0000}"/>
    <cellStyle name="표준 6 2 4 5 4" xfId="28527" xr:uid="{00000000-0005-0000-0000-00006A6F0000}"/>
    <cellStyle name="표준 6 2 4 6" xfId="28528" xr:uid="{00000000-0005-0000-0000-00006B6F0000}"/>
    <cellStyle name="표준 6 2 4 6 2" xfId="28529" xr:uid="{00000000-0005-0000-0000-00006C6F0000}"/>
    <cellStyle name="표준 6 2 4 6 2 2" xfId="28530" xr:uid="{00000000-0005-0000-0000-00006D6F0000}"/>
    <cellStyle name="표준 6 2 4 6 3" xfId="28531" xr:uid="{00000000-0005-0000-0000-00006E6F0000}"/>
    <cellStyle name="표준 6 2 4 7" xfId="28532" xr:uid="{00000000-0005-0000-0000-00006F6F0000}"/>
    <cellStyle name="표준 6 2 4 7 2" xfId="28533" xr:uid="{00000000-0005-0000-0000-0000706F0000}"/>
    <cellStyle name="표준 6 2 4 8" xfId="28534" xr:uid="{00000000-0005-0000-0000-0000716F0000}"/>
    <cellStyle name="표준 6 2 4 9" xfId="28535" xr:uid="{00000000-0005-0000-0000-0000726F0000}"/>
    <cellStyle name="표준 6 2 5" xfId="28536" xr:uid="{00000000-0005-0000-0000-0000736F0000}"/>
    <cellStyle name="표준 6 2 5 2" xfId="28537" xr:uid="{00000000-0005-0000-0000-0000746F0000}"/>
    <cellStyle name="표준 6 2 5 2 2" xfId="28538" xr:uid="{00000000-0005-0000-0000-0000756F0000}"/>
    <cellStyle name="표준 6 2 5 2 2 2" xfId="28539" xr:uid="{00000000-0005-0000-0000-0000766F0000}"/>
    <cellStyle name="표준 6 2 5 2 2 2 2" xfId="28540" xr:uid="{00000000-0005-0000-0000-0000776F0000}"/>
    <cellStyle name="표준 6 2 5 2 2 2 2 2" xfId="28541" xr:uid="{00000000-0005-0000-0000-0000786F0000}"/>
    <cellStyle name="표준 6 2 5 2 2 2 2 2 2" xfId="28542" xr:uid="{00000000-0005-0000-0000-0000796F0000}"/>
    <cellStyle name="표준 6 2 5 2 2 2 2 3" xfId="28543" xr:uid="{00000000-0005-0000-0000-00007A6F0000}"/>
    <cellStyle name="표준 6 2 5 2 2 2 3" xfId="28544" xr:uid="{00000000-0005-0000-0000-00007B6F0000}"/>
    <cellStyle name="표준 6 2 5 2 2 2 3 2" xfId="28545" xr:uid="{00000000-0005-0000-0000-00007C6F0000}"/>
    <cellStyle name="표준 6 2 5 2 2 2 4" xfId="28546" xr:uid="{00000000-0005-0000-0000-00007D6F0000}"/>
    <cellStyle name="표준 6 2 5 2 2 3" xfId="28547" xr:uid="{00000000-0005-0000-0000-00007E6F0000}"/>
    <cellStyle name="표준 6 2 5 2 2 3 2" xfId="28548" xr:uid="{00000000-0005-0000-0000-00007F6F0000}"/>
    <cellStyle name="표준 6 2 5 2 2 3 2 2" xfId="28549" xr:uid="{00000000-0005-0000-0000-0000806F0000}"/>
    <cellStyle name="표준 6 2 5 2 2 3 3" xfId="28550" xr:uid="{00000000-0005-0000-0000-0000816F0000}"/>
    <cellStyle name="표준 6 2 5 2 2 4" xfId="28551" xr:uid="{00000000-0005-0000-0000-0000826F0000}"/>
    <cellStyle name="표준 6 2 5 2 2 4 2" xfId="28552" xr:uid="{00000000-0005-0000-0000-0000836F0000}"/>
    <cellStyle name="표준 6 2 5 2 2 5" xfId="28553" xr:uid="{00000000-0005-0000-0000-0000846F0000}"/>
    <cellStyle name="표준 6 2 5 2 3" xfId="28554" xr:uid="{00000000-0005-0000-0000-0000856F0000}"/>
    <cellStyle name="표준 6 2 5 2 3 2" xfId="28555" xr:uid="{00000000-0005-0000-0000-0000866F0000}"/>
    <cellStyle name="표준 6 2 5 2 3 2 2" xfId="28556" xr:uid="{00000000-0005-0000-0000-0000876F0000}"/>
    <cellStyle name="표준 6 2 5 2 3 2 2 2" xfId="28557" xr:uid="{00000000-0005-0000-0000-0000886F0000}"/>
    <cellStyle name="표준 6 2 5 2 3 2 3" xfId="28558" xr:uid="{00000000-0005-0000-0000-0000896F0000}"/>
    <cellStyle name="표준 6 2 5 2 3 3" xfId="28559" xr:uid="{00000000-0005-0000-0000-00008A6F0000}"/>
    <cellStyle name="표준 6 2 5 2 3 3 2" xfId="28560" xr:uid="{00000000-0005-0000-0000-00008B6F0000}"/>
    <cellStyle name="표준 6 2 5 2 3 4" xfId="28561" xr:uid="{00000000-0005-0000-0000-00008C6F0000}"/>
    <cellStyle name="표준 6 2 5 2 4" xfId="28562" xr:uid="{00000000-0005-0000-0000-00008D6F0000}"/>
    <cellStyle name="표준 6 2 5 2 4 2" xfId="28563" xr:uid="{00000000-0005-0000-0000-00008E6F0000}"/>
    <cellStyle name="표준 6 2 5 2 4 2 2" xfId="28564" xr:uid="{00000000-0005-0000-0000-00008F6F0000}"/>
    <cellStyle name="표준 6 2 5 2 4 3" xfId="28565" xr:uid="{00000000-0005-0000-0000-0000906F0000}"/>
    <cellStyle name="표준 6 2 5 2 5" xfId="28566" xr:uid="{00000000-0005-0000-0000-0000916F0000}"/>
    <cellStyle name="표준 6 2 5 2 5 2" xfId="28567" xr:uid="{00000000-0005-0000-0000-0000926F0000}"/>
    <cellStyle name="표준 6 2 5 2 6" xfId="28568" xr:uid="{00000000-0005-0000-0000-0000936F0000}"/>
    <cellStyle name="표준 6 2 5 3" xfId="28569" xr:uid="{00000000-0005-0000-0000-0000946F0000}"/>
    <cellStyle name="표준 6 2 5 3 2" xfId="28570" xr:uid="{00000000-0005-0000-0000-0000956F0000}"/>
    <cellStyle name="표준 6 2 5 3 2 2" xfId="28571" xr:uid="{00000000-0005-0000-0000-0000966F0000}"/>
    <cellStyle name="표준 6 2 5 3 2 2 2" xfId="28572" xr:uid="{00000000-0005-0000-0000-0000976F0000}"/>
    <cellStyle name="표준 6 2 5 3 2 2 2 2" xfId="28573" xr:uid="{00000000-0005-0000-0000-0000986F0000}"/>
    <cellStyle name="표준 6 2 5 3 2 2 3" xfId="28574" xr:uid="{00000000-0005-0000-0000-0000996F0000}"/>
    <cellStyle name="표준 6 2 5 3 2 3" xfId="28575" xr:uid="{00000000-0005-0000-0000-00009A6F0000}"/>
    <cellStyle name="표준 6 2 5 3 2 3 2" xfId="28576" xr:uid="{00000000-0005-0000-0000-00009B6F0000}"/>
    <cellStyle name="표준 6 2 5 3 2 4" xfId="28577" xr:uid="{00000000-0005-0000-0000-00009C6F0000}"/>
    <cellStyle name="표준 6 2 5 3 3" xfId="28578" xr:uid="{00000000-0005-0000-0000-00009D6F0000}"/>
    <cellStyle name="표준 6 2 5 3 3 2" xfId="28579" xr:uid="{00000000-0005-0000-0000-00009E6F0000}"/>
    <cellStyle name="표준 6 2 5 3 3 2 2" xfId="28580" xr:uid="{00000000-0005-0000-0000-00009F6F0000}"/>
    <cellStyle name="표준 6 2 5 3 3 3" xfId="28581" xr:uid="{00000000-0005-0000-0000-0000A06F0000}"/>
    <cellStyle name="표준 6 2 5 3 4" xfId="28582" xr:uid="{00000000-0005-0000-0000-0000A16F0000}"/>
    <cellStyle name="표준 6 2 5 3 4 2" xfId="28583" xr:uid="{00000000-0005-0000-0000-0000A26F0000}"/>
    <cellStyle name="표준 6 2 5 3 5" xfId="28584" xr:uid="{00000000-0005-0000-0000-0000A36F0000}"/>
    <cellStyle name="표준 6 2 5 4" xfId="28585" xr:uid="{00000000-0005-0000-0000-0000A46F0000}"/>
    <cellStyle name="표준 6 2 5 4 2" xfId="28586" xr:uid="{00000000-0005-0000-0000-0000A56F0000}"/>
    <cellStyle name="표준 6 2 5 4 2 2" xfId="28587" xr:uid="{00000000-0005-0000-0000-0000A66F0000}"/>
    <cellStyle name="표준 6 2 5 4 2 2 2" xfId="28588" xr:uid="{00000000-0005-0000-0000-0000A76F0000}"/>
    <cellStyle name="표준 6 2 5 4 2 3" xfId="28589" xr:uid="{00000000-0005-0000-0000-0000A86F0000}"/>
    <cellStyle name="표준 6 2 5 4 3" xfId="28590" xr:uid="{00000000-0005-0000-0000-0000A96F0000}"/>
    <cellStyle name="표준 6 2 5 4 3 2" xfId="28591" xr:uid="{00000000-0005-0000-0000-0000AA6F0000}"/>
    <cellStyle name="표준 6 2 5 4 4" xfId="28592" xr:uid="{00000000-0005-0000-0000-0000AB6F0000}"/>
    <cellStyle name="표준 6 2 5 5" xfId="28593" xr:uid="{00000000-0005-0000-0000-0000AC6F0000}"/>
    <cellStyle name="표준 6 2 5 5 2" xfId="28594" xr:uid="{00000000-0005-0000-0000-0000AD6F0000}"/>
    <cellStyle name="표준 6 2 5 5 2 2" xfId="28595" xr:uid="{00000000-0005-0000-0000-0000AE6F0000}"/>
    <cellStyle name="표준 6 2 5 5 3" xfId="28596" xr:uid="{00000000-0005-0000-0000-0000AF6F0000}"/>
    <cellStyle name="표준 6 2 5 6" xfId="28597" xr:uid="{00000000-0005-0000-0000-0000B06F0000}"/>
    <cellStyle name="표준 6 2 5 6 2" xfId="28598" xr:uid="{00000000-0005-0000-0000-0000B16F0000}"/>
    <cellStyle name="표준 6 2 5 7" xfId="28599" xr:uid="{00000000-0005-0000-0000-0000B26F0000}"/>
    <cellStyle name="표준 6 2 5 8" xfId="28600" xr:uid="{00000000-0005-0000-0000-0000B36F0000}"/>
    <cellStyle name="표준 6 2 6" xfId="28601" xr:uid="{00000000-0005-0000-0000-0000B46F0000}"/>
    <cellStyle name="표준 6 2 6 2" xfId="28602" xr:uid="{00000000-0005-0000-0000-0000B56F0000}"/>
    <cellStyle name="표준 6 2 6 2 2" xfId="28603" xr:uid="{00000000-0005-0000-0000-0000B66F0000}"/>
    <cellStyle name="표준 6 2 6 2 2 2" xfId="28604" xr:uid="{00000000-0005-0000-0000-0000B76F0000}"/>
    <cellStyle name="표준 6 2 6 2 2 2 2" xfId="28605" xr:uid="{00000000-0005-0000-0000-0000B86F0000}"/>
    <cellStyle name="표준 6 2 6 2 2 2 2 2" xfId="28606" xr:uid="{00000000-0005-0000-0000-0000B96F0000}"/>
    <cellStyle name="표준 6 2 6 2 2 2 3" xfId="28607" xr:uid="{00000000-0005-0000-0000-0000BA6F0000}"/>
    <cellStyle name="표준 6 2 6 2 2 3" xfId="28608" xr:uid="{00000000-0005-0000-0000-0000BB6F0000}"/>
    <cellStyle name="표준 6 2 6 2 2 3 2" xfId="28609" xr:uid="{00000000-0005-0000-0000-0000BC6F0000}"/>
    <cellStyle name="표준 6 2 6 2 2 4" xfId="28610" xr:uid="{00000000-0005-0000-0000-0000BD6F0000}"/>
    <cellStyle name="표준 6 2 6 2 3" xfId="28611" xr:uid="{00000000-0005-0000-0000-0000BE6F0000}"/>
    <cellStyle name="표준 6 2 6 2 3 2" xfId="28612" xr:uid="{00000000-0005-0000-0000-0000BF6F0000}"/>
    <cellStyle name="표준 6 2 6 2 3 2 2" xfId="28613" xr:uid="{00000000-0005-0000-0000-0000C06F0000}"/>
    <cellStyle name="표준 6 2 6 2 3 3" xfId="28614" xr:uid="{00000000-0005-0000-0000-0000C16F0000}"/>
    <cellStyle name="표준 6 2 6 2 4" xfId="28615" xr:uid="{00000000-0005-0000-0000-0000C26F0000}"/>
    <cellStyle name="표준 6 2 6 2 4 2" xfId="28616" xr:uid="{00000000-0005-0000-0000-0000C36F0000}"/>
    <cellStyle name="표준 6 2 6 2 5" xfId="28617" xr:uid="{00000000-0005-0000-0000-0000C46F0000}"/>
    <cellStyle name="표준 6 2 6 3" xfId="28618" xr:uid="{00000000-0005-0000-0000-0000C56F0000}"/>
    <cellStyle name="표준 6 2 6 3 2" xfId="28619" xr:uid="{00000000-0005-0000-0000-0000C66F0000}"/>
    <cellStyle name="표준 6 2 6 3 2 2" xfId="28620" xr:uid="{00000000-0005-0000-0000-0000C76F0000}"/>
    <cellStyle name="표준 6 2 6 3 2 2 2" xfId="28621" xr:uid="{00000000-0005-0000-0000-0000C86F0000}"/>
    <cellStyle name="표준 6 2 6 3 2 3" xfId="28622" xr:uid="{00000000-0005-0000-0000-0000C96F0000}"/>
    <cellStyle name="표준 6 2 6 3 3" xfId="28623" xr:uid="{00000000-0005-0000-0000-0000CA6F0000}"/>
    <cellStyle name="표준 6 2 6 3 3 2" xfId="28624" xr:uid="{00000000-0005-0000-0000-0000CB6F0000}"/>
    <cellStyle name="표준 6 2 6 3 4" xfId="28625" xr:uid="{00000000-0005-0000-0000-0000CC6F0000}"/>
    <cellStyle name="표준 6 2 6 4" xfId="28626" xr:uid="{00000000-0005-0000-0000-0000CD6F0000}"/>
    <cellStyle name="표준 6 2 6 4 2" xfId="28627" xr:uid="{00000000-0005-0000-0000-0000CE6F0000}"/>
    <cellStyle name="표준 6 2 6 4 2 2" xfId="28628" xr:uid="{00000000-0005-0000-0000-0000CF6F0000}"/>
    <cellStyle name="표준 6 2 6 4 3" xfId="28629" xr:uid="{00000000-0005-0000-0000-0000D06F0000}"/>
    <cellStyle name="표준 6 2 6 5" xfId="28630" xr:uid="{00000000-0005-0000-0000-0000D16F0000}"/>
    <cellStyle name="표준 6 2 6 5 2" xfId="28631" xr:uid="{00000000-0005-0000-0000-0000D26F0000}"/>
    <cellStyle name="표준 6 2 6 6" xfId="28632" xr:uid="{00000000-0005-0000-0000-0000D36F0000}"/>
    <cellStyle name="표준 6 2 7" xfId="28633" xr:uid="{00000000-0005-0000-0000-0000D46F0000}"/>
    <cellStyle name="표준 6 2 7 2" xfId="28634" xr:uid="{00000000-0005-0000-0000-0000D56F0000}"/>
    <cellStyle name="표준 6 2 7 2 2" xfId="28635" xr:uid="{00000000-0005-0000-0000-0000D66F0000}"/>
    <cellStyle name="표준 6 2 7 2 2 2" xfId="28636" xr:uid="{00000000-0005-0000-0000-0000D76F0000}"/>
    <cellStyle name="표준 6 2 7 2 2 2 2" xfId="28637" xr:uid="{00000000-0005-0000-0000-0000D86F0000}"/>
    <cellStyle name="표준 6 2 7 2 2 3" xfId="28638" xr:uid="{00000000-0005-0000-0000-0000D96F0000}"/>
    <cellStyle name="표준 6 2 7 2 3" xfId="28639" xr:uid="{00000000-0005-0000-0000-0000DA6F0000}"/>
    <cellStyle name="표준 6 2 7 2 3 2" xfId="28640" xr:uid="{00000000-0005-0000-0000-0000DB6F0000}"/>
    <cellStyle name="표준 6 2 7 2 4" xfId="28641" xr:uid="{00000000-0005-0000-0000-0000DC6F0000}"/>
    <cellStyle name="표준 6 2 7 3" xfId="28642" xr:uid="{00000000-0005-0000-0000-0000DD6F0000}"/>
    <cellStyle name="표준 6 2 7 3 2" xfId="28643" xr:uid="{00000000-0005-0000-0000-0000DE6F0000}"/>
    <cellStyle name="표준 6 2 7 3 2 2" xfId="28644" xr:uid="{00000000-0005-0000-0000-0000DF6F0000}"/>
    <cellStyle name="표준 6 2 7 3 3" xfId="28645" xr:uid="{00000000-0005-0000-0000-0000E06F0000}"/>
    <cellStyle name="표준 6 2 7 4" xfId="28646" xr:uid="{00000000-0005-0000-0000-0000E16F0000}"/>
    <cellStyle name="표준 6 2 7 4 2" xfId="28647" xr:uid="{00000000-0005-0000-0000-0000E26F0000}"/>
    <cellStyle name="표준 6 2 7 5" xfId="28648" xr:uid="{00000000-0005-0000-0000-0000E36F0000}"/>
    <cellStyle name="표준 6 2 8" xfId="28649" xr:uid="{00000000-0005-0000-0000-0000E46F0000}"/>
    <cellStyle name="표준 6 2 8 2" xfId="28650" xr:uid="{00000000-0005-0000-0000-0000E56F0000}"/>
    <cellStyle name="표준 6 2 8 2 2" xfId="28651" xr:uid="{00000000-0005-0000-0000-0000E66F0000}"/>
    <cellStyle name="표준 6 2 8 2 2 2" xfId="28652" xr:uid="{00000000-0005-0000-0000-0000E76F0000}"/>
    <cellStyle name="표준 6 2 8 2 3" xfId="28653" xr:uid="{00000000-0005-0000-0000-0000E86F0000}"/>
    <cellStyle name="표준 6 2 8 3" xfId="28654" xr:uid="{00000000-0005-0000-0000-0000E96F0000}"/>
    <cellStyle name="표준 6 2 8 3 2" xfId="28655" xr:uid="{00000000-0005-0000-0000-0000EA6F0000}"/>
    <cellStyle name="표준 6 2 8 4" xfId="28656" xr:uid="{00000000-0005-0000-0000-0000EB6F0000}"/>
    <cellStyle name="표준 6 2 9" xfId="28657" xr:uid="{00000000-0005-0000-0000-0000EC6F0000}"/>
    <cellStyle name="표준 6 2 9 2" xfId="28658" xr:uid="{00000000-0005-0000-0000-0000ED6F0000}"/>
    <cellStyle name="표준 6 2 9 2 2" xfId="28659" xr:uid="{00000000-0005-0000-0000-0000EE6F0000}"/>
    <cellStyle name="표준 6 2 9 3" xfId="28660" xr:uid="{00000000-0005-0000-0000-0000EF6F0000}"/>
    <cellStyle name="표준 6 3" xfId="28661" xr:uid="{00000000-0005-0000-0000-0000F06F0000}"/>
    <cellStyle name="표준 6 3 10" xfId="28662" xr:uid="{00000000-0005-0000-0000-0000F16F0000}"/>
    <cellStyle name="표준 6 3 11" xfId="28663" xr:uid="{00000000-0005-0000-0000-0000F26F0000}"/>
    <cellStyle name="표준 6 3 2" xfId="28664" xr:uid="{00000000-0005-0000-0000-0000F36F0000}"/>
    <cellStyle name="표준 6 3 2 10" xfId="28665" xr:uid="{00000000-0005-0000-0000-0000F46F0000}"/>
    <cellStyle name="표준 6 3 2 2" xfId="28666" xr:uid="{00000000-0005-0000-0000-0000F56F0000}"/>
    <cellStyle name="표준 6 3 2 2 2" xfId="28667" xr:uid="{00000000-0005-0000-0000-0000F66F0000}"/>
    <cellStyle name="표준 6 3 2 2 2 2" xfId="28668" xr:uid="{00000000-0005-0000-0000-0000F76F0000}"/>
    <cellStyle name="표준 6 3 2 2 2 2 2" xfId="28669" xr:uid="{00000000-0005-0000-0000-0000F86F0000}"/>
    <cellStyle name="표준 6 3 2 2 2 2 2 2" xfId="28670" xr:uid="{00000000-0005-0000-0000-0000F96F0000}"/>
    <cellStyle name="표준 6 3 2 2 2 2 2 2 2" xfId="28671" xr:uid="{00000000-0005-0000-0000-0000FA6F0000}"/>
    <cellStyle name="표준 6 3 2 2 2 2 2 2 2 2" xfId="28672" xr:uid="{00000000-0005-0000-0000-0000FB6F0000}"/>
    <cellStyle name="표준 6 3 2 2 2 2 2 2 2 2 2" xfId="28673" xr:uid="{00000000-0005-0000-0000-0000FC6F0000}"/>
    <cellStyle name="표준 6 3 2 2 2 2 2 2 2 3" xfId="28674" xr:uid="{00000000-0005-0000-0000-0000FD6F0000}"/>
    <cellStyle name="표준 6 3 2 2 2 2 2 2 3" xfId="28675" xr:uid="{00000000-0005-0000-0000-0000FE6F0000}"/>
    <cellStyle name="표준 6 3 2 2 2 2 2 2 3 2" xfId="28676" xr:uid="{00000000-0005-0000-0000-0000FF6F0000}"/>
    <cellStyle name="표준 6 3 2 2 2 2 2 2 4" xfId="28677" xr:uid="{00000000-0005-0000-0000-000000700000}"/>
    <cellStyle name="표준 6 3 2 2 2 2 2 3" xfId="28678" xr:uid="{00000000-0005-0000-0000-000001700000}"/>
    <cellStyle name="표준 6 3 2 2 2 2 2 3 2" xfId="28679" xr:uid="{00000000-0005-0000-0000-000002700000}"/>
    <cellStyle name="표준 6 3 2 2 2 2 2 3 2 2" xfId="28680" xr:uid="{00000000-0005-0000-0000-000003700000}"/>
    <cellStyle name="표준 6 3 2 2 2 2 2 3 3" xfId="28681" xr:uid="{00000000-0005-0000-0000-000004700000}"/>
    <cellStyle name="표준 6 3 2 2 2 2 2 4" xfId="28682" xr:uid="{00000000-0005-0000-0000-000005700000}"/>
    <cellStyle name="표준 6 3 2 2 2 2 2 4 2" xfId="28683" xr:uid="{00000000-0005-0000-0000-000006700000}"/>
    <cellStyle name="표준 6 3 2 2 2 2 2 5" xfId="28684" xr:uid="{00000000-0005-0000-0000-000007700000}"/>
    <cellStyle name="표준 6 3 2 2 2 2 3" xfId="28685" xr:uid="{00000000-0005-0000-0000-000008700000}"/>
    <cellStyle name="표준 6 3 2 2 2 2 3 2" xfId="28686" xr:uid="{00000000-0005-0000-0000-000009700000}"/>
    <cellStyle name="표준 6 3 2 2 2 2 3 2 2" xfId="28687" xr:uid="{00000000-0005-0000-0000-00000A700000}"/>
    <cellStyle name="표준 6 3 2 2 2 2 3 2 2 2" xfId="28688" xr:uid="{00000000-0005-0000-0000-00000B700000}"/>
    <cellStyle name="표준 6 3 2 2 2 2 3 2 3" xfId="28689" xr:uid="{00000000-0005-0000-0000-00000C700000}"/>
    <cellStyle name="표준 6 3 2 2 2 2 3 3" xfId="28690" xr:uid="{00000000-0005-0000-0000-00000D700000}"/>
    <cellStyle name="표준 6 3 2 2 2 2 3 3 2" xfId="28691" xr:uid="{00000000-0005-0000-0000-00000E700000}"/>
    <cellStyle name="표준 6 3 2 2 2 2 3 4" xfId="28692" xr:uid="{00000000-0005-0000-0000-00000F700000}"/>
    <cellStyle name="표준 6 3 2 2 2 2 4" xfId="28693" xr:uid="{00000000-0005-0000-0000-000010700000}"/>
    <cellStyle name="표준 6 3 2 2 2 2 4 2" xfId="28694" xr:uid="{00000000-0005-0000-0000-000011700000}"/>
    <cellStyle name="표준 6 3 2 2 2 2 4 2 2" xfId="28695" xr:uid="{00000000-0005-0000-0000-000012700000}"/>
    <cellStyle name="표준 6 3 2 2 2 2 4 3" xfId="28696" xr:uid="{00000000-0005-0000-0000-000013700000}"/>
    <cellStyle name="표준 6 3 2 2 2 2 5" xfId="28697" xr:uid="{00000000-0005-0000-0000-000014700000}"/>
    <cellStyle name="표준 6 3 2 2 2 2 5 2" xfId="28698" xr:uid="{00000000-0005-0000-0000-000015700000}"/>
    <cellStyle name="표준 6 3 2 2 2 2 6" xfId="28699" xr:uid="{00000000-0005-0000-0000-000016700000}"/>
    <cellStyle name="표준 6 3 2 2 2 3" xfId="28700" xr:uid="{00000000-0005-0000-0000-000017700000}"/>
    <cellStyle name="표준 6 3 2 2 2 3 2" xfId="28701" xr:uid="{00000000-0005-0000-0000-000018700000}"/>
    <cellStyle name="표준 6 3 2 2 2 3 2 2" xfId="28702" xr:uid="{00000000-0005-0000-0000-000019700000}"/>
    <cellStyle name="표준 6 3 2 2 2 3 2 2 2" xfId="28703" xr:uid="{00000000-0005-0000-0000-00001A700000}"/>
    <cellStyle name="표준 6 3 2 2 2 3 2 2 2 2" xfId="28704" xr:uid="{00000000-0005-0000-0000-00001B700000}"/>
    <cellStyle name="표준 6 3 2 2 2 3 2 2 3" xfId="28705" xr:uid="{00000000-0005-0000-0000-00001C700000}"/>
    <cellStyle name="표준 6 3 2 2 2 3 2 3" xfId="28706" xr:uid="{00000000-0005-0000-0000-00001D700000}"/>
    <cellStyle name="표준 6 3 2 2 2 3 2 3 2" xfId="28707" xr:uid="{00000000-0005-0000-0000-00001E700000}"/>
    <cellStyle name="표준 6 3 2 2 2 3 2 4" xfId="28708" xr:uid="{00000000-0005-0000-0000-00001F700000}"/>
    <cellStyle name="표준 6 3 2 2 2 3 3" xfId="28709" xr:uid="{00000000-0005-0000-0000-000020700000}"/>
    <cellStyle name="표준 6 3 2 2 2 3 3 2" xfId="28710" xr:uid="{00000000-0005-0000-0000-000021700000}"/>
    <cellStyle name="표준 6 3 2 2 2 3 3 2 2" xfId="28711" xr:uid="{00000000-0005-0000-0000-000022700000}"/>
    <cellStyle name="표준 6 3 2 2 2 3 3 3" xfId="28712" xr:uid="{00000000-0005-0000-0000-000023700000}"/>
    <cellStyle name="표준 6 3 2 2 2 3 4" xfId="28713" xr:uid="{00000000-0005-0000-0000-000024700000}"/>
    <cellStyle name="표준 6 3 2 2 2 3 4 2" xfId="28714" xr:uid="{00000000-0005-0000-0000-000025700000}"/>
    <cellStyle name="표준 6 3 2 2 2 3 5" xfId="28715" xr:uid="{00000000-0005-0000-0000-000026700000}"/>
    <cellStyle name="표준 6 3 2 2 2 4" xfId="28716" xr:uid="{00000000-0005-0000-0000-000027700000}"/>
    <cellStyle name="표준 6 3 2 2 2 4 2" xfId="28717" xr:uid="{00000000-0005-0000-0000-000028700000}"/>
    <cellStyle name="표준 6 3 2 2 2 4 2 2" xfId="28718" xr:uid="{00000000-0005-0000-0000-000029700000}"/>
    <cellStyle name="표준 6 3 2 2 2 4 2 2 2" xfId="28719" xr:uid="{00000000-0005-0000-0000-00002A700000}"/>
    <cellStyle name="표준 6 3 2 2 2 4 2 3" xfId="28720" xr:uid="{00000000-0005-0000-0000-00002B700000}"/>
    <cellStyle name="표준 6 3 2 2 2 4 3" xfId="28721" xr:uid="{00000000-0005-0000-0000-00002C700000}"/>
    <cellStyle name="표준 6 3 2 2 2 4 3 2" xfId="28722" xr:uid="{00000000-0005-0000-0000-00002D700000}"/>
    <cellStyle name="표준 6 3 2 2 2 4 4" xfId="28723" xr:uid="{00000000-0005-0000-0000-00002E700000}"/>
    <cellStyle name="표준 6 3 2 2 2 5" xfId="28724" xr:uid="{00000000-0005-0000-0000-00002F700000}"/>
    <cellStyle name="표준 6 3 2 2 2 5 2" xfId="28725" xr:uid="{00000000-0005-0000-0000-000030700000}"/>
    <cellStyle name="표준 6 3 2 2 2 5 2 2" xfId="28726" xr:uid="{00000000-0005-0000-0000-000031700000}"/>
    <cellStyle name="표준 6 3 2 2 2 5 3" xfId="28727" xr:uid="{00000000-0005-0000-0000-000032700000}"/>
    <cellStyle name="표준 6 3 2 2 2 6" xfId="28728" xr:uid="{00000000-0005-0000-0000-000033700000}"/>
    <cellStyle name="표준 6 3 2 2 2 6 2" xfId="28729" xr:uid="{00000000-0005-0000-0000-000034700000}"/>
    <cellStyle name="표준 6 3 2 2 2 7" xfId="28730" xr:uid="{00000000-0005-0000-0000-000035700000}"/>
    <cellStyle name="표준 6 3 2 2 2 8" xfId="28731" xr:uid="{00000000-0005-0000-0000-000036700000}"/>
    <cellStyle name="표준 6 3 2 2 3" xfId="28732" xr:uid="{00000000-0005-0000-0000-000037700000}"/>
    <cellStyle name="표준 6 3 2 2 3 2" xfId="28733" xr:uid="{00000000-0005-0000-0000-000038700000}"/>
    <cellStyle name="표준 6 3 2 2 3 2 2" xfId="28734" xr:uid="{00000000-0005-0000-0000-000039700000}"/>
    <cellStyle name="표준 6 3 2 2 3 2 2 2" xfId="28735" xr:uid="{00000000-0005-0000-0000-00003A700000}"/>
    <cellStyle name="표준 6 3 2 2 3 2 2 2 2" xfId="28736" xr:uid="{00000000-0005-0000-0000-00003B700000}"/>
    <cellStyle name="표준 6 3 2 2 3 2 2 2 2 2" xfId="28737" xr:uid="{00000000-0005-0000-0000-00003C700000}"/>
    <cellStyle name="표준 6 3 2 2 3 2 2 2 3" xfId="28738" xr:uid="{00000000-0005-0000-0000-00003D700000}"/>
    <cellStyle name="표준 6 3 2 2 3 2 2 3" xfId="28739" xr:uid="{00000000-0005-0000-0000-00003E700000}"/>
    <cellStyle name="표준 6 3 2 2 3 2 2 3 2" xfId="28740" xr:uid="{00000000-0005-0000-0000-00003F700000}"/>
    <cellStyle name="표준 6 3 2 2 3 2 2 4" xfId="28741" xr:uid="{00000000-0005-0000-0000-000040700000}"/>
    <cellStyle name="표준 6 3 2 2 3 2 3" xfId="28742" xr:uid="{00000000-0005-0000-0000-000041700000}"/>
    <cellStyle name="표준 6 3 2 2 3 2 3 2" xfId="28743" xr:uid="{00000000-0005-0000-0000-000042700000}"/>
    <cellStyle name="표준 6 3 2 2 3 2 3 2 2" xfId="28744" xr:uid="{00000000-0005-0000-0000-000043700000}"/>
    <cellStyle name="표준 6 3 2 2 3 2 3 3" xfId="28745" xr:uid="{00000000-0005-0000-0000-000044700000}"/>
    <cellStyle name="표준 6 3 2 2 3 2 4" xfId="28746" xr:uid="{00000000-0005-0000-0000-000045700000}"/>
    <cellStyle name="표준 6 3 2 2 3 2 4 2" xfId="28747" xr:uid="{00000000-0005-0000-0000-000046700000}"/>
    <cellStyle name="표준 6 3 2 2 3 2 5" xfId="28748" xr:uid="{00000000-0005-0000-0000-000047700000}"/>
    <cellStyle name="표준 6 3 2 2 3 3" xfId="28749" xr:uid="{00000000-0005-0000-0000-000048700000}"/>
    <cellStyle name="표준 6 3 2 2 3 3 2" xfId="28750" xr:uid="{00000000-0005-0000-0000-000049700000}"/>
    <cellStyle name="표준 6 3 2 2 3 3 2 2" xfId="28751" xr:uid="{00000000-0005-0000-0000-00004A700000}"/>
    <cellStyle name="표준 6 3 2 2 3 3 2 2 2" xfId="28752" xr:uid="{00000000-0005-0000-0000-00004B700000}"/>
    <cellStyle name="표준 6 3 2 2 3 3 2 3" xfId="28753" xr:uid="{00000000-0005-0000-0000-00004C700000}"/>
    <cellStyle name="표준 6 3 2 2 3 3 3" xfId="28754" xr:uid="{00000000-0005-0000-0000-00004D700000}"/>
    <cellStyle name="표준 6 3 2 2 3 3 3 2" xfId="28755" xr:uid="{00000000-0005-0000-0000-00004E700000}"/>
    <cellStyle name="표준 6 3 2 2 3 3 4" xfId="28756" xr:uid="{00000000-0005-0000-0000-00004F700000}"/>
    <cellStyle name="표준 6 3 2 2 3 4" xfId="28757" xr:uid="{00000000-0005-0000-0000-000050700000}"/>
    <cellStyle name="표준 6 3 2 2 3 4 2" xfId="28758" xr:uid="{00000000-0005-0000-0000-000051700000}"/>
    <cellStyle name="표준 6 3 2 2 3 4 2 2" xfId="28759" xr:uid="{00000000-0005-0000-0000-000052700000}"/>
    <cellStyle name="표준 6 3 2 2 3 4 3" xfId="28760" xr:uid="{00000000-0005-0000-0000-000053700000}"/>
    <cellStyle name="표준 6 3 2 2 3 5" xfId="28761" xr:uid="{00000000-0005-0000-0000-000054700000}"/>
    <cellStyle name="표준 6 3 2 2 3 5 2" xfId="28762" xr:uid="{00000000-0005-0000-0000-000055700000}"/>
    <cellStyle name="표준 6 3 2 2 3 6" xfId="28763" xr:uid="{00000000-0005-0000-0000-000056700000}"/>
    <cellStyle name="표준 6 3 2 2 4" xfId="28764" xr:uid="{00000000-0005-0000-0000-000057700000}"/>
    <cellStyle name="표준 6 3 2 2 4 2" xfId="28765" xr:uid="{00000000-0005-0000-0000-000058700000}"/>
    <cellStyle name="표준 6 3 2 2 4 2 2" xfId="28766" xr:uid="{00000000-0005-0000-0000-000059700000}"/>
    <cellStyle name="표준 6 3 2 2 4 2 2 2" xfId="28767" xr:uid="{00000000-0005-0000-0000-00005A700000}"/>
    <cellStyle name="표준 6 3 2 2 4 2 2 2 2" xfId="28768" xr:uid="{00000000-0005-0000-0000-00005B700000}"/>
    <cellStyle name="표준 6 3 2 2 4 2 2 3" xfId="28769" xr:uid="{00000000-0005-0000-0000-00005C700000}"/>
    <cellStyle name="표준 6 3 2 2 4 2 3" xfId="28770" xr:uid="{00000000-0005-0000-0000-00005D700000}"/>
    <cellStyle name="표준 6 3 2 2 4 2 3 2" xfId="28771" xr:uid="{00000000-0005-0000-0000-00005E700000}"/>
    <cellStyle name="표준 6 3 2 2 4 2 4" xfId="28772" xr:uid="{00000000-0005-0000-0000-00005F700000}"/>
    <cellStyle name="표준 6 3 2 2 4 3" xfId="28773" xr:uid="{00000000-0005-0000-0000-000060700000}"/>
    <cellStyle name="표준 6 3 2 2 4 3 2" xfId="28774" xr:uid="{00000000-0005-0000-0000-000061700000}"/>
    <cellStyle name="표준 6 3 2 2 4 3 2 2" xfId="28775" xr:uid="{00000000-0005-0000-0000-000062700000}"/>
    <cellStyle name="표준 6 3 2 2 4 3 3" xfId="28776" xr:uid="{00000000-0005-0000-0000-000063700000}"/>
    <cellStyle name="표준 6 3 2 2 4 4" xfId="28777" xr:uid="{00000000-0005-0000-0000-000064700000}"/>
    <cellStyle name="표준 6 3 2 2 4 4 2" xfId="28778" xr:uid="{00000000-0005-0000-0000-000065700000}"/>
    <cellStyle name="표준 6 3 2 2 4 5" xfId="28779" xr:uid="{00000000-0005-0000-0000-000066700000}"/>
    <cellStyle name="표준 6 3 2 2 5" xfId="28780" xr:uid="{00000000-0005-0000-0000-000067700000}"/>
    <cellStyle name="표준 6 3 2 2 5 2" xfId="28781" xr:uid="{00000000-0005-0000-0000-000068700000}"/>
    <cellStyle name="표준 6 3 2 2 5 2 2" xfId="28782" xr:uid="{00000000-0005-0000-0000-000069700000}"/>
    <cellStyle name="표준 6 3 2 2 5 2 2 2" xfId="28783" xr:uid="{00000000-0005-0000-0000-00006A700000}"/>
    <cellStyle name="표준 6 3 2 2 5 2 3" xfId="28784" xr:uid="{00000000-0005-0000-0000-00006B700000}"/>
    <cellStyle name="표준 6 3 2 2 5 3" xfId="28785" xr:uid="{00000000-0005-0000-0000-00006C700000}"/>
    <cellStyle name="표준 6 3 2 2 5 3 2" xfId="28786" xr:uid="{00000000-0005-0000-0000-00006D700000}"/>
    <cellStyle name="표준 6 3 2 2 5 4" xfId="28787" xr:uid="{00000000-0005-0000-0000-00006E700000}"/>
    <cellStyle name="표준 6 3 2 2 6" xfId="28788" xr:uid="{00000000-0005-0000-0000-00006F700000}"/>
    <cellStyle name="표준 6 3 2 2 6 2" xfId="28789" xr:uid="{00000000-0005-0000-0000-000070700000}"/>
    <cellStyle name="표준 6 3 2 2 6 2 2" xfId="28790" xr:uid="{00000000-0005-0000-0000-000071700000}"/>
    <cellStyle name="표준 6 3 2 2 6 3" xfId="28791" xr:uid="{00000000-0005-0000-0000-000072700000}"/>
    <cellStyle name="표준 6 3 2 2 7" xfId="28792" xr:uid="{00000000-0005-0000-0000-000073700000}"/>
    <cellStyle name="표준 6 3 2 2 7 2" xfId="28793" xr:uid="{00000000-0005-0000-0000-000074700000}"/>
    <cellStyle name="표준 6 3 2 2 8" xfId="28794" xr:uid="{00000000-0005-0000-0000-000075700000}"/>
    <cellStyle name="표준 6 3 2 2 9" xfId="28795" xr:uid="{00000000-0005-0000-0000-000076700000}"/>
    <cellStyle name="표준 6 3 2 3" xfId="28796" xr:uid="{00000000-0005-0000-0000-000077700000}"/>
    <cellStyle name="표준 6 3 2 3 2" xfId="28797" xr:uid="{00000000-0005-0000-0000-000078700000}"/>
    <cellStyle name="표준 6 3 2 3 2 2" xfId="28798" xr:uid="{00000000-0005-0000-0000-000079700000}"/>
    <cellStyle name="표준 6 3 2 3 2 2 2" xfId="28799" xr:uid="{00000000-0005-0000-0000-00007A700000}"/>
    <cellStyle name="표준 6 3 2 3 2 2 2 2" xfId="28800" xr:uid="{00000000-0005-0000-0000-00007B700000}"/>
    <cellStyle name="표준 6 3 2 3 2 2 2 2 2" xfId="28801" xr:uid="{00000000-0005-0000-0000-00007C700000}"/>
    <cellStyle name="표준 6 3 2 3 2 2 2 2 2 2" xfId="28802" xr:uid="{00000000-0005-0000-0000-00007D700000}"/>
    <cellStyle name="표준 6 3 2 3 2 2 2 2 3" xfId="28803" xr:uid="{00000000-0005-0000-0000-00007E700000}"/>
    <cellStyle name="표준 6 3 2 3 2 2 2 3" xfId="28804" xr:uid="{00000000-0005-0000-0000-00007F700000}"/>
    <cellStyle name="표준 6 3 2 3 2 2 2 3 2" xfId="28805" xr:uid="{00000000-0005-0000-0000-000080700000}"/>
    <cellStyle name="표준 6 3 2 3 2 2 2 4" xfId="28806" xr:uid="{00000000-0005-0000-0000-000081700000}"/>
    <cellStyle name="표준 6 3 2 3 2 2 3" xfId="28807" xr:uid="{00000000-0005-0000-0000-000082700000}"/>
    <cellStyle name="표준 6 3 2 3 2 2 3 2" xfId="28808" xr:uid="{00000000-0005-0000-0000-000083700000}"/>
    <cellStyle name="표준 6 3 2 3 2 2 3 2 2" xfId="28809" xr:uid="{00000000-0005-0000-0000-000084700000}"/>
    <cellStyle name="표준 6 3 2 3 2 2 3 3" xfId="28810" xr:uid="{00000000-0005-0000-0000-000085700000}"/>
    <cellStyle name="표준 6 3 2 3 2 2 4" xfId="28811" xr:uid="{00000000-0005-0000-0000-000086700000}"/>
    <cellStyle name="표준 6 3 2 3 2 2 4 2" xfId="28812" xr:uid="{00000000-0005-0000-0000-000087700000}"/>
    <cellStyle name="표준 6 3 2 3 2 2 5" xfId="28813" xr:uid="{00000000-0005-0000-0000-000088700000}"/>
    <cellStyle name="표준 6 3 2 3 2 3" xfId="28814" xr:uid="{00000000-0005-0000-0000-000089700000}"/>
    <cellStyle name="표준 6 3 2 3 2 3 2" xfId="28815" xr:uid="{00000000-0005-0000-0000-00008A700000}"/>
    <cellStyle name="표준 6 3 2 3 2 3 2 2" xfId="28816" xr:uid="{00000000-0005-0000-0000-00008B700000}"/>
    <cellStyle name="표준 6 3 2 3 2 3 2 2 2" xfId="28817" xr:uid="{00000000-0005-0000-0000-00008C700000}"/>
    <cellStyle name="표준 6 3 2 3 2 3 2 3" xfId="28818" xr:uid="{00000000-0005-0000-0000-00008D700000}"/>
    <cellStyle name="표준 6 3 2 3 2 3 3" xfId="28819" xr:uid="{00000000-0005-0000-0000-00008E700000}"/>
    <cellStyle name="표준 6 3 2 3 2 3 3 2" xfId="28820" xr:uid="{00000000-0005-0000-0000-00008F700000}"/>
    <cellStyle name="표준 6 3 2 3 2 3 4" xfId="28821" xr:uid="{00000000-0005-0000-0000-000090700000}"/>
    <cellStyle name="표준 6 3 2 3 2 4" xfId="28822" xr:uid="{00000000-0005-0000-0000-000091700000}"/>
    <cellStyle name="표준 6 3 2 3 2 4 2" xfId="28823" xr:uid="{00000000-0005-0000-0000-000092700000}"/>
    <cellStyle name="표준 6 3 2 3 2 4 2 2" xfId="28824" xr:uid="{00000000-0005-0000-0000-000093700000}"/>
    <cellStyle name="표준 6 3 2 3 2 4 3" xfId="28825" xr:uid="{00000000-0005-0000-0000-000094700000}"/>
    <cellStyle name="표준 6 3 2 3 2 5" xfId="28826" xr:uid="{00000000-0005-0000-0000-000095700000}"/>
    <cellStyle name="표준 6 3 2 3 2 5 2" xfId="28827" xr:uid="{00000000-0005-0000-0000-000096700000}"/>
    <cellStyle name="표준 6 3 2 3 2 6" xfId="28828" xr:uid="{00000000-0005-0000-0000-000097700000}"/>
    <cellStyle name="표준 6 3 2 3 3" xfId="28829" xr:uid="{00000000-0005-0000-0000-000098700000}"/>
    <cellStyle name="표준 6 3 2 3 3 2" xfId="28830" xr:uid="{00000000-0005-0000-0000-000099700000}"/>
    <cellStyle name="표준 6 3 2 3 3 2 2" xfId="28831" xr:uid="{00000000-0005-0000-0000-00009A700000}"/>
    <cellStyle name="표준 6 3 2 3 3 2 2 2" xfId="28832" xr:uid="{00000000-0005-0000-0000-00009B700000}"/>
    <cellStyle name="표준 6 3 2 3 3 2 2 2 2" xfId="28833" xr:uid="{00000000-0005-0000-0000-00009C700000}"/>
    <cellStyle name="표준 6 3 2 3 3 2 2 3" xfId="28834" xr:uid="{00000000-0005-0000-0000-00009D700000}"/>
    <cellStyle name="표준 6 3 2 3 3 2 3" xfId="28835" xr:uid="{00000000-0005-0000-0000-00009E700000}"/>
    <cellStyle name="표준 6 3 2 3 3 2 3 2" xfId="28836" xr:uid="{00000000-0005-0000-0000-00009F700000}"/>
    <cellStyle name="표준 6 3 2 3 3 2 4" xfId="28837" xr:uid="{00000000-0005-0000-0000-0000A0700000}"/>
    <cellStyle name="표준 6 3 2 3 3 3" xfId="28838" xr:uid="{00000000-0005-0000-0000-0000A1700000}"/>
    <cellStyle name="표준 6 3 2 3 3 3 2" xfId="28839" xr:uid="{00000000-0005-0000-0000-0000A2700000}"/>
    <cellStyle name="표준 6 3 2 3 3 3 2 2" xfId="28840" xr:uid="{00000000-0005-0000-0000-0000A3700000}"/>
    <cellStyle name="표준 6 3 2 3 3 3 3" xfId="28841" xr:uid="{00000000-0005-0000-0000-0000A4700000}"/>
    <cellStyle name="표준 6 3 2 3 3 4" xfId="28842" xr:uid="{00000000-0005-0000-0000-0000A5700000}"/>
    <cellStyle name="표준 6 3 2 3 3 4 2" xfId="28843" xr:uid="{00000000-0005-0000-0000-0000A6700000}"/>
    <cellStyle name="표준 6 3 2 3 3 5" xfId="28844" xr:uid="{00000000-0005-0000-0000-0000A7700000}"/>
    <cellStyle name="표준 6 3 2 3 4" xfId="28845" xr:uid="{00000000-0005-0000-0000-0000A8700000}"/>
    <cellStyle name="표준 6 3 2 3 4 2" xfId="28846" xr:uid="{00000000-0005-0000-0000-0000A9700000}"/>
    <cellStyle name="표준 6 3 2 3 4 2 2" xfId="28847" xr:uid="{00000000-0005-0000-0000-0000AA700000}"/>
    <cellStyle name="표준 6 3 2 3 4 2 2 2" xfId="28848" xr:uid="{00000000-0005-0000-0000-0000AB700000}"/>
    <cellStyle name="표준 6 3 2 3 4 2 3" xfId="28849" xr:uid="{00000000-0005-0000-0000-0000AC700000}"/>
    <cellStyle name="표준 6 3 2 3 4 3" xfId="28850" xr:uid="{00000000-0005-0000-0000-0000AD700000}"/>
    <cellStyle name="표준 6 3 2 3 4 3 2" xfId="28851" xr:uid="{00000000-0005-0000-0000-0000AE700000}"/>
    <cellStyle name="표준 6 3 2 3 4 4" xfId="28852" xr:uid="{00000000-0005-0000-0000-0000AF700000}"/>
    <cellStyle name="표준 6 3 2 3 5" xfId="28853" xr:uid="{00000000-0005-0000-0000-0000B0700000}"/>
    <cellStyle name="표준 6 3 2 3 5 2" xfId="28854" xr:uid="{00000000-0005-0000-0000-0000B1700000}"/>
    <cellStyle name="표준 6 3 2 3 5 2 2" xfId="28855" xr:uid="{00000000-0005-0000-0000-0000B2700000}"/>
    <cellStyle name="표준 6 3 2 3 5 3" xfId="28856" xr:uid="{00000000-0005-0000-0000-0000B3700000}"/>
    <cellStyle name="표준 6 3 2 3 6" xfId="28857" xr:uid="{00000000-0005-0000-0000-0000B4700000}"/>
    <cellStyle name="표준 6 3 2 3 6 2" xfId="28858" xr:uid="{00000000-0005-0000-0000-0000B5700000}"/>
    <cellStyle name="표준 6 3 2 3 7" xfId="28859" xr:uid="{00000000-0005-0000-0000-0000B6700000}"/>
    <cellStyle name="표준 6 3 2 3 8" xfId="28860" xr:uid="{00000000-0005-0000-0000-0000B7700000}"/>
    <cellStyle name="표준 6 3 2 4" xfId="28861" xr:uid="{00000000-0005-0000-0000-0000B8700000}"/>
    <cellStyle name="표준 6 3 2 4 2" xfId="28862" xr:uid="{00000000-0005-0000-0000-0000B9700000}"/>
    <cellStyle name="표준 6 3 2 4 2 2" xfId="28863" xr:uid="{00000000-0005-0000-0000-0000BA700000}"/>
    <cellStyle name="표준 6 3 2 4 2 2 2" xfId="28864" xr:uid="{00000000-0005-0000-0000-0000BB700000}"/>
    <cellStyle name="표준 6 3 2 4 2 2 2 2" xfId="28865" xr:uid="{00000000-0005-0000-0000-0000BC700000}"/>
    <cellStyle name="표준 6 3 2 4 2 2 2 2 2" xfId="28866" xr:uid="{00000000-0005-0000-0000-0000BD700000}"/>
    <cellStyle name="표준 6 3 2 4 2 2 2 3" xfId="28867" xr:uid="{00000000-0005-0000-0000-0000BE700000}"/>
    <cellStyle name="표준 6 3 2 4 2 2 3" xfId="28868" xr:uid="{00000000-0005-0000-0000-0000BF700000}"/>
    <cellStyle name="표준 6 3 2 4 2 2 3 2" xfId="28869" xr:uid="{00000000-0005-0000-0000-0000C0700000}"/>
    <cellStyle name="표준 6 3 2 4 2 2 4" xfId="28870" xr:uid="{00000000-0005-0000-0000-0000C1700000}"/>
    <cellStyle name="표준 6 3 2 4 2 3" xfId="28871" xr:uid="{00000000-0005-0000-0000-0000C2700000}"/>
    <cellStyle name="표준 6 3 2 4 2 3 2" xfId="28872" xr:uid="{00000000-0005-0000-0000-0000C3700000}"/>
    <cellStyle name="표준 6 3 2 4 2 3 2 2" xfId="28873" xr:uid="{00000000-0005-0000-0000-0000C4700000}"/>
    <cellStyle name="표준 6 3 2 4 2 3 3" xfId="28874" xr:uid="{00000000-0005-0000-0000-0000C5700000}"/>
    <cellStyle name="표준 6 3 2 4 2 4" xfId="28875" xr:uid="{00000000-0005-0000-0000-0000C6700000}"/>
    <cellStyle name="표준 6 3 2 4 2 4 2" xfId="28876" xr:uid="{00000000-0005-0000-0000-0000C7700000}"/>
    <cellStyle name="표준 6 3 2 4 2 5" xfId="28877" xr:uid="{00000000-0005-0000-0000-0000C8700000}"/>
    <cellStyle name="표준 6 3 2 4 3" xfId="28878" xr:uid="{00000000-0005-0000-0000-0000C9700000}"/>
    <cellStyle name="표준 6 3 2 4 3 2" xfId="28879" xr:uid="{00000000-0005-0000-0000-0000CA700000}"/>
    <cellStyle name="표준 6 3 2 4 3 2 2" xfId="28880" xr:uid="{00000000-0005-0000-0000-0000CB700000}"/>
    <cellStyle name="표준 6 3 2 4 3 2 2 2" xfId="28881" xr:uid="{00000000-0005-0000-0000-0000CC700000}"/>
    <cellStyle name="표준 6 3 2 4 3 2 3" xfId="28882" xr:uid="{00000000-0005-0000-0000-0000CD700000}"/>
    <cellStyle name="표준 6 3 2 4 3 3" xfId="28883" xr:uid="{00000000-0005-0000-0000-0000CE700000}"/>
    <cellStyle name="표준 6 3 2 4 3 3 2" xfId="28884" xr:uid="{00000000-0005-0000-0000-0000CF700000}"/>
    <cellStyle name="표준 6 3 2 4 3 4" xfId="28885" xr:uid="{00000000-0005-0000-0000-0000D0700000}"/>
    <cellStyle name="표준 6 3 2 4 4" xfId="28886" xr:uid="{00000000-0005-0000-0000-0000D1700000}"/>
    <cellStyle name="표준 6 3 2 4 4 2" xfId="28887" xr:uid="{00000000-0005-0000-0000-0000D2700000}"/>
    <cellStyle name="표준 6 3 2 4 4 2 2" xfId="28888" xr:uid="{00000000-0005-0000-0000-0000D3700000}"/>
    <cellStyle name="표준 6 3 2 4 4 3" xfId="28889" xr:uid="{00000000-0005-0000-0000-0000D4700000}"/>
    <cellStyle name="표준 6 3 2 4 5" xfId="28890" xr:uid="{00000000-0005-0000-0000-0000D5700000}"/>
    <cellStyle name="표준 6 3 2 4 5 2" xfId="28891" xr:uid="{00000000-0005-0000-0000-0000D6700000}"/>
    <cellStyle name="표준 6 3 2 4 6" xfId="28892" xr:uid="{00000000-0005-0000-0000-0000D7700000}"/>
    <cellStyle name="표준 6 3 2 5" xfId="28893" xr:uid="{00000000-0005-0000-0000-0000D8700000}"/>
    <cellStyle name="표준 6 3 2 5 2" xfId="28894" xr:uid="{00000000-0005-0000-0000-0000D9700000}"/>
    <cellStyle name="표준 6 3 2 5 2 2" xfId="28895" xr:uid="{00000000-0005-0000-0000-0000DA700000}"/>
    <cellStyle name="표준 6 3 2 5 2 2 2" xfId="28896" xr:uid="{00000000-0005-0000-0000-0000DB700000}"/>
    <cellStyle name="표준 6 3 2 5 2 2 2 2" xfId="28897" xr:uid="{00000000-0005-0000-0000-0000DC700000}"/>
    <cellStyle name="표준 6 3 2 5 2 2 3" xfId="28898" xr:uid="{00000000-0005-0000-0000-0000DD700000}"/>
    <cellStyle name="표준 6 3 2 5 2 3" xfId="28899" xr:uid="{00000000-0005-0000-0000-0000DE700000}"/>
    <cellStyle name="표준 6 3 2 5 2 3 2" xfId="28900" xr:uid="{00000000-0005-0000-0000-0000DF700000}"/>
    <cellStyle name="표준 6 3 2 5 2 4" xfId="28901" xr:uid="{00000000-0005-0000-0000-0000E0700000}"/>
    <cellStyle name="표준 6 3 2 5 3" xfId="28902" xr:uid="{00000000-0005-0000-0000-0000E1700000}"/>
    <cellStyle name="표준 6 3 2 5 3 2" xfId="28903" xr:uid="{00000000-0005-0000-0000-0000E2700000}"/>
    <cellStyle name="표준 6 3 2 5 3 2 2" xfId="28904" xr:uid="{00000000-0005-0000-0000-0000E3700000}"/>
    <cellStyle name="표준 6 3 2 5 3 3" xfId="28905" xr:uid="{00000000-0005-0000-0000-0000E4700000}"/>
    <cellStyle name="표준 6 3 2 5 4" xfId="28906" xr:uid="{00000000-0005-0000-0000-0000E5700000}"/>
    <cellStyle name="표준 6 3 2 5 4 2" xfId="28907" xr:uid="{00000000-0005-0000-0000-0000E6700000}"/>
    <cellStyle name="표준 6 3 2 5 5" xfId="28908" xr:uid="{00000000-0005-0000-0000-0000E7700000}"/>
    <cellStyle name="표준 6 3 2 6" xfId="28909" xr:uid="{00000000-0005-0000-0000-0000E8700000}"/>
    <cellStyle name="표준 6 3 2 6 2" xfId="28910" xr:uid="{00000000-0005-0000-0000-0000E9700000}"/>
    <cellStyle name="표준 6 3 2 6 2 2" xfId="28911" xr:uid="{00000000-0005-0000-0000-0000EA700000}"/>
    <cellStyle name="표준 6 3 2 6 2 2 2" xfId="28912" xr:uid="{00000000-0005-0000-0000-0000EB700000}"/>
    <cellStyle name="표준 6 3 2 6 2 3" xfId="28913" xr:uid="{00000000-0005-0000-0000-0000EC700000}"/>
    <cellStyle name="표준 6 3 2 6 3" xfId="28914" xr:uid="{00000000-0005-0000-0000-0000ED700000}"/>
    <cellStyle name="표준 6 3 2 6 3 2" xfId="28915" xr:uid="{00000000-0005-0000-0000-0000EE700000}"/>
    <cellStyle name="표준 6 3 2 6 4" xfId="28916" xr:uid="{00000000-0005-0000-0000-0000EF700000}"/>
    <cellStyle name="표준 6 3 2 7" xfId="28917" xr:uid="{00000000-0005-0000-0000-0000F0700000}"/>
    <cellStyle name="표준 6 3 2 7 2" xfId="28918" xr:uid="{00000000-0005-0000-0000-0000F1700000}"/>
    <cellStyle name="표준 6 3 2 7 2 2" xfId="28919" xr:uid="{00000000-0005-0000-0000-0000F2700000}"/>
    <cellStyle name="표준 6 3 2 7 3" xfId="28920" xr:uid="{00000000-0005-0000-0000-0000F3700000}"/>
    <cellStyle name="표준 6 3 2 8" xfId="28921" xr:uid="{00000000-0005-0000-0000-0000F4700000}"/>
    <cellStyle name="표준 6 3 2 8 2" xfId="28922" xr:uid="{00000000-0005-0000-0000-0000F5700000}"/>
    <cellStyle name="표준 6 3 2 9" xfId="28923" xr:uid="{00000000-0005-0000-0000-0000F6700000}"/>
    <cellStyle name="표준 6 3 3" xfId="28924" xr:uid="{00000000-0005-0000-0000-0000F7700000}"/>
    <cellStyle name="표준 6 3 3 2" xfId="28925" xr:uid="{00000000-0005-0000-0000-0000F8700000}"/>
    <cellStyle name="표준 6 3 3 2 2" xfId="28926" xr:uid="{00000000-0005-0000-0000-0000F9700000}"/>
    <cellStyle name="표준 6 3 3 2 2 2" xfId="28927" xr:uid="{00000000-0005-0000-0000-0000FA700000}"/>
    <cellStyle name="표준 6 3 3 2 2 2 2" xfId="28928" xr:uid="{00000000-0005-0000-0000-0000FB700000}"/>
    <cellStyle name="표준 6 3 3 2 2 2 2 2" xfId="28929" xr:uid="{00000000-0005-0000-0000-0000FC700000}"/>
    <cellStyle name="표준 6 3 3 2 2 2 2 2 2" xfId="28930" xr:uid="{00000000-0005-0000-0000-0000FD700000}"/>
    <cellStyle name="표준 6 3 3 2 2 2 2 2 2 2" xfId="28931" xr:uid="{00000000-0005-0000-0000-0000FE700000}"/>
    <cellStyle name="표준 6 3 3 2 2 2 2 2 3" xfId="28932" xr:uid="{00000000-0005-0000-0000-0000FF700000}"/>
    <cellStyle name="표준 6 3 3 2 2 2 2 3" xfId="28933" xr:uid="{00000000-0005-0000-0000-000000710000}"/>
    <cellStyle name="표준 6 3 3 2 2 2 2 3 2" xfId="28934" xr:uid="{00000000-0005-0000-0000-000001710000}"/>
    <cellStyle name="표준 6 3 3 2 2 2 2 4" xfId="28935" xr:uid="{00000000-0005-0000-0000-000002710000}"/>
    <cellStyle name="표준 6 3 3 2 2 2 3" xfId="28936" xr:uid="{00000000-0005-0000-0000-000003710000}"/>
    <cellStyle name="표준 6 3 3 2 2 2 3 2" xfId="28937" xr:uid="{00000000-0005-0000-0000-000004710000}"/>
    <cellStyle name="표준 6 3 3 2 2 2 3 2 2" xfId="28938" xr:uid="{00000000-0005-0000-0000-000005710000}"/>
    <cellStyle name="표준 6 3 3 2 2 2 3 3" xfId="28939" xr:uid="{00000000-0005-0000-0000-000006710000}"/>
    <cellStyle name="표준 6 3 3 2 2 2 4" xfId="28940" xr:uid="{00000000-0005-0000-0000-000007710000}"/>
    <cellStyle name="표준 6 3 3 2 2 2 4 2" xfId="28941" xr:uid="{00000000-0005-0000-0000-000008710000}"/>
    <cellStyle name="표준 6 3 3 2 2 2 5" xfId="28942" xr:uid="{00000000-0005-0000-0000-000009710000}"/>
    <cellStyle name="표준 6 3 3 2 2 3" xfId="28943" xr:uid="{00000000-0005-0000-0000-00000A710000}"/>
    <cellStyle name="표준 6 3 3 2 2 3 2" xfId="28944" xr:uid="{00000000-0005-0000-0000-00000B710000}"/>
    <cellStyle name="표준 6 3 3 2 2 3 2 2" xfId="28945" xr:uid="{00000000-0005-0000-0000-00000C710000}"/>
    <cellStyle name="표준 6 3 3 2 2 3 2 2 2" xfId="28946" xr:uid="{00000000-0005-0000-0000-00000D710000}"/>
    <cellStyle name="표준 6 3 3 2 2 3 2 3" xfId="28947" xr:uid="{00000000-0005-0000-0000-00000E710000}"/>
    <cellStyle name="표준 6 3 3 2 2 3 3" xfId="28948" xr:uid="{00000000-0005-0000-0000-00000F710000}"/>
    <cellStyle name="표준 6 3 3 2 2 3 3 2" xfId="28949" xr:uid="{00000000-0005-0000-0000-000010710000}"/>
    <cellStyle name="표준 6 3 3 2 2 3 4" xfId="28950" xr:uid="{00000000-0005-0000-0000-000011710000}"/>
    <cellStyle name="표준 6 3 3 2 2 4" xfId="28951" xr:uid="{00000000-0005-0000-0000-000012710000}"/>
    <cellStyle name="표준 6 3 3 2 2 4 2" xfId="28952" xr:uid="{00000000-0005-0000-0000-000013710000}"/>
    <cellStyle name="표준 6 3 3 2 2 4 2 2" xfId="28953" xr:uid="{00000000-0005-0000-0000-000014710000}"/>
    <cellStyle name="표준 6 3 3 2 2 4 3" xfId="28954" xr:uid="{00000000-0005-0000-0000-000015710000}"/>
    <cellStyle name="표준 6 3 3 2 2 5" xfId="28955" xr:uid="{00000000-0005-0000-0000-000016710000}"/>
    <cellStyle name="표준 6 3 3 2 2 5 2" xfId="28956" xr:uid="{00000000-0005-0000-0000-000017710000}"/>
    <cellStyle name="표준 6 3 3 2 2 6" xfId="28957" xr:uid="{00000000-0005-0000-0000-000018710000}"/>
    <cellStyle name="표준 6 3 3 2 3" xfId="28958" xr:uid="{00000000-0005-0000-0000-000019710000}"/>
    <cellStyle name="표준 6 3 3 2 3 2" xfId="28959" xr:uid="{00000000-0005-0000-0000-00001A710000}"/>
    <cellStyle name="표준 6 3 3 2 3 2 2" xfId="28960" xr:uid="{00000000-0005-0000-0000-00001B710000}"/>
    <cellStyle name="표준 6 3 3 2 3 2 2 2" xfId="28961" xr:uid="{00000000-0005-0000-0000-00001C710000}"/>
    <cellStyle name="표준 6 3 3 2 3 2 2 2 2" xfId="28962" xr:uid="{00000000-0005-0000-0000-00001D710000}"/>
    <cellStyle name="표준 6 3 3 2 3 2 2 3" xfId="28963" xr:uid="{00000000-0005-0000-0000-00001E710000}"/>
    <cellStyle name="표준 6 3 3 2 3 2 3" xfId="28964" xr:uid="{00000000-0005-0000-0000-00001F710000}"/>
    <cellStyle name="표준 6 3 3 2 3 2 3 2" xfId="28965" xr:uid="{00000000-0005-0000-0000-000020710000}"/>
    <cellStyle name="표준 6 3 3 2 3 2 4" xfId="28966" xr:uid="{00000000-0005-0000-0000-000021710000}"/>
    <cellStyle name="표준 6 3 3 2 3 3" xfId="28967" xr:uid="{00000000-0005-0000-0000-000022710000}"/>
    <cellStyle name="표준 6 3 3 2 3 3 2" xfId="28968" xr:uid="{00000000-0005-0000-0000-000023710000}"/>
    <cellStyle name="표준 6 3 3 2 3 3 2 2" xfId="28969" xr:uid="{00000000-0005-0000-0000-000024710000}"/>
    <cellStyle name="표준 6 3 3 2 3 3 3" xfId="28970" xr:uid="{00000000-0005-0000-0000-000025710000}"/>
    <cellStyle name="표준 6 3 3 2 3 4" xfId="28971" xr:uid="{00000000-0005-0000-0000-000026710000}"/>
    <cellStyle name="표준 6 3 3 2 3 4 2" xfId="28972" xr:uid="{00000000-0005-0000-0000-000027710000}"/>
    <cellStyle name="표준 6 3 3 2 3 5" xfId="28973" xr:uid="{00000000-0005-0000-0000-000028710000}"/>
    <cellStyle name="표준 6 3 3 2 4" xfId="28974" xr:uid="{00000000-0005-0000-0000-000029710000}"/>
    <cellStyle name="표준 6 3 3 2 4 2" xfId="28975" xr:uid="{00000000-0005-0000-0000-00002A710000}"/>
    <cellStyle name="표준 6 3 3 2 4 2 2" xfId="28976" xr:uid="{00000000-0005-0000-0000-00002B710000}"/>
    <cellStyle name="표준 6 3 3 2 4 2 2 2" xfId="28977" xr:uid="{00000000-0005-0000-0000-00002C710000}"/>
    <cellStyle name="표준 6 3 3 2 4 2 3" xfId="28978" xr:uid="{00000000-0005-0000-0000-00002D710000}"/>
    <cellStyle name="표준 6 3 3 2 4 3" xfId="28979" xr:uid="{00000000-0005-0000-0000-00002E710000}"/>
    <cellStyle name="표준 6 3 3 2 4 3 2" xfId="28980" xr:uid="{00000000-0005-0000-0000-00002F710000}"/>
    <cellStyle name="표준 6 3 3 2 4 4" xfId="28981" xr:uid="{00000000-0005-0000-0000-000030710000}"/>
    <cellStyle name="표준 6 3 3 2 5" xfId="28982" xr:uid="{00000000-0005-0000-0000-000031710000}"/>
    <cellStyle name="표준 6 3 3 2 5 2" xfId="28983" xr:uid="{00000000-0005-0000-0000-000032710000}"/>
    <cellStyle name="표준 6 3 3 2 5 2 2" xfId="28984" xr:uid="{00000000-0005-0000-0000-000033710000}"/>
    <cellStyle name="표준 6 3 3 2 5 3" xfId="28985" xr:uid="{00000000-0005-0000-0000-000034710000}"/>
    <cellStyle name="표준 6 3 3 2 6" xfId="28986" xr:uid="{00000000-0005-0000-0000-000035710000}"/>
    <cellStyle name="표준 6 3 3 2 6 2" xfId="28987" xr:uid="{00000000-0005-0000-0000-000036710000}"/>
    <cellStyle name="표준 6 3 3 2 7" xfId="28988" xr:uid="{00000000-0005-0000-0000-000037710000}"/>
    <cellStyle name="표준 6 3 3 2 8" xfId="28989" xr:uid="{00000000-0005-0000-0000-000038710000}"/>
    <cellStyle name="표준 6 3 3 3" xfId="28990" xr:uid="{00000000-0005-0000-0000-000039710000}"/>
    <cellStyle name="표준 6 3 3 3 2" xfId="28991" xr:uid="{00000000-0005-0000-0000-00003A710000}"/>
    <cellStyle name="표준 6 3 3 3 2 2" xfId="28992" xr:uid="{00000000-0005-0000-0000-00003B710000}"/>
    <cellStyle name="표준 6 3 3 3 2 2 2" xfId="28993" xr:uid="{00000000-0005-0000-0000-00003C710000}"/>
    <cellStyle name="표준 6 3 3 3 2 2 2 2" xfId="28994" xr:uid="{00000000-0005-0000-0000-00003D710000}"/>
    <cellStyle name="표준 6 3 3 3 2 2 2 2 2" xfId="28995" xr:uid="{00000000-0005-0000-0000-00003E710000}"/>
    <cellStyle name="표준 6 3 3 3 2 2 2 3" xfId="28996" xr:uid="{00000000-0005-0000-0000-00003F710000}"/>
    <cellStyle name="표준 6 3 3 3 2 2 3" xfId="28997" xr:uid="{00000000-0005-0000-0000-000040710000}"/>
    <cellStyle name="표준 6 3 3 3 2 2 3 2" xfId="28998" xr:uid="{00000000-0005-0000-0000-000041710000}"/>
    <cellStyle name="표준 6 3 3 3 2 2 4" xfId="28999" xr:uid="{00000000-0005-0000-0000-000042710000}"/>
    <cellStyle name="표준 6 3 3 3 2 3" xfId="29000" xr:uid="{00000000-0005-0000-0000-000043710000}"/>
    <cellStyle name="표준 6 3 3 3 2 3 2" xfId="29001" xr:uid="{00000000-0005-0000-0000-000044710000}"/>
    <cellStyle name="표준 6 3 3 3 2 3 2 2" xfId="29002" xr:uid="{00000000-0005-0000-0000-000045710000}"/>
    <cellStyle name="표준 6 3 3 3 2 3 3" xfId="29003" xr:uid="{00000000-0005-0000-0000-000046710000}"/>
    <cellStyle name="표준 6 3 3 3 2 4" xfId="29004" xr:uid="{00000000-0005-0000-0000-000047710000}"/>
    <cellStyle name="표준 6 3 3 3 2 4 2" xfId="29005" xr:uid="{00000000-0005-0000-0000-000048710000}"/>
    <cellStyle name="표준 6 3 3 3 2 5" xfId="29006" xr:uid="{00000000-0005-0000-0000-000049710000}"/>
    <cellStyle name="표준 6 3 3 3 3" xfId="29007" xr:uid="{00000000-0005-0000-0000-00004A710000}"/>
    <cellStyle name="표준 6 3 3 3 3 2" xfId="29008" xr:uid="{00000000-0005-0000-0000-00004B710000}"/>
    <cellStyle name="표준 6 3 3 3 3 2 2" xfId="29009" xr:uid="{00000000-0005-0000-0000-00004C710000}"/>
    <cellStyle name="표준 6 3 3 3 3 2 2 2" xfId="29010" xr:uid="{00000000-0005-0000-0000-00004D710000}"/>
    <cellStyle name="표준 6 3 3 3 3 2 3" xfId="29011" xr:uid="{00000000-0005-0000-0000-00004E710000}"/>
    <cellStyle name="표준 6 3 3 3 3 3" xfId="29012" xr:uid="{00000000-0005-0000-0000-00004F710000}"/>
    <cellStyle name="표준 6 3 3 3 3 3 2" xfId="29013" xr:uid="{00000000-0005-0000-0000-000050710000}"/>
    <cellStyle name="표준 6 3 3 3 3 4" xfId="29014" xr:uid="{00000000-0005-0000-0000-000051710000}"/>
    <cellStyle name="표준 6 3 3 3 4" xfId="29015" xr:uid="{00000000-0005-0000-0000-000052710000}"/>
    <cellStyle name="표준 6 3 3 3 4 2" xfId="29016" xr:uid="{00000000-0005-0000-0000-000053710000}"/>
    <cellStyle name="표준 6 3 3 3 4 2 2" xfId="29017" xr:uid="{00000000-0005-0000-0000-000054710000}"/>
    <cellStyle name="표준 6 3 3 3 4 3" xfId="29018" xr:uid="{00000000-0005-0000-0000-000055710000}"/>
    <cellStyle name="표준 6 3 3 3 5" xfId="29019" xr:uid="{00000000-0005-0000-0000-000056710000}"/>
    <cellStyle name="표준 6 3 3 3 5 2" xfId="29020" xr:uid="{00000000-0005-0000-0000-000057710000}"/>
    <cellStyle name="표준 6 3 3 3 6" xfId="29021" xr:uid="{00000000-0005-0000-0000-000058710000}"/>
    <cellStyle name="표준 6 3 3 4" xfId="29022" xr:uid="{00000000-0005-0000-0000-000059710000}"/>
    <cellStyle name="표준 6 3 3 4 2" xfId="29023" xr:uid="{00000000-0005-0000-0000-00005A710000}"/>
    <cellStyle name="표준 6 3 3 4 2 2" xfId="29024" xr:uid="{00000000-0005-0000-0000-00005B710000}"/>
    <cellStyle name="표준 6 3 3 4 2 2 2" xfId="29025" xr:uid="{00000000-0005-0000-0000-00005C710000}"/>
    <cellStyle name="표준 6 3 3 4 2 2 2 2" xfId="29026" xr:uid="{00000000-0005-0000-0000-00005D710000}"/>
    <cellStyle name="표준 6 3 3 4 2 2 3" xfId="29027" xr:uid="{00000000-0005-0000-0000-00005E710000}"/>
    <cellStyle name="표준 6 3 3 4 2 3" xfId="29028" xr:uid="{00000000-0005-0000-0000-00005F710000}"/>
    <cellStyle name="표준 6 3 3 4 2 3 2" xfId="29029" xr:uid="{00000000-0005-0000-0000-000060710000}"/>
    <cellStyle name="표준 6 3 3 4 2 4" xfId="29030" xr:uid="{00000000-0005-0000-0000-000061710000}"/>
    <cellStyle name="표준 6 3 3 4 3" xfId="29031" xr:uid="{00000000-0005-0000-0000-000062710000}"/>
    <cellStyle name="표준 6 3 3 4 3 2" xfId="29032" xr:uid="{00000000-0005-0000-0000-000063710000}"/>
    <cellStyle name="표준 6 3 3 4 3 2 2" xfId="29033" xr:uid="{00000000-0005-0000-0000-000064710000}"/>
    <cellStyle name="표준 6 3 3 4 3 3" xfId="29034" xr:uid="{00000000-0005-0000-0000-000065710000}"/>
    <cellStyle name="표준 6 3 3 4 4" xfId="29035" xr:uid="{00000000-0005-0000-0000-000066710000}"/>
    <cellStyle name="표준 6 3 3 4 4 2" xfId="29036" xr:uid="{00000000-0005-0000-0000-000067710000}"/>
    <cellStyle name="표준 6 3 3 4 5" xfId="29037" xr:uid="{00000000-0005-0000-0000-000068710000}"/>
    <cellStyle name="표준 6 3 3 5" xfId="29038" xr:uid="{00000000-0005-0000-0000-000069710000}"/>
    <cellStyle name="표준 6 3 3 5 2" xfId="29039" xr:uid="{00000000-0005-0000-0000-00006A710000}"/>
    <cellStyle name="표준 6 3 3 5 2 2" xfId="29040" xr:uid="{00000000-0005-0000-0000-00006B710000}"/>
    <cellStyle name="표준 6 3 3 5 2 2 2" xfId="29041" xr:uid="{00000000-0005-0000-0000-00006C710000}"/>
    <cellStyle name="표준 6 3 3 5 2 3" xfId="29042" xr:uid="{00000000-0005-0000-0000-00006D710000}"/>
    <cellStyle name="표준 6 3 3 5 3" xfId="29043" xr:uid="{00000000-0005-0000-0000-00006E710000}"/>
    <cellStyle name="표준 6 3 3 5 3 2" xfId="29044" xr:uid="{00000000-0005-0000-0000-00006F710000}"/>
    <cellStyle name="표준 6 3 3 5 4" xfId="29045" xr:uid="{00000000-0005-0000-0000-000070710000}"/>
    <cellStyle name="표준 6 3 3 6" xfId="29046" xr:uid="{00000000-0005-0000-0000-000071710000}"/>
    <cellStyle name="표준 6 3 3 6 2" xfId="29047" xr:uid="{00000000-0005-0000-0000-000072710000}"/>
    <cellStyle name="표준 6 3 3 6 2 2" xfId="29048" xr:uid="{00000000-0005-0000-0000-000073710000}"/>
    <cellStyle name="표준 6 3 3 6 3" xfId="29049" xr:uid="{00000000-0005-0000-0000-000074710000}"/>
    <cellStyle name="표준 6 3 3 7" xfId="29050" xr:uid="{00000000-0005-0000-0000-000075710000}"/>
    <cellStyle name="표준 6 3 3 7 2" xfId="29051" xr:uid="{00000000-0005-0000-0000-000076710000}"/>
    <cellStyle name="표준 6 3 3 8" xfId="29052" xr:uid="{00000000-0005-0000-0000-000077710000}"/>
    <cellStyle name="표준 6 3 3 9" xfId="29053" xr:uid="{00000000-0005-0000-0000-000078710000}"/>
    <cellStyle name="표준 6 3 4" xfId="29054" xr:uid="{00000000-0005-0000-0000-000079710000}"/>
    <cellStyle name="표준 6 3 4 2" xfId="29055" xr:uid="{00000000-0005-0000-0000-00007A710000}"/>
    <cellStyle name="표준 6 3 4 2 2" xfId="29056" xr:uid="{00000000-0005-0000-0000-00007B710000}"/>
    <cellStyle name="표준 6 3 4 2 2 2" xfId="29057" xr:uid="{00000000-0005-0000-0000-00007C710000}"/>
    <cellStyle name="표준 6 3 4 2 2 2 2" xfId="29058" xr:uid="{00000000-0005-0000-0000-00007D710000}"/>
    <cellStyle name="표준 6 3 4 2 2 2 2 2" xfId="29059" xr:uid="{00000000-0005-0000-0000-00007E710000}"/>
    <cellStyle name="표준 6 3 4 2 2 2 2 2 2" xfId="29060" xr:uid="{00000000-0005-0000-0000-00007F710000}"/>
    <cellStyle name="표준 6 3 4 2 2 2 2 3" xfId="29061" xr:uid="{00000000-0005-0000-0000-000080710000}"/>
    <cellStyle name="표준 6 3 4 2 2 2 3" xfId="29062" xr:uid="{00000000-0005-0000-0000-000081710000}"/>
    <cellStyle name="표준 6 3 4 2 2 2 3 2" xfId="29063" xr:uid="{00000000-0005-0000-0000-000082710000}"/>
    <cellStyle name="표준 6 3 4 2 2 2 4" xfId="29064" xr:uid="{00000000-0005-0000-0000-000083710000}"/>
    <cellStyle name="표준 6 3 4 2 2 3" xfId="29065" xr:uid="{00000000-0005-0000-0000-000084710000}"/>
    <cellStyle name="표준 6 3 4 2 2 3 2" xfId="29066" xr:uid="{00000000-0005-0000-0000-000085710000}"/>
    <cellStyle name="표준 6 3 4 2 2 3 2 2" xfId="29067" xr:uid="{00000000-0005-0000-0000-000086710000}"/>
    <cellStyle name="표준 6 3 4 2 2 3 3" xfId="29068" xr:uid="{00000000-0005-0000-0000-000087710000}"/>
    <cellStyle name="표준 6 3 4 2 2 4" xfId="29069" xr:uid="{00000000-0005-0000-0000-000088710000}"/>
    <cellStyle name="표준 6 3 4 2 2 4 2" xfId="29070" xr:uid="{00000000-0005-0000-0000-000089710000}"/>
    <cellStyle name="표준 6 3 4 2 2 5" xfId="29071" xr:uid="{00000000-0005-0000-0000-00008A710000}"/>
    <cellStyle name="표준 6 3 4 2 3" xfId="29072" xr:uid="{00000000-0005-0000-0000-00008B710000}"/>
    <cellStyle name="표준 6 3 4 2 3 2" xfId="29073" xr:uid="{00000000-0005-0000-0000-00008C710000}"/>
    <cellStyle name="표준 6 3 4 2 3 2 2" xfId="29074" xr:uid="{00000000-0005-0000-0000-00008D710000}"/>
    <cellStyle name="표준 6 3 4 2 3 2 2 2" xfId="29075" xr:uid="{00000000-0005-0000-0000-00008E710000}"/>
    <cellStyle name="표준 6 3 4 2 3 2 3" xfId="29076" xr:uid="{00000000-0005-0000-0000-00008F710000}"/>
    <cellStyle name="표준 6 3 4 2 3 3" xfId="29077" xr:uid="{00000000-0005-0000-0000-000090710000}"/>
    <cellStyle name="표준 6 3 4 2 3 3 2" xfId="29078" xr:uid="{00000000-0005-0000-0000-000091710000}"/>
    <cellStyle name="표준 6 3 4 2 3 4" xfId="29079" xr:uid="{00000000-0005-0000-0000-000092710000}"/>
    <cellStyle name="표준 6 3 4 2 4" xfId="29080" xr:uid="{00000000-0005-0000-0000-000093710000}"/>
    <cellStyle name="표준 6 3 4 2 4 2" xfId="29081" xr:uid="{00000000-0005-0000-0000-000094710000}"/>
    <cellStyle name="표준 6 3 4 2 4 2 2" xfId="29082" xr:uid="{00000000-0005-0000-0000-000095710000}"/>
    <cellStyle name="표준 6 3 4 2 4 3" xfId="29083" xr:uid="{00000000-0005-0000-0000-000096710000}"/>
    <cellStyle name="표준 6 3 4 2 5" xfId="29084" xr:uid="{00000000-0005-0000-0000-000097710000}"/>
    <cellStyle name="표준 6 3 4 2 5 2" xfId="29085" xr:uid="{00000000-0005-0000-0000-000098710000}"/>
    <cellStyle name="표준 6 3 4 2 6" xfId="29086" xr:uid="{00000000-0005-0000-0000-000099710000}"/>
    <cellStyle name="표준 6 3 4 3" xfId="29087" xr:uid="{00000000-0005-0000-0000-00009A710000}"/>
    <cellStyle name="표준 6 3 4 3 2" xfId="29088" xr:uid="{00000000-0005-0000-0000-00009B710000}"/>
    <cellStyle name="표준 6 3 4 3 2 2" xfId="29089" xr:uid="{00000000-0005-0000-0000-00009C710000}"/>
    <cellStyle name="표준 6 3 4 3 2 2 2" xfId="29090" xr:uid="{00000000-0005-0000-0000-00009D710000}"/>
    <cellStyle name="표준 6 3 4 3 2 2 2 2" xfId="29091" xr:uid="{00000000-0005-0000-0000-00009E710000}"/>
    <cellStyle name="표준 6 3 4 3 2 2 3" xfId="29092" xr:uid="{00000000-0005-0000-0000-00009F710000}"/>
    <cellStyle name="표준 6 3 4 3 2 3" xfId="29093" xr:uid="{00000000-0005-0000-0000-0000A0710000}"/>
    <cellStyle name="표준 6 3 4 3 2 3 2" xfId="29094" xr:uid="{00000000-0005-0000-0000-0000A1710000}"/>
    <cellStyle name="표준 6 3 4 3 2 4" xfId="29095" xr:uid="{00000000-0005-0000-0000-0000A2710000}"/>
    <cellStyle name="표준 6 3 4 3 3" xfId="29096" xr:uid="{00000000-0005-0000-0000-0000A3710000}"/>
    <cellStyle name="표준 6 3 4 3 3 2" xfId="29097" xr:uid="{00000000-0005-0000-0000-0000A4710000}"/>
    <cellStyle name="표준 6 3 4 3 3 2 2" xfId="29098" xr:uid="{00000000-0005-0000-0000-0000A5710000}"/>
    <cellStyle name="표준 6 3 4 3 3 3" xfId="29099" xr:uid="{00000000-0005-0000-0000-0000A6710000}"/>
    <cellStyle name="표준 6 3 4 3 4" xfId="29100" xr:uid="{00000000-0005-0000-0000-0000A7710000}"/>
    <cellStyle name="표준 6 3 4 3 4 2" xfId="29101" xr:uid="{00000000-0005-0000-0000-0000A8710000}"/>
    <cellStyle name="표준 6 3 4 3 5" xfId="29102" xr:uid="{00000000-0005-0000-0000-0000A9710000}"/>
    <cellStyle name="표준 6 3 4 4" xfId="29103" xr:uid="{00000000-0005-0000-0000-0000AA710000}"/>
    <cellStyle name="표준 6 3 4 4 2" xfId="29104" xr:uid="{00000000-0005-0000-0000-0000AB710000}"/>
    <cellStyle name="표준 6 3 4 4 2 2" xfId="29105" xr:uid="{00000000-0005-0000-0000-0000AC710000}"/>
    <cellStyle name="표준 6 3 4 4 2 2 2" xfId="29106" xr:uid="{00000000-0005-0000-0000-0000AD710000}"/>
    <cellStyle name="표준 6 3 4 4 2 3" xfId="29107" xr:uid="{00000000-0005-0000-0000-0000AE710000}"/>
    <cellStyle name="표준 6 3 4 4 3" xfId="29108" xr:uid="{00000000-0005-0000-0000-0000AF710000}"/>
    <cellStyle name="표준 6 3 4 4 3 2" xfId="29109" xr:uid="{00000000-0005-0000-0000-0000B0710000}"/>
    <cellStyle name="표준 6 3 4 4 4" xfId="29110" xr:uid="{00000000-0005-0000-0000-0000B1710000}"/>
    <cellStyle name="표준 6 3 4 5" xfId="29111" xr:uid="{00000000-0005-0000-0000-0000B2710000}"/>
    <cellStyle name="표준 6 3 4 5 2" xfId="29112" xr:uid="{00000000-0005-0000-0000-0000B3710000}"/>
    <cellStyle name="표준 6 3 4 5 2 2" xfId="29113" xr:uid="{00000000-0005-0000-0000-0000B4710000}"/>
    <cellStyle name="표준 6 3 4 5 3" xfId="29114" xr:uid="{00000000-0005-0000-0000-0000B5710000}"/>
    <cellStyle name="표준 6 3 4 6" xfId="29115" xr:uid="{00000000-0005-0000-0000-0000B6710000}"/>
    <cellStyle name="표준 6 3 4 6 2" xfId="29116" xr:uid="{00000000-0005-0000-0000-0000B7710000}"/>
    <cellStyle name="표준 6 3 4 7" xfId="29117" xr:uid="{00000000-0005-0000-0000-0000B8710000}"/>
    <cellStyle name="표준 6 3 4 8" xfId="29118" xr:uid="{00000000-0005-0000-0000-0000B9710000}"/>
    <cellStyle name="표준 6 3 5" xfId="29119" xr:uid="{00000000-0005-0000-0000-0000BA710000}"/>
    <cellStyle name="표준 6 3 5 2" xfId="29120" xr:uid="{00000000-0005-0000-0000-0000BB710000}"/>
    <cellStyle name="표준 6 3 5 2 2" xfId="29121" xr:uid="{00000000-0005-0000-0000-0000BC710000}"/>
    <cellStyle name="표준 6 3 5 2 2 2" xfId="29122" xr:uid="{00000000-0005-0000-0000-0000BD710000}"/>
    <cellStyle name="표준 6 3 5 2 2 2 2" xfId="29123" xr:uid="{00000000-0005-0000-0000-0000BE710000}"/>
    <cellStyle name="표준 6 3 5 2 2 2 2 2" xfId="29124" xr:uid="{00000000-0005-0000-0000-0000BF710000}"/>
    <cellStyle name="표준 6 3 5 2 2 2 3" xfId="29125" xr:uid="{00000000-0005-0000-0000-0000C0710000}"/>
    <cellStyle name="표준 6 3 5 2 2 3" xfId="29126" xr:uid="{00000000-0005-0000-0000-0000C1710000}"/>
    <cellStyle name="표준 6 3 5 2 2 3 2" xfId="29127" xr:uid="{00000000-0005-0000-0000-0000C2710000}"/>
    <cellStyle name="표준 6 3 5 2 2 4" xfId="29128" xr:uid="{00000000-0005-0000-0000-0000C3710000}"/>
    <cellStyle name="표준 6 3 5 2 3" xfId="29129" xr:uid="{00000000-0005-0000-0000-0000C4710000}"/>
    <cellStyle name="표준 6 3 5 2 3 2" xfId="29130" xr:uid="{00000000-0005-0000-0000-0000C5710000}"/>
    <cellStyle name="표준 6 3 5 2 3 2 2" xfId="29131" xr:uid="{00000000-0005-0000-0000-0000C6710000}"/>
    <cellStyle name="표준 6 3 5 2 3 3" xfId="29132" xr:uid="{00000000-0005-0000-0000-0000C7710000}"/>
    <cellStyle name="표준 6 3 5 2 4" xfId="29133" xr:uid="{00000000-0005-0000-0000-0000C8710000}"/>
    <cellStyle name="표준 6 3 5 2 4 2" xfId="29134" xr:uid="{00000000-0005-0000-0000-0000C9710000}"/>
    <cellStyle name="표준 6 3 5 2 5" xfId="29135" xr:uid="{00000000-0005-0000-0000-0000CA710000}"/>
    <cellStyle name="표준 6 3 5 3" xfId="29136" xr:uid="{00000000-0005-0000-0000-0000CB710000}"/>
    <cellStyle name="표준 6 3 5 3 2" xfId="29137" xr:uid="{00000000-0005-0000-0000-0000CC710000}"/>
    <cellStyle name="표준 6 3 5 3 2 2" xfId="29138" xr:uid="{00000000-0005-0000-0000-0000CD710000}"/>
    <cellStyle name="표준 6 3 5 3 2 2 2" xfId="29139" xr:uid="{00000000-0005-0000-0000-0000CE710000}"/>
    <cellStyle name="표준 6 3 5 3 2 3" xfId="29140" xr:uid="{00000000-0005-0000-0000-0000CF710000}"/>
    <cellStyle name="표준 6 3 5 3 3" xfId="29141" xr:uid="{00000000-0005-0000-0000-0000D0710000}"/>
    <cellStyle name="표준 6 3 5 3 3 2" xfId="29142" xr:uid="{00000000-0005-0000-0000-0000D1710000}"/>
    <cellStyle name="표준 6 3 5 3 4" xfId="29143" xr:uid="{00000000-0005-0000-0000-0000D2710000}"/>
    <cellStyle name="표준 6 3 5 4" xfId="29144" xr:uid="{00000000-0005-0000-0000-0000D3710000}"/>
    <cellStyle name="표준 6 3 5 4 2" xfId="29145" xr:uid="{00000000-0005-0000-0000-0000D4710000}"/>
    <cellStyle name="표준 6 3 5 4 2 2" xfId="29146" xr:uid="{00000000-0005-0000-0000-0000D5710000}"/>
    <cellStyle name="표준 6 3 5 4 3" xfId="29147" xr:uid="{00000000-0005-0000-0000-0000D6710000}"/>
    <cellStyle name="표준 6 3 5 5" xfId="29148" xr:uid="{00000000-0005-0000-0000-0000D7710000}"/>
    <cellStyle name="표준 6 3 5 5 2" xfId="29149" xr:uid="{00000000-0005-0000-0000-0000D8710000}"/>
    <cellStyle name="표준 6 3 5 6" xfId="29150" xr:uid="{00000000-0005-0000-0000-0000D9710000}"/>
    <cellStyle name="표준 6 3 6" xfId="29151" xr:uid="{00000000-0005-0000-0000-0000DA710000}"/>
    <cellStyle name="표준 6 3 6 2" xfId="29152" xr:uid="{00000000-0005-0000-0000-0000DB710000}"/>
    <cellStyle name="표준 6 3 6 2 2" xfId="29153" xr:uid="{00000000-0005-0000-0000-0000DC710000}"/>
    <cellStyle name="표준 6 3 6 2 2 2" xfId="29154" xr:uid="{00000000-0005-0000-0000-0000DD710000}"/>
    <cellStyle name="표준 6 3 6 2 2 2 2" xfId="29155" xr:uid="{00000000-0005-0000-0000-0000DE710000}"/>
    <cellStyle name="표준 6 3 6 2 2 3" xfId="29156" xr:uid="{00000000-0005-0000-0000-0000DF710000}"/>
    <cellStyle name="표준 6 3 6 2 3" xfId="29157" xr:uid="{00000000-0005-0000-0000-0000E0710000}"/>
    <cellStyle name="표준 6 3 6 2 3 2" xfId="29158" xr:uid="{00000000-0005-0000-0000-0000E1710000}"/>
    <cellStyle name="표준 6 3 6 2 4" xfId="29159" xr:uid="{00000000-0005-0000-0000-0000E2710000}"/>
    <cellStyle name="표준 6 3 6 3" xfId="29160" xr:uid="{00000000-0005-0000-0000-0000E3710000}"/>
    <cellStyle name="표준 6 3 6 3 2" xfId="29161" xr:uid="{00000000-0005-0000-0000-0000E4710000}"/>
    <cellStyle name="표준 6 3 6 3 2 2" xfId="29162" xr:uid="{00000000-0005-0000-0000-0000E5710000}"/>
    <cellStyle name="표준 6 3 6 3 3" xfId="29163" xr:uid="{00000000-0005-0000-0000-0000E6710000}"/>
    <cellStyle name="표준 6 3 6 4" xfId="29164" xr:uid="{00000000-0005-0000-0000-0000E7710000}"/>
    <cellStyle name="표준 6 3 6 4 2" xfId="29165" xr:uid="{00000000-0005-0000-0000-0000E8710000}"/>
    <cellStyle name="표준 6 3 6 5" xfId="29166" xr:uid="{00000000-0005-0000-0000-0000E9710000}"/>
    <cellStyle name="표준 6 3 7" xfId="29167" xr:uid="{00000000-0005-0000-0000-0000EA710000}"/>
    <cellStyle name="표준 6 3 7 2" xfId="29168" xr:uid="{00000000-0005-0000-0000-0000EB710000}"/>
    <cellStyle name="표준 6 3 7 2 2" xfId="29169" xr:uid="{00000000-0005-0000-0000-0000EC710000}"/>
    <cellStyle name="표준 6 3 7 2 2 2" xfId="29170" xr:uid="{00000000-0005-0000-0000-0000ED710000}"/>
    <cellStyle name="표준 6 3 7 2 3" xfId="29171" xr:uid="{00000000-0005-0000-0000-0000EE710000}"/>
    <cellStyle name="표준 6 3 7 3" xfId="29172" xr:uid="{00000000-0005-0000-0000-0000EF710000}"/>
    <cellStyle name="표준 6 3 7 3 2" xfId="29173" xr:uid="{00000000-0005-0000-0000-0000F0710000}"/>
    <cellStyle name="표준 6 3 7 4" xfId="29174" xr:uid="{00000000-0005-0000-0000-0000F1710000}"/>
    <cellStyle name="표준 6 3 8" xfId="29175" xr:uid="{00000000-0005-0000-0000-0000F2710000}"/>
    <cellStyle name="표준 6 3 8 2" xfId="29176" xr:uid="{00000000-0005-0000-0000-0000F3710000}"/>
    <cellStyle name="표준 6 3 8 2 2" xfId="29177" xr:uid="{00000000-0005-0000-0000-0000F4710000}"/>
    <cellStyle name="표준 6 3 8 3" xfId="29178" xr:uid="{00000000-0005-0000-0000-0000F5710000}"/>
    <cellStyle name="표준 6 3 9" xfId="29179" xr:uid="{00000000-0005-0000-0000-0000F6710000}"/>
    <cellStyle name="표준 6 3 9 2" xfId="29180" xr:uid="{00000000-0005-0000-0000-0000F7710000}"/>
    <cellStyle name="표준 6 4" xfId="29181" xr:uid="{00000000-0005-0000-0000-0000F8710000}"/>
    <cellStyle name="표준 6 4 10" xfId="29182" xr:uid="{00000000-0005-0000-0000-0000F9710000}"/>
    <cellStyle name="표준 6 4 2" xfId="29183" xr:uid="{00000000-0005-0000-0000-0000FA710000}"/>
    <cellStyle name="표준 6 4 2 2" xfId="29184" xr:uid="{00000000-0005-0000-0000-0000FB710000}"/>
    <cellStyle name="표준 6 4 2 2 2" xfId="29185" xr:uid="{00000000-0005-0000-0000-0000FC710000}"/>
    <cellStyle name="표준 6 4 2 2 2 2" xfId="29186" xr:uid="{00000000-0005-0000-0000-0000FD710000}"/>
    <cellStyle name="표준 6 4 2 2 2 2 2" xfId="29187" xr:uid="{00000000-0005-0000-0000-0000FE710000}"/>
    <cellStyle name="표준 6 4 2 2 2 2 2 2" xfId="29188" xr:uid="{00000000-0005-0000-0000-0000FF710000}"/>
    <cellStyle name="표준 6 4 2 2 2 2 2 2 2" xfId="29189" xr:uid="{00000000-0005-0000-0000-000000720000}"/>
    <cellStyle name="표준 6 4 2 2 2 2 2 2 2 2" xfId="29190" xr:uid="{00000000-0005-0000-0000-000001720000}"/>
    <cellStyle name="표준 6 4 2 2 2 2 2 2 3" xfId="29191" xr:uid="{00000000-0005-0000-0000-000002720000}"/>
    <cellStyle name="표준 6 4 2 2 2 2 2 3" xfId="29192" xr:uid="{00000000-0005-0000-0000-000003720000}"/>
    <cellStyle name="표준 6 4 2 2 2 2 2 3 2" xfId="29193" xr:uid="{00000000-0005-0000-0000-000004720000}"/>
    <cellStyle name="표준 6 4 2 2 2 2 2 4" xfId="29194" xr:uid="{00000000-0005-0000-0000-000005720000}"/>
    <cellStyle name="표준 6 4 2 2 2 2 3" xfId="29195" xr:uid="{00000000-0005-0000-0000-000006720000}"/>
    <cellStyle name="표준 6 4 2 2 2 2 3 2" xfId="29196" xr:uid="{00000000-0005-0000-0000-000007720000}"/>
    <cellStyle name="표준 6 4 2 2 2 2 3 2 2" xfId="29197" xr:uid="{00000000-0005-0000-0000-000008720000}"/>
    <cellStyle name="표준 6 4 2 2 2 2 3 3" xfId="29198" xr:uid="{00000000-0005-0000-0000-000009720000}"/>
    <cellStyle name="표준 6 4 2 2 2 2 4" xfId="29199" xr:uid="{00000000-0005-0000-0000-00000A720000}"/>
    <cellStyle name="표준 6 4 2 2 2 2 4 2" xfId="29200" xr:uid="{00000000-0005-0000-0000-00000B720000}"/>
    <cellStyle name="표준 6 4 2 2 2 2 5" xfId="29201" xr:uid="{00000000-0005-0000-0000-00000C720000}"/>
    <cellStyle name="표준 6 4 2 2 2 3" xfId="29202" xr:uid="{00000000-0005-0000-0000-00000D720000}"/>
    <cellStyle name="표준 6 4 2 2 2 3 2" xfId="29203" xr:uid="{00000000-0005-0000-0000-00000E720000}"/>
    <cellStyle name="표준 6 4 2 2 2 3 2 2" xfId="29204" xr:uid="{00000000-0005-0000-0000-00000F720000}"/>
    <cellStyle name="표준 6 4 2 2 2 3 2 2 2" xfId="29205" xr:uid="{00000000-0005-0000-0000-000010720000}"/>
    <cellStyle name="표준 6 4 2 2 2 3 2 3" xfId="29206" xr:uid="{00000000-0005-0000-0000-000011720000}"/>
    <cellStyle name="표준 6 4 2 2 2 3 3" xfId="29207" xr:uid="{00000000-0005-0000-0000-000012720000}"/>
    <cellStyle name="표준 6 4 2 2 2 3 3 2" xfId="29208" xr:uid="{00000000-0005-0000-0000-000013720000}"/>
    <cellStyle name="표준 6 4 2 2 2 3 4" xfId="29209" xr:uid="{00000000-0005-0000-0000-000014720000}"/>
    <cellStyle name="표준 6 4 2 2 2 4" xfId="29210" xr:uid="{00000000-0005-0000-0000-000015720000}"/>
    <cellStyle name="표준 6 4 2 2 2 4 2" xfId="29211" xr:uid="{00000000-0005-0000-0000-000016720000}"/>
    <cellStyle name="표준 6 4 2 2 2 4 2 2" xfId="29212" xr:uid="{00000000-0005-0000-0000-000017720000}"/>
    <cellStyle name="표준 6 4 2 2 2 4 3" xfId="29213" xr:uid="{00000000-0005-0000-0000-000018720000}"/>
    <cellStyle name="표준 6 4 2 2 2 5" xfId="29214" xr:uid="{00000000-0005-0000-0000-000019720000}"/>
    <cellStyle name="표준 6 4 2 2 2 5 2" xfId="29215" xr:uid="{00000000-0005-0000-0000-00001A720000}"/>
    <cellStyle name="표준 6 4 2 2 2 6" xfId="29216" xr:uid="{00000000-0005-0000-0000-00001B720000}"/>
    <cellStyle name="표준 6 4 2 2 3" xfId="29217" xr:uid="{00000000-0005-0000-0000-00001C720000}"/>
    <cellStyle name="표준 6 4 2 2 3 2" xfId="29218" xr:uid="{00000000-0005-0000-0000-00001D720000}"/>
    <cellStyle name="표준 6 4 2 2 3 2 2" xfId="29219" xr:uid="{00000000-0005-0000-0000-00001E720000}"/>
    <cellStyle name="표준 6 4 2 2 3 2 2 2" xfId="29220" xr:uid="{00000000-0005-0000-0000-00001F720000}"/>
    <cellStyle name="표준 6 4 2 2 3 2 2 2 2" xfId="29221" xr:uid="{00000000-0005-0000-0000-000020720000}"/>
    <cellStyle name="표준 6 4 2 2 3 2 2 3" xfId="29222" xr:uid="{00000000-0005-0000-0000-000021720000}"/>
    <cellStyle name="표준 6 4 2 2 3 2 3" xfId="29223" xr:uid="{00000000-0005-0000-0000-000022720000}"/>
    <cellStyle name="표준 6 4 2 2 3 2 3 2" xfId="29224" xr:uid="{00000000-0005-0000-0000-000023720000}"/>
    <cellStyle name="표준 6 4 2 2 3 2 4" xfId="29225" xr:uid="{00000000-0005-0000-0000-000024720000}"/>
    <cellStyle name="표준 6 4 2 2 3 3" xfId="29226" xr:uid="{00000000-0005-0000-0000-000025720000}"/>
    <cellStyle name="표준 6 4 2 2 3 3 2" xfId="29227" xr:uid="{00000000-0005-0000-0000-000026720000}"/>
    <cellStyle name="표준 6 4 2 2 3 3 2 2" xfId="29228" xr:uid="{00000000-0005-0000-0000-000027720000}"/>
    <cellStyle name="표준 6 4 2 2 3 3 3" xfId="29229" xr:uid="{00000000-0005-0000-0000-000028720000}"/>
    <cellStyle name="표준 6 4 2 2 3 4" xfId="29230" xr:uid="{00000000-0005-0000-0000-000029720000}"/>
    <cellStyle name="표준 6 4 2 2 3 4 2" xfId="29231" xr:uid="{00000000-0005-0000-0000-00002A720000}"/>
    <cellStyle name="표준 6 4 2 2 3 5" xfId="29232" xr:uid="{00000000-0005-0000-0000-00002B720000}"/>
    <cellStyle name="표준 6 4 2 2 4" xfId="29233" xr:uid="{00000000-0005-0000-0000-00002C720000}"/>
    <cellStyle name="표준 6 4 2 2 4 2" xfId="29234" xr:uid="{00000000-0005-0000-0000-00002D720000}"/>
    <cellStyle name="표준 6 4 2 2 4 2 2" xfId="29235" xr:uid="{00000000-0005-0000-0000-00002E720000}"/>
    <cellStyle name="표준 6 4 2 2 4 2 2 2" xfId="29236" xr:uid="{00000000-0005-0000-0000-00002F720000}"/>
    <cellStyle name="표준 6 4 2 2 4 2 3" xfId="29237" xr:uid="{00000000-0005-0000-0000-000030720000}"/>
    <cellStyle name="표준 6 4 2 2 4 3" xfId="29238" xr:uid="{00000000-0005-0000-0000-000031720000}"/>
    <cellStyle name="표준 6 4 2 2 4 3 2" xfId="29239" xr:uid="{00000000-0005-0000-0000-000032720000}"/>
    <cellStyle name="표준 6 4 2 2 4 4" xfId="29240" xr:uid="{00000000-0005-0000-0000-000033720000}"/>
    <cellStyle name="표준 6 4 2 2 5" xfId="29241" xr:uid="{00000000-0005-0000-0000-000034720000}"/>
    <cellStyle name="표준 6 4 2 2 5 2" xfId="29242" xr:uid="{00000000-0005-0000-0000-000035720000}"/>
    <cellStyle name="표준 6 4 2 2 5 2 2" xfId="29243" xr:uid="{00000000-0005-0000-0000-000036720000}"/>
    <cellStyle name="표준 6 4 2 2 5 3" xfId="29244" xr:uid="{00000000-0005-0000-0000-000037720000}"/>
    <cellStyle name="표준 6 4 2 2 6" xfId="29245" xr:uid="{00000000-0005-0000-0000-000038720000}"/>
    <cellStyle name="표준 6 4 2 2 6 2" xfId="29246" xr:uid="{00000000-0005-0000-0000-000039720000}"/>
    <cellStyle name="표준 6 4 2 2 7" xfId="29247" xr:uid="{00000000-0005-0000-0000-00003A720000}"/>
    <cellStyle name="표준 6 4 2 2 8" xfId="29248" xr:uid="{00000000-0005-0000-0000-00003B720000}"/>
    <cellStyle name="표준 6 4 2 3" xfId="29249" xr:uid="{00000000-0005-0000-0000-00003C720000}"/>
    <cellStyle name="표준 6 4 2 3 2" xfId="29250" xr:uid="{00000000-0005-0000-0000-00003D720000}"/>
    <cellStyle name="표준 6 4 2 3 2 2" xfId="29251" xr:uid="{00000000-0005-0000-0000-00003E720000}"/>
    <cellStyle name="표준 6 4 2 3 2 2 2" xfId="29252" xr:uid="{00000000-0005-0000-0000-00003F720000}"/>
    <cellStyle name="표준 6 4 2 3 2 2 2 2" xfId="29253" xr:uid="{00000000-0005-0000-0000-000040720000}"/>
    <cellStyle name="표준 6 4 2 3 2 2 2 2 2" xfId="29254" xr:uid="{00000000-0005-0000-0000-000041720000}"/>
    <cellStyle name="표준 6 4 2 3 2 2 2 3" xfId="29255" xr:uid="{00000000-0005-0000-0000-000042720000}"/>
    <cellStyle name="표준 6 4 2 3 2 2 3" xfId="29256" xr:uid="{00000000-0005-0000-0000-000043720000}"/>
    <cellStyle name="표준 6 4 2 3 2 2 3 2" xfId="29257" xr:uid="{00000000-0005-0000-0000-000044720000}"/>
    <cellStyle name="표준 6 4 2 3 2 2 4" xfId="29258" xr:uid="{00000000-0005-0000-0000-000045720000}"/>
    <cellStyle name="표준 6 4 2 3 2 3" xfId="29259" xr:uid="{00000000-0005-0000-0000-000046720000}"/>
    <cellStyle name="표준 6 4 2 3 2 3 2" xfId="29260" xr:uid="{00000000-0005-0000-0000-000047720000}"/>
    <cellStyle name="표준 6 4 2 3 2 3 2 2" xfId="29261" xr:uid="{00000000-0005-0000-0000-000048720000}"/>
    <cellStyle name="표준 6 4 2 3 2 3 3" xfId="29262" xr:uid="{00000000-0005-0000-0000-000049720000}"/>
    <cellStyle name="표준 6 4 2 3 2 4" xfId="29263" xr:uid="{00000000-0005-0000-0000-00004A720000}"/>
    <cellStyle name="표준 6 4 2 3 2 4 2" xfId="29264" xr:uid="{00000000-0005-0000-0000-00004B720000}"/>
    <cellStyle name="표준 6 4 2 3 2 5" xfId="29265" xr:uid="{00000000-0005-0000-0000-00004C720000}"/>
    <cellStyle name="표준 6 4 2 3 3" xfId="29266" xr:uid="{00000000-0005-0000-0000-00004D720000}"/>
    <cellStyle name="표준 6 4 2 3 3 2" xfId="29267" xr:uid="{00000000-0005-0000-0000-00004E720000}"/>
    <cellStyle name="표준 6 4 2 3 3 2 2" xfId="29268" xr:uid="{00000000-0005-0000-0000-00004F720000}"/>
    <cellStyle name="표준 6 4 2 3 3 2 2 2" xfId="29269" xr:uid="{00000000-0005-0000-0000-000050720000}"/>
    <cellStyle name="표준 6 4 2 3 3 2 3" xfId="29270" xr:uid="{00000000-0005-0000-0000-000051720000}"/>
    <cellStyle name="표준 6 4 2 3 3 3" xfId="29271" xr:uid="{00000000-0005-0000-0000-000052720000}"/>
    <cellStyle name="표준 6 4 2 3 3 3 2" xfId="29272" xr:uid="{00000000-0005-0000-0000-000053720000}"/>
    <cellStyle name="표준 6 4 2 3 3 4" xfId="29273" xr:uid="{00000000-0005-0000-0000-000054720000}"/>
    <cellStyle name="표준 6 4 2 3 4" xfId="29274" xr:uid="{00000000-0005-0000-0000-000055720000}"/>
    <cellStyle name="표준 6 4 2 3 4 2" xfId="29275" xr:uid="{00000000-0005-0000-0000-000056720000}"/>
    <cellStyle name="표준 6 4 2 3 4 2 2" xfId="29276" xr:uid="{00000000-0005-0000-0000-000057720000}"/>
    <cellStyle name="표준 6 4 2 3 4 3" xfId="29277" xr:uid="{00000000-0005-0000-0000-000058720000}"/>
    <cellStyle name="표준 6 4 2 3 5" xfId="29278" xr:uid="{00000000-0005-0000-0000-000059720000}"/>
    <cellStyle name="표준 6 4 2 3 5 2" xfId="29279" xr:uid="{00000000-0005-0000-0000-00005A720000}"/>
    <cellStyle name="표준 6 4 2 3 6" xfId="29280" xr:uid="{00000000-0005-0000-0000-00005B720000}"/>
    <cellStyle name="표준 6 4 2 4" xfId="29281" xr:uid="{00000000-0005-0000-0000-00005C720000}"/>
    <cellStyle name="표준 6 4 2 4 2" xfId="29282" xr:uid="{00000000-0005-0000-0000-00005D720000}"/>
    <cellStyle name="표준 6 4 2 4 2 2" xfId="29283" xr:uid="{00000000-0005-0000-0000-00005E720000}"/>
    <cellStyle name="표준 6 4 2 4 2 2 2" xfId="29284" xr:uid="{00000000-0005-0000-0000-00005F720000}"/>
    <cellStyle name="표준 6 4 2 4 2 2 2 2" xfId="29285" xr:uid="{00000000-0005-0000-0000-000060720000}"/>
    <cellStyle name="표준 6 4 2 4 2 2 3" xfId="29286" xr:uid="{00000000-0005-0000-0000-000061720000}"/>
    <cellStyle name="표준 6 4 2 4 2 3" xfId="29287" xr:uid="{00000000-0005-0000-0000-000062720000}"/>
    <cellStyle name="표준 6 4 2 4 2 3 2" xfId="29288" xr:uid="{00000000-0005-0000-0000-000063720000}"/>
    <cellStyle name="표준 6 4 2 4 2 4" xfId="29289" xr:uid="{00000000-0005-0000-0000-000064720000}"/>
    <cellStyle name="표준 6 4 2 4 3" xfId="29290" xr:uid="{00000000-0005-0000-0000-000065720000}"/>
    <cellStyle name="표준 6 4 2 4 3 2" xfId="29291" xr:uid="{00000000-0005-0000-0000-000066720000}"/>
    <cellStyle name="표준 6 4 2 4 3 2 2" xfId="29292" xr:uid="{00000000-0005-0000-0000-000067720000}"/>
    <cellStyle name="표준 6 4 2 4 3 3" xfId="29293" xr:uid="{00000000-0005-0000-0000-000068720000}"/>
    <cellStyle name="표준 6 4 2 4 4" xfId="29294" xr:uid="{00000000-0005-0000-0000-000069720000}"/>
    <cellStyle name="표준 6 4 2 4 4 2" xfId="29295" xr:uid="{00000000-0005-0000-0000-00006A720000}"/>
    <cellStyle name="표준 6 4 2 4 5" xfId="29296" xr:uid="{00000000-0005-0000-0000-00006B720000}"/>
    <cellStyle name="표준 6 4 2 5" xfId="29297" xr:uid="{00000000-0005-0000-0000-00006C720000}"/>
    <cellStyle name="표준 6 4 2 5 2" xfId="29298" xr:uid="{00000000-0005-0000-0000-00006D720000}"/>
    <cellStyle name="표준 6 4 2 5 2 2" xfId="29299" xr:uid="{00000000-0005-0000-0000-00006E720000}"/>
    <cellStyle name="표준 6 4 2 5 2 2 2" xfId="29300" xr:uid="{00000000-0005-0000-0000-00006F720000}"/>
    <cellStyle name="표준 6 4 2 5 2 3" xfId="29301" xr:uid="{00000000-0005-0000-0000-000070720000}"/>
    <cellStyle name="표준 6 4 2 5 3" xfId="29302" xr:uid="{00000000-0005-0000-0000-000071720000}"/>
    <cellStyle name="표준 6 4 2 5 3 2" xfId="29303" xr:uid="{00000000-0005-0000-0000-000072720000}"/>
    <cellStyle name="표준 6 4 2 5 4" xfId="29304" xr:uid="{00000000-0005-0000-0000-000073720000}"/>
    <cellStyle name="표준 6 4 2 6" xfId="29305" xr:uid="{00000000-0005-0000-0000-000074720000}"/>
    <cellStyle name="표준 6 4 2 6 2" xfId="29306" xr:uid="{00000000-0005-0000-0000-000075720000}"/>
    <cellStyle name="표준 6 4 2 6 2 2" xfId="29307" xr:uid="{00000000-0005-0000-0000-000076720000}"/>
    <cellStyle name="표준 6 4 2 6 3" xfId="29308" xr:uid="{00000000-0005-0000-0000-000077720000}"/>
    <cellStyle name="표준 6 4 2 7" xfId="29309" xr:uid="{00000000-0005-0000-0000-000078720000}"/>
    <cellStyle name="표준 6 4 2 7 2" xfId="29310" xr:uid="{00000000-0005-0000-0000-000079720000}"/>
    <cellStyle name="표준 6 4 2 8" xfId="29311" xr:uid="{00000000-0005-0000-0000-00007A720000}"/>
    <cellStyle name="표준 6 4 2 9" xfId="29312" xr:uid="{00000000-0005-0000-0000-00007B720000}"/>
    <cellStyle name="표준 6 4 3" xfId="29313" xr:uid="{00000000-0005-0000-0000-00007C720000}"/>
    <cellStyle name="표준 6 4 3 2" xfId="29314" xr:uid="{00000000-0005-0000-0000-00007D720000}"/>
    <cellStyle name="표준 6 4 3 2 2" xfId="29315" xr:uid="{00000000-0005-0000-0000-00007E720000}"/>
    <cellStyle name="표준 6 4 3 2 2 2" xfId="29316" xr:uid="{00000000-0005-0000-0000-00007F720000}"/>
    <cellStyle name="표준 6 4 3 2 2 2 2" xfId="29317" xr:uid="{00000000-0005-0000-0000-000080720000}"/>
    <cellStyle name="표준 6 4 3 2 2 2 2 2" xfId="29318" xr:uid="{00000000-0005-0000-0000-000081720000}"/>
    <cellStyle name="표준 6 4 3 2 2 2 2 2 2" xfId="29319" xr:uid="{00000000-0005-0000-0000-000082720000}"/>
    <cellStyle name="표준 6 4 3 2 2 2 2 3" xfId="29320" xr:uid="{00000000-0005-0000-0000-000083720000}"/>
    <cellStyle name="표준 6 4 3 2 2 2 3" xfId="29321" xr:uid="{00000000-0005-0000-0000-000084720000}"/>
    <cellStyle name="표준 6 4 3 2 2 2 3 2" xfId="29322" xr:uid="{00000000-0005-0000-0000-000085720000}"/>
    <cellStyle name="표준 6 4 3 2 2 2 4" xfId="29323" xr:uid="{00000000-0005-0000-0000-000086720000}"/>
    <cellStyle name="표준 6 4 3 2 2 3" xfId="29324" xr:uid="{00000000-0005-0000-0000-000087720000}"/>
    <cellStyle name="표준 6 4 3 2 2 3 2" xfId="29325" xr:uid="{00000000-0005-0000-0000-000088720000}"/>
    <cellStyle name="표준 6 4 3 2 2 3 2 2" xfId="29326" xr:uid="{00000000-0005-0000-0000-000089720000}"/>
    <cellStyle name="표준 6 4 3 2 2 3 3" xfId="29327" xr:uid="{00000000-0005-0000-0000-00008A720000}"/>
    <cellStyle name="표준 6 4 3 2 2 4" xfId="29328" xr:uid="{00000000-0005-0000-0000-00008B720000}"/>
    <cellStyle name="표준 6 4 3 2 2 4 2" xfId="29329" xr:uid="{00000000-0005-0000-0000-00008C720000}"/>
    <cellStyle name="표준 6 4 3 2 2 5" xfId="29330" xr:uid="{00000000-0005-0000-0000-00008D720000}"/>
    <cellStyle name="표준 6 4 3 2 3" xfId="29331" xr:uid="{00000000-0005-0000-0000-00008E720000}"/>
    <cellStyle name="표준 6 4 3 2 3 2" xfId="29332" xr:uid="{00000000-0005-0000-0000-00008F720000}"/>
    <cellStyle name="표준 6 4 3 2 3 2 2" xfId="29333" xr:uid="{00000000-0005-0000-0000-000090720000}"/>
    <cellStyle name="표준 6 4 3 2 3 2 2 2" xfId="29334" xr:uid="{00000000-0005-0000-0000-000091720000}"/>
    <cellStyle name="표준 6 4 3 2 3 2 3" xfId="29335" xr:uid="{00000000-0005-0000-0000-000092720000}"/>
    <cellStyle name="표준 6 4 3 2 3 3" xfId="29336" xr:uid="{00000000-0005-0000-0000-000093720000}"/>
    <cellStyle name="표준 6 4 3 2 3 3 2" xfId="29337" xr:uid="{00000000-0005-0000-0000-000094720000}"/>
    <cellStyle name="표준 6 4 3 2 3 4" xfId="29338" xr:uid="{00000000-0005-0000-0000-000095720000}"/>
    <cellStyle name="표준 6 4 3 2 4" xfId="29339" xr:uid="{00000000-0005-0000-0000-000096720000}"/>
    <cellStyle name="표준 6 4 3 2 4 2" xfId="29340" xr:uid="{00000000-0005-0000-0000-000097720000}"/>
    <cellStyle name="표준 6 4 3 2 4 2 2" xfId="29341" xr:uid="{00000000-0005-0000-0000-000098720000}"/>
    <cellStyle name="표준 6 4 3 2 4 3" xfId="29342" xr:uid="{00000000-0005-0000-0000-000099720000}"/>
    <cellStyle name="표준 6 4 3 2 5" xfId="29343" xr:uid="{00000000-0005-0000-0000-00009A720000}"/>
    <cellStyle name="표준 6 4 3 2 5 2" xfId="29344" xr:uid="{00000000-0005-0000-0000-00009B720000}"/>
    <cellStyle name="표준 6 4 3 2 6" xfId="29345" xr:uid="{00000000-0005-0000-0000-00009C720000}"/>
    <cellStyle name="표준 6 4 3 3" xfId="29346" xr:uid="{00000000-0005-0000-0000-00009D720000}"/>
    <cellStyle name="표준 6 4 3 3 2" xfId="29347" xr:uid="{00000000-0005-0000-0000-00009E720000}"/>
    <cellStyle name="표준 6 4 3 3 2 2" xfId="29348" xr:uid="{00000000-0005-0000-0000-00009F720000}"/>
    <cellStyle name="표준 6 4 3 3 2 2 2" xfId="29349" xr:uid="{00000000-0005-0000-0000-0000A0720000}"/>
    <cellStyle name="표준 6 4 3 3 2 2 2 2" xfId="29350" xr:uid="{00000000-0005-0000-0000-0000A1720000}"/>
    <cellStyle name="표준 6 4 3 3 2 2 3" xfId="29351" xr:uid="{00000000-0005-0000-0000-0000A2720000}"/>
    <cellStyle name="표준 6 4 3 3 2 3" xfId="29352" xr:uid="{00000000-0005-0000-0000-0000A3720000}"/>
    <cellStyle name="표준 6 4 3 3 2 3 2" xfId="29353" xr:uid="{00000000-0005-0000-0000-0000A4720000}"/>
    <cellStyle name="표준 6 4 3 3 2 4" xfId="29354" xr:uid="{00000000-0005-0000-0000-0000A5720000}"/>
    <cellStyle name="표준 6 4 3 3 3" xfId="29355" xr:uid="{00000000-0005-0000-0000-0000A6720000}"/>
    <cellStyle name="표준 6 4 3 3 3 2" xfId="29356" xr:uid="{00000000-0005-0000-0000-0000A7720000}"/>
    <cellStyle name="표준 6 4 3 3 3 2 2" xfId="29357" xr:uid="{00000000-0005-0000-0000-0000A8720000}"/>
    <cellStyle name="표준 6 4 3 3 3 3" xfId="29358" xr:uid="{00000000-0005-0000-0000-0000A9720000}"/>
    <cellStyle name="표준 6 4 3 3 4" xfId="29359" xr:uid="{00000000-0005-0000-0000-0000AA720000}"/>
    <cellStyle name="표준 6 4 3 3 4 2" xfId="29360" xr:uid="{00000000-0005-0000-0000-0000AB720000}"/>
    <cellStyle name="표준 6 4 3 3 5" xfId="29361" xr:uid="{00000000-0005-0000-0000-0000AC720000}"/>
    <cellStyle name="표준 6 4 3 4" xfId="29362" xr:uid="{00000000-0005-0000-0000-0000AD720000}"/>
    <cellStyle name="표준 6 4 3 4 2" xfId="29363" xr:uid="{00000000-0005-0000-0000-0000AE720000}"/>
    <cellStyle name="표준 6 4 3 4 2 2" xfId="29364" xr:uid="{00000000-0005-0000-0000-0000AF720000}"/>
    <cellStyle name="표준 6 4 3 4 2 2 2" xfId="29365" xr:uid="{00000000-0005-0000-0000-0000B0720000}"/>
    <cellStyle name="표준 6 4 3 4 2 3" xfId="29366" xr:uid="{00000000-0005-0000-0000-0000B1720000}"/>
    <cellStyle name="표준 6 4 3 4 3" xfId="29367" xr:uid="{00000000-0005-0000-0000-0000B2720000}"/>
    <cellStyle name="표준 6 4 3 4 3 2" xfId="29368" xr:uid="{00000000-0005-0000-0000-0000B3720000}"/>
    <cellStyle name="표준 6 4 3 4 4" xfId="29369" xr:uid="{00000000-0005-0000-0000-0000B4720000}"/>
    <cellStyle name="표준 6 4 3 5" xfId="29370" xr:uid="{00000000-0005-0000-0000-0000B5720000}"/>
    <cellStyle name="표준 6 4 3 5 2" xfId="29371" xr:uid="{00000000-0005-0000-0000-0000B6720000}"/>
    <cellStyle name="표준 6 4 3 5 2 2" xfId="29372" xr:uid="{00000000-0005-0000-0000-0000B7720000}"/>
    <cellStyle name="표준 6 4 3 5 3" xfId="29373" xr:uid="{00000000-0005-0000-0000-0000B8720000}"/>
    <cellStyle name="표준 6 4 3 6" xfId="29374" xr:uid="{00000000-0005-0000-0000-0000B9720000}"/>
    <cellStyle name="표준 6 4 3 6 2" xfId="29375" xr:uid="{00000000-0005-0000-0000-0000BA720000}"/>
    <cellStyle name="표준 6 4 3 7" xfId="29376" xr:uid="{00000000-0005-0000-0000-0000BB720000}"/>
    <cellStyle name="표준 6 4 3 8" xfId="29377" xr:uid="{00000000-0005-0000-0000-0000BC720000}"/>
    <cellStyle name="표준 6 4 4" xfId="29378" xr:uid="{00000000-0005-0000-0000-0000BD720000}"/>
    <cellStyle name="표준 6 4 4 2" xfId="29379" xr:uid="{00000000-0005-0000-0000-0000BE720000}"/>
    <cellStyle name="표준 6 4 4 2 2" xfId="29380" xr:uid="{00000000-0005-0000-0000-0000BF720000}"/>
    <cellStyle name="표준 6 4 4 2 2 2" xfId="29381" xr:uid="{00000000-0005-0000-0000-0000C0720000}"/>
    <cellStyle name="표준 6 4 4 2 2 2 2" xfId="29382" xr:uid="{00000000-0005-0000-0000-0000C1720000}"/>
    <cellStyle name="표준 6 4 4 2 2 2 2 2" xfId="29383" xr:uid="{00000000-0005-0000-0000-0000C2720000}"/>
    <cellStyle name="표준 6 4 4 2 2 2 3" xfId="29384" xr:uid="{00000000-0005-0000-0000-0000C3720000}"/>
    <cellStyle name="표준 6 4 4 2 2 3" xfId="29385" xr:uid="{00000000-0005-0000-0000-0000C4720000}"/>
    <cellStyle name="표준 6 4 4 2 2 3 2" xfId="29386" xr:uid="{00000000-0005-0000-0000-0000C5720000}"/>
    <cellStyle name="표준 6 4 4 2 2 4" xfId="29387" xr:uid="{00000000-0005-0000-0000-0000C6720000}"/>
    <cellStyle name="표준 6 4 4 2 3" xfId="29388" xr:uid="{00000000-0005-0000-0000-0000C7720000}"/>
    <cellStyle name="표준 6 4 4 2 3 2" xfId="29389" xr:uid="{00000000-0005-0000-0000-0000C8720000}"/>
    <cellStyle name="표준 6 4 4 2 3 2 2" xfId="29390" xr:uid="{00000000-0005-0000-0000-0000C9720000}"/>
    <cellStyle name="표준 6 4 4 2 3 3" xfId="29391" xr:uid="{00000000-0005-0000-0000-0000CA720000}"/>
    <cellStyle name="표준 6 4 4 2 4" xfId="29392" xr:uid="{00000000-0005-0000-0000-0000CB720000}"/>
    <cellStyle name="표준 6 4 4 2 4 2" xfId="29393" xr:uid="{00000000-0005-0000-0000-0000CC720000}"/>
    <cellStyle name="표준 6 4 4 2 5" xfId="29394" xr:uid="{00000000-0005-0000-0000-0000CD720000}"/>
    <cellStyle name="표준 6 4 4 3" xfId="29395" xr:uid="{00000000-0005-0000-0000-0000CE720000}"/>
    <cellStyle name="표준 6 4 4 3 2" xfId="29396" xr:uid="{00000000-0005-0000-0000-0000CF720000}"/>
    <cellStyle name="표준 6 4 4 3 2 2" xfId="29397" xr:uid="{00000000-0005-0000-0000-0000D0720000}"/>
    <cellStyle name="표준 6 4 4 3 2 2 2" xfId="29398" xr:uid="{00000000-0005-0000-0000-0000D1720000}"/>
    <cellStyle name="표준 6 4 4 3 2 3" xfId="29399" xr:uid="{00000000-0005-0000-0000-0000D2720000}"/>
    <cellStyle name="표준 6 4 4 3 3" xfId="29400" xr:uid="{00000000-0005-0000-0000-0000D3720000}"/>
    <cellStyle name="표준 6 4 4 3 3 2" xfId="29401" xr:uid="{00000000-0005-0000-0000-0000D4720000}"/>
    <cellStyle name="표준 6 4 4 3 4" xfId="29402" xr:uid="{00000000-0005-0000-0000-0000D5720000}"/>
    <cellStyle name="표준 6 4 4 4" xfId="29403" xr:uid="{00000000-0005-0000-0000-0000D6720000}"/>
    <cellStyle name="표준 6 4 4 4 2" xfId="29404" xr:uid="{00000000-0005-0000-0000-0000D7720000}"/>
    <cellStyle name="표준 6 4 4 4 2 2" xfId="29405" xr:uid="{00000000-0005-0000-0000-0000D8720000}"/>
    <cellStyle name="표준 6 4 4 4 3" xfId="29406" xr:uid="{00000000-0005-0000-0000-0000D9720000}"/>
    <cellStyle name="표준 6 4 4 5" xfId="29407" xr:uid="{00000000-0005-0000-0000-0000DA720000}"/>
    <cellStyle name="표준 6 4 4 5 2" xfId="29408" xr:uid="{00000000-0005-0000-0000-0000DB720000}"/>
    <cellStyle name="표준 6 4 4 6" xfId="29409" xr:uid="{00000000-0005-0000-0000-0000DC720000}"/>
    <cellStyle name="표준 6 4 5" xfId="29410" xr:uid="{00000000-0005-0000-0000-0000DD720000}"/>
    <cellStyle name="표준 6 4 5 2" xfId="29411" xr:uid="{00000000-0005-0000-0000-0000DE720000}"/>
    <cellStyle name="표준 6 4 5 2 2" xfId="29412" xr:uid="{00000000-0005-0000-0000-0000DF720000}"/>
    <cellStyle name="표준 6 4 5 2 2 2" xfId="29413" xr:uid="{00000000-0005-0000-0000-0000E0720000}"/>
    <cellStyle name="표준 6 4 5 2 2 2 2" xfId="29414" xr:uid="{00000000-0005-0000-0000-0000E1720000}"/>
    <cellStyle name="표준 6 4 5 2 2 3" xfId="29415" xr:uid="{00000000-0005-0000-0000-0000E2720000}"/>
    <cellStyle name="표준 6 4 5 2 3" xfId="29416" xr:uid="{00000000-0005-0000-0000-0000E3720000}"/>
    <cellStyle name="표준 6 4 5 2 3 2" xfId="29417" xr:uid="{00000000-0005-0000-0000-0000E4720000}"/>
    <cellStyle name="표준 6 4 5 2 4" xfId="29418" xr:uid="{00000000-0005-0000-0000-0000E5720000}"/>
    <cellStyle name="표준 6 4 5 3" xfId="29419" xr:uid="{00000000-0005-0000-0000-0000E6720000}"/>
    <cellStyle name="표준 6 4 5 3 2" xfId="29420" xr:uid="{00000000-0005-0000-0000-0000E7720000}"/>
    <cellStyle name="표준 6 4 5 3 2 2" xfId="29421" xr:uid="{00000000-0005-0000-0000-0000E8720000}"/>
    <cellStyle name="표준 6 4 5 3 3" xfId="29422" xr:uid="{00000000-0005-0000-0000-0000E9720000}"/>
    <cellStyle name="표준 6 4 5 4" xfId="29423" xr:uid="{00000000-0005-0000-0000-0000EA720000}"/>
    <cellStyle name="표준 6 4 5 4 2" xfId="29424" xr:uid="{00000000-0005-0000-0000-0000EB720000}"/>
    <cellStyle name="표준 6 4 5 5" xfId="29425" xr:uid="{00000000-0005-0000-0000-0000EC720000}"/>
    <cellStyle name="표준 6 4 6" xfId="29426" xr:uid="{00000000-0005-0000-0000-0000ED720000}"/>
    <cellStyle name="표준 6 4 6 2" xfId="29427" xr:uid="{00000000-0005-0000-0000-0000EE720000}"/>
    <cellStyle name="표준 6 4 6 2 2" xfId="29428" xr:uid="{00000000-0005-0000-0000-0000EF720000}"/>
    <cellStyle name="표준 6 4 6 2 2 2" xfId="29429" xr:uid="{00000000-0005-0000-0000-0000F0720000}"/>
    <cellStyle name="표준 6 4 6 2 3" xfId="29430" xr:uid="{00000000-0005-0000-0000-0000F1720000}"/>
    <cellStyle name="표준 6 4 6 3" xfId="29431" xr:uid="{00000000-0005-0000-0000-0000F2720000}"/>
    <cellStyle name="표준 6 4 6 3 2" xfId="29432" xr:uid="{00000000-0005-0000-0000-0000F3720000}"/>
    <cellStyle name="표준 6 4 6 4" xfId="29433" xr:uid="{00000000-0005-0000-0000-0000F4720000}"/>
    <cellStyle name="표준 6 4 7" xfId="29434" xr:uid="{00000000-0005-0000-0000-0000F5720000}"/>
    <cellStyle name="표준 6 4 7 2" xfId="29435" xr:uid="{00000000-0005-0000-0000-0000F6720000}"/>
    <cellStyle name="표준 6 4 7 2 2" xfId="29436" xr:uid="{00000000-0005-0000-0000-0000F7720000}"/>
    <cellStyle name="표준 6 4 7 3" xfId="29437" xr:uid="{00000000-0005-0000-0000-0000F8720000}"/>
    <cellStyle name="표준 6 4 8" xfId="29438" xr:uid="{00000000-0005-0000-0000-0000F9720000}"/>
    <cellStyle name="표준 6 4 8 2" xfId="29439" xr:uid="{00000000-0005-0000-0000-0000FA720000}"/>
    <cellStyle name="표준 6 4 9" xfId="29440" xr:uid="{00000000-0005-0000-0000-0000FB720000}"/>
    <cellStyle name="표준 6 5" xfId="29441" xr:uid="{00000000-0005-0000-0000-0000FC720000}"/>
    <cellStyle name="표준 6 5 2" xfId="29442" xr:uid="{00000000-0005-0000-0000-0000FD720000}"/>
    <cellStyle name="표준 6 5 2 2" xfId="29443" xr:uid="{00000000-0005-0000-0000-0000FE720000}"/>
    <cellStyle name="표준 6 5 2 2 2" xfId="29444" xr:uid="{00000000-0005-0000-0000-0000FF720000}"/>
    <cellStyle name="표준 6 5 2 2 2 2" xfId="29445" xr:uid="{00000000-0005-0000-0000-000000730000}"/>
    <cellStyle name="표준 6 5 2 2 2 2 2" xfId="29446" xr:uid="{00000000-0005-0000-0000-000001730000}"/>
    <cellStyle name="표준 6 5 2 2 2 2 2 2" xfId="29447" xr:uid="{00000000-0005-0000-0000-000002730000}"/>
    <cellStyle name="표준 6 5 2 2 2 2 2 2 2" xfId="29448" xr:uid="{00000000-0005-0000-0000-000003730000}"/>
    <cellStyle name="표준 6 5 2 2 2 2 2 3" xfId="29449" xr:uid="{00000000-0005-0000-0000-000004730000}"/>
    <cellStyle name="표준 6 5 2 2 2 2 3" xfId="29450" xr:uid="{00000000-0005-0000-0000-000005730000}"/>
    <cellStyle name="표준 6 5 2 2 2 2 3 2" xfId="29451" xr:uid="{00000000-0005-0000-0000-000006730000}"/>
    <cellStyle name="표준 6 5 2 2 2 2 4" xfId="29452" xr:uid="{00000000-0005-0000-0000-000007730000}"/>
    <cellStyle name="표준 6 5 2 2 2 3" xfId="29453" xr:uid="{00000000-0005-0000-0000-000008730000}"/>
    <cellStyle name="표준 6 5 2 2 2 3 2" xfId="29454" xr:uid="{00000000-0005-0000-0000-000009730000}"/>
    <cellStyle name="표준 6 5 2 2 2 3 2 2" xfId="29455" xr:uid="{00000000-0005-0000-0000-00000A730000}"/>
    <cellStyle name="표준 6 5 2 2 2 3 3" xfId="29456" xr:uid="{00000000-0005-0000-0000-00000B730000}"/>
    <cellStyle name="표준 6 5 2 2 2 4" xfId="29457" xr:uid="{00000000-0005-0000-0000-00000C730000}"/>
    <cellStyle name="표준 6 5 2 2 2 4 2" xfId="29458" xr:uid="{00000000-0005-0000-0000-00000D730000}"/>
    <cellStyle name="표준 6 5 2 2 2 5" xfId="29459" xr:uid="{00000000-0005-0000-0000-00000E730000}"/>
    <cellStyle name="표준 6 5 2 2 3" xfId="29460" xr:uid="{00000000-0005-0000-0000-00000F730000}"/>
    <cellStyle name="표준 6 5 2 2 3 2" xfId="29461" xr:uid="{00000000-0005-0000-0000-000010730000}"/>
    <cellStyle name="표준 6 5 2 2 3 2 2" xfId="29462" xr:uid="{00000000-0005-0000-0000-000011730000}"/>
    <cellStyle name="표준 6 5 2 2 3 2 2 2" xfId="29463" xr:uid="{00000000-0005-0000-0000-000012730000}"/>
    <cellStyle name="표준 6 5 2 2 3 2 3" xfId="29464" xr:uid="{00000000-0005-0000-0000-000013730000}"/>
    <cellStyle name="표준 6 5 2 2 3 3" xfId="29465" xr:uid="{00000000-0005-0000-0000-000014730000}"/>
    <cellStyle name="표준 6 5 2 2 3 3 2" xfId="29466" xr:uid="{00000000-0005-0000-0000-000015730000}"/>
    <cellStyle name="표준 6 5 2 2 3 4" xfId="29467" xr:uid="{00000000-0005-0000-0000-000016730000}"/>
    <cellStyle name="표준 6 5 2 2 4" xfId="29468" xr:uid="{00000000-0005-0000-0000-000017730000}"/>
    <cellStyle name="표준 6 5 2 2 4 2" xfId="29469" xr:uid="{00000000-0005-0000-0000-000018730000}"/>
    <cellStyle name="표준 6 5 2 2 4 2 2" xfId="29470" xr:uid="{00000000-0005-0000-0000-000019730000}"/>
    <cellStyle name="표준 6 5 2 2 4 3" xfId="29471" xr:uid="{00000000-0005-0000-0000-00001A730000}"/>
    <cellStyle name="표준 6 5 2 2 5" xfId="29472" xr:uid="{00000000-0005-0000-0000-00001B730000}"/>
    <cellStyle name="표준 6 5 2 2 5 2" xfId="29473" xr:uid="{00000000-0005-0000-0000-00001C730000}"/>
    <cellStyle name="표준 6 5 2 2 6" xfId="29474" xr:uid="{00000000-0005-0000-0000-00001D730000}"/>
    <cellStyle name="표준 6 5 2 3" xfId="29475" xr:uid="{00000000-0005-0000-0000-00001E730000}"/>
    <cellStyle name="표준 6 5 2 3 2" xfId="29476" xr:uid="{00000000-0005-0000-0000-00001F730000}"/>
    <cellStyle name="표준 6 5 2 3 2 2" xfId="29477" xr:uid="{00000000-0005-0000-0000-000020730000}"/>
    <cellStyle name="표준 6 5 2 3 2 2 2" xfId="29478" xr:uid="{00000000-0005-0000-0000-000021730000}"/>
    <cellStyle name="표준 6 5 2 3 2 2 2 2" xfId="29479" xr:uid="{00000000-0005-0000-0000-000022730000}"/>
    <cellStyle name="표준 6 5 2 3 2 2 3" xfId="29480" xr:uid="{00000000-0005-0000-0000-000023730000}"/>
    <cellStyle name="표준 6 5 2 3 2 3" xfId="29481" xr:uid="{00000000-0005-0000-0000-000024730000}"/>
    <cellStyle name="표준 6 5 2 3 2 3 2" xfId="29482" xr:uid="{00000000-0005-0000-0000-000025730000}"/>
    <cellStyle name="표준 6 5 2 3 2 4" xfId="29483" xr:uid="{00000000-0005-0000-0000-000026730000}"/>
    <cellStyle name="표준 6 5 2 3 3" xfId="29484" xr:uid="{00000000-0005-0000-0000-000027730000}"/>
    <cellStyle name="표준 6 5 2 3 3 2" xfId="29485" xr:uid="{00000000-0005-0000-0000-000028730000}"/>
    <cellStyle name="표준 6 5 2 3 3 2 2" xfId="29486" xr:uid="{00000000-0005-0000-0000-000029730000}"/>
    <cellStyle name="표준 6 5 2 3 3 3" xfId="29487" xr:uid="{00000000-0005-0000-0000-00002A730000}"/>
    <cellStyle name="표준 6 5 2 3 4" xfId="29488" xr:uid="{00000000-0005-0000-0000-00002B730000}"/>
    <cellStyle name="표준 6 5 2 3 4 2" xfId="29489" xr:uid="{00000000-0005-0000-0000-00002C730000}"/>
    <cellStyle name="표준 6 5 2 3 5" xfId="29490" xr:uid="{00000000-0005-0000-0000-00002D730000}"/>
    <cellStyle name="표준 6 5 2 4" xfId="29491" xr:uid="{00000000-0005-0000-0000-00002E730000}"/>
    <cellStyle name="표준 6 5 2 4 2" xfId="29492" xr:uid="{00000000-0005-0000-0000-00002F730000}"/>
    <cellStyle name="표준 6 5 2 4 2 2" xfId="29493" xr:uid="{00000000-0005-0000-0000-000030730000}"/>
    <cellStyle name="표준 6 5 2 4 2 2 2" xfId="29494" xr:uid="{00000000-0005-0000-0000-000031730000}"/>
    <cellStyle name="표준 6 5 2 4 2 3" xfId="29495" xr:uid="{00000000-0005-0000-0000-000032730000}"/>
    <cellStyle name="표준 6 5 2 4 3" xfId="29496" xr:uid="{00000000-0005-0000-0000-000033730000}"/>
    <cellStyle name="표준 6 5 2 4 3 2" xfId="29497" xr:uid="{00000000-0005-0000-0000-000034730000}"/>
    <cellStyle name="표준 6 5 2 4 4" xfId="29498" xr:uid="{00000000-0005-0000-0000-000035730000}"/>
    <cellStyle name="표준 6 5 2 5" xfId="29499" xr:uid="{00000000-0005-0000-0000-000036730000}"/>
    <cellStyle name="표준 6 5 2 5 2" xfId="29500" xr:uid="{00000000-0005-0000-0000-000037730000}"/>
    <cellStyle name="표준 6 5 2 5 2 2" xfId="29501" xr:uid="{00000000-0005-0000-0000-000038730000}"/>
    <cellStyle name="표준 6 5 2 5 3" xfId="29502" xr:uid="{00000000-0005-0000-0000-000039730000}"/>
    <cellStyle name="표준 6 5 2 6" xfId="29503" xr:uid="{00000000-0005-0000-0000-00003A730000}"/>
    <cellStyle name="표준 6 5 2 6 2" xfId="29504" xr:uid="{00000000-0005-0000-0000-00003B730000}"/>
    <cellStyle name="표준 6 5 2 7" xfId="29505" xr:uid="{00000000-0005-0000-0000-00003C730000}"/>
    <cellStyle name="표준 6 5 2 8" xfId="29506" xr:uid="{00000000-0005-0000-0000-00003D730000}"/>
    <cellStyle name="표준 6 5 3" xfId="29507" xr:uid="{00000000-0005-0000-0000-00003E730000}"/>
    <cellStyle name="표준 6 5 3 2" xfId="29508" xr:uid="{00000000-0005-0000-0000-00003F730000}"/>
    <cellStyle name="표준 6 5 3 2 2" xfId="29509" xr:uid="{00000000-0005-0000-0000-000040730000}"/>
    <cellStyle name="표준 6 5 3 2 2 2" xfId="29510" xr:uid="{00000000-0005-0000-0000-000041730000}"/>
    <cellStyle name="표준 6 5 3 2 2 2 2" xfId="29511" xr:uid="{00000000-0005-0000-0000-000042730000}"/>
    <cellStyle name="표준 6 5 3 2 2 2 2 2" xfId="29512" xr:uid="{00000000-0005-0000-0000-000043730000}"/>
    <cellStyle name="표준 6 5 3 2 2 2 3" xfId="29513" xr:uid="{00000000-0005-0000-0000-000044730000}"/>
    <cellStyle name="표준 6 5 3 2 2 3" xfId="29514" xr:uid="{00000000-0005-0000-0000-000045730000}"/>
    <cellStyle name="표준 6 5 3 2 2 3 2" xfId="29515" xr:uid="{00000000-0005-0000-0000-000046730000}"/>
    <cellStyle name="표준 6 5 3 2 2 4" xfId="29516" xr:uid="{00000000-0005-0000-0000-000047730000}"/>
    <cellStyle name="표준 6 5 3 2 3" xfId="29517" xr:uid="{00000000-0005-0000-0000-000048730000}"/>
    <cellStyle name="표준 6 5 3 2 3 2" xfId="29518" xr:uid="{00000000-0005-0000-0000-000049730000}"/>
    <cellStyle name="표준 6 5 3 2 3 2 2" xfId="29519" xr:uid="{00000000-0005-0000-0000-00004A730000}"/>
    <cellStyle name="표준 6 5 3 2 3 3" xfId="29520" xr:uid="{00000000-0005-0000-0000-00004B730000}"/>
    <cellStyle name="표준 6 5 3 2 4" xfId="29521" xr:uid="{00000000-0005-0000-0000-00004C730000}"/>
    <cellStyle name="표준 6 5 3 2 4 2" xfId="29522" xr:uid="{00000000-0005-0000-0000-00004D730000}"/>
    <cellStyle name="표준 6 5 3 2 5" xfId="29523" xr:uid="{00000000-0005-0000-0000-00004E730000}"/>
    <cellStyle name="표준 6 5 3 3" xfId="29524" xr:uid="{00000000-0005-0000-0000-00004F730000}"/>
    <cellStyle name="표준 6 5 3 3 2" xfId="29525" xr:uid="{00000000-0005-0000-0000-000050730000}"/>
    <cellStyle name="표준 6 5 3 3 2 2" xfId="29526" xr:uid="{00000000-0005-0000-0000-000051730000}"/>
    <cellStyle name="표준 6 5 3 3 2 2 2" xfId="29527" xr:uid="{00000000-0005-0000-0000-000052730000}"/>
    <cellStyle name="표준 6 5 3 3 2 3" xfId="29528" xr:uid="{00000000-0005-0000-0000-000053730000}"/>
    <cellStyle name="표준 6 5 3 3 3" xfId="29529" xr:uid="{00000000-0005-0000-0000-000054730000}"/>
    <cellStyle name="표준 6 5 3 3 3 2" xfId="29530" xr:uid="{00000000-0005-0000-0000-000055730000}"/>
    <cellStyle name="표준 6 5 3 3 4" xfId="29531" xr:uid="{00000000-0005-0000-0000-000056730000}"/>
    <cellStyle name="표준 6 5 3 4" xfId="29532" xr:uid="{00000000-0005-0000-0000-000057730000}"/>
    <cellStyle name="표준 6 5 3 4 2" xfId="29533" xr:uid="{00000000-0005-0000-0000-000058730000}"/>
    <cellStyle name="표준 6 5 3 4 2 2" xfId="29534" xr:uid="{00000000-0005-0000-0000-000059730000}"/>
    <cellStyle name="표준 6 5 3 4 3" xfId="29535" xr:uid="{00000000-0005-0000-0000-00005A730000}"/>
    <cellStyle name="표준 6 5 3 5" xfId="29536" xr:uid="{00000000-0005-0000-0000-00005B730000}"/>
    <cellStyle name="표준 6 5 3 5 2" xfId="29537" xr:uid="{00000000-0005-0000-0000-00005C730000}"/>
    <cellStyle name="표준 6 5 3 6" xfId="29538" xr:uid="{00000000-0005-0000-0000-00005D730000}"/>
    <cellStyle name="표준 6 5 4" xfId="29539" xr:uid="{00000000-0005-0000-0000-00005E730000}"/>
    <cellStyle name="표준 6 5 4 2" xfId="29540" xr:uid="{00000000-0005-0000-0000-00005F730000}"/>
    <cellStyle name="표준 6 5 4 2 2" xfId="29541" xr:uid="{00000000-0005-0000-0000-000060730000}"/>
    <cellStyle name="표준 6 5 4 2 2 2" xfId="29542" xr:uid="{00000000-0005-0000-0000-000061730000}"/>
    <cellStyle name="표준 6 5 4 2 2 2 2" xfId="29543" xr:uid="{00000000-0005-0000-0000-000062730000}"/>
    <cellStyle name="표준 6 5 4 2 2 3" xfId="29544" xr:uid="{00000000-0005-0000-0000-000063730000}"/>
    <cellStyle name="표준 6 5 4 2 3" xfId="29545" xr:uid="{00000000-0005-0000-0000-000064730000}"/>
    <cellStyle name="표준 6 5 4 2 3 2" xfId="29546" xr:uid="{00000000-0005-0000-0000-000065730000}"/>
    <cellStyle name="표준 6 5 4 2 4" xfId="29547" xr:uid="{00000000-0005-0000-0000-000066730000}"/>
    <cellStyle name="표준 6 5 4 3" xfId="29548" xr:uid="{00000000-0005-0000-0000-000067730000}"/>
    <cellStyle name="표준 6 5 4 3 2" xfId="29549" xr:uid="{00000000-0005-0000-0000-000068730000}"/>
    <cellStyle name="표준 6 5 4 3 2 2" xfId="29550" xr:uid="{00000000-0005-0000-0000-000069730000}"/>
    <cellStyle name="표준 6 5 4 3 3" xfId="29551" xr:uid="{00000000-0005-0000-0000-00006A730000}"/>
    <cellStyle name="표준 6 5 4 4" xfId="29552" xr:uid="{00000000-0005-0000-0000-00006B730000}"/>
    <cellStyle name="표준 6 5 4 4 2" xfId="29553" xr:uid="{00000000-0005-0000-0000-00006C730000}"/>
    <cellStyle name="표준 6 5 4 5" xfId="29554" xr:uid="{00000000-0005-0000-0000-00006D730000}"/>
    <cellStyle name="표준 6 5 5" xfId="29555" xr:uid="{00000000-0005-0000-0000-00006E730000}"/>
    <cellStyle name="표준 6 5 5 2" xfId="29556" xr:uid="{00000000-0005-0000-0000-00006F730000}"/>
    <cellStyle name="표준 6 5 5 2 2" xfId="29557" xr:uid="{00000000-0005-0000-0000-000070730000}"/>
    <cellStyle name="표준 6 5 5 2 2 2" xfId="29558" xr:uid="{00000000-0005-0000-0000-000071730000}"/>
    <cellStyle name="표준 6 5 5 2 3" xfId="29559" xr:uid="{00000000-0005-0000-0000-000072730000}"/>
    <cellStyle name="표준 6 5 5 3" xfId="29560" xr:uid="{00000000-0005-0000-0000-000073730000}"/>
    <cellStyle name="표준 6 5 5 3 2" xfId="29561" xr:uid="{00000000-0005-0000-0000-000074730000}"/>
    <cellStyle name="표준 6 5 5 4" xfId="29562" xr:uid="{00000000-0005-0000-0000-000075730000}"/>
    <cellStyle name="표준 6 5 6" xfId="29563" xr:uid="{00000000-0005-0000-0000-000076730000}"/>
    <cellStyle name="표준 6 5 6 2" xfId="29564" xr:uid="{00000000-0005-0000-0000-000077730000}"/>
    <cellStyle name="표준 6 5 6 2 2" xfId="29565" xr:uid="{00000000-0005-0000-0000-000078730000}"/>
    <cellStyle name="표준 6 5 6 3" xfId="29566" xr:uid="{00000000-0005-0000-0000-000079730000}"/>
    <cellStyle name="표준 6 5 7" xfId="29567" xr:uid="{00000000-0005-0000-0000-00007A730000}"/>
    <cellStyle name="표준 6 5 7 2" xfId="29568" xr:uid="{00000000-0005-0000-0000-00007B730000}"/>
    <cellStyle name="표준 6 5 8" xfId="29569" xr:uid="{00000000-0005-0000-0000-00007C730000}"/>
    <cellStyle name="표준 6 5 9" xfId="29570" xr:uid="{00000000-0005-0000-0000-00007D730000}"/>
    <cellStyle name="표준 6 6" xfId="29571" xr:uid="{00000000-0005-0000-0000-00007E730000}"/>
    <cellStyle name="표준 6 6 2" xfId="29572" xr:uid="{00000000-0005-0000-0000-00007F730000}"/>
    <cellStyle name="표준 6 6 2 2" xfId="29573" xr:uid="{00000000-0005-0000-0000-000080730000}"/>
    <cellStyle name="표준 6 6 2 2 2" xfId="29574" xr:uid="{00000000-0005-0000-0000-000081730000}"/>
    <cellStyle name="표준 6 6 2 2 2 2" xfId="29575" xr:uid="{00000000-0005-0000-0000-000082730000}"/>
    <cellStyle name="표준 6 6 2 2 2 2 2" xfId="29576" xr:uid="{00000000-0005-0000-0000-000083730000}"/>
    <cellStyle name="표준 6 6 2 2 2 2 2 2" xfId="29577" xr:uid="{00000000-0005-0000-0000-000084730000}"/>
    <cellStyle name="표준 6 6 2 2 2 2 3" xfId="29578" xr:uid="{00000000-0005-0000-0000-000085730000}"/>
    <cellStyle name="표준 6 6 2 2 2 3" xfId="29579" xr:uid="{00000000-0005-0000-0000-000086730000}"/>
    <cellStyle name="표준 6 6 2 2 2 3 2" xfId="29580" xr:uid="{00000000-0005-0000-0000-000087730000}"/>
    <cellStyle name="표준 6 6 2 2 2 4" xfId="29581" xr:uid="{00000000-0005-0000-0000-000088730000}"/>
    <cellStyle name="표준 6 6 2 2 3" xfId="29582" xr:uid="{00000000-0005-0000-0000-000089730000}"/>
    <cellStyle name="표준 6 6 2 2 3 2" xfId="29583" xr:uid="{00000000-0005-0000-0000-00008A730000}"/>
    <cellStyle name="표준 6 6 2 2 3 2 2" xfId="29584" xr:uid="{00000000-0005-0000-0000-00008B730000}"/>
    <cellStyle name="표준 6 6 2 2 3 3" xfId="29585" xr:uid="{00000000-0005-0000-0000-00008C730000}"/>
    <cellStyle name="표준 6 6 2 2 4" xfId="29586" xr:uid="{00000000-0005-0000-0000-00008D730000}"/>
    <cellStyle name="표준 6 6 2 2 4 2" xfId="29587" xr:uid="{00000000-0005-0000-0000-00008E730000}"/>
    <cellStyle name="표준 6 6 2 2 5" xfId="29588" xr:uid="{00000000-0005-0000-0000-00008F730000}"/>
    <cellStyle name="표준 6 6 2 3" xfId="29589" xr:uid="{00000000-0005-0000-0000-000090730000}"/>
    <cellStyle name="표준 6 6 2 3 2" xfId="29590" xr:uid="{00000000-0005-0000-0000-000091730000}"/>
    <cellStyle name="표준 6 6 2 3 2 2" xfId="29591" xr:uid="{00000000-0005-0000-0000-000092730000}"/>
    <cellStyle name="표준 6 6 2 3 2 2 2" xfId="29592" xr:uid="{00000000-0005-0000-0000-000093730000}"/>
    <cellStyle name="표준 6 6 2 3 2 3" xfId="29593" xr:uid="{00000000-0005-0000-0000-000094730000}"/>
    <cellStyle name="표준 6 6 2 3 3" xfId="29594" xr:uid="{00000000-0005-0000-0000-000095730000}"/>
    <cellStyle name="표준 6 6 2 3 3 2" xfId="29595" xr:uid="{00000000-0005-0000-0000-000096730000}"/>
    <cellStyle name="표준 6 6 2 3 4" xfId="29596" xr:uid="{00000000-0005-0000-0000-000097730000}"/>
    <cellStyle name="표준 6 6 2 4" xfId="29597" xr:uid="{00000000-0005-0000-0000-000098730000}"/>
    <cellStyle name="표준 6 6 2 4 2" xfId="29598" xr:uid="{00000000-0005-0000-0000-000099730000}"/>
    <cellStyle name="표준 6 6 2 4 2 2" xfId="29599" xr:uid="{00000000-0005-0000-0000-00009A730000}"/>
    <cellStyle name="표준 6 6 2 4 3" xfId="29600" xr:uid="{00000000-0005-0000-0000-00009B730000}"/>
    <cellStyle name="표준 6 6 2 5" xfId="29601" xr:uid="{00000000-0005-0000-0000-00009C730000}"/>
    <cellStyle name="표준 6 6 2 5 2" xfId="29602" xr:uid="{00000000-0005-0000-0000-00009D730000}"/>
    <cellStyle name="표준 6 6 2 6" xfId="29603" xr:uid="{00000000-0005-0000-0000-00009E730000}"/>
    <cellStyle name="표준 6 6 3" xfId="29604" xr:uid="{00000000-0005-0000-0000-00009F730000}"/>
    <cellStyle name="표준 6 6 3 2" xfId="29605" xr:uid="{00000000-0005-0000-0000-0000A0730000}"/>
    <cellStyle name="표준 6 6 3 2 2" xfId="29606" xr:uid="{00000000-0005-0000-0000-0000A1730000}"/>
    <cellStyle name="표준 6 6 3 2 2 2" xfId="29607" xr:uid="{00000000-0005-0000-0000-0000A2730000}"/>
    <cellStyle name="표준 6 6 3 2 2 2 2" xfId="29608" xr:uid="{00000000-0005-0000-0000-0000A3730000}"/>
    <cellStyle name="표준 6 6 3 2 2 3" xfId="29609" xr:uid="{00000000-0005-0000-0000-0000A4730000}"/>
    <cellStyle name="표준 6 6 3 2 3" xfId="29610" xr:uid="{00000000-0005-0000-0000-0000A5730000}"/>
    <cellStyle name="표준 6 6 3 2 3 2" xfId="29611" xr:uid="{00000000-0005-0000-0000-0000A6730000}"/>
    <cellStyle name="표준 6 6 3 2 4" xfId="29612" xr:uid="{00000000-0005-0000-0000-0000A7730000}"/>
    <cellStyle name="표준 6 6 3 3" xfId="29613" xr:uid="{00000000-0005-0000-0000-0000A8730000}"/>
    <cellStyle name="표준 6 6 3 3 2" xfId="29614" xr:uid="{00000000-0005-0000-0000-0000A9730000}"/>
    <cellStyle name="표준 6 6 3 3 2 2" xfId="29615" xr:uid="{00000000-0005-0000-0000-0000AA730000}"/>
    <cellStyle name="표준 6 6 3 3 3" xfId="29616" xr:uid="{00000000-0005-0000-0000-0000AB730000}"/>
    <cellStyle name="표준 6 6 3 4" xfId="29617" xr:uid="{00000000-0005-0000-0000-0000AC730000}"/>
    <cellStyle name="표준 6 6 3 4 2" xfId="29618" xr:uid="{00000000-0005-0000-0000-0000AD730000}"/>
    <cellStyle name="표준 6 6 3 5" xfId="29619" xr:uid="{00000000-0005-0000-0000-0000AE730000}"/>
    <cellStyle name="표준 6 6 4" xfId="29620" xr:uid="{00000000-0005-0000-0000-0000AF730000}"/>
    <cellStyle name="표준 6 6 4 2" xfId="29621" xr:uid="{00000000-0005-0000-0000-0000B0730000}"/>
    <cellStyle name="표준 6 6 4 2 2" xfId="29622" xr:uid="{00000000-0005-0000-0000-0000B1730000}"/>
    <cellStyle name="표준 6 6 4 2 2 2" xfId="29623" xr:uid="{00000000-0005-0000-0000-0000B2730000}"/>
    <cellStyle name="표준 6 6 4 2 3" xfId="29624" xr:uid="{00000000-0005-0000-0000-0000B3730000}"/>
    <cellStyle name="표준 6 6 4 3" xfId="29625" xr:uid="{00000000-0005-0000-0000-0000B4730000}"/>
    <cellStyle name="표준 6 6 4 3 2" xfId="29626" xr:uid="{00000000-0005-0000-0000-0000B5730000}"/>
    <cellStyle name="표준 6 6 4 4" xfId="29627" xr:uid="{00000000-0005-0000-0000-0000B6730000}"/>
    <cellStyle name="표준 6 6 5" xfId="29628" xr:uid="{00000000-0005-0000-0000-0000B7730000}"/>
    <cellStyle name="표준 6 6 5 2" xfId="29629" xr:uid="{00000000-0005-0000-0000-0000B8730000}"/>
    <cellStyle name="표준 6 6 5 2 2" xfId="29630" xr:uid="{00000000-0005-0000-0000-0000B9730000}"/>
    <cellStyle name="표준 6 6 5 3" xfId="29631" xr:uid="{00000000-0005-0000-0000-0000BA730000}"/>
    <cellStyle name="표준 6 6 6" xfId="29632" xr:uid="{00000000-0005-0000-0000-0000BB730000}"/>
    <cellStyle name="표준 6 6 6 2" xfId="29633" xr:uid="{00000000-0005-0000-0000-0000BC730000}"/>
    <cellStyle name="표준 6 6 7" xfId="29634" xr:uid="{00000000-0005-0000-0000-0000BD730000}"/>
    <cellStyle name="표준 6 6 8" xfId="29635" xr:uid="{00000000-0005-0000-0000-0000BE730000}"/>
    <cellStyle name="표준 6 7" xfId="29636" xr:uid="{00000000-0005-0000-0000-0000BF730000}"/>
    <cellStyle name="표준 6 7 2" xfId="29637" xr:uid="{00000000-0005-0000-0000-0000C0730000}"/>
    <cellStyle name="표준 6 7 2 2" xfId="29638" xr:uid="{00000000-0005-0000-0000-0000C1730000}"/>
    <cellStyle name="표준 6 7 2 2 2" xfId="29639" xr:uid="{00000000-0005-0000-0000-0000C2730000}"/>
    <cellStyle name="표준 6 7 2 2 2 2" xfId="29640" xr:uid="{00000000-0005-0000-0000-0000C3730000}"/>
    <cellStyle name="표준 6 7 2 2 2 2 2" xfId="29641" xr:uid="{00000000-0005-0000-0000-0000C4730000}"/>
    <cellStyle name="표준 6 7 2 2 2 3" xfId="29642" xr:uid="{00000000-0005-0000-0000-0000C5730000}"/>
    <cellStyle name="표준 6 7 2 2 3" xfId="29643" xr:uid="{00000000-0005-0000-0000-0000C6730000}"/>
    <cellStyle name="표준 6 7 2 2 3 2" xfId="29644" xr:uid="{00000000-0005-0000-0000-0000C7730000}"/>
    <cellStyle name="표준 6 7 2 2 4" xfId="29645" xr:uid="{00000000-0005-0000-0000-0000C8730000}"/>
    <cellStyle name="표준 6 7 2 3" xfId="29646" xr:uid="{00000000-0005-0000-0000-0000C9730000}"/>
    <cellStyle name="표준 6 7 2 3 2" xfId="29647" xr:uid="{00000000-0005-0000-0000-0000CA730000}"/>
    <cellStyle name="표준 6 7 2 3 2 2" xfId="29648" xr:uid="{00000000-0005-0000-0000-0000CB730000}"/>
    <cellStyle name="표준 6 7 2 3 3" xfId="29649" xr:uid="{00000000-0005-0000-0000-0000CC730000}"/>
    <cellStyle name="표준 6 7 2 4" xfId="29650" xr:uid="{00000000-0005-0000-0000-0000CD730000}"/>
    <cellStyle name="표준 6 7 2 4 2" xfId="29651" xr:uid="{00000000-0005-0000-0000-0000CE730000}"/>
    <cellStyle name="표준 6 7 2 5" xfId="29652" xr:uid="{00000000-0005-0000-0000-0000CF730000}"/>
    <cellStyle name="표준 6 7 3" xfId="29653" xr:uid="{00000000-0005-0000-0000-0000D0730000}"/>
    <cellStyle name="표준 6 7 3 2" xfId="29654" xr:uid="{00000000-0005-0000-0000-0000D1730000}"/>
    <cellStyle name="표준 6 7 3 2 2" xfId="29655" xr:uid="{00000000-0005-0000-0000-0000D2730000}"/>
    <cellStyle name="표준 6 7 3 2 2 2" xfId="29656" xr:uid="{00000000-0005-0000-0000-0000D3730000}"/>
    <cellStyle name="표준 6 7 3 2 3" xfId="29657" xr:uid="{00000000-0005-0000-0000-0000D4730000}"/>
    <cellStyle name="표준 6 7 3 3" xfId="29658" xr:uid="{00000000-0005-0000-0000-0000D5730000}"/>
    <cellStyle name="표준 6 7 3 3 2" xfId="29659" xr:uid="{00000000-0005-0000-0000-0000D6730000}"/>
    <cellStyle name="표준 6 7 3 4" xfId="29660" xr:uid="{00000000-0005-0000-0000-0000D7730000}"/>
    <cellStyle name="표준 6 7 4" xfId="29661" xr:uid="{00000000-0005-0000-0000-0000D8730000}"/>
    <cellStyle name="표준 6 7 4 2" xfId="29662" xr:uid="{00000000-0005-0000-0000-0000D9730000}"/>
    <cellStyle name="표준 6 7 4 2 2" xfId="29663" xr:uid="{00000000-0005-0000-0000-0000DA730000}"/>
    <cellStyle name="표준 6 7 4 3" xfId="29664" xr:uid="{00000000-0005-0000-0000-0000DB730000}"/>
    <cellStyle name="표준 6 7 5" xfId="29665" xr:uid="{00000000-0005-0000-0000-0000DC730000}"/>
    <cellStyle name="표준 6 7 5 2" xfId="29666" xr:uid="{00000000-0005-0000-0000-0000DD730000}"/>
    <cellStyle name="표준 6 7 6" xfId="29667" xr:uid="{00000000-0005-0000-0000-0000DE730000}"/>
    <cellStyle name="표준 6 8" xfId="29668" xr:uid="{00000000-0005-0000-0000-0000DF730000}"/>
    <cellStyle name="표준 6 8 2" xfId="29669" xr:uid="{00000000-0005-0000-0000-0000E0730000}"/>
    <cellStyle name="표준 6 8 2 2" xfId="29670" xr:uid="{00000000-0005-0000-0000-0000E1730000}"/>
    <cellStyle name="표준 6 8 2 2 2" xfId="29671" xr:uid="{00000000-0005-0000-0000-0000E2730000}"/>
    <cellStyle name="표준 6 8 2 2 2 2" xfId="29672" xr:uid="{00000000-0005-0000-0000-0000E3730000}"/>
    <cellStyle name="표준 6 8 2 2 3" xfId="29673" xr:uid="{00000000-0005-0000-0000-0000E4730000}"/>
    <cellStyle name="표준 6 8 2 3" xfId="29674" xr:uid="{00000000-0005-0000-0000-0000E5730000}"/>
    <cellStyle name="표준 6 8 2 3 2" xfId="29675" xr:uid="{00000000-0005-0000-0000-0000E6730000}"/>
    <cellStyle name="표준 6 8 2 4" xfId="29676" xr:uid="{00000000-0005-0000-0000-0000E7730000}"/>
    <cellStyle name="표준 6 8 3" xfId="29677" xr:uid="{00000000-0005-0000-0000-0000E8730000}"/>
    <cellStyle name="표준 6 8 3 2" xfId="29678" xr:uid="{00000000-0005-0000-0000-0000E9730000}"/>
    <cellStyle name="표준 6 8 3 2 2" xfId="29679" xr:uid="{00000000-0005-0000-0000-0000EA730000}"/>
    <cellStyle name="표준 6 8 3 3" xfId="29680" xr:uid="{00000000-0005-0000-0000-0000EB730000}"/>
    <cellStyle name="표준 6 8 4" xfId="29681" xr:uid="{00000000-0005-0000-0000-0000EC730000}"/>
    <cellStyle name="표준 6 8 4 2" xfId="29682" xr:uid="{00000000-0005-0000-0000-0000ED730000}"/>
    <cellStyle name="표준 6 8 5" xfId="29683" xr:uid="{00000000-0005-0000-0000-0000EE730000}"/>
    <cellStyle name="표준 6 9" xfId="29684" xr:uid="{00000000-0005-0000-0000-0000EF730000}"/>
    <cellStyle name="표준 6 9 2" xfId="29685" xr:uid="{00000000-0005-0000-0000-0000F0730000}"/>
    <cellStyle name="표준 6 9 2 2" xfId="29686" xr:uid="{00000000-0005-0000-0000-0000F1730000}"/>
    <cellStyle name="표준 6 9 2 2 2" xfId="29687" xr:uid="{00000000-0005-0000-0000-0000F2730000}"/>
    <cellStyle name="표준 6 9 2 3" xfId="29688" xr:uid="{00000000-0005-0000-0000-0000F3730000}"/>
    <cellStyle name="표준 6 9 3" xfId="29689" xr:uid="{00000000-0005-0000-0000-0000F4730000}"/>
    <cellStyle name="표준 6 9 3 2" xfId="29690" xr:uid="{00000000-0005-0000-0000-0000F5730000}"/>
    <cellStyle name="표준 6 9 4" xfId="29691" xr:uid="{00000000-0005-0000-0000-0000F6730000}"/>
    <cellStyle name="표준 60" xfId="29692" xr:uid="{00000000-0005-0000-0000-0000F7730000}"/>
    <cellStyle name="표준 61" xfId="29693" xr:uid="{00000000-0005-0000-0000-0000F8730000}"/>
    <cellStyle name="표준 7" xfId="44" xr:uid="{00000000-0005-0000-0000-0000F9730000}"/>
    <cellStyle name="표준 7 10" xfId="29694" xr:uid="{00000000-0005-0000-0000-0000FA730000}"/>
    <cellStyle name="표준 7 11" xfId="29695" xr:uid="{00000000-0005-0000-0000-0000FB730000}"/>
    <cellStyle name="표준 7 2" xfId="59" xr:uid="{00000000-0005-0000-0000-0000FC730000}"/>
    <cellStyle name="표준 7 2 10" xfId="29696" xr:uid="{00000000-0005-0000-0000-0000FD730000}"/>
    <cellStyle name="표준 7 2 2" xfId="29697" xr:uid="{00000000-0005-0000-0000-0000FE730000}"/>
    <cellStyle name="표준 7 2 2 2" xfId="29698" xr:uid="{00000000-0005-0000-0000-0000FF730000}"/>
    <cellStyle name="표준 7 2 2 2 2" xfId="29699" xr:uid="{00000000-0005-0000-0000-000000740000}"/>
    <cellStyle name="표준 7 2 2 2 2 2" xfId="29700" xr:uid="{00000000-0005-0000-0000-000001740000}"/>
    <cellStyle name="표준 7 2 2 2 2 2 2" xfId="29701" xr:uid="{00000000-0005-0000-0000-000002740000}"/>
    <cellStyle name="표준 7 2 2 2 2 2 2 2" xfId="29702" xr:uid="{00000000-0005-0000-0000-000003740000}"/>
    <cellStyle name="표준 7 2 2 2 2 2 2 2 2" xfId="29703" xr:uid="{00000000-0005-0000-0000-000004740000}"/>
    <cellStyle name="표준 7 2 2 2 2 2 2 2 2 2" xfId="29704" xr:uid="{00000000-0005-0000-0000-000005740000}"/>
    <cellStyle name="표준 7 2 2 2 2 2 2 2 3" xfId="29705" xr:uid="{00000000-0005-0000-0000-000006740000}"/>
    <cellStyle name="표준 7 2 2 2 2 2 2 3" xfId="29706" xr:uid="{00000000-0005-0000-0000-000007740000}"/>
    <cellStyle name="표준 7 2 2 2 2 2 2 3 2" xfId="29707" xr:uid="{00000000-0005-0000-0000-000008740000}"/>
    <cellStyle name="표준 7 2 2 2 2 2 2 4" xfId="29708" xr:uid="{00000000-0005-0000-0000-000009740000}"/>
    <cellStyle name="표준 7 2 2 2 2 2 3" xfId="29709" xr:uid="{00000000-0005-0000-0000-00000A740000}"/>
    <cellStyle name="표준 7 2 2 2 2 2 3 2" xfId="29710" xr:uid="{00000000-0005-0000-0000-00000B740000}"/>
    <cellStyle name="표준 7 2 2 2 2 2 3 2 2" xfId="29711" xr:uid="{00000000-0005-0000-0000-00000C740000}"/>
    <cellStyle name="표준 7 2 2 2 2 2 3 3" xfId="29712" xr:uid="{00000000-0005-0000-0000-00000D740000}"/>
    <cellStyle name="표준 7 2 2 2 2 2 4" xfId="29713" xr:uid="{00000000-0005-0000-0000-00000E740000}"/>
    <cellStyle name="표준 7 2 2 2 2 2 4 2" xfId="29714" xr:uid="{00000000-0005-0000-0000-00000F740000}"/>
    <cellStyle name="표준 7 2 2 2 2 2 5" xfId="29715" xr:uid="{00000000-0005-0000-0000-000010740000}"/>
    <cellStyle name="표준 7 2 2 2 2 3" xfId="29716" xr:uid="{00000000-0005-0000-0000-000011740000}"/>
    <cellStyle name="표준 7 2 2 2 2 3 2" xfId="29717" xr:uid="{00000000-0005-0000-0000-000012740000}"/>
    <cellStyle name="표준 7 2 2 2 2 3 2 2" xfId="29718" xr:uid="{00000000-0005-0000-0000-000013740000}"/>
    <cellStyle name="표준 7 2 2 2 2 3 2 2 2" xfId="29719" xr:uid="{00000000-0005-0000-0000-000014740000}"/>
    <cellStyle name="표준 7 2 2 2 2 3 2 3" xfId="29720" xr:uid="{00000000-0005-0000-0000-000015740000}"/>
    <cellStyle name="표준 7 2 2 2 2 3 3" xfId="29721" xr:uid="{00000000-0005-0000-0000-000016740000}"/>
    <cellStyle name="표준 7 2 2 2 2 3 3 2" xfId="29722" xr:uid="{00000000-0005-0000-0000-000017740000}"/>
    <cellStyle name="표준 7 2 2 2 2 3 4" xfId="29723" xr:uid="{00000000-0005-0000-0000-000018740000}"/>
    <cellStyle name="표준 7 2 2 2 2 4" xfId="29724" xr:uid="{00000000-0005-0000-0000-000019740000}"/>
    <cellStyle name="표준 7 2 2 2 2 4 2" xfId="29725" xr:uid="{00000000-0005-0000-0000-00001A740000}"/>
    <cellStyle name="표준 7 2 2 2 2 4 2 2" xfId="29726" xr:uid="{00000000-0005-0000-0000-00001B740000}"/>
    <cellStyle name="표준 7 2 2 2 2 4 3" xfId="29727" xr:uid="{00000000-0005-0000-0000-00001C740000}"/>
    <cellStyle name="표준 7 2 2 2 2 5" xfId="29728" xr:uid="{00000000-0005-0000-0000-00001D740000}"/>
    <cellStyle name="표준 7 2 2 2 2 5 2" xfId="29729" xr:uid="{00000000-0005-0000-0000-00001E740000}"/>
    <cellStyle name="표준 7 2 2 2 2 6" xfId="29730" xr:uid="{00000000-0005-0000-0000-00001F740000}"/>
    <cellStyle name="표준 7 2 2 2 3" xfId="29731" xr:uid="{00000000-0005-0000-0000-000020740000}"/>
    <cellStyle name="표준 7 2 2 2 3 2" xfId="29732" xr:uid="{00000000-0005-0000-0000-000021740000}"/>
    <cellStyle name="표준 7 2 2 2 3 2 2" xfId="29733" xr:uid="{00000000-0005-0000-0000-000022740000}"/>
    <cellStyle name="표준 7 2 2 2 3 2 2 2" xfId="29734" xr:uid="{00000000-0005-0000-0000-000023740000}"/>
    <cellStyle name="표준 7 2 2 2 3 2 2 2 2" xfId="29735" xr:uid="{00000000-0005-0000-0000-000024740000}"/>
    <cellStyle name="표준 7 2 2 2 3 2 2 3" xfId="29736" xr:uid="{00000000-0005-0000-0000-000025740000}"/>
    <cellStyle name="표준 7 2 2 2 3 2 3" xfId="29737" xr:uid="{00000000-0005-0000-0000-000026740000}"/>
    <cellStyle name="표준 7 2 2 2 3 2 3 2" xfId="29738" xr:uid="{00000000-0005-0000-0000-000027740000}"/>
    <cellStyle name="표준 7 2 2 2 3 2 4" xfId="29739" xr:uid="{00000000-0005-0000-0000-000028740000}"/>
    <cellStyle name="표준 7 2 2 2 3 3" xfId="29740" xr:uid="{00000000-0005-0000-0000-000029740000}"/>
    <cellStyle name="표준 7 2 2 2 3 3 2" xfId="29741" xr:uid="{00000000-0005-0000-0000-00002A740000}"/>
    <cellStyle name="표준 7 2 2 2 3 3 2 2" xfId="29742" xr:uid="{00000000-0005-0000-0000-00002B740000}"/>
    <cellStyle name="표준 7 2 2 2 3 3 3" xfId="29743" xr:uid="{00000000-0005-0000-0000-00002C740000}"/>
    <cellStyle name="표준 7 2 2 2 3 4" xfId="29744" xr:uid="{00000000-0005-0000-0000-00002D740000}"/>
    <cellStyle name="표준 7 2 2 2 3 4 2" xfId="29745" xr:uid="{00000000-0005-0000-0000-00002E740000}"/>
    <cellStyle name="표준 7 2 2 2 3 5" xfId="29746" xr:uid="{00000000-0005-0000-0000-00002F740000}"/>
    <cellStyle name="표준 7 2 2 2 4" xfId="29747" xr:uid="{00000000-0005-0000-0000-000030740000}"/>
    <cellStyle name="표준 7 2 2 2 4 2" xfId="29748" xr:uid="{00000000-0005-0000-0000-000031740000}"/>
    <cellStyle name="표준 7 2 2 2 4 2 2" xfId="29749" xr:uid="{00000000-0005-0000-0000-000032740000}"/>
    <cellStyle name="표준 7 2 2 2 4 2 2 2" xfId="29750" xr:uid="{00000000-0005-0000-0000-000033740000}"/>
    <cellStyle name="표준 7 2 2 2 4 2 3" xfId="29751" xr:uid="{00000000-0005-0000-0000-000034740000}"/>
    <cellStyle name="표준 7 2 2 2 4 3" xfId="29752" xr:uid="{00000000-0005-0000-0000-000035740000}"/>
    <cellStyle name="표준 7 2 2 2 4 3 2" xfId="29753" xr:uid="{00000000-0005-0000-0000-000036740000}"/>
    <cellStyle name="표준 7 2 2 2 4 4" xfId="29754" xr:uid="{00000000-0005-0000-0000-000037740000}"/>
    <cellStyle name="표준 7 2 2 2 5" xfId="29755" xr:uid="{00000000-0005-0000-0000-000038740000}"/>
    <cellStyle name="표준 7 2 2 2 5 2" xfId="29756" xr:uid="{00000000-0005-0000-0000-000039740000}"/>
    <cellStyle name="표준 7 2 2 2 5 2 2" xfId="29757" xr:uid="{00000000-0005-0000-0000-00003A740000}"/>
    <cellStyle name="표준 7 2 2 2 5 3" xfId="29758" xr:uid="{00000000-0005-0000-0000-00003B740000}"/>
    <cellStyle name="표준 7 2 2 2 6" xfId="29759" xr:uid="{00000000-0005-0000-0000-00003C740000}"/>
    <cellStyle name="표준 7 2 2 2 6 2" xfId="29760" xr:uid="{00000000-0005-0000-0000-00003D740000}"/>
    <cellStyle name="표준 7 2 2 2 7" xfId="29761" xr:uid="{00000000-0005-0000-0000-00003E740000}"/>
    <cellStyle name="표준 7 2 2 2 8" xfId="29762" xr:uid="{00000000-0005-0000-0000-00003F740000}"/>
    <cellStyle name="표준 7 2 2 3" xfId="29763" xr:uid="{00000000-0005-0000-0000-000040740000}"/>
    <cellStyle name="표준 7 2 2 3 2" xfId="29764" xr:uid="{00000000-0005-0000-0000-000041740000}"/>
    <cellStyle name="표준 7 2 2 3 2 2" xfId="29765" xr:uid="{00000000-0005-0000-0000-000042740000}"/>
    <cellStyle name="표준 7 2 2 3 2 2 2" xfId="29766" xr:uid="{00000000-0005-0000-0000-000043740000}"/>
    <cellStyle name="표준 7 2 2 3 2 2 2 2" xfId="29767" xr:uid="{00000000-0005-0000-0000-000044740000}"/>
    <cellStyle name="표준 7 2 2 3 2 2 2 2 2" xfId="29768" xr:uid="{00000000-0005-0000-0000-000045740000}"/>
    <cellStyle name="표준 7 2 2 3 2 2 2 3" xfId="29769" xr:uid="{00000000-0005-0000-0000-000046740000}"/>
    <cellStyle name="표준 7 2 2 3 2 2 3" xfId="29770" xr:uid="{00000000-0005-0000-0000-000047740000}"/>
    <cellStyle name="표준 7 2 2 3 2 2 3 2" xfId="29771" xr:uid="{00000000-0005-0000-0000-000048740000}"/>
    <cellStyle name="표준 7 2 2 3 2 2 4" xfId="29772" xr:uid="{00000000-0005-0000-0000-000049740000}"/>
    <cellStyle name="표준 7 2 2 3 2 3" xfId="29773" xr:uid="{00000000-0005-0000-0000-00004A740000}"/>
    <cellStyle name="표준 7 2 2 3 2 3 2" xfId="29774" xr:uid="{00000000-0005-0000-0000-00004B740000}"/>
    <cellStyle name="표준 7 2 2 3 2 3 2 2" xfId="29775" xr:uid="{00000000-0005-0000-0000-00004C740000}"/>
    <cellStyle name="표준 7 2 2 3 2 3 3" xfId="29776" xr:uid="{00000000-0005-0000-0000-00004D740000}"/>
    <cellStyle name="표준 7 2 2 3 2 4" xfId="29777" xr:uid="{00000000-0005-0000-0000-00004E740000}"/>
    <cellStyle name="표준 7 2 2 3 2 4 2" xfId="29778" xr:uid="{00000000-0005-0000-0000-00004F740000}"/>
    <cellStyle name="표준 7 2 2 3 2 5" xfId="29779" xr:uid="{00000000-0005-0000-0000-000050740000}"/>
    <cellStyle name="표준 7 2 2 3 3" xfId="29780" xr:uid="{00000000-0005-0000-0000-000051740000}"/>
    <cellStyle name="표준 7 2 2 3 3 2" xfId="29781" xr:uid="{00000000-0005-0000-0000-000052740000}"/>
    <cellStyle name="표준 7 2 2 3 3 2 2" xfId="29782" xr:uid="{00000000-0005-0000-0000-000053740000}"/>
    <cellStyle name="표준 7 2 2 3 3 2 2 2" xfId="29783" xr:uid="{00000000-0005-0000-0000-000054740000}"/>
    <cellStyle name="표준 7 2 2 3 3 2 3" xfId="29784" xr:uid="{00000000-0005-0000-0000-000055740000}"/>
    <cellStyle name="표준 7 2 2 3 3 3" xfId="29785" xr:uid="{00000000-0005-0000-0000-000056740000}"/>
    <cellStyle name="표준 7 2 2 3 3 3 2" xfId="29786" xr:uid="{00000000-0005-0000-0000-000057740000}"/>
    <cellStyle name="표준 7 2 2 3 3 4" xfId="29787" xr:uid="{00000000-0005-0000-0000-000058740000}"/>
    <cellStyle name="표준 7 2 2 3 4" xfId="29788" xr:uid="{00000000-0005-0000-0000-000059740000}"/>
    <cellStyle name="표준 7 2 2 3 4 2" xfId="29789" xr:uid="{00000000-0005-0000-0000-00005A740000}"/>
    <cellStyle name="표준 7 2 2 3 4 2 2" xfId="29790" xr:uid="{00000000-0005-0000-0000-00005B740000}"/>
    <cellStyle name="표준 7 2 2 3 4 3" xfId="29791" xr:uid="{00000000-0005-0000-0000-00005C740000}"/>
    <cellStyle name="표준 7 2 2 3 5" xfId="29792" xr:uid="{00000000-0005-0000-0000-00005D740000}"/>
    <cellStyle name="표준 7 2 2 3 5 2" xfId="29793" xr:uid="{00000000-0005-0000-0000-00005E740000}"/>
    <cellStyle name="표준 7 2 2 3 6" xfId="29794" xr:uid="{00000000-0005-0000-0000-00005F740000}"/>
    <cellStyle name="표준 7 2 2 4" xfId="29795" xr:uid="{00000000-0005-0000-0000-000060740000}"/>
    <cellStyle name="표준 7 2 2 4 2" xfId="29796" xr:uid="{00000000-0005-0000-0000-000061740000}"/>
    <cellStyle name="표준 7 2 2 4 2 2" xfId="29797" xr:uid="{00000000-0005-0000-0000-000062740000}"/>
    <cellStyle name="표준 7 2 2 4 2 2 2" xfId="29798" xr:uid="{00000000-0005-0000-0000-000063740000}"/>
    <cellStyle name="표준 7 2 2 4 2 2 2 2" xfId="29799" xr:uid="{00000000-0005-0000-0000-000064740000}"/>
    <cellStyle name="표준 7 2 2 4 2 2 3" xfId="29800" xr:uid="{00000000-0005-0000-0000-000065740000}"/>
    <cellStyle name="표준 7 2 2 4 2 3" xfId="29801" xr:uid="{00000000-0005-0000-0000-000066740000}"/>
    <cellStyle name="표준 7 2 2 4 2 3 2" xfId="29802" xr:uid="{00000000-0005-0000-0000-000067740000}"/>
    <cellStyle name="표준 7 2 2 4 2 4" xfId="29803" xr:uid="{00000000-0005-0000-0000-000068740000}"/>
    <cellStyle name="표준 7 2 2 4 3" xfId="29804" xr:uid="{00000000-0005-0000-0000-000069740000}"/>
    <cellStyle name="표준 7 2 2 4 3 2" xfId="29805" xr:uid="{00000000-0005-0000-0000-00006A740000}"/>
    <cellStyle name="표준 7 2 2 4 3 2 2" xfId="29806" xr:uid="{00000000-0005-0000-0000-00006B740000}"/>
    <cellStyle name="표준 7 2 2 4 3 3" xfId="29807" xr:uid="{00000000-0005-0000-0000-00006C740000}"/>
    <cellStyle name="표준 7 2 2 4 4" xfId="29808" xr:uid="{00000000-0005-0000-0000-00006D740000}"/>
    <cellStyle name="표준 7 2 2 4 4 2" xfId="29809" xr:uid="{00000000-0005-0000-0000-00006E740000}"/>
    <cellStyle name="표준 7 2 2 4 5" xfId="29810" xr:uid="{00000000-0005-0000-0000-00006F740000}"/>
    <cellStyle name="표준 7 2 2 5" xfId="29811" xr:uid="{00000000-0005-0000-0000-000070740000}"/>
    <cellStyle name="표준 7 2 2 5 2" xfId="29812" xr:uid="{00000000-0005-0000-0000-000071740000}"/>
    <cellStyle name="표준 7 2 2 5 2 2" xfId="29813" xr:uid="{00000000-0005-0000-0000-000072740000}"/>
    <cellStyle name="표준 7 2 2 5 2 2 2" xfId="29814" xr:uid="{00000000-0005-0000-0000-000073740000}"/>
    <cellStyle name="표준 7 2 2 5 2 3" xfId="29815" xr:uid="{00000000-0005-0000-0000-000074740000}"/>
    <cellStyle name="표준 7 2 2 5 3" xfId="29816" xr:uid="{00000000-0005-0000-0000-000075740000}"/>
    <cellStyle name="표준 7 2 2 5 3 2" xfId="29817" xr:uid="{00000000-0005-0000-0000-000076740000}"/>
    <cellStyle name="표준 7 2 2 5 4" xfId="29818" xr:uid="{00000000-0005-0000-0000-000077740000}"/>
    <cellStyle name="표준 7 2 2 6" xfId="29819" xr:uid="{00000000-0005-0000-0000-000078740000}"/>
    <cellStyle name="표준 7 2 2 6 2" xfId="29820" xr:uid="{00000000-0005-0000-0000-000079740000}"/>
    <cellStyle name="표준 7 2 2 6 2 2" xfId="29821" xr:uid="{00000000-0005-0000-0000-00007A740000}"/>
    <cellStyle name="표준 7 2 2 6 3" xfId="29822" xr:uid="{00000000-0005-0000-0000-00007B740000}"/>
    <cellStyle name="표준 7 2 2 7" xfId="29823" xr:uid="{00000000-0005-0000-0000-00007C740000}"/>
    <cellStyle name="표준 7 2 2 7 2" xfId="29824" xr:uid="{00000000-0005-0000-0000-00007D740000}"/>
    <cellStyle name="표준 7 2 2 8" xfId="29825" xr:uid="{00000000-0005-0000-0000-00007E740000}"/>
    <cellStyle name="표준 7 2 2 9" xfId="29826" xr:uid="{00000000-0005-0000-0000-00007F740000}"/>
    <cellStyle name="표준 7 2 3" xfId="29827" xr:uid="{00000000-0005-0000-0000-000080740000}"/>
    <cellStyle name="표준 7 2 3 2" xfId="29828" xr:uid="{00000000-0005-0000-0000-000081740000}"/>
    <cellStyle name="표준 7 2 3 2 2" xfId="29829" xr:uid="{00000000-0005-0000-0000-000082740000}"/>
    <cellStyle name="표준 7 2 3 2 2 2" xfId="29830" xr:uid="{00000000-0005-0000-0000-000083740000}"/>
    <cellStyle name="표준 7 2 3 2 2 2 2" xfId="29831" xr:uid="{00000000-0005-0000-0000-000084740000}"/>
    <cellStyle name="표준 7 2 3 2 2 2 2 2" xfId="29832" xr:uid="{00000000-0005-0000-0000-000085740000}"/>
    <cellStyle name="표준 7 2 3 2 2 2 2 2 2" xfId="29833" xr:uid="{00000000-0005-0000-0000-000086740000}"/>
    <cellStyle name="표준 7 2 3 2 2 2 2 3" xfId="29834" xr:uid="{00000000-0005-0000-0000-000087740000}"/>
    <cellStyle name="표준 7 2 3 2 2 2 3" xfId="29835" xr:uid="{00000000-0005-0000-0000-000088740000}"/>
    <cellStyle name="표준 7 2 3 2 2 2 3 2" xfId="29836" xr:uid="{00000000-0005-0000-0000-000089740000}"/>
    <cellStyle name="표준 7 2 3 2 2 2 4" xfId="29837" xr:uid="{00000000-0005-0000-0000-00008A740000}"/>
    <cellStyle name="표준 7 2 3 2 2 3" xfId="29838" xr:uid="{00000000-0005-0000-0000-00008B740000}"/>
    <cellStyle name="표준 7 2 3 2 2 3 2" xfId="29839" xr:uid="{00000000-0005-0000-0000-00008C740000}"/>
    <cellStyle name="표준 7 2 3 2 2 3 2 2" xfId="29840" xr:uid="{00000000-0005-0000-0000-00008D740000}"/>
    <cellStyle name="표준 7 2 3 2 2 3 3" xfId="29841" xr:uid="{00000000-0005-0000-0000-00008E740000}"/>
    <cellStyle name="표준 7 2 3 2 2 4" xfId="29842" xr:uid="{00000000-0005-0000-0000-00008F740000}"/>
    <cellStyle name="표준 7 2 3 2 2 4 2" xfId="29843" xr:uid="{00000000-0005-0000-0000-000090740000}"/>
    <cellStyle name="표준 7 2 3 2 2 5" xfId="29844" xr:uid="{00000000-0005-0000-0000-000091740000}"/>
    <cellStyle name="표준 7 2 3 2 3" xfId="29845" xr:uid="{00000000-0005-0000-0000-000092740000}"/>
    <cellStyle name="표준 7 2 3 2 3 2" xfId="29846" xr:uid="{00000000-0005-0000-0000-000093740000}"/>
    <cellStyle name="표준 7 2 3 2 3 2 2" xfId="29847" xr:uid="{00000000-0005-0000-0000-000094740000}"/>
    <cellStyle name="표준 7 2 3 2 3 2 2 2" xfId="29848" xr:uid="{00000000-0005-0000-0000-000095740000}"/>
    <cellStyle name="표준 7 2 3 2 3 2 3" xfId="29849" xr:uid="{00000000-0005-0000-0000-000096740000}"/>
    <cellStyle name="표준 7 2 3 2 3 3" xfId="29850" xr:uid="{00000000-0005-0000-0000-000097740000}"/>
    <cellStyle name="표준 7 2 3 2 3 3 2" xfId="29851" xr:uid="{00000000-0005-0000-0000-000098740000}"/>
    <cellStyle name="표준 7 2 3 2 3 4" xfId="29852" xr:uid="{00000000-0005-0000-0000-000099740000}"/>
    <cellStyle name="표준 7 2 3 2 4" xfId="29853" xr:uid="{00000000-0005-0000-0000-00009A740000}"/>
    <cellStyle name="표준 7 2 3 2 4 2" xfId="29854" xr:uid="{00000000-0005-0000-0000-00009B740000}"/>
    <cellStyle name="표준 7 2 3 2 4 2 2" xfId="29855" xr:uid="{00000000-0005-0000-0000-00009C740000}"/>
    <cellStyle name="표준 7 2 3 2 4 3" xfId="29856" xr:uid="{00000000-0005-0000-0000-00009D740000}"/>
    <cellStyle name="표준 7 2 3 2 5" xfId="29857" xr:uid="{00000000-0005-0000-0000-00009E740000}"/>
    <cellStyle name="표준 7 2 3 2 5 2" xfId="29858" xr:uid="{00000000-0005-0000-0000-00009F740000}"/>
    <cellStyle name="표준 7 2 3 2 6" xfId="29859" xr:uid="{00000000-0005-0000-0000-0000A0740000}"/>
    <cellStyle name="표준 7 2 3 3" xfId="29860" xr:uid="{00000000-0005-0000-0000-0000A1740000}"/>
    <cellStyle name="표준 7 2 3 3 2" xfId="29861" xr:uid="{00000000-0005-0000-0000-0000A2740000}"/>
    <cellStyle name="표준 7 2 3 3 2 2" xfId="29862" xr:uid="{00000000-0005-0000-0000-0000A3740000}"/>
    <cellStyle name="표준 7 2 3 3 2 2 2" xfId="29863" xr:uid="{00000000-0005-0000-0000-0000A4740000}"/>
    <cellStyle name="표준 7 2 3 3 2 2 2 2" xfId="29864" xr:uid="{00000000-0005-0000-0000-0000A5740000}"/>
    <cellStyle name="표준 7 2 3 3 2 2 3" xfId="29865" xr:uid="{00000000-0005-0000-0000-0000A6740000}"/>
    <cellStyle name="표준 7 2 3 3 2 3" xfId="29866" xr:uid="{00000000-0005-0000-0000-0000A7740000}"/>
    <cellStyle name="표준 7 2 3 3 2 3 2" xfId="29867" xr:uid="{00000000-0005-0000-0000-0000A8740000}"/>
    <cellStyle name="표준 7 2 3 3 2 4" xfId="29868" xr:uid="{00000000-0005-0000-0000-0000A9740000}"/>
    <cellStyle name="표준 7 2 3 3 3" xfId="29869" xr:uid="{00000000-0005-0000-0000-0000AA740000}"/>
    <cellStyle name="표준 7 2 3 3 3 2" xfId="29870" xr:uid="{00000000-0005-0000-0000-0000AB740000}"/>
    <cellStyle name="표준 7 2 3 3 3 2 2" xfId="29871" xr:uid="{00000000-0005-0000-0000-0000AC740000}"/>
    <cellStyle name="표준 7 2 3 3 3 3" xfId="29872" xr:uid="{00000000-0005-0000-0000-0000AD740000}"/>
    <cellStyle name="표준 7 2 3 3 4" xfId="29873" xr:uid="{00000000-0005-0000-0000-0000AE740000}"/>
    <cellStyle name="표준 7 2 3 3 4 2" xfId="29874" xr:uid="{00000000-0005-0000-0000-0000AF740000}"/>
    <cellStyle name="표준 7 2 3 3 5" xfId="29875" xr:uid="{00000000-0005-0000-0000-0000B0740000}"/>
    <cellStyle name="표준 7 2 3 4" xfId="29876" xr:uid="{00000000-0005-0000-0000-0000B1740000}"/>
    <cellStyle name="표준 7 2 3 4 2" xfId="29877" xr:uid="{00000000-0005-0000-0000-0000B2740000}"/>
    <cellStyle name="표준 7 2 3 4 2 2" xfId="29878" xr:uid="{00000000-0005-0000-0000-0000B3740000}"/>
    <cellStyle name="표준 7 2 3 4 2 2 2" xfId="29879" xr:uid="{00000000-0005-0000-0000-0000B4740000}"/>
    <cellStyle name="표준 7 2 3 4 2 3" xfId="29880" xr:uid="{00000000-0005-0000-0000-0000B5740000}"/>
    <cellStyle name="표준 7 2 3 4 3" xfId="29881" xr:uid="{00000000-0005-0000-0000-0000B6740000}"/>
    <cellStyle name="표준 7 2 3 4 3 2" xfId="29882" xr:uid="{00000000-0005-0000-0000-0000B7740000}"/>
    <cellStyle name="표준 7 2 3 4 4" xfId="29883" xr:uid="{00000000-0005-0000-0000-0000B8740000}"/>
    <cellStyle name="표준 7 2 3 5" xfId="29884" xr:uid="{00000000-0005-0000-0000-0000B9740000}"/>
    <cellStyle name="표준 7 2 3 5 2" xfId="29885" xr:uid="{00000000-0005-0000-0000-0000BA740000}"/>
    <cellStyle name="표준 7 2 3 5 2 2" xfId="29886" xr:uid="{00000000-0005-0000-0000-0000BB740000}"/>
    <cellStyle name="표준 7 2 3 5 3" xfId="29887" xr:uid="{00000000-0005-0000-0000-0000BC740000}"/>
    <cellStyle name="표준 7 2 3 6" xfId="29888" xr:uid="{00000000-0005-0000-0000-0000BD740000}"/>
    <cellStyle name="표준 7 2 3 6 2" xfId="29889" xr:uid="{00000000-0005-0000-0000-0000BE740000}"/>
    <cellStyle name="표준 7 2 3 7" xfId="29890" xr:uid="{00000000-0005-0000-0000-0000BF740000}"/>
    <cellStyle name="표준 7 2 3 8" xfId="29891" xr:uid="{00000000-0005-0000-0000-0000C0740000}"/>
    <cellStyle name="표준 7 2 4" xfId="29892" xr:uid="{00000000-0005-0000-0000-0000C1740000}"/>
    <cellStyle name="표준 7 2 4 2" xfId="29893" xr:uid="{00000000-0005-0000-0000-0000C2740000}"/>
    <cellStyle name="표준 7 2 4 2 2" xfId="29894" xr:uid="{00000000-0005-0000-0000-0000C3740000}"/>
    <cellStyle name="표준 7 2 4 2 2 2" xfId="29895" xr:uid="{00000000-0005-0000-0000-0000C4740000}"/>
    <cellStyle name="표준 7 2 4 2 2 2 2" xfId="29896" xr:uid="{00000000-0005-0000-0000-0000C5740000}"/>
    <cellStyle name="표준 7 2 4 2 2 2 2 2" xfId="29897" xr:uid="{00000000-0005-0000-0000-0000C6740000}"/>
    <cellStyle name="표준 7 2 4 2 2 2 3" xfId="29898" xr:uid="{00000000-0005-0000-0000-0000C7740000}"/>
    <cellStyle name="표준 7 2 4 2 2 3" xfId="29899" xr:uid="{00000000-0005-0000-0000-0000C8740000}"/>
    <cellStyle name="표준 7 2 4 2 2 3 2" xfId="29900" xr:uid="{00000000-0005-0000-0000-0000C9740000}"/>
    <cellStyle name="표준 7 2 4 2 2 4" xfId="29901" xr:uid="{00000000-0005-0000-0000-0000CA740000}"/>
    <cellStyle name="표준 7 2 4 2 3" xfId="29902" xr:uid="{00000000-0005-0000-0000-0000CB740000}"/>
    <cellStyle name="표준 7 2 4 2 3 2" xfId="29903" xr:uid="{00000000-0005-0000-0000-0000CC740000}"/>
    <cellStyle name="표준 7 2 4 2 3 2 2" xfId="29904" xr:uid="{00000000-0005-0000-0000-0000CD740000}"/>
    <cellStyle name="표준 7 2 4 2 3 3" xfId="29905" xr:uid="{00000000-0005-0000-0000-0000CE740000}"/>
    <cellStyle name="표준 7 2 4 2 4" xfId="29906" xr:uid="{00000000-0005-0000-0000-0000CF740000}"/>
    <cellStyle name="표준 7 2 4 2 4 2" xfId="29907" xr:uid="{00000000-0005-0000-0000-0000D0740000}"/>
    <cellStyle name="표준 7 2 4 2 5" xfId="29908" xr:uid="{00000000-0005-0000-0000-0000D1740000}"/>
    <cellStyle name="표준 7 2 4 3" xfId="29909" xr:uid="{00000000-0005-0000-0000-0000D2740000}"/>
    <cellStyle name="표준 7 2 4 3 2" xfId="29910" xr:uid="{00000000-0005-0000-0000-0000D3740000}"/>
    <cellStyle name="표준 7 2 4 3 2 2" xfId="29911" xr:uid="{00000000-0005-0000-0000-0000D4740000}"/>
    <cellStyle name="표준 7 2 4 3 2 2 2" xfId="29912" xr:uid="{00000000-0005-0000-0000-0000D5740000}"/>
    <cellStyle name="표준 7 2 4 3 2 3" xfId="29913" xr:uid="{00000000-0005-0000-0000-0000D6740000}"/>
    <cellStyle name="표준 7 2 4 3 3" xfId="29914" xr:uid="{00000000-0005-0000-0000-0000D7740000}"/>
    <cellStyle name="표준 7 2 4 3 3 2" xfId="29915" xr:uid="{00000000-0005-0000-0000-0000D8740000}"/>
    <cellStyle name="표준 7 2 4 3 4" xfId="29916" xr:uid="{00000000-0005-0000-0000-0000D9740000}"/>
    <cellStyle name="표준 7 2 4 4" xfId="29917" xr:uid="{00000000-0005-0000-0000-0000DA740000}"/>
    <cellStyle name="표준 7 2 4 4 2" xfId="29918" xr:uid="{00000000-0005-0000-0000-0000DB740000}"/>
    <cellStyle name="표준 7 2 4 4 2 2" xfId="29919" xr:uid="{00000000-0005-0000-0000-0000DC740000}"/>
    <cellStyle name="표준 7 2 4 4 3" xfId="29920" xr:uid="{00000000-0005-0000-0000-0000DD740000}"/>
    <cellStyle name="표준 7 2 4 5" xfId="29921" xr:uid="{00000000-0005-0000-0000-0000DE740000}"/>
    <cellStyle name="표준 7 2 4 5 2" xfId="29922" xr:uid="{00000000-0005-0000-0000-0000DF740000}"/>
    <cellStyle name="표준 7 2 4 6" xfId="29923" xr:uid="{00000000-0005-0000-0000-0000E0740000}"/>
    <cellStyle name="표준 7 2 5" xfId="29924" xr:uid="{00000000-0005-0000-0000-0000E1740000}"/>
    <cellStyle name="표준 7 2 5 2" xfId="29925" xr:uid="{00000000-0005-0000-0000-0000E2740000}"/>
    <cellStyle name="표준 7 2 5 2 2" xfId="29926" xr:uid="{00000000-0005-0000-0000-0000E3740000}"/>
    <cellStyle name="표준 7 2 5 2 2 2" xfId="29927" xr:uid="{00000000-0005-0000-0000-0000E4740000}"/>
    <cellStyle name="표준 7 2 5 2 2 2 2" xfId="29928" xr:uid="{00000000-0005-0000-0000-0000E5740000}"/>
    <cellStyle name="표준 7 2 5 2 2 3" xfId="29929" xr:uid="{00000000-0005-0000-0000-0000E6740000}"/>
    <cellStyle name="표준 7 2 5 2 3" xfId="29930" xr:uid="{00000000-0005-0000-0000-0000E7740000}"/>
    <cellStyle name="표준 7 2 5 2 3 2" xfId="29931" xr:uid="{00000000-0005-0000-0000-0000E8740000}"/>
    <cellStyle name="표준 7 2 5 2 4" xfId="29932" xr:uid="{00000000-0005-0000-0000-0000E9740000}"/>
    <cellStyle name="표준 7 2 5 3" xfId="29933" xr:uid="{00000000-0005-0000-0000-0000EA740000}"/>
    <cellStyle name="표준 7 2 5 3 2" xfId="29934" xr:uid="{00000000-0005-0000-0000-0000EB740000}"/>
    <cellStyle name="표준 7 2 5 3 2 2" xfId="29935" xr:uid="{00000000-0005-0000-0000-0000EC740000}"/>
    <cellStyle name="표준 7 2 5 3 3" xfId="29936" xr:uid="{00000000-0005-0000-0000-0000ED740000}"/>
    <cellStyle name="표준 7 2 5 4" xfId="29937" xr:uid="{00000000-0005-0000-0000-0000EE740000}"/>
    <cellStyle name="표준 7 2 5 4 2" xfId="29938" xr:uid="{00000000-0005-0000-0000-0000EF740000}"/>
    <cellStyle name="표준 7 2 5 5" xfId="29939" xr:uid="{00000000-0005-0000-0000-0000F0740000}"/>
    <cellStyle name="표준 7 2 6" xfId="29940" xr:uid="{00000000-0005-0000-0000-0000F1740000}"/>
    <cellStyle name="표준 7 2 6 2" xfId="29941" xr:uid="{00000000-0005-0000-0000-0000F2740000}"/>
    <cellStyle name="표준 7 2 6 2 2" xfId="29942" xr:uid="{00000000-0005-0000-0000-0000F3740000}"/>
    <cellStyle name="표준 7 2 6 2 2 2" xfId="29943" xr:uid="{00000000-0005-0000-0000-0000F4740000}"/>
    <cellStyle name="표준 7 2 6 2 3" xfId="29944" xr:uid="{00000000-0005-0000-0000-0000F5740000}"/>
    <cellStyle name="표준 7 2 6 3" xfId="29945" xr:uid="{00000000-0005-0000-0000-0000F6740000}"/>
    <cellStyle name="표준 7 2 6 3 2" xfId="29946" xr:uid="{00000000-0005-0000-0000-0000F7740000}"/>
    <cellStyle name="표준 7 2 6 4" xfId="29947" xr:uid="{00000000-0005-0000-0000-0000F8740000}"/>
    <cellStyle name="표준 7 2 7" xfId="29948" xr:uid="{00000000-0005-0000-0000-0000F9740000}"/>
    <cellStyle name="표준 7 2 7 2" xfId="29949" xr:uid="{00000000-0005-0000-0000-0000FA740000}"/>
    <cellStyle name="표준 7 2 7 2 2" xfId="29950" xr:uid="{00000000-0005-0000-0000-0000FB740000}"/>
    <cellStyle name="표준 7 2 7 3" xfId="29951" xr:uid="{00000000-0005-0000-0000-0000FC740000}"/>
    <cellStyle name="표준 7 2 8" xfId="29952" xr:uid="{00000000-0005-0000-0000-0000FD740000}"/>
    <cellStyle name="표준 7 2 8 2" xfId="29953" xr:uid="{00000000-0005-0000-0000-0000FE740000}"/>
    <cellStyle name="표준 7 2 9" xfId="29954" xr:uid="{00000000-0005-0000-0000-0000FF740000}"/>
    <cellStyle name="표준 7 3" xfId="29955" xr:uid="{00000000-0005-0000-0000-000000750000}"/>
    <cellStyle name="표준 7 3 2" xfId="29956" xr:uid="{00000000-0005-0000-0000-000001750000}"/>
    <cellStyle name="표준 7 3 2 2" xfId="29957" xr:uid="{00000000-0005-0000-0000-000002750000}"/>
    <cellStyle name="표준 7 3 2 2 2" xfId="29958" xr:uid="{00000000-0005-0000-0000-000003750000}"/>
    <cellStyle name="표준 7 3 2 2 2 2" xfId="29959" xr:uid="{00000000-0005-0000-0000-000004750000}"/>
    <cellStyle name="표준 7 3 2 2 2 2 2" xfId="29960" xr:uid="{00000000-0005-0000-0000-000005750000}"/>
    <cellStyle name="표준 7 3 2 2 2 2 2 2" xfId="29961" xr:uid="{00000000-0005-0000-0000-000006750000}"/>
    <cellStyle name="표준 7 3 2 2 2 2 2 2 2" xfId="29962" xr:uid="{00000000-0005-0000-0000-000007750000}"/>
    <cellStyle name="표준 7 3 2 2 2 2 2 3" xfId="29963" xr:uid="{00000000-0005-0000-0000-000008750000}"/>
    <cellStyle name="표준 7 3 2 2 2 2 3" xfId="29964" xr:uid="{00000000-0005-0000-0000-000009750000}"/>
    <cellStyle name="표준 7 3 2 2 2 2 3 2" xfId="29965" xr:uid="{00000000-0005-0000-0000-00000A750000}"/>
    <cellStyle name="표준 7 3 2 2 2 2 4" xfId="29966" xr:uid="{00000000-0005-0000-0000-00000B750000}"/>
    <cellStyle name="표준 7 3 2 2 2 3" xfId="29967" xr:uid="{00000000-0005-0000-0000-00000C750000}"/>
    <cellStyle name="표준 7 3 2 2 2 3 2" xfId="29968" xr:uid="{00000000-0005-0000-0000-00000D750000}"/>
    <cellStyle name="표준 7 3 2 2 2 3 2 2" xfId="29969" xr:uid="{00000000-0005-0000-0000-00000E750000}"/>
    <cellStyle name="표준 7 3 2 2 2 3 3" xfId="29970" xr:uid="{00000000-0005-0000-0000-00000F750000}"/>
    <cellStyle name="표준 7 3 2 2 2 4" xfId="29971" xr:uid="{00000000-0005-0000-0000-000010750000}"/>
    <cellStyle name="표준 7 3 2 2 2 4 2" xfId="29972" xr:uid="{00000000-0005-0000-0000-000011750000}"/>
    <cellStyle name="표준 7 3 2 2 2 5" xfId="29973" xr:uid="{00000000-0005-0000-0000-000012750000}"/>
    <cellStyle name="표준 7 3 2 2 3" xfId="29974" xr:uid="{00000000-0005-0000-0000-000013750000}"/>
    <cellStyle name="표준 7 3 2 2 3 2" xfId="29975" xr:uid="{00000000-0005-0000-0000-000014750000}"/>
    <cellStyle name="표준 7 3 2 2 3 2 2" xfId="29976" xr:uid="{00000000-0005-0000-0000-000015750000}"/>
    <cellStyle name="표준 7 3 2 2 3 2 2 2" xfId="29977" xr:uid="{00000000-0005-0000-0000-000016750000}"/>
    <cellStyle name="표준 7 3 2 2 3 2 3" xfId="29978" xr:uid="{00000000-0005-0000-0000-000017750000}"/>
    <cellStyle name="표준 7 3 2 2 3 3" xfId="29979" xr:uid="{00000000-0005-0000-0000-000018750000}"/>
    <cellStyle name="표준 7 3 2 2 3 3 2" xfId="29980" xr:uid="{00000000-0005-0000-0000-000019750000}"/>
    <cellStyle name="표준 7 3 2 2 3 4" xfId="29981" xr:uid="{00000000-0005-0000-0000-00001A750000}"/>
    <cellStyle name="표준 7 3 2 2 4" xfId="29982" xr:uid="{00000000-0005-0000-0000-00001B750000}"/>
    <cellStyle name="표준 7 3 2 2 4 2" xfId="29983" xr:uid="{00000000-0005-0000-0000-00001C750000}"/>
    <cellStyle name="표준 7 3 2 2 4 2 2" xfId="29984" xr:uid="{00000000-0005-0000-0000-00001D750000}"/>
    <cellStyle name="표준 7 3 2 2 4 3" xfId="29985" xr:uid="{00000000-0005-0000-0000-00001E750000}"/>
    <cellStyle name="표준 7 3 2 2 5" xfId="29986" xr:uid="{00000000-0005-0000-0000-00001F750000}"/>
    <cellStyle name="표준 7 3 2 2 5 2" xfId="29987" xr:uid="{00000000-0005-0000-0000-000020750000}"/>
    <cellStyle name="표준 7 3 2 2 6" xfId="29988" xr:uid="{00000000-0005-0000-0000-000021750000}"/>
    <cellStyle name="표준 7 3 2 3" xfId="29989" xr:uid="{00000000-0005-0000-0000-000022750000}"/>
    <cellStyle name="표준 7 3 2 3 2" xfId="29990" xr:uid="{00000000-0005-0000-0000-000023750000}"/>
    <cellStyle name="표준 7 3 2 3 2 2" xfId="29991" xr:uid="{00000000-0005-0000-0000-000024750000}"/>
    <cellStyle name="표준 7 3 2 3 2 2 2" xfId="29992" xr:uid="{00000000-0005-0000-0000-000025750000}"/>
    <cellStyle name="표준 7 3 2 3 2 2 2 2" xfId="29993" xr:uid="{00000000-0005-0000-0000-000026750000}"/>
    <cellStyle name="표준 7 3 2 3 2 2 3" xfId="29994" xr:uid="{00000000-0005-0000-0000-000027750000}"/>
    <cellStyle name="표준 7 3 2 3 2 3" xfId="29995" xr:uid="{00000000-0005-0000-0000-000028750000}"/>
    <cellStyle name="표준 7 3 2 3 2 3 2" xfId="29996" xr:uid="{00000000-0005-0000-0000-000029750000}"/>
    <cellStyle name="표준 7 3 2 3 2 4" xfId="29997" xr:uid="{00000000-0005-0000-0000-00002A750000}"/>
    <cellStyle name="표준 7 3 2 3 3" xfId="29998" xr:uid="{00000000-0005-0000-0000-00002B750000}"/>
    <cellStyle name="표준 7 3 2 3 3 2" xfId="29999" xr:uid="{00000000-0005-0000-0000-00002C750000}"/>
    <cellStyle name="표준 7 3 2 3 3 2 2" xfId="30000" xr:uid="{00000000-0005-0000-0000-00002D750000}"/>
    <cellStyle name="표준 7 3 2 3 3 3" xfId="30001" xr:uid="{00000000-0005-0000-0000-00002E750000}"/>
    <cellStyle name="표준 7 3 2 3 4" xfId="30002" xr:uid="{00000000-0005-0000-0000-00002F750000}"/>
    <cellStyle name="표준 7 3 2 3 4 2" xfId="30003" xr:uid="{00000000-0005-0000-0000-000030750000}"/>
    <cellStyle name="표준 7 3 2 3 5" xfId="30004" xr:uid="{00000000-0005-0000-0000-000031750000}"/>
    <cellStyle name="표준 7 3 2 4" xfId="30005" xr:uid="{00000000-0005-0000-0000-000032750000}"/>
    <cellStyle name="표준 7 3 2 4 2" xfId="30006" xr:uid="{00000000-0005-0000-0000-000033750000}"/>
    <cellStyle name="표준 7 3 2 4 2 2" xfId="30007" xr:uid="{00000000-0005-0000-0000-000034750000}"/>
    <cellStyle name="표준 7 3 2 4 2 2 2" xfId="30008" xr:uid="{00000000-0005-0000-0000-000035750000}"/>
    <cellStyle name="표준 7 3 2 4 2 3" xfId="30009" xr:uid="{00000000-0005-0000-0000-000036750000}"/>
    <cellStyle name="표준 7 3 2 4 3" xfId="30010" xr:uid="{00000000-0005-0000-0000-000037750000}"/>
    <cellStyle name="표준 7 3 2 4 3 2" xfId="30011" xr:uid="{00000000-0005-0000-0000-000038750000}"/>
    <cellStyle name="표준 7 3 2 4 4" xfId="30012" xr:uid="{00000000-0005-0000-0000-000039750000}"/>
    <cellStyle name="표준 7 3 2 5" xfId="30013" xr:uid="{00000000-0005-0000-0000-00003A750000}"/>
    <cellStyle name="표준 7 3 2 5 2" xfId="30014" xr:uid="{00000000-0005-0000-0000-00003B750000}"/>
    <cellStyle name="표준 7 3 2 5 2 2" xfId="30015" xr:uid="{00000000-0005-0000-0000-00003C750000}"/>
    <cellStyle name="표준 7 3 2 5 3" xfId="30016" xr:uid="{00000000-0005-0000-0000-00003D750000}"/>
    <cellStyle name="표준 7 3 2 6" xfId="30017" xr:uid="{00000000-0005-0000-0000-00003E750000}"/>
    <cellStyle name="표준 7 3 2 6 2" xfId="30018" xr:uid="{00000000-0005-0000-0000-00003F750000}"/>
    <cellStyle name="표준 7 3 2 7" xfId="30019" xr:uid="{00000000-0005-0000-0000-000040750000}"/>
    <cellStyle name="표준 7 3 2 8" xfId="30020" xr:uid="{00000000-0005-0000-0000-000041750000}"/>
    <cellStyle name="표준 7 3 3" xfId="30021" xr:uid="{00000000-0005-0000-0000-000042750000}"/>
    <cellStyle name="표준 7 3 3 2" xfId="30022" xr:uid="{00000000-0005-0000-0000-000043750000}"/>
    <cellStyle name="표준 7 3 3 2 2" xfId="30023" xr:uid="{00000000-0005-0000-0000-000044750000}"/>
    <cellStyle name="표준 7 3 3 2 2 2" xfId="30024" xr:uid="{00000000-0005-0000-0000-000045750000}"/>
    <cellStyle name="표준 7 3 3 2 2 2 2" xfId="30025" xr:uid="{00000000-0005-0000-0000-000046750000}"/>
    <cellStyle name="표준 7 3 3 2 2 2 2 2" xfId="30026" xr:uid="{00000000-0005-0000-0000-000047750000}"/>
    <cellStyle name="표준 7 3 3 2 2 2 3" xfId="30027" xr:uid="{00000000-0005-0000-0000-000048750000}"/>
    <cellStyle name="표준 7 3 3 2 2 3" xfId="30028" xr:uid="{00000000-0005-0000-0000-000049750000}"/>
    <cellStyle name="표준 7 3 3 2 2 3 2" xfId="30029" xr:uid="{00000000-0005-0000-0000-00004A750000}"/>
    <cellStyle name="표준 7 3 3 2 2 4" xfId="30030" xr:uid="{00000000-0005-0000-0000-00004B750000}"/>
    <cellStyle name="표준 7 3 3 2 3" xfId="30031" xr:uid="{00000000-0005-0000-0000-00004C750000}"/>
    <cellStyle name="표준 7 3 3 2 3 2" xfId="30032" xr:uid="{00000000-0005-0000-0000-00004D750000}"/>
    <cellStyle name="표준 7 3 3 2 3 2 2" xfId="30033" xr:uid="{00000000-0005-0000-0000-00004E750000}"/>
    <cellStyle name="표준 7 3 3 2 3 3" xfId="30034" xr:uid="{00000000-0005-0000-0000-00004F750000}"/>
    <cellStyle name="표준 7 3 3 2 4" xfId="30035" xr:uid="{00000000-0005-0000-0000-000050750000}"/>
    <cellStyle name="표준 7 3 3 2 4 2" xfId="30036" xr:uid="{00000000-0005-0000-0000-000051750000}"/>
    <cellStyle name="표준 7 3 3 2 5" xfId="30037" xr:uid="{00000000-0005-0000-0000-000052750000}"/>
    <cellStyle name="표준 7 3 3 3" xfId="30038" xr:uid="{00000000-0005-0000-0000-000053750000}"/>
    <cellStyle name="표준 7 3 3 3 2" xfId="30039" xr:uid="{00000000-0005-0000-0000-000054750000}"/>
    <cellStyle name="표준 7 3 3 3 2 2" xfId="30040" xr:uid="{00000000-0005-0000-0000-000055750000}"/>
    <cellStyle name="표준 7 3 3 3 2 2 2" xfId="30041" xr:uid="{00000000-0005-0000-0000-000056750000}"/>
    <cellStyle name="표준 7 3 3 3 2 3" xfId="30042" xr:uid="{00000000-0005-0000-0000-000057750000}"/>
    <cellStyle name="표준 7 3 3 3 3" xfId="30043" xr:uid="{00000000-0005-0000-0000-000058750000}"/>
    <cellStyle name="표준 7 3 3 3 3 2" xfId="30044" xr:uid="{00000000-0005-0000-0000-000059750000}"/>
    <cellStyle name="표준 7 3 3 3 4" xfId="30045" xr:uid="{00000000-0005-0000-0000-00005A750000}"/>
    <cellStyle name="표준 7 3 3 4" xfId="30046" xr:uid="{00000000-0005-0000-0000-00005B750000}"/>
    <cellStyle name="표준 7 3 3 4 2" xfId="30047" xr:uid="{00000000-0005-0000-0000-00005C750000}"/>
    <cellStyle name="표준 7 3 3 4 2 2" xfId="30048" xr:uid="{00000000-0005-0000-0000-00005D750000}"/>
    <cellStyle name="표준 7 3 3 4 3" xfId="30049" xr:uid="{00000000-0005-0000-0000-00005E750000}"/>
    <cellStyle name="표준 7 3 3 5" xfId="30050" xr:uid="{00000000-0005-0000-0000-00005F750000}"/>
    <cellStyle name="표준 7 3 3 5 2" xfId="30051" xr:uid="{00000000-0005-0000-0000-000060750000}"/>
    <cellStyle name="표준 7 3 3 6" xfId="30052" xr:uid="{00000000-0005-0000-0000-000061750000}"/>
    <cellStyle name="표준 7 3 4" xfId="30053" xr:uid="{00000000-0005-0000-0000-000062750000}"/>
    <cellStyle name="표준 7 3 4 2" xfId="30054" xr:uid="{00000000-0005-0000-0000-000063750000}"/>
    <cellStyle name="표준 7 3 4 2 2" xfId="30055" xr:uid="{00000000-0005-0000-0000-000064750000}"/>
    <cellStyle name="표준 7 3 4 2 2 2" xfId="30056" xr:uid="{00000000-0005-0000-0000-000065750000}"/>
    <cellStyle name="표준 7 3 4 2 2 2 2" xfId="30057" xr:uid="{00000000-0005-0000-0000-000066750000}"/>
    <cellStyle name="표준 7 3 4 2 2 3" xfId="30058" xr:uid="{00000000-0005-0000-0000-000067750000}"/>
    <cellStyle name="표준 7 3 4 2 3" xfId="30059" xr:uid="{00000000-0005-0000-0000-000068750000}"/>
    <cellStyle name="표준 7 3 4 2 3 2" xfId="30060" xr:uid="{00000000-0005-0000-0000-000069750000}"/>
    <cellStyle name="표준 7 3 4 2 4" xfId="30061" xr:uid="{00000000-0005-0000-0000-00006A750000}"/>
    <cellStyle name="표준 7 3 4 3" xfId="30062" xr:uid="{00000000-0005-0000-0000-00006B750000}"/>
    <cellStyle name="표준 7 3 4 3 2" xfId="30063" xr:uid="{00000000-0005-0000-0000-00006C750000}"/>
    <cellStyle name="표준 7 3 4 3 2 2" xfId="30064" xr:uid="{00000000-0005-0000-0000-00006D750000}"/>
    <cellStyle name="표준 7 3 4 3 3" xfId="30065" xr:uid="{00000000-0005-0000-0000-00006E750000}"/>
    <cellStyle name="표준 7 3 4 4" xfId="30066" xr:uid="{00000000-0005-0000-0000-00006F750000}"/>
    <cellStyle name="표준 7 3 4 4 2" xfId="30067" xr:uid="{00000000-0005-0000-0000-000070750000}"/>
    <cellStyle name="표준 7 3 4 5" xfId="30068" xr:uid="{00000000-0005-0000-0000-000071750000}"/>
    <cellStyle name="표준 7 3 5" xfId="30069" xr:uid="{00000000-0005-0000-0000-000072750000}"/>
    <cellStyle name="표준 7 3 5 2" xfId="30070" xr:uid="{00000000-0005-0000-0000-000073750000}"/>
    <cellStyle name="표준 7 3 5 2 2" xfId="30071" xr:uid="{00000000-0005-0000-0000-000074750000}"/>
    <cellStyle name="표준 7 3 5 2 2 2" xfId="30072" xr:uid="{00000000-0005-0000-0000-000075750000}"/>
    <cellStyle name="표준 7 3 5 2 3" xfId="30073" xr:uid="{00000000-0005-0000-0000-000076750000}"/>
    <cellStyle name="표준 7 3 5 3" xfId="30074" xr:uid="{00000000-0005-0000-0000-000077750000}"/>
    <cellStyle name="표준 7 3 5 3 2" xfId="30075" xr:uid="{00000000-0005-0000-0000-000078750000}"/>
    <cellStyle name="표준 7 3 5 4" xfId="30076" xr:uid="{00000000-0005-0000-0000-000079750000}"/>
    <cellStyle name="표준 7 3 6" xfId="30077" xr:uid="{00000000-0005-0000-0000-00007A750000}"/>
    <cellStyle name="표준 7 3 6 2" xfId="30078" xr:uid="{00000000-0005-0000-0000-00007B750000}"/>
    <cellStyle name="표준 7 3 6 2 2" xfId="30079" xr:uid="{00000000-0005-0000-0000-00007C750000}"/>
    <cellStyle name="표준 7 3 6 3" xfId="30080" xr:uid="{00000000-0005-0000-0000-00007D750000}"/>
    <cellStyle name="표준 7 3 7" xfId="30081" xr:uid="{00000000-0005-0000-0000-00007E750000}"/>
    <cellStyle name="표준 7 3 7 2" xfId="30082" xr:uid="{00000000-0005-0000-0000-00007F750000}"/>
    <cellStyle name="표준 7 3 8" xfId="30083" xr:uid="{00000000-0005-0000-0000-000080750000}"/>
    <cellStyle name="표준 7 3 9" xfId="30084" xr:uid="{00000000-0005-0000-0000-000081750000}"/>
    <cellStyle name="표준 7 4" xfId="30085" xr:uid="{00000000-0005-0000-0000-000082750000}"/>
    <cellStyle name="표준 7 4 2" xfId="30086" xr:uid="{00000000-0005-0000-0000-000083750000}"/>
    <cellStyle name="표준 7 4 2 2" xfId="30087" xr:uid="{00000000-0005-0000-0000-000084750000}"/>
    <cellStyle name="표준 7 4 2 2 2" xfId="30088" xr:uid="{00000000-0005-0000-0000-000085750000}"/>
    <cellStyle name="표준 7 4 2 2 2 2" xfId="30089" xr:uid="{00000000-0005-0000-0000-000086750000}"/>
    <cellStyle name="표준 7 4 2 2 2 2 2" xfId="30090" xr:uid="{00000000-0005-0000-0000-000087750000}"/>
    <cellStyle name="표준 7 4 2 2 2 2 2 2" xfId="30091" xr:uid="{00000000-0005-0000-0000-000088750000}"/>
    <cellStyle name="표준 7 4 2 2 2 2 3" xfId="30092" xr:uid="{00000000-0005-0000-0000-000089750000}"/>
    <cellStyle name="표준 7 4 2 2 2 3" xfId="30093" xr:uid="{00000000-0005-0000-0000-00008A750000}"/>
    <cellStyle name="표준 7 4 2 2 2 3 2" xfId="30094" xr:uid="{00000000-0005-0000-0000-00008B750000}"/>
    <cellStyle name="표준 7 4 2 2 2 4" xfId="30095" xr:uid="{00000000-0005-0000-0000-00008C750000}"/>
    <cellStyle name="표준 7 4 2 2 3" xfId="30096" xr:uid="{00000000-0005-0000-0000-00008D750000}"/>
    <cellStyle name="표준 7 4 2 2 3 2" xfId="30097" xr:uid="{00000000-0005-0000-0000-00008E750000}"/>
    <cellStyle name="표준 7 4 2 2 3 2 2" xfId="30098" xr:uid="{00000000-0005-0000-0000-00008F750000}"/>
    <cellStyle name="표준 7 4 2 2 3 3" xfId="30099" xr:uid="{00000000-0005-0000-0000-000090750000}"/>
    <cellStyle name="표준 7 4 2 2 4" xfId="30100" xr:uid="{00000000-0005-0000-0000-000091750000}"/>
    <cellStyle name="표준 7 4 2 2 4 2" xfId="30101" xr:uid="{00000000-0005-0000-0000-000092750000}"/>
    <cellStyle name="표준 7 4 2 2 5" xfId="30102" xr:uid="{00000000-0005-0000-0000-000093750000}"/>
    <cellStyle name="표준 7 4 2 3" xfId="30103" xr:uid="{00000000-0005-0000-0000-000094750000}"/>
    <cellStyle name="표준 7 4 2 3 2" xfId="30104" xr:uid="{00000000-0005-0000-0000-000095750000}"/>
    <cellStyle name="표준 7 4 2 3 2 2" xfId="30105" xr:uid="{00000000-0005-0000-0000-000096750000}"/>
    <cellStyle name="표준 7 4 2 3 2 2 2" xfId="30106" xr:uid="{00000000-0005-0000-0000-000097750000}"/>
    <cellStyle name="표준 7 4 2 3 2 3" xfId="30107" xr:uid="{00000000-0005-0000-0000-000098750000}"/>
    <cellStyle name="표준 7 4 2 3 3" xfId="30108" xr:uid="{00000000-0005-0000-0000-000099750000}"/>
    <cellStyle name="표준 7 4 2 3 3 2" xfId="30109" xr:uid="{00000000-0005-0000-0000-00009A750000}"/>
    <cellStyle name="표준 7 4 2 3 4" xfId="30110" xr:uid="{00000000-0005-0000-0000-00009B750000}"/>
    <cellStyle name="표준 7 4 2 4" xfId="30111" xr:uid="{00000000-0005-0000-0000-00009C750000}"/>
    <cellStyle name="표준 7 4 2 4 2" xfId="30112" xr:uid="{00000000-0005-0000-0000-00009D750000}"/>
    <cellStyle name="표준 7 4 2 4 2 2" xfId="30113" xr:uid="{00000000-0005-0000-0000-00009E750000}"/>
    <cellStyle name="표준 7 4 2 4 3" xfId="30114" xr:uid="{00000000-0005-0000-0000-00009F750000}"/>
    <cellStyle name="표준 7 4 2 5" xfId="30115" xr:uid="{00000000-0005-0000-0000-0000A0750000}"/>
    <cellStyle name="표준 7 4 2 5 2" xfId="30116" xr:uid="{00000000-0005-0000-0000-0000A1750000}"/>
    <cellStyle name="표준 7 4 2 6" xfId="30117" xr:uid="{00000000-0005-0000-0000-0000A2750000}"/>
    <cellStyle name="표준 7 4 3" xfId="30118" xr:uid="{00000000-0005-0000-0000-0000A3750000}"/>
    <cellStyle name="표준 7 4 3 2" xfId="30119" xr:uid="{00000000-0005-0000-0000-0000A4750000}"/>
    <cellStyle name="표준 7 4 3 2 2" xfId="30120" xr:uid="{00000000-0005-0000-0000-0000A5750000}"/>
    <cellStyle name="표준 7 4 3 2 2 2" xfId="30121" xr:uid="{00000000-0005-0000-0000-0000A6750000}"/>
    <cellStyle name="표준 7 4 3 2 2 2 2" xfId="30122" xr:uid="{00000000-0005-0000-0000-0000A7750000}"/>
    <cellStyle name="표준 7 4 3 2 2 3" xfId="30123" xr:uid="{00000000-0005-0000-0000-0000A8750000}"/>
    <cellStyle name="표준 7 4 3 2 3" xfId="30124" xr:uid="{00000000-0005-0000-0000-0000A9750000}"/>
    <cellStyle name="표준 7 4 3 2 3 2" xfId="30125" xr:uid="{00000000-0005-0000-0000-0000AA750000}"/>
    <cellStyle name="표준 7 4 3 2 4" xfId="30126" xr:uid="{00000000-0005-0000-0000-0000AB750000}"/>
    <cellStyle name="표준 7 4 3 3" xfId="30127" xr:uid="{00000000-0005-0000-0000-0000AC750000}"/>
    <cellStyle name="표준 7 4 3 3 2" xfId="30128" xr:uid="{00000000-0005-0000-0000-0000AD750000}"/>
    <cellStyle name="표준 7 4 3 3 2 2" xfId="30129" xr:uid="{00000000-0005-0000-0000-0000AE750000}"/>
    <cellStyle name="표준 7 4 3 3 3" xfId="30130" xr:uid="{00000000-0005-0000-0000-0000AF750000}"/>
    <cellStyle name="표준 7 4 3 4" xfId="30131" xr:uid="{00000000-0005-0000-0000-0000B0750000}"/>
    <cellStyle name="표준 7 4 3 4 2" xfId="30132" xr:uid="{00000000-0005-0000-0000-0000B1750000}"/>
    <cellStyle name="표준 7 4 3 5" xfId="30133" xr:uid="{00000000-0005-0000-0000-0000B2750000}"/>
    <cellStyle name="표준 7 4 4" xfId="30134" xr:uid="{00000000-0005-0000-0000-0000B3750000}"/>
    <cellStyle name="표준 7 4 4 2" xfId="30135" xr:uid="{00000000-0005-0000-0000-0000B4750000}"/>
    <cellStyle name="표준 7 4 4 2 2" xfId="30136" xr:uid="{00000000-0005-0000-0000-0000B5750000}"/>
    <cellStyle name="표준 7 4 4 2 2 2" xfId="30137" xr:uid="{00000000-0005-0000-0000-0000B6750000}"/>
    <cellStyle name="표준 7 4 4 2 3" xfId="30138" xr:uid="{00000000-0005-0000-0000-0000B7750000}"/>
    <cellStyle name="표준 7 4 4 3" xfId="30139" xr:uid="{00000000-0005-0000-0000-0000B8750000}"/>
    <cellStyle name="표준 7 4 4 3 2" xfId="30140" xr:uid="{00000000-0005-0000-0000-0000B9750000}"/>
    <cellStyle name="표준 7 4 4 4" xfId="30141" xr:uid="{00000000-0005-0000-0000-0000BA750000}"/>
    <cellStyle name="표준 7 4 5" xfId="30142" xr:uid="{00000000-0005-0000-0000-0000BB750000}"/>
    <cellStyle name="표준 7 4 5 2" xfId="30143" xr:uid="{00000000-0005-0000-0000-0000BC750000}"/>
    <cellStyle name="표준 7 4 5 2 2" xfId="30144" xr:uid="{00000000-0005-0000-0000-0000BD750000}"/>
    <cellStyle name="표준 7 4 5 3" xfId="30145" xr:uid="{00000000-0005-0000-0000-0000BE750000}"/>
    <cellStyle name="표준 7 4 6" xfId="30146" xr:uid="{00000000-0005-0000-0000-0000BF750000}"/>
    <cellStyle name="표준 7 4 6 2" xfId="30147" xr:uid="{00000000-0005-0000-0000-0000C0750000}"/>
    <cellStyle name="표준 7 4 7" xfId="30148" xr:uid="{00000000-0005-0000-0000-0000C1750000}"/>
    <cellStyle name="표준 7 4 8" xfId="30149" xr:uid="{00000000-0005-0000-0000-0000C2750000}"/>
    <cellStyle name="표준 7 5" xfId="30150" xr:uid="{00000000-0005-0000-0000-0000C3750000}"/>
    <cellStyle name="표준 7 5 2" xfId="30151" xr:uid="{00000000-0005-0000-0000-0000C4750000}"/>
    <cellStyle name="표준 7 5 2 2" xfId="30152" xr:uid="{00000000-0005-0000-0000-0000C5750000}"/>
    <cellStyle name="표준 7 5 2 2 2" xfId="30153" xr:uid="{00000000-0005-0000-0000-0000C6750000}"/>
    <cellStyle name="표준 7 5 2 2 2 2" xfId="30154" xr:uid="{00000000-0005-0000-0000-0000C7750000}"/>
    <cellStyle name="표준 7 5 2 2 2 2 2" xfId="30155" xr:uid="{00000000-0005-0000-0000-0000C8750000}"/>
    <cellStyle name="표준 7 5 2 2 2 3" xfId="30156" xr:uid="{00000000-0005-0000-0000-0000C9750000}"/>
    <cellStyle name="표준 7 5 2 2 3" xfId="30157" xr:uid="{00000000-0005-0000-0000-0000CA750000}"/>
    <cellStyle name="표준 7 5 2 2 3 2" xfId="30158" xr:uid="{00000000-0005-0000-0000-0000CB750000}"/>
    <cellStyle name="표준 7 5 2 2 4" xfId="30159" xr:uid="{00000000-0005-0000-0000-0000CC750000}"/>
    <cellStyle name="표준 7 5 2 3" xfId="30160" xr:uid="{00000000-0005-0000-0000-0000CD750000}"/>
    <cellStyle name="표준 7 5 2 3 2" xfId="30161" xr:uid="{00000000-0005-0000-0000-0000CE750000}"/>
    <cellStyle name="표준 7 5 2 3 2 2" xfId="30162" xr:uid="{00000000-0005-0000-0000-0000CF750000}"/>
    <cellStyle name="표준 7 5 2 3 3" xfId="30163" xr:uid="{00000000-0005-0000-0000-0000D0750000}"/>
    <cellStyle name="표준 7 5 2 4" xfId="30164" xr:uid="{00000000-0005-0000-0000-0000D1750000}"/>
    <cellStyle name="표준 7 5 2 4 2" xfId="30165" xr:uid="{00000000-0005-0000-0000-0000D2750000}"/>
    <cellStyle name="표준 7 5 2 5" xfId="30166" xr:uid="{00000000-0005-0000-0000-0000D3750000}"/>
    <cellStyle name="표준 7 5 3" xfId="30167" xr:uid="{00000000-0005-0000-0000-0000D4750000}"/>
    <cellStyle name="표준 7 5 3 2" xfId="30168" xr:uid="{00000000-0005-0000-0000-0000D5750000}"/>
    <cellStyle name="표준 7 5 3 2 2" xfId="30169" xr:uid="{00000000-0005-0000-0000-0000D6750000}"/>
    <cellStyle name="표준 7 5 3 2 2 2" xfId="30170" xr:uid="{00000000-0005-0000-0000-0000D7750000}"/>
    <cellStyle name="표준 7 5 3 2 3" xfId="30171" xr:uid="{00000000-0005-0000-0000-0000D8750000}"/>
    <cellStyle name="표준 7 5 3 3" xfId="30172" xr:uid="{00000000-0005-0000-0000-0000D9750000}"/>
    <cellStyle name="표준 7 5 3 3 2" xfId="30173" xr:uid="{00000000-0005-0000-0000-0000DA750000}"/>
    <cellStyle name="표준 7 5 3 4" xfId="30174" xr:uid="{00000000-0005-0000-0000-0000DB750000}"/>
    <cellStyle name="표준 7 5 4" xfId="30175" xr:uid="{00000000-0005-0000-0000-0000DC750000}"/>
    <cellStyle name="표준 7 5 4 2" xfId="30176" xr:uid="{00000000-0005-0000-0000-0000DD750000}"/>
    <cellStyle name="표준 7 5 4 2 2" xfId="30177" xr:uid="{00000000-0005-0000-0000-0000DE750000}"/>
    <cellStyle name="표준 7 5 4 3" xfId="30178" xr:uid="{00000000-0005-0000-0000-0000DF750000}"/>
    <cellStyle name="표준 7 5 5" xfId="30179" xr:uid="{00000000-0005-0000-0000-0000E0750000}"/>
    <cellStyle name="표준 7 5 5 2" xfId="30180" xr:uid="{00000000-0005-0000-0000-0000E1750000}"/>
    <cellStyle name="표준 7 5 6" xfId="30181" xr:uid="{00000000-0005-0000-0000-0000E2750000}"/>
    <cellStyle name="표준 7 6" xfId="30182" xr:uid="{00000000-0005-0000-0000-0000E3750000}"/>
    <cellStyle name="표준 7 6 2" xfId="30183" xr:uid="{00000000-0005-0000-0000-0000E4750000}"/>
    <cellStyle name="표준 7 6 2 2" xfId="30184" xr:uid="{00000000-0005-0000-0000-0000E5750000}"/>
    <cellStyle name="표준 7 6 2 2 2" xfId="30185" xr:uid="{00000000-0005-0000-0000-0000E6750000}"/>
    <cellStyle name="표준 7 6 2 2 2 2" xfId="30186" xr:uid="{00000000-0005-0000-0000-0000E7750000}"/>
    <cellStyle name="표준 7 6 2 2 3" xfId="30187" xr:uid="{00000000-0005-0000-0000-0000E8750000}"/>
    <cellStyle name="표준 7 6 2 3" xfId="30188" xr:uid="{00000000-0005-0000-0000-0000E9750000}"/>
    <cellStyle name="표준 7 6 2 3 2" xfId="30189" xr:uid="{00000000-0005-0000-0000-0000EA750000}"/>
    <cellStyle name="표준 7 6 2 4" xfId="30190" xr:uid="{00000000-0005-0000-0000-0000EB750000}"/>
    <cellStyle name="표준 7 6 3" xfId="30191" xr:uid="{00000000-0005-0000-0000-0000EC750000}"/>
    <cellStyle name="표준 7 6 3 2" xfId="30192" xr:uid="{00000000-0005-0000-0000-0000ED750000}"/>
    <cellStyle name="표준 7 6 3 2 2" xfId="30193" xr:uid="{00000000-0005-0000-0000-0000EE750000}"/>
    <cellStyle name="표준 7 6 3 3" xfId="30194" xr:uid="{00000000-0005-0000-0000-0000EF750000}"/>
    <cellStyle name="표준 7 6 4" xfId="30195" xr:uid="{00000000-0005-0000-0000-0000F0750000}"/>
    <cellStyle name="표준 7 6 4 2" xfId="30196" xr:uid="{00000000-0005-0000-0000-0000F1750000}"/>
    <cellStyle name="표준 7 6 5" xfId="30197" xr:uid="{00000000-0005-0000-0000-0000F2750000}"/>
    <cellStyle name="표준 7 7" xfId="30198" xr:uid="{00000000-0005-0000-0000-0000F3750000}"/>
    <cellStyle name="표준 7 7 2" xfId="30199" xr:uid="{00000000-0005-0000-0000-0000F4750000}"/>
    <cellStyle name="표준 7 7 2 2" xfId="30200" xr:uid="{00000000-0005-0000-0000-0000F5750000}"/>
    <cellStyle name="표준 7 7 2 2 2" xfId="30201" xr:uid="{00000000-0005-0000-0000-0000F6750000}"/>
    <cellStyle name="표준 7 7 2 3" xfId="30202" xr:uid="{00000000-0005-0000-0000-0000F7750000}"/>
    <cellStyle name="표준 7 7 3" xfId="30203" xr:uid="{00000000-0005-0000-0000-0000F8750000}"/>
    <cellStyle name="표준 7 7 3 2" xfId="30204" xr:uid="{00000000-0005-0000-0000-0000F9750000}"/>
    <cellStyle name="표준 7 7 4" xfId="30205" xr:uid="{00000000-0005-0000-0000-0000FA750000}"/>
    <cellStyle name="표준 7 8" xfId="30206" xr:uid="{00000000-0005-0000-0000-0000FB750000}"/>
    <cellStyle name="표준 7 8 2" xfId="30207" xr:uid="{00000000-0005-0000-0000-0000FC750000}"/>
    <cellStyle name="표준 7 8 2 2" xfId="30208" xr:uid="{00000000-0005-0000-0000-0000FD750000}"/>
    <cellStyle name="표준 7 8 3" xfId="30209" xr:uid="{00000000-0005-0000-0000-0000FE750000}"/>
    <cellStyle name="표준 7 9" xfId="30210" xr:uid="{00000000-0005-0000-0000-0000FF750000}"/>
    <cellStyle name="표준 7 9 2" xfId="30211" xr:uid="{00000000-0005-0000-0000-000000760000}"/>
    <cellStyle name="표준 8" xfId="45" xr:uid="{00000000-0005-0000-0000-000001760000}"/>
    <cellStyle name="표준 8 10" xfId="30212" xr:uid="{00000000-0005-0000-0000-000002760000}"/>
    <cellStyle name="표준 8 11" xfId="30213" xr:uid="{00000000-0005-0000-0000-000003760000}"/>
    <cellStyle name="표준 8 2" xfId="60" xr:uid="{00000000-0005-0000-0000-000004760000}"/>
    <cellStyle name="표준 8 2 10" xfId="30214" xr:uid="{00000000-0005-0000-0000-000005760000}"/>
    <cellStyle name="표준 8 2 2" xfId="30215" xr:uid="{00000000-0005-0000-0000-000006760000}"/>
    <cellStyle name="표준 8 2 2 2" xfId="30216" xr:uid="{00000000-0005-0000-0000-000007760000}"/>
    <cellStyle name="표준 8 2 2 2 2" xfId="30217" xr:uid="{00000000-0005-0000-0000-000008760000}"/>
    <cellStyle name="표준 8 2 2 2 2 2" xfId="30218" xr:uid="{00000000-0005-0000-0000-000009760000}"/>
    <cellStyle name="표준 8 2 2 2 2 2 2" xfId="30219" xr:uid="{00000000-0005-0000-0000-00000A760000}"/>
    <cellStyle name="표준 8 2 2 2 2 2 2 2" xfId="30220" xr:uid="{00000000-0005-0000-0000-00000B760000}"/>
    <cellStyle name="표준 8 2 2 2 2 2 2 2 2" xfId="30221" xr:uid="{00000000-0005-0000-0000-00000C760000}"/>
    <cellStyle name="표준 8 2 2 2 2 2 2 2 2 2" xfId="30222" xr:uid="{00000000-0005-0000-0000-00000D760000}"/>
    <cellStyle name="표준 8 2 2 2 2 2 2 2 3" xfId="30223" xr:uid="{00000000-0005-0000-0000-00000E760000}"/>
    <cellStyle name="표준 8 2 2 2 2 2 2 3" xfId="30224" xr:uid="{00000000-0005-0000-0000-00000F760000}"/>
    <cellStyle name="표준 8 2 2 2 2 2 2 3 2" xfId="30225" xr:uid="{00000000-0005-0000-0000-000010760000}"/>
    <cellStyle name="표준 8 2 2 2 2 2 2 4" xfId="30226" xr:uid="{00000000-0005-0000-0000-000011760000}"/>
    <cellStyle name="표준 8 2 2 2 2 2 3" xfId="30227" xr:uid="{00000000-0005-0000-0000-000012760000}"/>
    <cellStyle name="표준 8 2 2 2 2 2 3 2" xfId="30228" xr:uid="{00000000-0005-0000-0000-000013760000}"/>
    <cellStyle name="표준 8 2 2 2 2 2 3 2 2" xfId="30229" xr:uid="{00000000-0005-0000-0000-000014760000}"/>
    <cellStyle name="표준 8 2 2 2 2 2 3 3" xfId="30230" xr:uid="{00000000-0005-0000-0000-000015760000}"/>
    <cellStyle name="표준 8 2 2 2 2 2 4" xfId="30231" xr:uid="{00000000-0005-0000-0000-000016760000}"/>
    <cellStyle name="표준 8 2 2 2 2 2 4 2" xfId="30232" xr:uid="{00000000-0005-0000-0000-000017760000}"/>
    <cellStyle name="표준 8 2 2 2 2 2 5" xfId="30233" xr:uid="{00000000-0005-0000-0000-000018760000}"/>
    <cellStyle name="표준 8 2 2 2 2 3" xfId="30234" xr:uid="{00000000-0005-0000-0000-000019760000}"/>
    <cellStyle name="표준 8 2 2 2 2 3 2" xfId="30235" xr:uid="{00000000-0005-0000-0000-00001A760000}"/>
    <cellStyle name="표준 8 2 2 2 2 3 2 2" xfId="30236" xr:uid="{00000000-0005-0000-0000-00001B760000}"/>
    <cellStyle name="표준 8 2 2 2 2 3 2 2 2" xfId="30237" xr:uid="{00000000-0005-0000-0000-00001C760000}"/>
    <cellStyle name="표준 8 2 2 2 2 3 2 3" xfId="30238" xr:uid="{00000000-0005-0000-0000-00001D760000}"/>
    <cellStyle name="표준 8 2 2 2 2 3 3" xfId="30239" xr:uid="{00000000-0005-0000-0000-00001E760000}"/>
    <cellStyle name="표준 8 2 2 2 2 3 3 2" xfId="30240" xr:uid="{00000000-0005-0000-0000-00001F760000}"/>
    <cellStyle name="표준 8 2 2 2 2 3 4" xfId="30241" xr:uid="{00000000-0005-0000-0000-000020760000}"/>
    <cellStyle name="표준 8 2 2 2 2 4" xfId="30242" xr:uid="{00000000-0005-0000-0000-000021760000}"/>
    <cellStyle name="표준 8 2 2 2 2 4 2" xfId="30243" xr:uid="{00000000-0005-0000-0000-000022760000}"/>
    <cellStyle name="표준 8 2 2 2 2 4 2 2" xfId="30244" xr:uid="{00000000-0005-0000-0000-000023760000}"/>
    <cellStyle name="표준 8 2 2 2 2 4 3" xfId="30245" xr:uid="{00000000-0005-0000-0000-000024760000}"/>
    <cellStyle name="표준 8 2 2 2 2 5" xfId="30246" xr:uid="{00000000-0005-0000-0000-000025760000}"/>
    <cellStyle name="표준 8 2 2 2 2 5 2" xfId="30247" xr:uid="{00000000-0005-0000-0000-000026760000}"/>
    <cellStyle name="표준 8 2 2 2 2 6" xfId="30248" xr:uid="{00000000-0005-0000-0000-000027760000}"/>
    <cellStyle name="표준 8 2 2 2 3" xfId="30249" xr:uid="{00000000-0005-0000-0000-000028760000}"/>
    <cellStyle name="표준 8 2 2 2 3 2" xfId="30250" xr:uid="{00000000-0005-0000-0000-000029760000}"/>
    <cellStyle name="표준 8 2 2 2 3 2 2" xfId="30251" xr:uid="{00000000-0005-0000-0000-00002A760000}"/>
    <cellStyle name="표준 8 2 2 2 3 2 2 2" xfId="30252" xr:uid="{00000000-0005-0000-0000-00002B760000}"/>
    <cellStyle name="표준 8 2 2 2 3 2 2 2 2" xfId="30253" xr:uid="{00000000-0005-0000-0000-00002C760000}"/>
    <cellStyle name="표준 8 2 2 2 3 2 2 3" xfId="30254" xr:uid="{00000000-0005-0000-0000-00002D760000}"/>
    <cellStyle name="표준 8 2 2 2 3 2 3" xfId="30255" xr:uid="{00000000-0005-0000-0000-00002E760000}"/>
    <cellStyle name="표준 8 2 2 2 3 2 3 2" xfId="30256" xr:uid="{00000000-0005-0000-0000-00002F760000}"/>
    <cellStyle name="표준 8 2 2 2 3 2 4" xfId="30257" xr:uid="{00000000-0005-0000-0000-000030760000}"/>
    <cellStyle name="표준 8 2 2 2 3 3" xfId="30258" xr:uid="{00000000-0005-0000-0000-000031760000}"/>
    <cellStyle name="표준 8 2 2 2 3 3 2" xfId="30259" xr:uid="{00000000-0005-0000-0000-000032760000}"/>
    <cellStyle name="표준 8 2 2 2 3 3 2 2" xfId="30260" xr:uid="{00000000-0005-0000-0000-000033760000}"/>
    <cellStyle name="표준 8 2 2 2 3 3 3" xfId="30261" xr:uid="{00000000-0005-0000-0000-000034760000}"/>
    <cellStyle name="표준 8 2 2 2 3 4" xfId="30262" xr:uid="{00000000-0005-0000-0000-000035760000}"/>
    <cellStyle name="표준 8 2 2 2 3 4 2" xfId="30263" xr:uid="{00000000-0005-0000-0000-000036760000}"/>
    <cellStyle name="표준 8 2 2 2 3 5" xfId="30264" xr:uid="{00000000-0005-0000-0000-000037760000}"/>
    <cellStyle name="표준 8 2 2 2 4" xfId="30265" xr:uid="{00000000-0005-0000-0000-000038760000}"/>
    <cellStyle name="표준 8 2 2 2 4 2" xfId="30266" xr:uid="{00000000-0005-0000-0000-000039760000}"/>
    <cellStyle name="표준 8 2 2 2 4 2 2" xfId="30267" xr:uid="{00000000-0005-0000-0000-00003A760000}"/>
    <cellStyle name="표준 8 2 2 2 4 2 2 2" xfId="30268" xr:uid="{00000000-0005-0000-0000-00003B760000}"/>
    <cellStyle name="표준 8 2 2 2 4 2 3" xfId="30269" xr:uid="{00000000-0005-0000-0000-00003C760000}"/>
    <cellStyle name="표준 8 2 2 2 4 3" xfId="30270" xr:uid="{00000000-0005-0000-0000-00003D760000}"/>
    <cellStyle name="표준 8 2 2 2 4 3 2" xfId="30271" xr:uid="{00000000-0005-0000-0000-00003E760000}"/>
    <cellStyle name="표준 8 2 2 2 4 4" xfId="30272" xr:uid="{00000000-0005-0000-0000-00003F760000}"/>
    <cellStyle name="표준 8 2 2 2 5" xfId="30273" xr:uid="{00000000-0005-0000-0000-000040760000}"/>
    <cellStyle name="표준 8 2 2 2 5 2" xfId="30274" xr:uid="{00000000-0005-0000-0000-000041760000}"/>
    <cellStyle name="표준 8 2 2 2 5 2 2" xfId="30275" xr:uid="{00000000-0005-0000-0000-000042760000}"/>
    <cellStyle name="표준 8 2 2 2 5 3" xfId="30276" xr:uid="{00000000-0005-0000-0000-000043760000}"/>
    <cellStyle name="표준 8 2 2 2 6" xfId="30277" xr:uid="{00000000-0005-0000-0000-000044760000}"/>
    <cellStyle name="표준 8 2 2 2 6 2" xfId="30278" xr:uid="{00000000-0005-0000-0000-000045760000}"/>
    <cellStyle name="표준 8 2 2 2 7" xfId="30279" xr:uid="{00000000-0005-0000-0000-000046760000}"/>
    <cellStyle name="표준 8 2 2 2 8" xfId="30280" xr:uid="{00000000-0005-0000-0000-000047760000}"/>
    <cellStyle name="표준 8 2 2 3" xfId="30281" xr:uid="{00000000-0005-0000-0000-000048760000}"/>
    <cellStyle name="표준 8 2 2 3 2" xfId="30282" xr:uid="{00000000-0005-0000-0000-000049760000}"/>
    <cellStyle name="표준 8 2 2 3 2 2" xfId="30283" xr:uid="{00000000-0005-0000-0000-00004A760000}"/>
    <cellStyle name="표준 8 2 2 3 2 2 2" xfId="30284" xr:uid="{00000000-0005-0000-0000-00004B760000}"/>
    <cellStyle name="표준 8 2 2 3 2 2 2 2" xfId="30285" xr:uid="{00000000-0005-0000-0000-00004C760000}"/>
    <cellStyle name="표준 8 2 2 3 2 2 2 2 2" xfId="30286" xr:uid="{00000000-0005-0000-0000-00004D760000}"/>
    <cellStyle name="표준 8 2 2 3 2 2 2 3" xfId="30287" xr:uid="{00000000-0005-0000-0000-00004E760000}"/>
    <cellStyle name="표준 8 2 2 3 2 2 3" xfId="30288" xr:uid="{00000000-0005-0000-0000-00004F760000}"/>
    <cellStyle name="표준 8 2 2 3 2 2 3 2" xfId="30289" xr:uid="{00000000-0005-0000-0000-000050760000}"/>
    <cellStyle name="표준 8 2 2 3 2 2 4" xfId="30290" xr:uid="{00000000-0005-0000-0000-000051760000}"/>
    <cellStyle name="표준 8 2 2 3 2 3" xfId="30291" xr:uid="{00000000-0005-0000-0000-000052760000}"/>
    <cellStyle name="표준 8 2 2 3 2 3 2" xfId="30292" xr:uid="{00000000-0005-0000-0000-000053760000}"/>
    <cellStyle name="표준 8 2 2 3 2 3 2 2" xfId="30293" xr:uid="{00000000-0005-0000-0000-000054760000}"/>
    <cellStyle name="표준 8 2 2 3 2 3 3" xfId="30294" xr:uid="{00000000-0005-0000-0000-000055760000}"/>
    <cellStyle name="표준 8 2 2 3 2 4" xfId="30295" xr:uid="{00000000-0005-0000-0000-000056760000}"/>
    <cellStyle name="표준 8 2 2 3 2 4 2" xfId="30296" xr:uid="{00000000-0005-0000-0000-000057760000}"/>
    <cellStyle name="표준 8 2 2 3 2 5" xfId="30297" xr:uid="{00000000-0005-0000-0000-000058760000}"/>
    <cellStyle name="표준 8 2 2 3 3" xfId="30298" xr:uid="{00000000-0005-0000-0000-000059760000}"/>
    <cellStyle name="표준 8 2 2 3 3 2" xfId="30299" xr:uid="{00000000-0005-0000-0000-00005A760000}"/>
    <cellStyle name="표준 8 2 2 3 3 2 2" xfId="30300" xr:uid="{00000000-0005-0000-0000-00005B760000}"/>
    <cellStyle name="표준 8 2 2 3 3 2 2 2" xfId="30301" xr:uid="{00000000-0005-0000-0000-00005C760000}"/>
    <cellStyle name="표준 8 2 2 3 3 2 3" xfId="30302" xr:uid="{00000000-0005-0000-0000-00005D760000}"/>
    <cellStyle name="표준 8 2 2 3 3 3" xfId="30303" xr:uid="{00000000-0005-0000-0000-00005E760000}"/>
    <cellStyle name="표준 8 2 2 3 3 3 2" xfId="30304" xr:uid="{00000000-0005-0000-0000-00005F760000}"/>
    <cellStyle name="표준 8 2 2 3 3 4" xfId="30305" xr:uid="{00000000-0005-0000-0000-000060760000}"/>
    <cellStyle name="표준 8 2 2 3 4" xfId="30306" xr:uid="{00000000-0005-0000-0000-000061760000}"/>
    <cellStyle name="표준 8 2 2 3 4 2" xfId="30307" xr:uid="{00000000-0005-0000-0000-000062760000}"/>
    <cellStyle name="표준 8 2 2 3 4 2 2" xfId="30308" xr:uid="{00000000-0005-0000-0000-000063760000}"/>
    <cellStyle name="표준 8 2 2 3 4 3" xfId="30309" xr:uid="{00000000-0005-0000-0000-000064760000}"/>
    <cellStyle name="표준 8 2 2 3 5" xfId="30310" xr:uid="{00000000-0005-0000-0000-000065760000}"/>
    <cellStyle name="표준 8 2 2 3 5 2" xfId="30311" xr:uid="{00000000-0005-0000-0000-000066760000}"/>
    <cellStyle name="표준 8 2 2 3 6" xfId="30312" xr:uid="{00000000-0005-0000-0000-000067760000}"/>
    <cellStyle name="표준 8 2 2 4" xfId="30313" xr:uid="{00000000-0005-0000-0000-000068760000}"/>
    <cellStyle name="표준 8 2 2 4 2" xfId="30314" xr:uid="{00000000-0005-0000-0000-000069760000}"/>
    <cellStyle name="표준 8 2 2 4 2 2" xfId="30315" xr:uid="{00000000-0005-0000-0000-00006A760000}"/>
    <cellStyle name="표준 8 2 2 4 2 2 2" xfId="30316" xr:uid="{00000000-0005-0000-0000-00006B760000}"/>
    <cellStyle name="표준 8 2 2 4 2 2 2 2" xfId="30317" xr:uid="{00000000-0005-0000-0000-00006C760000}"/>
    <cellStyle name="표준 8 2 2 4 2 2 3" xfId="30318" xr:uid="{00000000-0005-0000-0000-00006D760000}"/>
    <cellStyle name="표준 8 2 2 4 2 3" xfId="30319" xr:uid="{00000000-0005-0000-0000-00006E760000}"/>
    <cellStyle name="표준 8 2 2 4 2 3 2" xfId="30320" xr:uid="{00000000-0005-0000-0000-00006F760000}"/>
    <cellStyle name="표준 8 2 2 4 2 4" xfId="30321" xr:uid="{00000000-0005-0000-0000-000070760000}"/>
    <cellStyle name="표준 8 2 2 4 3" xfId="30322" xr:uid="{00000000-0005-0000-0000-000071760000}"/>
    <cellStyle name="표준 8 2 2 4 3 2" xfId="30323" xr:uid="{00000000-0005-0000-0000-000072760000}"/>
    <cellStyle name="표준 8 2 2 4 3 2 2" xfId="30324" xr:uid="{00000000-0005-0000-0000-000073760000}"/>
    <cellStyle name="표준 8 2 2 4 3 3" xfId="30325" xr:uid="{00000000-0005-0000-0000-000074760000}"/>
    <cellStyle name="표준 8 2 2 4 4" xfId="30326" xr:uid="{00000000-0005-0000-0000-000075760000}"/>
    <cellStyle name="표준 8 2 2 4 4 2" xfId="30327" xr:uid="{00000000-0005-0000-0000-000076760000}"/>
    <cellStyle name="표준 8 2 2 4 5" xfId="30328" xr:uid="{00000000-0005-0000-0000-000077760000}"/>
    <cellStyle name="표준 8 2 2 5" xfId="30329" xr:uid="{00000000-0005-0000-0000-000078760000}"/>
    <cellStyle name="표준 8 2 2 5 2" xfId="30330" xr:uid="{00000000-0005-0000-0000-000079760000}"/>
    <cellStyle name="표준 8 2 2 5 2 2" xfId="30331" xr:uid="{00000000-0005-0000-0000-00007A760000}"/>
    <cellStyle name="표준 8 2 2 5 2 2 2" xfId="30332" xr:uid="{00000000-0005-0000-0000-00007B760000}"/>
    <cellStyle name="표준 8 2 2 5 2 3" xfId="30333" xr:uid="{00000000-0005-0000-0000-00007C760000}"/>
    <cellStyle name="표준 8 2 2 5 3" xfId="30334" xr:uid="{00000000-0005-0000-0000-00007D760000}"/>
    <cellStyle name="표준 8 2 2 5 3 2" xfId="30335" xr:uid="{00000000-0005-0000-0000-00007E760000}"/>
    <cellStyle name="표준 8 2 2 5 4" xfId="30336" xr:uid="{00000000-0005-0000-0000-00007F760000}"/>
    <cellStyle name="표준 8 2 2 6" xfId="30337" xr:uid="{00000000-0005-0000-0000-000080760000}"/>
    <cellStyle name="표준 8 2 2 6 2" xfId="30338" xr:uid="{00000000-0005-0000-0000-000081760000}"/>
    <cellStyle name="표준 8 2 2 6 2 2" xfId="30339" xr:uid="{00000000-0005-0000-0000-000082760000}"/>
    <cellStyle name="표준 8 2 2 6 3" xfId="30340" xr:uid="{00000000-0005-0000-0000-000083760000}"/>
    <cellStyle name="표준 8 2 2 7" xfId="30341" xr:uid="{00000000-0005-0000-0000-000084760000}"/>
    <cellStyle name="표준 8 2 2 7 2" xfId="30342" xr:uid="{00000000-0005-0000-0000-000085760000}"/>
    <cellStyle name="표준 8 2 2 8" xfId="30343" xr:uid="{00000000-0005-0000-0000-000086760000}"/>
    <cellStyle name="표준 8 2 2 9" xfId="30344" xr:uid="{00000000-0005-0000-0000-000087760000}"/>
    <cellStyle name="표준 8 2 3" xfId="30345" xr:uid="{00000000-0005-0000-0000-000088760000}"/>
    <cellStyle name="표준 8 2 3 2" xfId="30346" xr:uid="{00000000-0005-0000-0000-000089760000}"/>
    <cellStyle name="표준 8 2 3 2 2" xfId="30347" xr:uid="{00000000-0005-0000-0000-00008A760000}"/>
    <cellStyle name="표준 8 2 3 2 2 2" xfId="30348" xr:uid="{00000000-0005-0000-0000-00008B760000}"/>
    <cellStyle name="표준 8 2 3 2 2 2 2" xfId="30349" xr:uid="{00000000-0005-0000-0000-00008C760000}"/>
    <cellStyle name="표준 8 2 3 2 2 2 2 2" xfId="30350" xr:uid="{00000000-0005-0000-0000-00008D760000}"/>
    <cellStyle name="표준 8 2 3 2 2 2 2 2 2" xfId="30351" xr:uid="{00000000-0005-0000-0000-00008E760000}"/>
    <cellStyle name="표준 8 2 3 2 2 2 2 3" xfId="30352" xr:uid="{00000000-0005-0000-0000-00008F760000}"/>
    <cellStyle name="표준 8 2 3 2 2 2 3" xfId="30353" xr:uid="{00000000-0005-0000-0000-000090760000}"/>
    <cellStyle name="표준 8 2 3 2 2 2 3 2" xfId="30354" xr:uid="{00000000-0005-0000-0000-000091760000}"/>
    <cellStyle name="표준 8 2 3 2 2 2 4" xfId="30355" xr:uid="{00000000-0005-0000-0000-000092760000}"/>
    <cellStyle name="표준 8 2 3 2 2 3" xfId="30356" xr:uid="{00000000-0005-0000-0000-000093760000}"/>
    <cellStyle name="표준 8 2 3 2 2 3 2" xfId="30357" xr:uid="{00000000-0005-0000-0000-000094760000}"/>
    <cellStyle name="표준 8 2 3 2 2 3 2 2" xfId="30358" xr:uid="{00000000-0005-0000-0000-000095760000}"/>
    <cellStyle name="표준 8 2 3 2 2 3 3" xfId="30359" xr:uid="{00000000-0005-0000-0000-000096760000}"/>
    <cellStyle name="표준 8 2 3 2 2 4" xfId="30360" xr:uid="{00000000-0005-0000-0000-000097760000}"/>
    <cellStyle name="표준 8 2 3 2 2 4 2" xfId="30361" xr:uid="{00000000-0005-0000-0000-000098760000}"/>
    <cellStyle name="표준 8 2 3 2 2 5" xfId="30362" xr:uid="{00000000-0005-0000-0000-000099760000}"/>
    <cellStyle name="표준 8 2 3 2 3" xfId="30363" xr:uid="{00000000-0005-0000-0000-00009A760000}"/>
    <cellStyle name="표준 8 2 3 2 3 2" xfId="30364" xr:uid="{00000000-0005-0000-0000-00009B760000}"/>
    <cellStyle name="표준 8 2 3 2 3 2 2" xfId="30365" xr:uid="{00000000-0005-0000-0000-00009C760000}"/>
    <cellStyle name="표준 8 2 3 2 3 2 2 2" xfId="30366" xr:uid="{00000000-0005-0000-0000-00009D760000}"/>
    <cellStyle name="표준 8 2 3 2 3 2 3" xfId="30367" xr:uid="{00000000-0005-0000-0000-00009E760000}"/>
    <cellStyle name="표준 8 2 3 2 3 3" xfId="30368" xr:uid="{00000000-0005-0000-0000-00009F760000}"/>
    <cellStyle name="표준 8 2 3 2 3 3 2" xfId="30369" xr:uid="{00000000-0005-0000-0000-0000A0760000}"/>
    <cellStyle name="표준 8 2 3 2 3 4" xfId="30370" xr:uid="{00000000-0005-0000-0000-0000A1760000}"/>
    <cellStyle name="표준 8 2 3 2 4" xfId="30371" xr:uid="{00000000-0005-0000-0000-0000A2760000}"/>
    <cellStyle name="표준 8 2 3 2 4 2" xfId="30372" xr:uid="{00000000-0005-0000-0000-0000A3760000}"/>
    <cellStyle name="표준 8 2 3 2 4 2 2" xfId="30373" xr:uid="{00000000-0005-0000-0000-0000A4760000}"/>
    <cellStyle name="표준 8 2 3 2 4 3" xfId="30374" xr:uid="{00000000-0005-0000-0000-0000A5760000}"/>
    <cellStyle name="표준 8 2 3 2 5" xfId="30375" xr:uid="{00000000-0005-0000-0000-0000A6760000}"/>
    <cellStyle name="표준 8 2 3 2 5 2" xfId="30376" xr:uid="{00000000-0005-0000-0000-0000A7760000}"/>
    <cellStyle name="표준 8 2 3 2 6" xfId="30377" xr:uid="{00000000-0005-0000-0000-0000A8760000}"/>
    <cellStyle name="표준 8 2 3 3" xfId="30378" xr:uid="{00000000-0005-0000-0000-0000A9760000}"/>
    <cellStyle name="표준 8 2 3 3 2" xfId="30379" xr:uid="{00000000-0005-0000-0000-0000AA760000}"/>
    <cellStyle name="표준 8 2 3 3 2 2" xfId="30380" xr:uid="{00000000-0005-0000-0000-0000AB760000}"/>
    <cellStyle name="표준 8 2 3 3 2 2 2" xfId="30381" xr:uid="{00000000-0005-0000-0000-0000AC760000}"/>
    <cellStyle name="표준 8 2 3 3 2 2 2 2" xfId="30382" xr:uid="{00000000-0005-0000-0000-0000AD760000}"/>
    <cellStyle name="표준 8 2 3 3 2 2 3" xfId="30383" xr:uid="{00000000-0005-0000-0000-0000AE760000}"/>
    <cellStyle name="표준 8 2 3 3 2 3" xfId="30384" xr:uid="{00000000-0005-0000-0000-0000AF760000}"/>
    <cellStyle name="표준 8 2 3 3 2 3 2" xfId="30385" xr:uid="{00000000-0005-0000-0000-0000B0760000}"/>
    <cellStyle name="표준 8 2 3 3 2 4" xfId="30386" xr:uid="{00000000-0005-0000-0000-0000B1760000}"/>
    <cellStyle name="표준 8 2 3 3 3" xfId="30387" xr:uid="{00000000-0005-0000-0000-0000B2760000}"/>
    <cellStyle name="표준 8 2 3 3 3 2" xfId="30388" xr:uid="{00000000-0005-0000-0000-0000B3760000}"/>
    <cellStyle name="표준 8 2 3 3 3 2 2" xfId="30389" xr:uid="{00000000-0005-0000-0000-0000B4760000}"/>
    <cellStyle name="표준 8 2 3 3 3 3" xfId="30390" xr:uid="{00000000-0005-0000-0000-0000B5760000}"/>
    <cellStyle name="표준 8 2 3 3 4" xfId="30391" xr:uid="{00000000-0005-0000-0000-0000B6760000}"/>
    <cellStyle name="표준 8 2 3 3 4 2" xfId="30392" xr:uid="{00000000-0005-0000-0000-0000B7760000}"/>
    <cellStyle name="표준 8 2 3 3 5" xfId="30393" xr:uid="{00000000-0005-0000-0000-0000B8760000}"/>
    <cellStyle name="표준 8 2 3 4" xfId="30394" xr:uid="{00000000-0005-0000-0000-0000B9760000}"/>
    <cellStyle name="표준 8 2 3 4 2" xfId="30395" xr:uid="{00000000-0005-0000-0000-0000BA760000}"/>
    <cellStyle name="표준 8 2 3 4 2 2" xfId="30396" xr:uid="{00000000-0005-0000-0000-0000BB760000}"/>
    <cellStyle name="표준 8 2 3 4 2 2 2" xfId="30397" xr:uid="{00000000-0005-0000-0000-0000BC760000}"/>
    <cellStyle name="표준 8 2 3 4 2 3" xfId="30398" xr:uid="{00000000-0005-0000-0000-0000BD760000}"/>
    <cellStyle name="표준 8 2 3 4 3" xfId="30399" xr:uid="{00000000-0005-0000-0000-0000BE760000}"/>
    <cellStyle name="표준 8 2 3 4 3 2" xfId="30400" xr:uid="{00000000-0005-0000-0000-0000BF760000}"/>
    <cellStyle name="표준 8 2 3 4 4" xfId="30401" xr:uid="{00000000-0005-0000-0000-0000C0760000}"/>
    <cellStyle name="표준 8 2 3 5" xfId="30402" xr:uid="{00000000-0005-0000-0000-0000C1760000}"/>
    <cellStyle name="표준 8 2 3 5 2" xfId="30403" xr:uid="{00000000-0005-0000-0000-0000C2760000}"/>
    <cellStyle name="표준 8 2 3 5 2 2" xfId="30404" xr:uid="{00000000-0005-0000-0000-0000C3760000}"/>
    <cellStyle name="표준 8 2 3 5 3" xfId="30405" xr:uid="{00000000-0005-0000-0000-0000C4760000}"/>
    <cellStyle name="표준 8 2 3 6" xfId="30406" xr:uid="{00000000-0005-0000-0000-0000C5760000}"/>
    <cellStyle name="표준 8 2 3 6 2" xfId="30407" xr:uid="{00000000-0005-0000-0000-0000C6760000}"/>
    <cellStyle name="표준 8 2 3 7" xfId="30408" xr:uid="{00000000-0005-0000-0000-0000C7760000}"/>
    <cellStyle name="표준 8 2 3 8" xfId="30409" xr:uid="{00000000-0005-0000-0000-0000C8760000}"/>
    <cellStyle name="표준 8 2 4" xfId="30410" xr:uid="{00000000-0005-0000-0000-0000C9760000}"/>
    <cellStyle name="표준 8 2 4 2" xfId="30411" xr:uid="{00000000-0005-0000-0000-0000CA760000}"/>
    <cellStyle name="표준 8 2 4 2 2" xfId="30412" xr:uid="{00000000-0005-0000-0000-0000CB760000}"/>
    <cellStyle name="표준 8 2 4 2 2 2" xfId="30413" xr:uid="{00000000-0005-0000-0000-0000CC760000}"/>
    <cellStyle name="표준 8 2 4 2 2 2 2" xfId="30414" xr:uid="{00000000-0005-0000-0000-0000CD760000}"/>
    <cellStyle name="표준 8 2 4 2 2 2 2 2" xfId="30415" xr:uid="{00000000-0005-0000-0000-0000CE760000}"/>
    <cellStyle name="표준 8 2 4 2 2 2 3" xfId="30416" xr:uid="{00000000-0005-0000-0000-0000CF760000}"/>
    <cellStyle name="표준 8 2 4 2 2 3" xfId="30417" xr:uid="{00000000-0005-0000-0000-0000D0760000}"/>
    <cellStyle name="표준 8 2 4 2 2 3 2" xfId="30418" xr:uid="{00000000-0005-0000-0000-0000D1760000}"/>
    <cellStyle name="표준 8 2 4 2 2 4" xfId="30419" xr:uid="{00000000-0005-0000-0000-0000D2760000}"/>
    <cellStyle name="표준 8 2 4 2 3" xfId="30420" xr:uid="{00000000-0005-0000-0000-0000D3760000}"/>
    <cellStyle name="표준 8 2 4 2 3 2" xfId="30421" xr:uid="{00000000-0005-0000-0000-0000D4760000}"/>
    <cellStyle name="표준 8 2 4 2 3 2 2" xfId="30422" xr:uid="{00000000-0005-0000-0000-0000D5760000}"/>
    <cellStyle name="표준 8 2 4 2 3 3" xfId="30423" xr:uid="{00000000-0005-0000-0000-0000D6760000}"/>
    <cellStyle name="표준 8 2 4 2 4" xfId="30424" xr:uid="{00000000-0005-0000-0000-0000D7760000}"/>
    <cellStyle name="표준 8 2 4 2 4 2" xfId="30425" xr:uid="{00000000-0005-0000-0000-0000D8760000}"/>
    <cellStyle name="표준 8 2 4 2 5" xfId="30426" xr:uid="{00000000-0005-0000-0000-0000D9760000}"/>
    <cellStyle name="표준 8 2 4 3" xfId="30427" xr:uid="{00000000-0005-0000-0000-0000DA760000}"/>
    <cellStyle name="표준 8 2 4 3 2" xfId="30428" xr:uid="{00000000-0005-0000-0000-0000DB760000}"/>
    <cellStyle name="표준 8 2 4 3 2 2" xfId="30429" xr:uid="{00000000-0005-0000-0000-0000DC760000}"/>
    <cellStyle name="표준 8 2 4 3 2 2 2" xfId="30430" xr:uid="{00000000-0005-0000-0000-0000DD760000}"/>
    <cellStyle name="표준 8 2 4 3 2 3" xfId="30431" xr:uid="{00000000-0005-0000-0000-0000DE760000}"/>
    <cellStyle name="표준 8 2 4 3 3" xfId="30432" xr:uid="{00000000-0005-0000-0000-0000DF760000}"/>
    <cellStyle name="표준 8 2 4 3 3 2" xfId="30433" xr:uid="{00000000-0005-0000-0000-0000E0760000}"/>
    <cellStyle name="표준 8 2 4 3 4" xfId="30434" xr:uid="{00000000-0005-0000-0000-0000E1760000}"/>
    <cellStyle name="표준 8 2 4 4" xfId="30435" xr:uid="{00000000-0005-0000-0000-0000E2760000}"/>
    <cellStyle name="표준 8 2 4 4 2" xfId="30436" xr:uid="{00000000-0005-0000-0000-0000E3760000}"/>
    <cellStyle name="표준 8 2 4 4 2 2" xfId="30437" xr:uid="{00000000-0005-0000-0000-0000E4760000}"/>
    <cellStyle name="표준 8 2 4 4 3" xfId="30438" xr:uid="{00000000-0005-0000-0000-0000E5760000}"/>
    <cellStyle name="표준 8 2 4 5" xfId="30439" xr:uid="{00000000-0005-0000-0000-0000E6760000}"/>
    <cellStyle name="표준 8 2 4 5 2" xfId="30440" xr:uid="{00000000-0005-0000-0000-0000E7760000}"/>
    <cellStyle name="표준 8 2 4 6" xfId="30441" xr:uid="{00000000-0005-0000-0000-0000E8760000}"/>
    <cellStyle name="표준 8 2 5" xfId="30442" xr:uid="{00000000-0005-0000-0000-0000E9760000}"/>
    <cellStyle name="표준 8 2 5 2" xfId="30443" xr:uid="{00000000-0005-0000-0000-0000EA760000}"/>
    <cellStyle name="표준 8 2 5 2 2" xfId="30444" xr:uid="{00000000-0005-0000-0000-0000EB760000}"/>
    <cellStyle name="표준 8 2 5 2 2 2" xfId="30445" xr:uid="{00000000-0005-0000-0000-0000EC760000}"/>
    <cellStyle name="표준 8 2 5 2 2 2 2" xfId="30446" xr:uid="{00000000-0005-0000-0000-0000ED760000}"/>
    <cellStyle name="표준 8 2 5 2 2 3" xfId="30447" xr:uid="{00000000-0005-0000-0000-0000EE760000}"/>
    <cellStyle name="표준 8 2 5 2 3" xfId="30448" xr:uid="{00000000-0005-0000-0000-0000EF760000}"/>
    <cellStyle name="표준 8 2 5 2 3 2" xfId="30449" xr:uid="{00000000-0005-0000-0000-0000F0760000}"/>
    <cellStyle name="표준 8 2 5 2 4" xfId="30450" xr:uid="{00000000-0005-0000-0000-0000F1760000}"/>
    <cellStyle name="표준 8 2 5 3" xfId="30451" xr:uid="{00000000-0005-0000-0000-0000F2760000}"/>
    <cellStyle name="표준 8 2 5 3 2" xfId="30452" xr:uid="{00000000-0005-0000-0000-0000F3760000}"/>
    <cellStyle name="표준 8 2 5 3 2 2" xfId="30453" xr:uid="{00000000-0005-0000-0000-0000F4760000}"/>
    <cellStyle name="표준 8 2 5 3 3" xfId="30454" xr:uid="{00000000-0005-0000-0000-0000F5760000}"/>
    <cellStyle name="표준 8 2 5 4" xfId="30455" xr:uid="{00000000-0005-0000-0000-0000F6760000}"/>
    <cellStyle name="표준 8 2 5 4 2" xfId="30456" xr:uid="{00000000-0005-0000-0000-0000F7760000}"/>
    <cellStyle name="표준 8 2 5 5" xfId="30457" xr:uid="{00000000-0005-0000-0000-0000F8760000}"/>
    <cellStyle name="표준 8 2 6" xfId="30458" xr:uid="{00000000-0005-0000-0000-0000F9760000}"/>
    <cellStyle name="표준 8 2 6 2" xfId="30459" xr:uid="{00000000-0005-0000-0000-0000FA760000}"/>
    <cellStyle name="표준 8 2 6 2 2" xfId="30460" xr:uid="{00000000-0005-0000-0000-0000FB760000}"/>
    <cellStyle name="표준 8 2 6 2 2 2" xfId="30461" xr:uid="{00000000-0005-0000-0000-0000FC760000}"/>
    <cellStyle name="표준 8 2 6 2 3" xfId="30462" xr:uid="{00000000-0005-0000-0000-0000FD760000}"/>
    <cellStyle name="표준 8 2 6 3" xfId="30463" xr:uid="{00000000-0005-0000-0000-0000FE760000}"/>
    <cellStyle name="표준 8 2 6 3 2" xfId="30464" xr:uid="{00000000-0005-0000-0000-0000FF760000}"/>
    <cellStyle name="표준 8 2 6 4" xfId="30465" xr:uid="{00000000-0005-0000-0000-000000770000}"/>
    <cellStyle name="표준 8 2 7" xfId="30466" xr:uid="{00000000-0005-0000-0000-000001770000}"/>
    <cellStyle name="표준 8 2 7 2" xfId="30467" xr:uid="{00000000-0005-0000-0000-000002770000}"/>
    <cellStyle name="표준 8 2 7 2 2" xfId="30468" xr:uid="{00000000-0005-0000-0000-000003770000}"/>
    <cellStyle name="표준 8 2 7 3" xfId="30469" xr:uid="{00000000-0005-0000-0000-000004770000}"/>
    <cellStyle name="표준 8 2 8" xfId="30470" xr:uid="{00000000-0005-0000-0000-000005770000}"/>
    <cellStyle name="표준 8 2 8 2" xfId="30471" xr:uid="{00000000-0005-0000-0000-000006770000}"/>
    <cellStyle name="표준 8 2 9" xfId="30472" xr:uid="{00000000-0005-0000-0000-000007770000}"/>
    <cellStyle name="표준 8 3" xfId="30473" xr:uid="{00000000-0005-0000-0000-000008770000}"/>
    <cellStyle name="표준 8 3 2" xfId="30474" xr:uid="{00000000-0005-0000-0000-000009770000}"/>
    <cellStyle name="표준 8 3 2 2" xfId="30475" xr:uid="{00000000-0005-0000-0000-00000A770000}"/>
    <cellStyle name="표준 8 3 2 2 2" xfId="30476" xr:uid="{00000000-0005-0000-0000-00000B770000}"/>
    <cellStyle name="표준 8 3 2 2 2 2" xfId="30477" xr:uid="{00000000-0005-0000-0000-00000C770000}"/>
    <cellStyle name="표준 8 3 2 2 2 2 2" xfId="30478" xr:uid="{00000000-0005-0000-0000-00000D770000}"/>
    <cellStyle name="표준 8 3 2 2 2 2 2 2" xfId="30479" xr:uid="{00000000-0005-0000-0000-00000E770000}"/>
    <cellStyle name="표준 8 3 2 2 2 2 2 2 2" xfId="30480" xr:uid="{00000000-0005-0000-0000-00000F770000}"/>
    <cellStyle name="표준 8 3 2 2 2 2 2 3" xfId="30481" xr:uid="{00000000-0005-0000-0000-000010770000}"/>
    <cellStyle name="표준 8 3 2 2 2 2 3" xfId="30482" xr:uid="{00000000-0005-0000-0000-000011770000}"/>
    <cellStyle name="표준 8 3 2 2 2 2 3 2" xfId="30483" xr:uid="{00000000-0005-0000-0000-000012770000}"/>
    <cellStyle name="표준 8 3 2 2 2 2 4" xfId="30484" xr:uid="{00000000-0005-0000-0000-000013770000}"/>
    <cellStyle name="표준 8 3 2 2 2 3" xfId="30485" xr:uid="{00000000-0005-0000-0000-000014770000}"/>
    <cellStyle name="표준 8 3 2 2 2 3 2" xfId="30486" xr:uid="{00000000-0005-0000-0000-000015770000}"/>
    <cellStyle name="표준 8 3 2 2 2 3 2 2" xfId="30487" xr:uid="{00000000-0005-0000-0000-000016770000}"/>
    <cellStyle name="표준 8 3 2 2 2 3 3" xfId="30488" xr:uid="{00000000-0005-0000-0000-000017770000}"/>
    <cellStyle name="표준 8 3 2 2 2 4" xfId="30489" xr:uid="{00000000-0005-0000-0000-000018770000}"/>
    <cellStyle name="표준 8 3 2 2 2 4 2" xfId="30490" xr:uid="{00000000-0005-0000-0000-000019770000}"/>
    <cellStyle name="표준 8 3 2 2 2 5" xfId="30491" xr:uid="{00000000-0005-0000-0000-00001A770000}"/>
    <cellStyle name="표준 8 3 2 2 3" xfId="30492" xr:uid="{00000000-0005-0000-0000-00001B770000}"/>
    <cellStyle name="표준 8 3 2 2 3 2" xfId="30493" xr:uid="{00000000-0005-0000-0000-00001C770000}"/>
    <cellStyle name="표준 8 3 2 2 3 2 2" xfId="30494" xr:uid="{00000000-0005-0000-0000-00001D770000}"/>
    <cellStyle name="표준 8 3 2 2 3 2 2 2" xfId="30495" xr:uid="{00000000-0005-0000-0000-00001E770000}"/>
    <cellStyle name="표준 8 3 2 2 3 2 3" xfId="30496" xr:uid="{00000000-0005-0000-0000-00001F770000}"/>
    <cellStyle name="표준 8 3 2 2 3 3" xfId="30497" xr:uid="{00000000-0005-0000-0000-000020770000}"/>
    <cellStyle name="표준 8 3 2 2 3 3 2" xfId="30498" xr:uid="{00000000-0005-0000-0000-000021770000}"/>
    <cellStyle name="표준 8 3 2 2 3 4" xfId="30499" xr:uid="{00000000-0005-0000-0000-000022770000}"/>
    <cellStyle name="표준 8 3 2 2 4" xfId="30500" xr:uid="{00000000-0005-0000-0000-000023770000}"/>
    <cellStyle name="표준 8 3 2 2 4 2" xfId="30501" xr:uid="{00000000-0005-0000-0000-000024770000}"/>
    <cellStyle name="표준 8 3 2 2 4 2 2" xfId="30502" xr:uid="{00000000-0005-0000-0000-000025770000}"/>
    <cellStyle name="표준 8 3 2 2 4 3" xfId="30503" xr:uid="{00000000-0005-0000-0000-000026770000}"/>
    <cellStyle name="표준 8 3 2 2 5" xfId="30504" xr:uid="{00000000-0005-0000-0000-000027770000}"/>
    <cellStyle name="표준 8 3 2 2 5 2" xfId="30505" xr:uid="{00000000-0005-0000-0000-000028770000}"/>
    <cellStyle name="표준 8 3 2 2 6" xfId="30506" xr:uid="{00000000-0005-0000-0000-000029770000}"/>
    <cellStyle name="표준 8 3 2 3" xfId="30507" xr:uid="{00000000-0005-0000-0000-00002A770000}"/>
    <cellStyle name="표준 8 3 2 3 2" xfId="30508" xr:uid="{00000000-0005-0000-0000-00002B770000}"/>
    <cellStyle name="표준 8 3 2 3 2 2" xfId="30509" xr:uid="{00000000-0005-0000-0000-00002C770000}"/>
    <cellStyle name="표준 8 3 2 3 2 2 2" xfId="30510" xr:uid="{00000000-0005-0000-0000-00002D770000}"/>
    <cellStyle name="표준 8 3 2 3 2 2 2 2" xfId="30511" xr:uid="{00000000-0005-0000-0000-00002E770000}"/>
    <cellStyle name="표준 8 3 2 3 2 2 3" xfId="30512" xr:uid="{00000000-0005-0000-0000-00002F770000}"/>
    <cellStyle name="표준 8 3 2 3 2 3" xfId="30513" xr:uid="{00000000-0005-0000-0000-000030770000}"/>
    <cellStyle name="표준 8 3 2 3 2 3 2" xfId="30514" xr:uid="{00000000-0005-0000-0000-000031770000}"/>
    <cellStyle name="표준 8 3 2 3 2 4" xfId="30515" xr:uid="{00000000-0005-0000-0000-000032770000}"/>
    <cellStyle name="표준 8 3 2 3 3" xfId="30516" xr:uid="{00000000-0005-0000-0000-000033770000}"/>
    <cellStyle name="표준 8 3 2 3 3 2" xfId="30517" xr:uid="{00000000-0005-0000-0000-000034770000}"/>
    <cellStyle name="표준 8 3 2 3 3 2 2" xfId="30518" xr:uid="{00000000-0005-0000-0000-000035770000}"/>
    <cellStyle name="표준 8 3 2 3 3 3" xfId="30519" xr:uid="{00000000-0005-0000-0000-000036770000}"/>
    <cellStyle name="표준 8 3 2 3 4" xfId="30520" xr:uid="{00000000-0005-0000-0000-000037770000}"/>
    <cellStyle name="표준 8 3 2 3 4 2" xfId="30521" xr:uid="{00000000-0005-0000-0000-000038770000}"/>
    <cellStyle name="표준 8 3 2 3 5" xfId="30522" xr:uid="{00000000-0005-0000-0000-000039770000}"/>
    <cellStyle name="표준 8 3 2 4" xfId="30523" xr:uid="{00000000-0005-0000-0000-00003A770000}"/>
    <cellStyle name="표준 8 3 2 4 2" xfId="30524" xr:uid="{00000000-0005-0000-0000-00003B770000}"/>
    <cellStyle name="표준 8 3 2 4 2 2" xfId="30525" xr:uid="{00000000-0005-0000-0000-00003C770000}"/>
    <cellStyle name="표준 8 3 2 4 2 2 2" xfId="30526" xr:uid="{00000000-0005-0000-0000-00003D770000}"/>
    <cellStyle name="표준 8 3 2 4 2 3" xfId="30527" xr:uid="{00000000-0005-0000-0000-00003E770000}"/>
    <cellStyle name="표준 8 3 2 4 3" xfId="30528" xr:uid="{00000000-0005-0000-0000-00003F770000}"/>
    <cellStyle name="표준 8 3 2 4 3 2" xfId="30529" xr:uid="{00000000-0005-0000-0000-000040770000}"/>
    <cellStyle name="표준 8 3 2 4 4" xfId="30530" xr:uid="{00000000-0005-0000-0000-000041770000}"/>
    <cellStyle name="표준 8 3 2 5" xfId="30531" xr:uid="{00000000-0005-0000-0000-000042770000}"/>
    <cellStyle name="표준 8 3 2 5 2" xfId="30532" xr:uid="{00000000-0005-0000-0000-000043770000}"/>
    <cellStyle name="표준 8 3 2 5 2 2" xfId="30533" xr:uid="{00000000-0005-0000-0000-000044770000}"/>
    <cellStyle name="표준 8 3 2 5 3" xfId="30534" xr:uid="{00000000-0005-0000-0000-000045770000}"/>
    <cellStyle name="표준 8 3 2 6" xfId="30535" xr:uid="{00000000-0005-0000-0000-000046770000}"/>
    <cellStyle name="표준 8 3 2 6 2" xfId="30536" xr:uid="{00000000-0005-0000-0000-000047770000}"/>
    <cellStyle name="표준 8 3 2 7" xfId="30537" xr:uid="{00000000-0005-0000-0000-000048770000}"/>
    <cellStyle name="표준 8 3 2 8" xfId="30538" xr:uid="{00000000-0005-0000-0000-000049770000}"/>
    <cellStyle name="표준 8 3 3" xfId="30539" xr:uid="{00000000-0005-0000-0000-00004A770000}"/>
    <cellStyle name="표준 8 3 3 2" xfId="30540" xr:uid="{00000000-0005-0000-0000-00004B770000}"/>
    <cellStyle name="표준 8 3 3 2 2" xfId="30541" xr:uid="{00000000-0005-0000-0000-00004C770000}"/>
    <cellStyle name="표준 8 3 3 2 2 2" xfId="30542" xr:uid="{00000000-0005-0000-0000-00004D770000}"/>
    <cellStyle name="표준 8 3 3 2 2 2 2" xfId="30543" xr:uid="{00000000-0005-0000-0000-00004E770000}"/>
    <cellStyle name="표준 8 3 3 2 2 2 2 2" xfId="30544" xr:uid="{00000000-0005-0000-0000-00004F770000}"/>
    <cellStyle name="표준 8 3 3 2 2 2 3" xfId="30545" xr:uid="{00000000-0005-0000-0000-000050770000}"/>
    <cellStyle name="표준 8 3 3 2 2 3" xfId="30546" xr:uid="{00000000-0005-0000-0000-000051770000}"/>
    <cellStyle name="표준 8 3 3 2 2 3 2" xfId="30547" xr:uid="{00000000-0005-0000-0000-000052770000}"/>
    <cellStyle name="표준 8 3 3 2 2 4" xfId="30548" xr:uid="{00000000-0005-0000-0000-000053770000}"/>
    <cellStyle name="표준 8 3 3 2 3" xfId="30549" xr:uid="{00000000-0005-0000-0000-000054770000}"/>
    <cellStyle name="표준 8 3 3 2 3 2" xfId="30550" xr:uid="{00000000-0005-0000-0000-000055770000}"/>
    <cellStyle name="표준 8 3 3 2 3 2 2" xfId="30551" xr:uid="{00000000-0005-0000-0000-000056770000}"/>
    <cellStyle name="표준 8 3 3 2 3 3" xfId="30552" xr:uid="{00000000-0005-0000-0000-000057770000}"/>
    <cellStyle name="표준 8 3 3 2 4" xfId="30553" xr:uid="{00000000-0005-0000-0000-000058770000}"/>
    <cellStyle name="표준 8 3 3 2 4 2" xfId="30554" xr:uid="{00000000-0005-0000-0000-000059770000}"/>
    <cellStyle name="표준 8 3 3 2 5" xfId="30555" xr:uid="{00000000-0005-0000-0000-00005A770000}"/>
    <cellStyle name="표준 8 3 3 3" xfId="30556" xr:uid="{00000000-0005-0000-0000-00005B770000}"/>
    <cellStyle name="표준 8 3 3 3 2" xfId="30557" xr:uid="{00000000-0005-0000-0000-00005C770000}"/>
    <cellStyle name="표준 8 3 3 3 2 2" xfId="30558" xr:uid="{00000000-0005-0000-0000-00005D770000}"/>
    <cellStyle name="표준 8 3 3 3 2 2 2" xfId="30559" xr:uid="{00000000-0005-0000-0000-00005E770000}"/>
    <cellStyle name="표준 8 3 3 3 2 3" xfId="30560" xr:uid="{00000000-0005-0000-0000-00005F770000}"/>
    <cellStyle name="표준 8 3 3 3 3" xfId="30561" xr:uid="{00000000-0005-0000-0000-000060770000}"/>
    <cellStyle name="표준 8 3 3 3 3 2" xfId="30562" xr:uid="{00000000-0005-0000-0000-000061770000}"/>
    <cellStyle name="표준 8 3 3 3 4" xfId="30563" xr:uid="{00000000-0005-0000-0000-000062770000}"/>
    <cellStyle name="표준 8 3 3 4" xfId="30564" xr:uid="{00000000-0005-0000-0000-000063770000}"/>
    <cellStyle name="표준 8 3 3 4 2" xfId="30565" xr:uid="{00000000-0005-0000-0000-000064770000}"/>
    <cellStyle name="표준 8 3 3 4 2 2" xfId="30566" xr:uid="{00000000-0005-0000-0000-000065770000}"/>
    <cellStyle name="표준 8 3 3 4 3" xfId="30567" xr:uid="{00000000-0005-0000-0000-000066770000}"/>
    <cellStyle name="표준 8 3 3 5" xfId="30568" xr:uid="{00000000-0005-0000-0000-000067770000}"/>
    <cellStyle name="표준 8 3 3 5 2" xfId="30569" xr:uid="{00000000-0005-0000-0000-000068770000}"/>
    <cellStyle name="표준 8 3 3 6" xfId="30570" xr:uid="{00000000-0005-0000-0000-000069770000}"/>
    <cellStyle name="표준 8 3 4" xfId="30571" xr:uid="{00000000-0005-0000-0000-00006A770000}"/>
    <cellStyle name="표준 8 3 4 2" xfId="30572" xr:uid="{00000000-0005-0000-0000-00006B770000}"/>
    <cellStyle name="표준 8 3 4 2 2" xfId="30573" xr:uid="{00000000-0005-0000-0000-00006C770000}"/>
    <cellStyle name="표준 8 3 4 2 2 2" xfId="30574" xr:uid="{00000000-0005-0000-0000-00006D770000}"/>
    <cellStyle name="표준 8 3 4 2 2 2 2" xfId="30575" xr:uid="{00000000-0005-0000-0000-00006E770000}"/>
    <cellStyle name="표준 8 3 4 2 2 3" xfId="30576" xr:uid="{00000000-0005-0000-0000-00006F770000}"/>
    <cellStyle name="표준 8 3 4 2 3" xfId="30577" xr:uid="{00000000-0005-0000-0000-000070770000}"/>
    <cellStyle name="표준 8 3 4 2 3 2" xfId="30578" xr:uid="{00000000-0005-0000-0000-000071770000}"/>
    <cellStyle name="표준 8 3 4 2 4" xfId="30579" xr:uid="{00000000-0005-0000-0000-000072770000}"/>
    <cellStyle name="표준 8 3 4 3" xfId="30580" xr:uid="{00000000-0005-0000-0000-000073770000}"/>
    <cellStyle name="표준 8 3 4 3 2" xfId="30581" xr:uid="{00000000-0005-0000-0000-000074770000}"/>
    <cellStyle name="표준 8 3 4 3 2 2" xfId="30582" xr:uid="{00000000-0005-0000-0000-000075770000}"/>
    <cellStyle name="표준 8 3 4 3 3" xfId="30583" xr:uid="{00000000-0005-0000-0000-000076770000}"/>
    <cellStyle name="표준 8 3 4 4" xfId="30584" xr:uid="{00000000-0005-0000-0000-000077770000}"/>
    <cellStyle name="표준 8 3 4 4 2" xfId="30585" xr:uid="{00000000-0005-0000-0000-000078770000}"/>
    <cellStyle name="표준 8 3 4 5" xfId="30586" xr:uid="{00000000-0005-0000-0000-000079770000}"/>
    <cellStyle name="표준 8 3 5" xfId="30587" xr:uid="{00000000-0005-0000-0000-00007A770000}"/>
    <cellStyle name="표준 8 3 5 2" xfId="30588" xr:uid="{00000000-0005-0000-0000-00007B770000}"/>
    <cellStyle name="표준 8 3 5 2 2" xfId="30589" xr:uid="{00000000-0005-0000-0000-00007C770000}"/>
    <cellStyle name="표준 8 3 5 2 2 2" xfId="30590" xr:uid="{00000000-0005-0000-0000-00007D770000}"/>
    <cellStyle name="표준 8 3 5 2 3" xfId="30591" xr:uid="{00000000-0005-0000-0000-00007E770000}"/>
    <cellStyle name="표준 8 3 5 3" xfId="30592" xr:uid="{00000000-0005-0000-0000-00007F770000}"/>
    <cellStyle name="표준 8 3 5 3 2" xfId="30593" xr:uid="{00000000-0005-0000-0000-000080770000}"/>
    <cellStyle name="표준 8 3 5 4" xfId="30594" xr:uid="{00000000-0005-0000-0000-000081770000}"/>
    <cellStyle name="표준 8 3 6" xfId="30595" xr:uid="{00000000-0005-0000-0000-000082770000}"/>
    <cellStyle name="표준 8 3 6 2" xfId="30596" xr:uid="{00000000-0005-0000-0000-000083770000}"/>
    <cellStyle name="표준 8 3 6 2 2" xfId="30597" xr:uid="{00000000-0005-0000-0000-000084770000}"/>
    <cellStyle name="표준 8 3 6 3" xfId="30598" xr:uid="{00000000-0005-0000-0000-000085770000}"/>
    <cellStyle name="표준 8 3 7" xfId="30599" xr:uid="{00000000-0005-0000-0000-000086770000}"/>
    <cellStyle name="표준 8 3 7 2" xfId="30600" xr:uid="{00000000-0005-0000-0000-000087770000}"/>
    <cellStyle name="표준 8 3 8" xfId="30601" xr:uid="{00000000-0005-0000-0000-000088770000}"/>
    <cellStyle name="표준 8 3 9" xfId="30602" xr:uid="{00000000-0005-0000-0000-000089770000}"/>
    <cellStyle name="표준 8 4" xfId="30603" xr:uid="{00000000-0005-0000-0000-00008A770000}"/>
    <cellStyle name="표준 8 4 2" xfId="30604" xr:uid="{00000000-0005-0000-0000-00008B770000}"/>
    <cellStyle name="표준 8 4 2 2" xfId="30605" xr:uid="{00000000-0005-0000-0000-00008C770000}"/>
    <cellStyle name="표준 8 4 2 2 2" xfId="30606" xr:uid="{00000000-0005-0000-0000-00008D770000}"/>
    <cellStyle name="표준 8 4 2 2 2 2" xfId="30607" xr:uid="{00000000-0005-0000-0000-00008E770000}"/>
    <cellStyle name="표준 8 4 2 2 2 2 2" xfId="30608" xr:uid="{00000000-0005-0000-0000-00008F770000}"/>
    <cellStyle name="표준 8 4 2 2 2 2 2 2" xfId="30609" xr:uid="{00000000-0005-0000-0000-000090770000}"/>
    <cellStyle name="표준 8 4 2 2 2 2 3" xfId="30610" xr:uid="{00000000-0005-0000-0000-000091770000}"/>
    <cellStyle name="표준 8 4 2 2 2 3" xfId="30611" xr:uid="{00000000-0005-0000-0000-000092770000}"/>
    <cellStyle name="표준 8 4 2 2 2 3 2" xfId="30612" xr:uid="{00000000-0005-0000-0000-000093770000}"/>
    <cellStyle name="표준 8 4 2 2 2 4" xfId="30613" xr:uid="{00000000-0005-0000-0000-000094770000}"/>
    <cellStyle name="표준 8 4 2 2 3" xfId="30614" xr:uid="{00000000-0005-0000-0000-000095770000}"/>
    <cellStyle name="표준 8 4 2 2 3 2" xfId="30615" xr:uid="{00000000-0005-0000-0000-000096770000}"/>
    <cellStyle name="표준 8 4 2 2 3 2 2" xfId="30616" xr:uid="{00000000-0005-0000-0000-000097770000}"/>
    <cellStyle name="표준 8 4 2 2 3 3" xfId="30617" xr:uid="{00000000-0005-0000-0000-000098770000}"/>
    <cellStyle name="표준 8 4 2 2 4" xfId="30618" xr:uid="{00000000-0005-0000-0000-000099770000}"/>
    <cellStyle name="표준 8 4 2 2 4 2" xfId="30619" xr:uid="{00000000-0005-0000-0000-00009A770000}"/>
    <cellStyle name="표준 8 4 2 2 5" xfId="30620" xr:uid="{00000000-0005-0000-0000-00009B770000}"/>
    <cellStyle name="표준 8 4 2 3" xfId="30621" xr:uid="{00000000-0005-0000-0000-00009C770000}"/>
    <cellStyle name="표준 8 4 2 3 2" xfId="30622" xr:uid="{00000000-0005-0000-0000-00009D770000}"/>
    <cellStyle name="표준 8 4 2 3 2 2" xfId="30623" xr:uid="{00000000-0005-0000-0000-00009E770000}"/>
    <cellStyle name="표준 8 4 2 3 2 2 2" xfId="30624" xr:uid="{00000000-0005-0000-0000-00009F770000}"/>
    <cellStyle name="표준 8 4 2 3 2 3" xfId="30625" xr:uid="{00000000-0005-0000-0000-0000A0770000}"/>
    <cellStyle name="표준 8 4 2 3 3" xfId="30626" xr:uid="{00000000-0005-0000-0000-0000A1770000}"/>
    <cellStyle name="표준 8 4 2 3 3 2" xfId="30627" xr:uid="{00000000-0005-0000-0000-0000A2770000}"/>
    <cellStyle name="표준 8 4 2 3 4" xfId="30628" xr:uid="{00000000-0005-0000-0000-0000A3770000}"/>
    <cellStyle name="표준 8 4 2 4" xfId="30629" xr:uid="{00000000-0005-0000-0000-0000A4770000}"/>
    <cellStyle name="표준 8 4 2 4 2" xfId="30630" xr:uid="{00000000-0005-0000-0000-0000A5770000}"/>
    <cellStyle name="표준 8 4 2 4 2 2" xfId="30631" xr:uid="{00000000-0005-0000-0000-0000A6770000}"/>
    <cellStyle name="표준 8 4 2 4 3" xfId="30632" xr:uid="{00000000-0005-0000-0000-0000A7770000}"/>
    <cellStyle name="표준 8 4 2 5" xfId="30633" xr:uid="{00000000-0005-0000-0000-0000A8770000}"/>
    <cellStyle name="표준 8 4 2 5 2" xfId="30634" xr:uid="{00000000-0005-0000-0000-0000A9770000}"/>
    <cellStyle name="표준 8 4 2 6" xfId="30635" xr:uid="{00000000-0005-0000-0000-0000AA770000}"/>
    <cellStyle name="표준 8 4 3" xfId="30636" xr:uid="{00000000-0005-0000-0000-0000AB770000}"/>
    <cellStyle name="표준 8 4 3 2" xfId="30637" xr:uid="{00000000-0005-0000-0000-0000AC770000}"/>
    <cellStyle name="표준 8 4 3 2 2" xfId="30638" xr:uid="{00000000-0005-0000-0000-0000AD770000}"/>
    <cellStyle name="표준 8 4 3 2 2 2" xfId="30639" xr:uid="{00000000-0005-0000-0000-0000AE770000}"/>
    <cellStyle name="표준 8 4 3 2 2 2 2" xfId="30640" xr:uid="{00000000-0005-0000-0000-0000AF770000}"/>
    <cellStyle name="표준 8 4 3 2 2 3" xfId="30641" xr:uid="{00000000-0005-0000-0000-0000B0770000}"/>
    <cellStyle name="표준 8 4 3 2 3" xfId="30642" xr:uid="{00000000-0005-0000-0000-0000B1770000}"/>
    <cellStyle name="표준 8 4 3 2 3 2" xfId="30643" xr:uid="{00000000-0005-0000-0000-0000B2770000}"/>
    <cellStyle name="표준 8 4 3 2 4" xfId="30644" xr:uid="{00000000-0005-0000-0000-0000B3770000}"/>
    <cellStyle name="표준 8 4 3 3" xfId="30645" xr:uid="{00000000-0005-0000-0000-0000B4770000}"/>
    <cellStyle name="표준 8 4 3 3 2" xfId="30646" xr:uid="{00000000-0005-0000-0000-0000B5770000}"/>
    <cellStyle name="표준 8 4 3 3 2 2" xfId="30647" xr:uid="{00000000-0005-0000-0000-0000B6770000}"/>
    <cellStyle name="표준 8 4 3 3 3" xfId="30648" xr:uid="{00000000-0005-0000-0000-0000B7770000}"/>
    <cellStyle name="표준 8 4 3 4" xfId="30649" xr:uid="{00000000-0005-0000-0000-0000B8770000}"/>
    <cellStyle name="표준 8 4 3 4 2" xfId="30650" xr:uid="{00000000-0005-0000-0000-0000B9770000}"/>
    <cellStyle name="표준 8 4 3 5" xfId="30651" xr:uid="{00000000-0005-0000-0000-0000BA770000}"/>
    <cellStyle name="표준 8 4 4" xfId="30652" xr:uid="{00000000-0005-0000-0000-0000BB770000}"/>
    <cellStyle name="표준 8 4 4 2" xfId="30653" xr:uid="{00000000-0005-0000-0000-0000BC770000}"/>
    <cellStyle name="표준 8 4 4 2 2" xfId="30654" xr:uid="{00000000-0005-0000-0000-0000BD770000}"/>
    <cellStyle name="표준 8 4 4 2 2 2" xfId="30655" xr:uid="{00000000-0005-0000-0000-0000BE770000}"/>
    <cellStyle name="표준 8 4 4 2 3" xfId="30656" xr:uid="{00000000-0005-0000-0000-0000BF770000}"/>
    <cellStyle name="표준 8 4 4 3" xfId="30657" xr:uid="{00000000-0005-0000-0000-0000C0770000}"/>
    <cellStyle name="표준 8 4 4 3 2" xfId="30658" xr:uid="{00000000-0005-0000-0000-0000C1770000}"/>
    <cellStyle name="표준 8 4 4 4" xfId="30659" xr:uid="{00000000-0005-0000-0000-0000C2770000}"/>
    <cellStyle name="표준 8 4 5" xfId="30660" xr:uid="{00000000-0005-0000-0000-0000C3770000}"/>
    <cellStyle name="표준 8 4 5 2" xfId="30661" xr:uid="{00000000-0005-0000-0000-0000C4770000}"/>
    <cellStyle name="표준 8 4 5 2 2" xfId="30662" xr:uid="{00000000-0005-0000-0000-0000C5770000}"/>
    <cellStyle name="표준 8 4 5 3" xfId="30663" xr:uid="{00000000-0005-0000-0000-0000C6770000}"/>
    <cellStyle name="표준 8 4 6" xfId="30664" xr:uid="{00000000-0005-0000-0000-0000C7770000}"/>
    <cellStyle name="표준 8 4 6 2" xfId="30665" xr:uid="{00000000-0005-0000-0000-0000C8770000}"/>
    <cellStyle name="표준 8 4 7" xfId="30666" xr:uid="{00000000-0005-0000-0000-0000C9770000}"/>
    <cellStyle name="표준 8 4 8" xfId="30667" xr:uid="{00000000-0005-0000-0000-0000CA770000}"/>
    <cellStyle name="표준 8 5" xfId="30668" xr:uid="{00000000-0005-0000-0000-0000CB770000}"/>
    <cellStyle name="표준 8 5 2" xfId="30669" xr:uid="{00000000-0005-0000-0000-0000CC770000}"/>
    <cellStyle name="표준 8 5 2 2" xfId="30670" xr:uid="{00000000-0005-0000-0000-0000CD770000}"/>
    <cellStyle name="표준 8 5 2 2 2" xfId="30671" xr:uid="{00000000-0005-0000-0000-0000CE770000}"/>
    <cellStyle name="표준 8 5 2 2 2 2" xfId="30672" xr:uid="{00000000-0005-0000-0000-0000CF770000}"/>
    <cellStyle name="표준 8 5 2 2 2 2 2" xfId="30673" xr:uid="{00000000-0005-0000-0000-0000D0770000}"/>
    <cellStyle name="표준 8 5 2 2 2 3" xfId="30674" xr:uid="{00000000-0005-0000-0000-0000D1770000}"/>
    <cellStyle name="표준 8 5 2 2 3" xfId="30675" xr:uid="{00000000-0005-0000-0000-0000D2770000}"/>
    <cellStyle name="표준 8 5 2 2 3 2" xfId="30676" xr:uid="{00000000-0005-0000-0000-0000D3770000}"/>
    <cellStyle name="표준 8 5 2 2 4" xfId="30677" xr:uid="{00000000-0005-0000-0000-0000D4770000}"/>
    <cellStyle name="표준 8 5 2 3" xfId="30678" xr:uid="{00000000-0005-0000-0000-0000D5770000}"/>
    <cellStyle name="표준 8 5 2 3 2" xfId="30679" xr:uid="{00000000-0005-0000-0000-0000D6770000}"/>
    <cellStyle name="표준 8 5 2 3 2 2" xfId="30680" xr:uid="{00000000-0005-0000-0000-0000D7770000}"/>
    <cellStyle name="표준 8 5 2 3 3" xfId="30681" xr:uid="{00000000-0005-0000-0000-0000D8770000}"/>
    <cellStyle name="표준 8 5 2 4" xfId="30682" xr:uid="{00000000-0005-0000-0000-0000D9770000}"/>
    <cellStyle name="표준 8 5 2 4 2" xfId="30683" xr:uid="{00000000-0005-0000-0000-0000DA770000}"/>
    <cellStyle name="표준 8 5 2 5" xfId="30684" xr:uid="{00000000-0005-0000-0000-0000DB770000}"/>
    <cellStyle name="표준 8 5 3" xfId="30685" xr:uid="{00000000-0005-0000-0000-0000DC770000}"/>
    <cellStyle name="표준 8 5 3 2" xfId="30686" xr:uid="{00000000-0005-0000-0000-0000DD770000}"/>
    <cellStyle name="표준 8 5 3 2 2" xfId="30687" xr:uid="{00000000-0005-0000-0000-0000DE770000}"/>
    <cellStyle name="표준 8 5 3 2 2 2" xfId="30688" xr:uid="{00000000-0005-0000-0000-0000DF770000}"/>
    <cellStyle name="표준 8 5 3 2 3" xfId="30689" xr:uid="{00000000-0005-0000-0000-0000E0770000}"/>
    <cellStyle name="표준 8 5 3 3" xfId="30690" xr:uid="{00000000-0005-0000-0000-0000E1770000}"/>
    <cellStyle name="표준 8 5 3 3 2" xfId="30691" xr:uid="{00000000-0005-0000-0000-0000E2770000}"/>
    <cellStyle name="표준 8 5 3 4" xfId="30692" xr:uid="{00000000-0005-0000-0000-0000E3770000}"/>
    <cellStyle name="표준 8 5 4" xfId="30693" xr:uid="{00000000-0005-0000-0000-0000E4770000}"/>
    <cellStyle name="표준 8 5 4 2" xfId="30694" xr:uid="{00000000-0005-0000-0000-0000E5770000}"/>
    <cellStyle name="표준 8 5 4 2 2" xfId="30695" xr:uid="{00000000-0005-0000-0000-0000E6770000}"/>
    <cellStyle name="표준 8 5 4 3" xfId="30696" xr:uid="{00000000-0005-0000-0000-0000E7770000}"/>
    <cellStyle name="표준 8 5 5" xfId="30697" xr:uid="{00000000-0005-0000-0000-0000E8770000}"/>
    <cellStyle name="표준 8 5 5 2" xfId="30698" xr:uid="{00000000-0005-0000-0000-0000E9770000}"/>
    <cellStyle name="표준 8 5 6" xfId="30699" xr:uid="{00000000-0005-0000-0000-0000EA770000}"/>
    <cellStyle name="표준 8 6" xfId="30700" xr:uid="{00000000-0005-0000-0000-0000EB770000}"/>
    <cellStyle name="표준 8 6 2" xfId="30701" xr:uid="{00000000-0005-0000-0000-0000EC770000}"/>
    <cellStyle name="표준 8 6 2 2" xfId="30702" xr:uid="{00000000-0005-0000-0000-0000ED770000}"/>
    <cellStyle name="표준 8 6 2 2 2" xfId="30703" xr:uid="{00000000-0005-0000-0000-0000EE770000}"/>
    <cellStyle name="표준 8 6 2 2 2 2" xfId="30704" xr:uid="{00000000-0005-0000-0000-0000EF770000}"/>
    <cellStyle name="표준 8 6 2 2 3" xfId="30705" xr:uid="{00000000-0005-0000-0000-0000F0770000}"/>
    <cellStyle name="표준 8 6 2 3" xfId="30706" xr:uid="{00000000-0005-0000-0000-0000F1770000}"/>
    <cellStyle name="표준 8 6 2 3 2" xfId="30707" xr:uid="{00000000-0005-0000-0000-0000F2770000}"/>
    <cellStyle name="표준 8 6 2 4" xfId="30708" xr:uid="{00000000-0005-0000-0000-0000F3770000}"/>
    <cellStyle name="표준 8 6 3" xfId="30709" xr:uid="{00000000-0005-0000-0000-0000F4770000}"/>
    <cellStyle name="표준 8 6 3 2" xfId="30710" xr:uid="{00000000-0005-0000-0000-0000F5770000}"/>
    <cellStyle name="표준 8 6 3 2 2" xfId="30711" xr:uid="{00000000-0005-0000-0000-0000F6770000}"/>
    <cellStyle name="표준 8 6 3 3" xfId="30712" xr:uid="{00000000-0005-0000-0000-0000F7770000}"/>
    <cellStyle name="표준 8 6 4" xfId="30713" xr:uid="{00000000-0005-0000-0000-0000F8770000}"/>
    <cellStyle name="표준 8 6 4 2" xfId="30714" xr:uid="{00000000-0005-0000-0000-0000F9770000}"/>
    <cellStyle name="표준 8 6 5" xfId="30715" xr:uid="{00000000-0005-0000-0000-0000FA770000}"/>
    <cellStyle name="표준 8 7" xfId="30716" xr:uid="{00000000-0005-0000-0000-0000FB770000}"/>
    <cellStyle name="표준 8 7 2" xfId="30717" xr:uid="{00000000-0005-0000-0000-0000FC770000}"/>
    <cellStyle name="표준 8 7 2 2" xfId="30718" xr:uid="{00000000-0005-0000-0000-0000FD770000}"/>
    <cellStyle name="표준 8 7 2 2 2" xfId="30719" xr:uid="{00000000-0005-0000-0000-0000FE770000}"/>
    <cellStyle name="표준 8 7 2 3" xfId="30720" xr:uid="{00000000-0005-0000-0000-0000FF770000}"/>
    <cellStyle name="표준 8 7 3" xfId="30721" xr:uid="{00000000-0005-0000-0000-000000780000}"/>
    <cellStyle name="표준 8 7 3 2" xfId="30722" xr:uid="{00000000-0005-0000-0000-000001780000}"/>
    <cellStyle name="표준 8 7 4" xfId="30723" xr:uid="{00000000-0005-0000-0000-000002780000}"/>
    <cellStyle name="표준 8 8" xfId="30724" xr:uid="{00000000-0005-0000-0000-000003780000}"/>
    <cellStyle name="표준 8 8 2" xfId="30725" xr:uid="{00000000-0005-0000-0000-000004780000}"/>
    <cellStyle name="표준 8 8 2 2" xfId="30726" xr:uid="{00000000-0005-0000-0000-000005780000}"/>
    <cellStyle name="표준 8 8 3" xfId="30727" xr:uid="{00000000-0005-0000-0000-000006780000}"/>
    <cellStyle name="표준 8 9" xfId="30728" xr:uid="{00000000-0005-0000-0000-000007780000}"/>
    <cellStyle name="표준 8 9 2" xfId="30729" xr:uid="{00000000-0005-0000-0000-000008780000}"/>
    <cellStyle name="표준 9" xfId="46" xr:uid="{00000000-0005-0000-0000-000009780000}"/>
    <cellStyle name="표준 9 10" xfId="30730" xr:uid="{00000000-0005-0000-0000-00000A780000}"/>
    <cellStyle name="표준 9 11" xfId="30731" xr:uid="{00000000-0005-0000-0000-00000B780000}"/>
    <cellStyle name="표준 9 2" xfId="30732" xr:uid="{00000000-0005-0000-0000-00000C780000}"/>
    <cellStyle name="표준 9 2 10" xfId="30733" xr:uid="{00000000-0005-0000-0000-00000D780000}"/>
    <cellStyle name="표준 9 2 2" xfId="30734" xr:uid="{00000000-0005-0000-0000-00000E780000}"/>
    <cellStyle name="표준 9 2 2 2" xfId="30735" xr:uid="{00000000-0005-0000-0000-00000F780000}"/>
    <cellStyle name="표준 9 2 2 2 2" xfId="30736" xr:uid="{00000000-0005-0000-0000-000010780000}"/>
    <cellStyle name="표준 9 2 2 2 2 2" xfId="30737" xr:uid="{00000000-0005-0000-0000-000011780000}"/>
    <cellStyle name="표준 9 2 2 2 2 2 2" xfId="30738" xr:uid="{00000000-0005-0000-0000-000012780000}"/>
    <cellStyle name="표준 9 2 2 2 2 2 2 2" xfId="30739" xr:uid="{00000000-0005-0000-0000-000013780000}"/>
    <cellStyle name="표준 9 2 2 2 2 2 2 2 2" xfId="30740" xr:uid="{00000000-0005-0000-0000-000014780000}"/>
    <cellStyle name="표준 9 2 2 2 2 2 2 2 2 2" xfId="30741" xr:uid="{00000000-0005-0000-0000-000015780000}"/>
    <cellStyle name="표준 9 2 2 2 2 2 2 2 3" xfId="30742" xr:uid="{00000000-0005-0000-0000-000016780000}"/>
    <cellStyle name="표준 9 2 2 2 2 2 2 3" xfId="30743" xr:uid="{00000000-0005-0000-0000-000017780000}"/>
    <cellStyle name="표준 9 2 2 2 2 2 2 3 2" xfId="30744" xr:uid="{00000000-0005-0000-0000-000018780000}"/>
    <cellStyle name="표준 9 2 2 2 2 2 2 4" xfId="30745" xr:uid="{00000000-0005-0000-0000-000019780000}"/>
    <cellStyle name="표준 9 2 2 2 2 2 3" xfId="30746" xr:uid="{00000000-0005-0000-0000-00001A780000}"/>
    <cellStyle name="표준 9 2 2 2 2 2 3 2" xfId="30747" xr:uid="{00000000-0005-0000-0000-00001B780000}"/>
    <cellStyle name="표준 9 2 2 2 2 2 3 2 2" xfId="30748" xr:uid="{00000000-0005-0000-0000-00001C780000}"/>
    <cellStyle name="표준 9 2 2 2 2 2 3 3" xfId="30749" xr:uid="{00000000-0005-0000-0000-00001D780000}"/>
    <cellStyle name="표준 9 2 2 2 2 2 4" xfId="30750" xr:uid="{00000000-0005-0000-0000-00001E780000}"/>
    <cellStyle name="표준 9 2 2 2 2 2 4 2" xfId="30751" xr:uid="{00000000-0005-0000-0000-00001F780000}"/>
    <cellStyle name="표준 9 2 2 2 2 2 5" xfId="30752" xr:uid="{00000000-0005-0000-0000-000020780000}"/>
    <cellStyle name="표준 9 2 2 2 2 3" xfId="30753" xr:uid="{00000000-0005-0000-0000-000021780000}"/>
    <cellStyle name="표준 9 2 2 2 2 3 2" xfId="30754" xr:uid="{00000000-0005-0000-0000-000022780000}"/>
    <cellStyle name="표준 9 2 2 2 2 3 2 2" xfId="30755" xr:uid="{00000000-0005-0000-0000-000023780000}"/>
    <cellStyle name="표준 9 2 2 2 2 3 2 2 2" xfId="30756" xr:uid="{00000000-0005-0000-0000-000024780000}"/>
    <cellStyle name="표준 9 2 2 2 2 3 2 3" xfId="30757" xr:uid="{00000000-0005-0000-0000-000025780000}"/>
    <cellStyle name="표준 9 2 2 2 2 3 3" xfId="30758" xr:uid="{00000000-0005-0000-0000-000026780000}"/>
    <cellStyle name="표준 9 2 2 2 2 3 3 2" xfId="30759" xr:uid="{00000000-0005-0000-0000-000027780000}"/>
    <cellStyle name="표준 9 2 2 2 2 3 4" xfId="30760" xr:uid="{00000000-0005-0000-0000-000028780000}"/>
    <cellStyle name="표준 9 2 2 2 2 4" xfId="30761" xr:uid="{00000000-0005-0000-0000-000029780000}"/>
    <cellStyle name="표준 9 2 2 2 2 4 2" xfId="30762" xr:uid="{00000000-0005-0000-0000-00002A780000}"/>
    <cellStyle name="표준 9 2 2 2 2 4 2 2" xfId="30763" xr:uid="{00000000-0005-0000-0000-00002B780000}"/>
    <cellStyle name="표준 9 2 2 2 2 4 3" xfId="30764" xr:uid="{00000000-0005-0000-0000-00002C780000}"/>
    <cellStyle name="표준 9 2 2 2 2 5" xfId="30765" xr:uid="{00000000-0005-0000-0000-00002D780000}"/>
    <cellStyle name="표준 9 2 2 2 2 5 2" xfId="30766" xr:uid="{00000000-0005-0000-0000-00002E780000}"/>
    <cellStyle name="표준 9 2 2 2 2 6" xfId="30767" xr:uid="{00000000-0005-0000-0000-00002F780000}"/>
    <cellStyle name="표준 9 2 2 2 3" xfId="30768" xr:uid="{00000000-0005-0000-0000-000030780000}"/>
    <cellStyle name="표준 9 2 2 2 3 2" xfId="30769" xr:uid="{00000000-0005-0000-0000-000031780000}"/>
    <cellStyle name="표준 9 2 2 2 3 2 2" xfId="30770" xr:uid="{00000000-0005-0000-0000-000032780000}"/>
    <cellStyle name="표준 9 2 2 2 3 2 2 2" xfId="30771" xr:uid="{00000000-0005-0000-0000-000033780000}"/>
    <cellStyle name="표준 9 2 2 2 3 2 2 2 2" xfId="30772" xr:uid="{00000000-0005-0000-0000-000034780000}"/>
    <cellStyle name="표준 9 2 2 2 3 2 2 3" xfId="30773" xr:uid="{00000000-0005-0000-0000-000035780000}"/>
    <cellStyle name="표준 9 2 2 2 3 2 3" xfId="30774" xr:uid="{00000000-0005-0000-0000-000036780000}"/>
    <cellStyle name="표준 9 2 2 2 3 2 3 2" xfId="30775" xr:uid="{00000000-0005-0000-0000-000037780000}"/>
    <cellStyle name="표준 9 2 2 2 3 2 4" xfId="30776" xr:uid="{00000000-0005-0000-0000-000038780000}"/>
    <cellStyle name="표준 9 2 2 2 3 3" xfId="30777" xr:uid="{00000000-0005-0000-0000-000039780000}"/>
    <cellStyle name="표준 9 2 2 2 3 3 2" xfId="30778" xr:uid="{00000000-0005-0000-0000-00003A780000}"/>
    <cellStyle name="표준 9 2 2 2 3 3 2 2" xfId="30779" xr:uid="{00000000-0005-0000-0000-00003B780000}"/>
    <cellStyle name="표준 9 2 2 2 3 3 3" xfId="30780" xr:uid="{00000000-0005-0000-0000-00003C780000}"/>
    <cellStyle name="표준 9 2 2 2 3 4" xfId="30781" xr:uid="{00000000-0005-0000-0000-00003D780000}"/>
    <cellStyle name="표준 9 2 2 2 3 4 2" xfId="30782" xr:uid="{00000000-0005-0000-0000-00003E780000}"/>
    <cellStyle name="표준 9 2 2 2 3 5" xfId="30783" xr:uid="{00000000-0005-0000-0000-00003F780000}"/>
    <cellStyle name="표준 9 2 2 2 4" xfId="30784" xr:uid="{00000000-0005-0000-0000-000040780000}"/>
    <cellStyle name="표준 9 2 2 2 4 2" xfId="30785" xr:uid="{00000000-0005-0000-0000-000041780000}"/>
    <cellStyle name="표준 9 2 2 2 4 2 2" xfId="30786" xr:uid="{00000000-0005-0000-0000-000042780000}"/>
    <cellStyle name="표준 9 2 2 2 4 2 2 2" xfId="30787" xr:uid="{00000000-0005-0000-0000-000043780000}"/>
    <cellStyle name="표준 9 2 2 2 4 2 3" xfId="30788" xr:uid="{00000000-0005-0000-0000-000044780000}"/>
    <cellStyle name="표준 9 2 2 2 4 3" xfId="30789" xr:uid="{00000000-0005-0000-0000-000045780000}"/>
    <cellStyle name="표준 9 2 2 2 4 3 2" xfId="30790" xr:uid="{00000000-0005-0000-0000-000046780000}"/>
    <cellStyle name="표준 9 2 2 2 4 4" xfId="30791" xr:uid="{00000000-0005-0000-0000-000047780000}"/>
    <cellStyle name="표준 9 2 2 2 5" xfId="30792" xr:uid="{00000000-0005-0000-0000-000048780000}"/>
    <cellStyle name="표준 9 2 2 2 5 2" xfId="30793" xr:uid="{00000000-0005-0000-0000-000049780000}"/>
    <cellStyle name="표준 9 2 2 2 5 2 2" xfId="30794" xr:uid="{00000000-0005-0000-0000-00004A780000}"/>
    <cellStyle name="표준 9 2 2 2 5 3" xfId="30795" xr:uid="{00000000-0005-0000-0000-00004B780000}"/>
    <cellStyle name="표준 9 2 2 2 6" xfId="30796" xr:uid="{00000000-0005-0000-0000-00004C780000}"/>
    <cellStyle name="표준 9 2 2 2 6 2" xfId="30797" xr:uid="{00000000-0005-0000-0000-00004D780000}"/>
    <cellStyle name="표준 9 2 2 2 7" xfId="30798" xr:uid="{00000000-0005-0000-0000-00004E780000}"/>
    <cellStyle name="표준 9 2 2 2 8" xfId="30799" xr:uid="{00000000-0005-0000-0000-00004F780000}"/>
    <cellStyle name="표준 9 2 2 3" xfId="30800" xr:uid="{00000000-0005-0000-0000-000050780000}"/>
    <cellStyle name="표준 9 2 2 3 2" xfId="30801" xr:uid="{00000000-0005-0000-0000-000051780000}"/>
    <cellStyle name="표준 9 2 2 3 2 2" xfId="30802" xr:uid="{00000000-0005-0000-0000-000052780000}"/>
    <cellStyle name="표준 9 2 2 3 2 2 2" xfId="30803" xr:uid="{00000000-0005-0000-0000-000053780000}"/>
    <cellStyle name="표준 9 2 2 3 2 2 2 2" xfId="30804" xr:uid="{00000000-0005-0000-0000-000054780000}"/>
    <cellStyle name="표준 9 2 2 3 2 2 2 2 2" xfId="30805" xr:uid="{00000000-0005-0000-0000-000055780000}"/>
    <cellStyle name="표준 9 2 2 3 2 2 2 3" xfId="30806" xr:uid="{00000000-0005-0000-0000-000056780000}"/>
    <cellStyle name="표준 9 2 2 3 2 2 3" xfId="30807" xr:uid="{00000000-0005-0000-0000-000057780000}"/>
    <cellStyle name="표준 9 2 2 3 2 2 3 2" xfId="30808" xr:uid="{00000000-0005-0000-0000-000058780000}"/>
    <cellStyle name="표준 9 2 2 3 2 2 4" xfId="30809" xr:uid="{00000000-0005-0000-0000-000059780000}"/>
    <cellStyle name="표준 9 2 2 3 2 3" xfId="30810" xr:uid="{00000000-0005-0000-0000-00005A780000}"/>
    <cellStyle name="표준 9 2 2 3 2 3 2" xfId="30811" xr:uid="{00000000-0005-0000-0000-00005B780000}"/>
    <cellStyle name="표준 9 2 2 3 2 3 2 2" xfId="30812" xr:uid="{00000000-0005-0000-0000-00005C780000}"/>
    <cellStyle name="표준 9 2 2 3 2 3 3" xfId="30813" xr:uid="{00000000-0005-0000-0000-00005D780000}"/>
    <cellStyle name="표준 9 2 2 3 2 4" xfId="30814" xr:uid="{00000000-0005-0000-0000-00005E780000}"/>
    <cellStyle name="표준 9 2 2 3 2 4 2" xfId="30815" xr:uid="{00000000-0005-0000-0000-00005F780000}"/>
    <cellStyle name="표준 9 2 2 3 2 5" xfId="30816" xr:uid="{00000000-0005-0000-0000-000060780000}"/>
    <cellStyle name="표준 9 2 2 3 3" xfId="30817" xr:uid="{00000000-0005-0000-0000-000061780000}"/>
    <cellStyle name="표준 9 2 2 3 3 2" xfId="30818" xr:uid="{00000000-0005-0000-0000-000062780000}"/>
    <cellStyle name="표준 9 2 2 3 3 2 2" xfId="30819" xr:uid="{00000000-0005-0000-0000-000063780000}"/>
    <cellStyle name="표준 9 2 2 3 3 2 2 2" xfId="30820" xr:uid="{00000000-0005-0000-0000-000064780000}"/>
    <cellStyle name="표준 9 2 2 3 3 2 3" xfId="30821" xr:uid="{00000000-0005-0000-0000-000065780000}"/>
    <cellStyle name="표준 9 2 2 3 3 3" xfId="30822" xr:uid="{00000000-0005-0000-0000-000066780000}"/>
    <cellStyle name="표준 9 2 2 3 3 3 2" xfId="30823" xr:uid="{00000000-0005-0000-0000-000067780000}"/>
    <cellStyle name="표준 9 2 2 3 3 4" xfId="30824" xr:uid="{00000000-0005-0000-0000-000068780000}"/>
    <cellStyle name="표준 9 2 2 3 4" xfId="30825" xr:uid="{00000000-0005-0000-0000-000069780000}"/>
    <cellStyle name="표준 9 2 2 3 4 2" xfId="30826" xr:uid="{00000000-0005-0000-0000-00006A780000}"/>
    <cellStyle name="표준 9 2 2 3 4 2 2" xfId="30827" xr:uid="{00000000-0005-0000-0000-00006B780000}"/>
    <cellStyle name="표준 9 2 2 3 4 3" xfId="30828" xr:uid="{00000000-0005-0000-0000-00006C780000}"/>
    <cellStyle name="표준 9 2 2 3 5" xfId="30829" xr:uid="{00000000-0005-0000-0000-00006D780000}"/>
    <cellStyle name="표준 9 2 2 3 5 2" xfId="30830" xr:uid="{00000000-0005-0000-0000-00006E780000}"/>
    <cellStyle name="표준 9 2 2 3 6" xfId="30831" xr:uid="{00000000-0005-0000-0000-00006F780000}"/>
    <cellStyle name="표준 9 2 2 4" xfId="30832" xr:uid="{00000000-0005-0000-0000-000070780000}"/>
    <cellStyle name="표준 9 2 2 4 2" xfId="30833" xr:uid="{00000000-0005-0000-0000-000071780000}"/>
    <cellStyle name="표준 9 2 2 4 2 2" xfId="30834" xr:uid="{00000000-0005-0000-0000-000072780000}"/>
    <cellStyle name="표준 9 2 2 4 2 2 2" xfId="30835" xr:uid="{00000000-0005-0000-0000-000073780000}"/>
    <cellStyle name="표준 9 2 2 4 2 2 2 2" xfId="30836" xr:uid="{00000000-0005-0000-0000-000074780000}"/>
    <cellStyle name="표준 9 2 2 4 2 2 3" xfId="30837" xr:uid="{00000000-0005-0000-0000-000075780000}"/>
    <cellStyle name="표준 9 2 2 4 2 3" xfId="30838" xr:uid="{00000000-0005-0000-0000-000076780000}"/>
    <cellStyle name="표준 9 2 2 4 2 3 2" xfId="30839" xr:uid="{00000000-0005-0000-0000-000077780000}"/>
    <cellStyle name="표준 9 2 2 4 2 4" xfId="30840" xr:uid="{00000000-0005-0000-0000-000078780000}"/>
    <cellStyle name="표준 9 2 2 4 3" xfId="30841" xr:uid="{00000000-0005-0000-0000-000079780000}"/>
    <cellStyle name="표준 9 2 2 4 3 2" xfId="30842" xr:uid="{00000000-0005-0000-0000-00007A780000}"/>
    <cellStyle name="표준 9 2 2 4 3 2 2" xfId="30843" xr:uid="{00000000-0005-0000-0000-00007B780000}"/>
    <cellStyle name="표준 9 2 2 4 3 3" xfId="30844" xr:uid="{00000000-0005-0000-0000-00007C780000}"/>
    <cellStyle name="표준 9 2 2 4 4" xfId="30845" xr:uid="{00000000-0005-0000-0000-00007D780000}"/>
    <cellStyle name="표준 9 2 2 4 4 2" xfId="30846" xr:uid="{00000000-0005-0000-0000-00007E780000}"/>
    <cellStyle name="표준 9 2 2 4 5" xfId="30847" xr:uid="{00000000-0005-0000-0000-00007F780000}"/>
    <cellStyle name="표준 9 2 2 5" xfId="30848" xr:uid="{00000000-0005-0000-0000-000080780000}"/>
    <cellStyle name="표준 9 2 2 5 2" xfId="30849" xr:uid="{00000000-0005-0000-0000-000081780000}"/>
    <cellStyle name="표준 9 2 2 5 2 2" xfId="30850" xr:uid="{00000000-0005-0000-0000-000082780000}"/>
    <cellStyle name="표준 9 2 2 5 2 2 2" xfId="30851" xr:uid="{00000000-0005-0000-0000-000083780000}"/>
    <cellStyle name="표준 9 2 2 5 2 3" xfId="30852" xr:uid="{00000000-0005-0000-0000-000084780000}"/>
    <cellStyle name="표준 9 2 2 5 3" xfId="30853" xr:uid="{00000000-0005-0000-0000-000085780000}"/>
    <cellStyle name="표준 9 2 2 5 3 2" xfId="30854" xr:uid="{00000000-0005-0000-0000-000086780000}"/>
    <cellStyle name="표준 9 2 2 5 4" xfId="30855" xr:uid="{00000000-0005-0000-0000-000087780000}"/>
    <cellStyle name="표준 9 2 2 6" xfId="30856" xr:uid="{00000000-0005-0000-0000-000088780000}"/>
    <cellStyle name="표준 9 2 2 6 2" xfId="30857" xr:uid="{00000000-0005-0000-0000-000089780000}"/>
    <cellStyle name="표준 9 2 2 6 2 2" xfId="30858" xr:uid="{00000000-0005-0000-0000-00008A780000}"/>
    <cellStyle name="표준 9 2 2 6 3" xfId="30859" xr:uid="{00000000-0005-0000-0000-00008B780000}"/>
    <cellStyle name="표준 9 2 2 7" xfId="30860" xr:uid="{00000000-0005-0000-0000-00008C780000}"/>
    <cellStyle name="표준 9 2 2 7 2" xfId="30861" xr:uid="{00000000-0005-0000-0000-00008D780000}"/>
    <cellStyle name="표준 9 2 2 8" xfId="30862" xr:uid="{00000000-0005-0000-0000-00008E780000}"/>
    <cellStyle name="표준 9 2 2 9" xfId="30863" xr:uid="{00000000-0005-0000-0000-00008F780000}"/>
    <cellStyle name="표준 9 2 3" xfId="30864" xr:uid="{00000000-0005-0000-0000-000090780000}"/>
    <cellStyle name="표준 9 2 3 2" xfId="30865" xr:uid="{00000000-0005-0000-0000-000091780000}"/>
    <cellStyle name="표준 9 2 3 2 2" xfId="30866" xr:uid="{00000000-0005-0000-0000-000092780000}"/>
    <cellStyle name="표준 9 2 3 2 2 2" xfId="30867" xr:uid="{00000000-0005-0000-0000-000093780000}"/>
    <cellStyle name="표준 9 2 3 2 2 2 2" xfId="30868" xr:uid="{00000000-0005-0000-0000-000094780000}"/>
    <cellStyle name="표준 9 2 3 2 2 2 2 2" xfId="30869" xr:uid="{00000000-0005-0000-0000-000095780000}"/>
    <cellStyle name="표준 9 2 3 2 2 2 2 2 2" xfId="30870" xr:uid="{00000000-0005-0000-0000-000096780000}"/>
    <cellStyle name="표준 9 2 3 2 2 2 2 3" xfId="30871" xr:uid="{00000000-0005-0000-0000-000097780000}"/>
    <cellStyle name="표준 9 2 3 2 2 2 3" xfId="30872" xr:uid="{00000000-0005-0000-0000-000098780000}"/>
    <cellStyle name="표준 9 2 3 2 2 2 3 2" xfId="30873" xr:uid="{00000000-0005-0000-0000-000099780000}"/>
    <cellStyle name="표준 9 2 3 2 2 2 4" xfId="30874" xr:uid="{00000000-0005-0000-0000-00009A780000}"/>
    <cellStyle name="표준 9 2 3 2 2 3" xfId="30875" xr:uid="{00000000-0005-0000-0000-00009B780000}"/>
    <cellStyle name="표준 9 2 3 2 2 3 2" xfId="30876" xr:uid="{00000000-0005-0000-0000-00009C780000}"/>
    <cellStyle name="표준 9 2 3 2 2 3 2 2" xfId="30877" xr:uid="{00000000-0005-0000-0000-00009D780000}"/>
    <cellStyle name="표준 9 2 3 2 2 3 3" xfId="30878" xr:uid="{00000000-0005-0000-0000-00009E780000}"/>
    <cellStyle name="표준 9 2 3 2 2 4" xfId="30879" xr:uid="{00000000-0005-0000-0000-00009F780000}"/>
    <cellStyle name="표준 9 2 3 2 2 4 2" xfId="30880" xr:uid="{00000000-0005-0000-0000-0000A0780000}"/>
    <cellStyle name="표준 9 2 3 2 2 5" xfId="30881" xr:uid="{00000000-0005-0000-0000-0000A1780000}"/>
    <cellStyle name="표준 9 2 3 2 3" xfId="30882" xr:uid="{00000000-0005-0000-0000-0000A2780000}"/>
    <cellStyle name="표준 9 2 3 2 3 2" xfId="30883" xr:uid="{00000000-0005-0000-0000-0000A3780000}"/>
    <cellStyle name="표준 9 2 3 2 3 2 2" xfId="30884" xr:uid="{00000000-0005-0000-0000-0000A4780000}"/>
    <cellStyle name="표준 9 2 3 2 3 2 2 2" xfId="30885" xr:uid="{00000000-0005-0000-0000-0000A5780000}"/>
    <cellStyle name="표준 9 2 3 2 3 2 3" xfId="30886" xr:uid="{00000000-0005-0000-0000-0000A6780000}"/>
    <cellStyle name="표준 9 2 3 2 3 3" xfId="30887" xr:uid="{00000000-0005-0000-0000-0000A7780000}"/>
    <cellStyle name="표준 9 2 3 2 3 3 2" xfId="30888" xr:uid="{00000000-0005-0000-0000-0000A8780000}"/>
    <cellStyle name="표준 9 2 3 2 3 4" xfId="30889" xr:uid="{00000000-0005-0000-0000-0000A9780000}"/>
    <cellStyle name="표준 9 2 3 2 4" xfId="30890" xr:uid="{00000000-0005-0000-0000-0000AA780000}"/>
    <cellStyle name="표준 9 2 3 2 4 2" xfId="30891" xr:uid="{00000000-0005-0000-0000-0000AB780000}"/>
    <cellStyle name="표준 9 2 3 2 4 2 2" xfId="30892" xr:uid="{00000000-0005-0000-0000-0000AC780000}"/>
    <cellStyle name="표준 9 2 3 2 4 3" xfId="30893" xr:uid="{00000000-0005-0000-0000-0000AD780000}"/>
    <cellStyle name="표준 9 2 3 2 5" xfId="30894" xr:uid="{00000000-0005-0000-0000-0000AE780000}"/>
    <cellStyle name="표준 9 2 3 2 5 2" xfId="30895" xr:uid="{00000000-0005-0000-0000-0000AF780000}"/>
    <cellStyle name="표준 9 2 3 2 6" xfId="30896" xr:uid="{00000000-0005-0000-0000-0000B0780000}"/>
    <cellStyle name="표준 9 2 3 3" xfId="30897" xr:uid="{00000000-0005-0000-0000-0000B1780000}"/>
    <cellStyle name="표준 9 2 3 3 2" xfId="30898" xr:uid="{00000000-0005-0000-0000-0000B2780000}"/>
    <cellStyle name="표준 9 2 3 3 2 2" xfId="30899" xr:uid="{00000000-0005-0000-0000-0000B3780000}"/>
    <cellStyle name="표준 9 2 3 3 2 2 2" xfId="30900" xr:uid="{00000000-0005-0000-0000-0000B4780000}"/>
    <cellStyle name="표준 9 2 3 3 2 2 2 2" xfId="30901" xr:uid="{00000000-0005-0000-0000-0000B5780000}"/>
    <cellStyle name="표준 9 2 3 3 2 2 3" xfId="30902" xr:uid="{00000000-0005-0000-0000-0000B6780000}"/>
    <cellStyle name="표준 9 2 3 3 2 3" xfId="30903" xr:uid="{00000000-0005-0000-0000-0000B7780000}"/>
    <cellStyle name="표준 9 2 3 3 2 3 2" xfId="30904" xr:uid="{00000000-0005-0000-0000-0000B8780000}"/>
    <cellStyle name="표준 9 2 3 3 2 4" xfId="30905" xr:uid="{00000000-0005-0000-0000-0000B9780000}"/>
    <cellStyle name="표준 9 2 3 3 3" xfId="30906" xr:uid="{00000000-0005-0000-0000-0000BA780000}"/>
    <cellStyle name="표준 9 2 3 3 3 2" xfId="30907" xr:uid="{00000000-0005-0000-0000-0000BB780000}"/>
    <cellStyle name="표준 9 2 3 3 3 2 2" xfId="30908" xr:uid="{00000000-0005-0000-0000-0000BC780000}"/>
    <cellStyle name="표준 9 2 3 3 3 3" xfId="30909" xr:uid="{00000000-0005-0000-0000-0000BD780000}"/>
    <cellStyle name="표준 9 2 3 3 4" xfId="30910" xr:uid="{00000000-0005-0000-0000-0000BE780000}"/>
    <cellStyle name="표준 9 2 3 3 4 2" xfId="30911" xr:uid="{00000000-0005-0000-0000-0000BF780000}"/>
    <cellStyle name="표준 9 2 3 3 5" xfId="30912" xr:uid="{00000000-0005-0000-0000-0000C0780000}"/>
    <cellStyle name="표준 9 2 3 4" xfId="30913" xr:uid="{00000000-0005-0000-0000-0000C1780000}"/>
    <cellStyle name="표준 9 2 3 4 2" xfId="30914" xr:uid="{00000000-0005-0000-0000-0000C2780000}"/>
    <cellStyle name="표준 9 2 3 4 2 2" xfId="30915" xr:uid="{00000000-0005-0000-0000-0000C3780000}"/>
    <cellStyle name="표준 9 2 3 4 2 2 2" xfId="30916" xr:uid="{00000000-0005-0000-0000-0000C4780000}"/>
    <cellStyle name="표준 9 2 3 4 2 3" xfId="30917" xr:uid="{00000000-0005-0000-0000-0000C5780000}"/>
    <cellStyle name="표준 9 2 3 4 3" xfId="30918" xr:uid="{00000000-0005-0000-0000-0000C6780000}"/>
    <cellStyle name="표준 9 2 3 4 3 2" xfId="30919" xr:uid="{00000000-0005-0000-0000-0000C7780000}"/>
    <cellStyle name="표준 9 2 3 4 4" xfId="30920" xr:uid="{00000000-0005-0000-0000-0000C8780000}"/>
    <cellStyle name="표준 9 2 3 5" xfId="30921" xr:uid="{00000000-0005-0000-0000-0000C9780000}"/>
    <cellStyle name="표준 9 2 3 5 2" xfId="30922" xr:uid="{00000000-0005-0000-0000-0000CA780000}"/>
    <cellStyle name="표준 9 2 3 5 2 2" xfId="30923" xr:uid="{00000000-0005-0000-0000-0000CB780000}"/>
    <cellStyle name="표준 9 2 3 5 3" xfId="30924" xr:uid="{00000000-0005-0000-0000-0000CC780000}"/>
    <cellStyle name="표준 9 2 3 6" xfId="30925" xr:uid="{00000000-0005-0000-0000-0000CD780000}"/>
    <cellStyle name="표준 9 2 3 6 2" xfId="30926" xr:uid="{00000000-0005-0000-0000-0000CE780000}"/>
    <cellStyle name="표준 9 2 3 7" xfId="30927" xr:uid="{00000000-0005-0000-0000-0000CF780000}"/>
    <cellStyle name="표준 9 2 3 8" xfId="30928" xr:uid="{00000000-0005-0000-0000-0000D0780000}"/>
    <cellStyle name="표준 9 2 4" xfId="30929" xr:uid="{00000000-0005-0000-0000-0000D1780000}"/>
    <cellStyle name="표준 9 2 4 2" xfId="30930" xr:uid="{00000000-0005-0000-0000-0000D2780000}"/>
    <cellStyle name="표준 9 2 4 2 2" xfId="30931" xr:uid="{00000000-0005-0000-0000-0000D3780000}"/>
    <cellStyle name="표준 9 2 4 2 2 2" xfId="30932" xr:uid="{00000000-0005-0000-0000-0000D4780000}"/>
    <cellStyle name="표준 9 2 4 2 2 2 2" xfId="30933" xr:uid="{00000000-0005-0000-0000-0000D5780000}"/>
    <cellStyle name="표준 9 2 4 2 2 2 2 2" xfId="30934" xr:uid="{00000000-0005-0000-0000-0000D6780000}"/>
    <cellStyle name="표준 9 2 4 2 2 2 3" xfId="30935" xr:uid="{00000000-0005-0000-0000-0000D7780000}"/>
    <cellStyle name="표준 9 2 4 2 2 3" xfId="30936" xr:uid="{00000000-0005-0000-0000-0000D8780000}"/>
    <cellStyle name="표준 9 2 4 2 2 3 2" xfId="30937" xr:uid="{00000000-0005-0000-0000-0000D9780000}"/>
    <cellStyle name="표준 9 2 4 2 2 4" xfId="30938" xr:uid="{00000000-0005-0000-0000-0000DA780000}"/>
    <cellStyle name="표준 9 2 4 2 3" xfId="30939" xr:uid="{00000000-0005-0000-0000-0000DB780000}"/>
    <cellStyle name="표준 9 2 4 2 3 2" xfId="30940" xr:uid="{00000000-0005-0000-0000-0000DC780000}"/>
    <cellStyle name="표준 9 2 4 2 3 2 2" xfId="30941" xr:uid="{00000000-0005-0000-0000-0000DD780000}"/>
    <cellStyle name="표준 9 2 4 2 3 3" xfId="30942" xr:uid="{00000000-0005-0000-0000-0000DE780000}"/>
    <cellStyle name="표준 9 2 4 2 4" xfId="30943" xr:uid="{00000000-0005-0000-0000-0000DF780000}"/>
    <cellStyle name="표준 9 2 4 2 4 2" xfId="30944" xr:uid="{00000000-0005-0000-0000-0000E0780000}"/>
    <cellStyle name="표준 9 2 4 2 5" xfId="30945" xr:uid="{00000000-0005-0000-0000-0000E1780000}"/>
    <cellStyle name="표준 9 2 4 3" xfId="30946" xr:uid="{00000000-0005-0000-0000-0000E2780000}"/>
    <cellStyle name="표준 9 2 4 3 2" xfId="30947" xr:uid="{00000000-0005-0000-0000-0000E3780000}"/>
    <cellStyle name="표준 9 2 4 3 2 2" xfId="30948" xr:uid="{00000000-0005-0000-0000-0000E4780000}"/>
    <cellStyle name="표준 9 2 4 3 2 2 2" xfId="30949" xr:uid="{00000000-0005-0000-0000-0000E5780000}"/>
    <cellStyle name="표준 9 2 4 3 2 3" xfId="30950" xr:uid="{00000000-0005-0000-0000-0000E6780000}"/>
    <cellStyle name="표준 9 2 4 3 3" xfId="30951" xr:uid="{00000000-0005-0000-0000-0000E7780000}"/>
    <cellStyle name="표준 9 2 4 3 3 2" xfId="30952" xr:uid="{00000000-0005-0000-0000-0000E8780000}"/>
    <cellStyle name="표준 9 2 4 3 4" xfId="30953" xr:uid="{00000000-0005-0000-0000-0000E9780000}"/>
    <cellStyle name="표준 9 2 4 4" xfId="30954" xr:uid="{00000000-0005-0000-0000-0000EA780000}"/>
    <cellStyle name="표준 9 2 4 4 2" xfId="30955" xr:uid="{00000000-0005-0000-0000-0000EB780000}"/>
    <cellStyle name="표준 9 2 4 4 2 2" xfId="30956" xr:uid="{00000000-0005-0000-0000-0000EC780000}"/>
    <cellStyle name="표준 9 2 4 4 3" xfId="30957" xr:uid="{00000000-0005-0000-0000-0000ED780000}"/>
    <cellStyle name="표준 9 2 4 5" xfId="30958" xr:uid="{00000000-0005-0000-0000-0000EE780000}"/>
    <cellStyle name="표준 9 2 4 5 2" xfId="30959" xr:uid="{00000000-0005-0000-0000-0000EF780000}"/>
    <cellStyle name="표준 9 2 4 6" xfId="30960" xr:uid="{00000000-0005-0000-0000-0000F0780000}"/>
    <cellStyle name="표준 9 2 5" xfId="30961" xr:uid="{00000000-0005-0000-0000-0000F1780000}"/>
    <cellStyle name="표준 9 2 5 2" xfId="30962" xr:uid="{00000000-0005-0000-0000-0000F2780000}"/>
    <cellStyle name="표준 9 2 5 2 2" xfId="30963" xr:uid="{00000000-0005-0000-0000-0000F3780000}"/>
    <cellStyle name="표준 9 2 5 2 2 2" xfId="30964" xr:uid="{00000000-0005-0000-0000-0000F4780000}"/>
    <cellStyle name="표준 9 2 5 2 2 2 2" xfId="30965" xr:uid="{00000000-0005-0000-0000-0000F5780000}"/>
    <cellStyle name="표준 9 2 5 2 2 3" xfId="30966" xr:uid="{00000000-0005-0000-0000-0000F6780000}"/>
    <cellStyle name="표준 9 2 5 2 3" xfId="30967" xr:uid="{00000000-0005-0000-0000-0000F7780000}"/>
    <cellStyle name="표준 9 2 5 2 3 2" xfId="30968" xr:uid="{00000000-0005-0000-0000-0000F8780000}"/>
    <cellStyle name="표준 9 2 5 2 4" xfId="30969" xr:uid="{00000000-0005-0000-0000-0000F9780000}"/>
    <cellStyle name="표준 9 2 5 3" xfId="30970" xr:uid="{00000000-0005-0000-0000-0000FA780000}"/>
    <cellStyle name="표준 9 2 5 3 2" xfId="30971" xr:uid="{00000000-0005-0000-0000-0000FB780000}"/>
    <cellStyle name="표준 9 2 5 3 2 2" xfId="30972" xr:uid="{00000000-0005-0000-0000-0000FC780000}"/>
    <cellStyle name="표준 9 2 5 3 3" xfId="30973" xr:uid="{00000000-0005-0000-0000-0000FD780000}"/>
    <cellStyle name="표준 9 2 5 4" xfId="30974" xr:uid="{00000000-0005-0000-0000-0000FE780000}"/>
    <cellStyle name="표준 9 2 5 4 2" xfId="30975" xr:uid="{00000000-0005-0000-0000-0000FF780000}"/>
    <cellStyle name="표준 9 2 5 5" xfId="30976" xr:uid="{00000000-0005-0000-0000-000000790000}"/>
    <cellStyle name="표준 9 2 6" xfId="30977" xr:uid="{00000000-0005-0000-0000-000001790000}"/>
    <cellStyle name="표준 9 2 6 2" xfId="30978" xr:uid="{00000000-0005-0000-0000-000002790000}"/>
    <cellStyle name="표준 9 2 6 2 2" xfId="30979" xr:uid="{00000000-0005-0000-0000-000003790000}"/>
    <cellStyle name="표준 9 2 6 2 2 2" xfId="30980" xr:uid="{00000000-0005-0000-0000-000004790000}"/>
    <cellStyle name="표준 9 2 6 2 3" xfId="30981" xr:uid="{00000000-0005-0000-0000-000005790000}"/>
    <cellStyle name="표준 9 2 6 3" xfId="30982" xr:uid="{00000000-0005-0000-0000-000006790000}"/>
    <cellStyle name="표준 9 2 6 3 2" xfId="30983" xr:uid="{00000000-0005-0000-0000-000007790000}"/>
    <cellStyle name="표준 9 2 6 4" xfId="30984" xr:uid="{00000000-0005-0000-0000-000008790000}"/>
    <cellStyle name="표준 9 2 7" xfId="30985" xr:uid="{00000000-0005-0000-0000-000009790000}"/>
    <cellStyle name="표준 9 2 7 2" xfId="30986" xr:uid="{00000000-0005-0000-0000-00000A790000}"/>
    <cellStyle name="표준 9 2 7 2 2" xfId="30987" xr:uid="{00000000-0005-0000-0000-00000B790000}"/>
    <cellStyle name="표준 9 2 7 3" xfId="30988" xr:uid="{00000000-0005-0000-0000-00000C790000}"/>
    <cellStyle name="표준 9 2 8" xfId="30989" xr:uid="{00000000-0005-0000-0000-00000D790000}"/>
    <cellStyle name="표준 9 2 8 2" xfId="30990" xr:uid="{00000000-0005-0000-0000-00000E790000}"/>
    <cellStyle name="표준 9 2 9" xfId="30991" xr:uid="{00000000-0005-0000-0000-00000F790000}"/>
    <cellStyle name="표준 9 3" xfId="30992" xr:uid="{00000000-0005-0000-0000-000010790000}"/>
    <cellStyle name="표준 9 3 2" xfId="30993" xr:uid="{00000000-0005-0000-0000-000011790000}"/>
    <cellStyle name="표준 9 3 2 2" xfId="30994" xr:uid="{00000000-0005-0000-0000-000012790000}"/>
    <cellStyle name="표준 9 3 2 2 2" xfId="30995" xr:uid="{00000000-0005-0000-0000-000013790000}"/>
    <cellStyle name="표준 9 3 2 2 2 2" xfId="30996" xr:uid="{00000000-0005-0000-0000-000014790000}"/>
    <cellStyle name="표준 9 3 2 2 2 2 2" xfId="30997" xr:uid="{00000000-0005-0000-0000-000015790000}"/>
    <cellStyle name="표준 9 3 2 2 2 2 2 2" xfId="30998" xr:uid="{00000000-0005-0000-0000-000016790000}"/>
    <cellStyle name="표준 9 3 2 2 2 2 2 2 2" xfId="30999" xr:uid="{00000000-0005-0000-0000-000017790000}"/>
    <cellStyle name="표준 9 3 2 2 2 2 2 3" xfId="31000" xr:uid="{00000000-0005-0000-0000-000018790000}"/>
    <cellStyle name="표준 9 3 2 2 2 2 3" xfId="31001" xr:uid="{00000000-0005-0000-0000-000019790000}"/>
    <cellStyle name="표준 9 3 2 2 2 2 3 2" xfId="31002" xr:uid="{00000000-0005-0000-0000-00001A790000}"/>
    <cellStyle name="표준 9 3 2 2 2 2 4" xfId="31003" xr:uid="{00000000-0005-0000-0000-00001B790000}"/>
    <cellStyle name="표준 9 3 2 2 2 3" xfId="31004" xr:uid="{00000000-0005-0000-0000-00001C790000}"/>
    <cellStyle name="표준 9 3 2 2 2 3 2" xfId="31005" xr:uid="{00000000-0005-0000-0000-00001D790000}"/>
    <cellStyle name="표준 9 3 2 2 2 3 2 2" xfId="31006" xr:uid="{00000000-0005-0000-0000-00001E790000}"/>
    <cellStyle name="표준 9 3 2 2 2 3 3" xfId="31007" xr:uid="{00000000-0005-0000-0000-00001F790000}"/>
    <cellStyle name="표준 9 3 2 2 2 4" xfId="31008" xr:uid="{00000000-0005-0000-0000-000020790000}"/>
    <cellStyle name="표준 9 3 2 2 2 4 2" xfId="31009" xr:uid="{00000000-0005-0000-0000-000021790000}"/>
    <cellStyle name="표준 9 3 2 2 2 5" xfId="31010" xr:uid="{00000000-0005-0000-0000-000022790000}"/>
    <cellStyle name="표준 9 3 2 2 3" xfId="31011" xr:uid="{00000000-0005-0000-0000-000023790000}"/>
    <cellStyle name="표준 9 3 2 2 3 2" xfId="31012" xr:uid="{00000000-0005-0000-0000-000024790000}"/>
    <cellStyle name="표준 9 3 2 2 3 2 2" xfId="31013" xr:uid="{00000000-0005-0000-0000-000025790000}"/>
    <cellStyle name="표준 9 3 2 2 3 2 2 2" xfId="31014" xr:uid="{00000000-0005-0000-0000-000026790000}"/>
    <cellStyle name="표준 9 3 2 2 3 2 3" xfId="31015" xr:uid="{00000000-0005-0000-0000-000027790000}"/>
    <cellStyle name="표준 9 3 2 2 3 3" xfId="31016" xr:uid="{00000000-0005-0000-0000-000028790000}"/>
    <cellStyle name="표준 9 3 2 2 3 3 2" xfId="31017" xr:uid="{00000000-0005-0000-0000-000029790000}"/>
    <cellStyle name="표준 9 3 2 2 3 4" xfId="31018" xr:uid="{00000000-0005-0000-0000-00002A790000}"/>
    <cellStyle name="표준 9 3 2 2 4" xfId="31019" xr:uid="{00000000-0005-0000-0000-00002B790000}"/>
    <cellStyle name="표준 9 3 2 2 4 2" xfId="31020" xr:uid="{00000000-0005-0000-0000-00002C790000}"/>
    <cellStyle name="표준 9 3 2 2 4 2 2" xfId="31021" xr:uid="{00000000-0005-0000-0000-00002D790000}"/>
    <cellStyle name="표준 9 3 2 2 4 3" xfId="31022" xr:uid="{00000000-0005-0000-0000-00002E790000}"/>
    <cellStyle name="표준 9 3 2 2 5" xfId="31023" xr:uid="{00000000-0005-0000-0000-00002F790000}"/>
    <cellStyle name="표준 9 3 2 2 5 2" xfId="31024" xr:uid="{00000000-0005-0000-0000-000030790000}"/>
    <cellStyle name="표준 9 3 2 2 6" xfId="31025" xr:uid="{00000000-0005-0000-0000-000031790000}"/>
    <cellStyle name="표준 9 3 2 3" xfId="31026" xr:uid="{00000000-0005-0000-0000-000032790000}"/>
    <cellStyle name="표준 9 3 2 3 2" xfId="31027" xr:uid="{00000000-0005-0000-0000-000033790000}"/>
    <cellStyle name="표준 9 3 2 3 2 2" xfId="31028" xr:uid="{00000000-0005-0000-0000-000034790000}"/>
    <cellStyle name="표준 9 3 2 3 2 2 2" xfId="31029" xr:uid="{00000000-0005-0000-0000-000035790000}"/>
    <cellStyle name="표준 9 3 2 3 2 2 2 2" xfId="31030" xr:uid="{00000000-0005-0000-0000-000036790000}"/>
    <cellStyle name="표준 9 3 2 3 2 2 3" xfId="31031" xr:uid="{00000000-0005-0000-0000-000037790000}"/>
    <cellStyle name="표준 9 3 2 3 2 3" xfId="31032" xr:uid="{00000000-0005-0000-0000-000038790000}"/>
    <cellStyle name="표준 9 3 2 3 2 3 2" xfId="31033" xr:uid="{00000000-0005-0000-0000-000039790000}"/>
    <cellStyle name="표준 9 3 2 3 2 4" xfId="31034" xr:uid="{00000000-0005-0000-0000-00003A790000}"/>
    <cellStyle name="표준 9 3 2 3 3" xfId="31035" xr:uid="{00000000-0005-0000-0000-00003B790000}"/>
    <cellStyle name="표준 9 3 2 3 3 2" xfId="31036" xr:uid="{00000000-0005-0000-0000-00003C790000}"/>
    <cellStyle name="표준 9 3 2 3 3 2 2" xfId="31037" xr:uid="{00000000-0005-0000-0000-00003D790000}"/>
    <cellStyle name="표준 9 3 2 3 3 3" xfId="31038" xr:uid="{00000000-0005-0000-0000-00003E790000}"/>
    <cellStyle name="표준 9 3 2 3 4" xfId="31039" xr:uid="{00000000-0005-0000-0000-00003F790000}"/>
    <cellStyle name="표준 9 3 2 3 4 2" xfId="31040" xr:uid="{00000000-0005-0000-0000-000040790000}"/>
    <cellStyle name="표준 9 3 2 3 5" xfId="31041" xr:uid="{00000000-0005-0000-0000-000041790000}"/>
    <cellStyle name="표준 9 3 2 4" xfId="31042" xr:uid="{00000000-0005-0000-0000-000042790000}"/>
    <cellStyle name="표준 9 3 2 4 2" xfId="31043" xr:uid="{00000000-0005-0000-0000-000043790000}"/>
    <cellStyle name="표준 9 3 2 4 2 2" xfId="31044" xr:uid="{00000000-0005-0000-0000-000044790000}"/>
    <cellStyle name="표준 9 3 2 4 2 2 2" xfId="31045" xr:uid="{00000000-0005-0000-0000-000045790000}"/>
    <cellStyle name="표준 9 3 2 4 2 3" xfId="31046" xr:uid="{00000000-0005-0000-0000-000046790000}"/>
    <cellStyle name="표준 9 3 2 4 3" xfId="31047" xr:uid="{00000000-0005-0000-0000-000047790000}"/>
    <cellStyle name="표준 9 3 2 4 3 2" xfId="31048" xr:uid="{00000000-0005-0000-0000-000048790000}"/>
    <cellStyle name="표준 9 3 2 4 4" xfId="31049" xr:uid="{00000000-0005-0000-0000-000049790000}"/>
    <cellStyle name="표준 9 3 2 5" xfId="31050" xr:uid="{00000000-0005-0000-0000-00004A790000}"/>
    <cellStyle name="표준 9 3 2 5 2" xfId="31051" xr:uid="{00000000-0005-0000-0000-00004B790000}"/>
    <cellStyle name="표준 9 3 2 5 2 2" xfId="31052" xr:uid="{00000000-0005-0000-0000-00004C790000}"/>
    <cellStyle name="표준 9 3 2 5 3" xfId="31053" xr:uid="{00000000-0005-0000-0000-00004D790000}"/>
    <cellStyle name="표준 9 3 2 6" xfId="31054" xr:uid="{00000000-0005-0000-0000-00004E790000}"/>
    <cellStyle name="표준 9 3 2 6 2" xfId="31055" xr:uid="{00000000-0005-0000-0000-00004F790000}"/>
    <cellStyle name="표준 9 3 2 7" xfId="31056" xr:uid="{00000000-0005-0000-0000-000050790000}"/>
    <cellStyle name="표준 9 3 2 8" xfId="31057" xr:uid="{00000000-0005-0000-0000-000051790000}"/>
    <cellStyle name="표준 9 3 3" xfId="31058" xr:uid="{00000000-0005-0000-0000-000052790000}"/>
    <cellStyle name="표준 9 3 3 2" xfId="31059" xr:uid="{00000000-0005-0000-0000-000053790000}"/>
    <cellStyle name="표준 9 3 3 2 2" xfId="31060" xr:uid="{00000000-0005-0000-0000-000054790000}"/>
    <cellStyle name="표준 9 3 3 2 2 2" xfId="31061" xr:uid="{00000000-0005-0000-0000-000055790000}"/>
    <cellStyle name="표준 9 3 3 2 2 2 2" xfId="31062" xr:uid="{00000000-0005-0000-0000-000056790000}"/>
    <cellStyle name="표준 9 3 3 2 2 2 2 2" xfId="31063" xr:uid="{00000000-0005-0000-0000-000057790000}"/>
    <cellStyle name="표준 9 3 3 2 2 2 3" xfId="31064" xr:uid="{00000000-0005-0000-0000-000058790000}"/>
    <cellStyle name="표준 9 3 3 2 2 3" xfId="31065" xr:uid="{00000000-0005-0000-0000-000059790000}"/>
    <cellStyle name="표준 9 3 3 2 2 3 2" xfId="31066" xr:uid="{00000000-0005-0000-0000-00005A790000}"/>
    <cellStyle name="표준 9 3 3 2 2 4" xfId="31067" xr:uid="{00000000-0005-0000-0000-00005B790000}"/>
    <cellStyle name="표준 9 3 3 2 3" xfId="31068" xr:uid="{00000000-0005-0000-0000-00005C790000}"/>
    <cellStyle name="표준 9 3 3 2 3 2" xfId="31069" xr:uid="{00000000-0005-0000-0000-00005D790000}"/>
    <cellStyle name="표준 9 3 3 2 3 2 2" xfId="31070" xr:uid="{00000000-0005-0000-0000-00005E790000}"/>
    <cellStyle name="표준 9 3 3 2 3 3" xfId="31071" xr:uid="{00000000-0005-0000-0000-00005F790000}"/>
    <cellStyle name="표준 9 3 3 2 4" xfId="31072" xr:uid="{00000000-0005-0000-0000-000060790000}"/>
    <cellStyle name="표준 9 3 3 2 4 2" xfId="31073" xr:uid="{00000000-0005-0000-0000-000061790000}"/>
    <cellStyle name="표준 9 3 3 2 5" xfId="31074" xr:uid="{00000000-0005-0000-0000-000062790000}"/>
    <cellStyle name="표준 9 3 3 3" xfId="31075" xr:uid="{00000000-0005-0000-0000-000063790000}"/>
    <cellStyle name="표준 9 3 3 3 2" xfId="31076" xr:uid="{00000000-0005-0000-0000-000064790000}"/>
    <cellStyle name="표준 9 3 3 3 2 2" xfId="31077" xr:uid="{00000000-0005-0000-0000-000065790000}"/>
    <cellStyle name="표준 9 3 3 3 2 2 2" xfId="31078" xr:uid="{00000000-0005-0000-0000-000066790000}"/>
    <cellStyle name="표준 9 3 3 3 2 3" xfId="31079" xr:uid="{00000000-0005-0000-0000-000067790000}"/>
    <cellStyle name="표준 9 3 3 3 3" xfId="31080" xr:uid="{00000000-0005-0000-0000-000068790000}"/>
    <cellStyle name="표준 9 3 3 3 3 2" xfId="31081" xr:uid="{00000000-0005-0000-0000-000069790000}"/>
    <cellStyle name="표준 9 3 3 3 4" xfId="31082" xr:uid="{00000000-0005-0000-0000-00006A790000}"/>
    <cellStyle name="표준 9 3 3 4" xfId="31083" xr:uid="{00000000-0005-0000-0000-00006B790000}"/>
    <cellStyle name="표준 9 3 3 4 2" xfId="31084" xr:uid="{00000000-0005-0000-0000-00006C790000}"/>
    <cellStyle name="표준 9 3 3 4 2 2" xfId="31085" xr:uid="{00000000-0005-0000-0000-00006D790000}"/>
    <cellStyle name="표준 9 3 3 4 3" xfId="31086" xr:uid="{00000000-0005-0000-0000-00006E790000}"/>
    <cellStyle name="표준 9 3 3 5" xfId="31087" xr:uid="{00000000-0005-0000-0000-00006F790000}"/>
    <cellStyle name="표준 9 3 3 5 2" xfId="31088" xr:uid="{00000000-0005-0000-0000-000070790000}"/>
    <cellStyle name="표준 9 3 3 6" xfId="31089" xr:uid="{00000000-0005-0000-0000-000071790000}"/>
    <cellStyle name="표준 9 3 4" xfId="31090" xr:uid="{00000000-0005-0000-0000-000072790000}"/>
    <cellStyle name="표준 9 3 4 2" xfId="31091" xr:uid="{00000000-0005-0000-0000-000073790000}"/>
    <cellStyle name="표준 9 3 4 2 2" xfId="31092" xr:uid="{00000000-0005-0000-0000-000074790000}"/>
    <cellStyle name="표준 9 3 4 2 2 2" xfId="31093" xr:uid="{00000000-0005-0000-0000-000075790000}"/>
    <cellStyle name="표준 9 3 4 2 2 2 2" xfId="31094" xr:uid="{00000000-0005-0000-0000-000076790000}"/>
    <cellStyle name="표준 9 3 4 2 2 3" xfId="31095" xr:uid="{00000000-0005-0000-0000-000077790000}"/>
    <cellStyle name="표준 9 3 4 2 3" xfId="31096" xr:uid="{00000000-0005-0000-0000-000078790000}"/>
    <cellStyle name="표준 9 3 4 2 3 2" xfId="31097" xr:uid="{00000000-0005-0000-0000-000079790000}"/>
    <cellStyle name="표준 9 3 4 2 4" xfId="31098" xr:uid="{00000000-0005-0000-0000-00007A790000}"/>
    <cellStyle name="표준 9 3 4 3" xfId="31099" xr:uid="{00000000-0005-0000-0000-00007B790000}"/>
    <cellStyle name="표준 9 3 4 3 2" xfId="31100" xr:uid="{00000000-0005-0000-0000-00007C790000}"/>
    <cellStyle name="표준 9 3 4 3 2 2" xfId="31101" xr:uid="{00000000-0005-0000-0000-00007D790000}"/>
    <cellStyle name="표준 9 3 4 3 3" xfId="31102" xr:uid="{00000000-0005-0000-0000-00007E790000}"/>
    <cellStyle name="표준 9 3 4 4" xfId="31103" xr:uid="{00000000-0005-0000-0000-00007F790000}"/>
    <cellStyle name="표준 9 3 4 4 2" xfId="31104" xr:uid="{00000000-0005-0000-0000-000080790000}"/>
    <cellStyle name="표준 9 3 4 5" xfId="31105" xr:uid="{00000000-0005-0000-0000-000081790000}"/>
    <cellStyle name="표준 9 3 5" xfId="31106" xr:uid="{00000000-0005-0000-0000-000082790000}"/>
    <cellStyle name="표준 9 3 5 2" xfId="31107" xr:uid="{00000000-0005-0000-0000-000083790000}"/>
    <cellStyle name="표준 9 3 5 2 2" xfId="31108" xr:uid="{00000000-0005-0000-0000-000084790000}"/>
    <cellStyle name="표준 9 3 5 2 2 2" xfId="31109" xr:uid="{00000000-0005-0000-0000-000085790000}"/>
    <cellStyle name="표준 9 3 5 2 3" xfId="31110" xr:uid="{00000000-0005-0000-0000-000086790000}"/>
    <cellStyle name="표준 9 3 5 3" xfId="31111" xr:uid="{00000000-0005-0000-0000-000087790000}"/>
    <cellStyle name="표준 9 3 5 3 2" xfId="31112" xr:uid="{00000000-0005-0000-0000-000088790000}"/>
    <cellStyle name="표준 9 3 5 4" xfId="31113" xr:uid="{00000000-0005-0000-0000-000089790000}"/>
    <cellStyle name="표준 9 3 6" xfId="31114" xr:uid="{00000000-0005-0000-0000-00008A790000}"/>
    <cellStyle name="표준 9 3 6 2" xfId="31115" xr:uid="{00000000-0005-0000-0000-00008B790000}"/>
    <cellStyle name="표준 9 3 6 2 2" xfId="31116" xr:uid="{00000000-0005-0000-0000-00008C790000}"/>
    <cellStyle name="표준 9 3 6 3" xfId="31117" xr:uid="{00000000-0005-0000-0000-00008D790000}"/>
    <cellStyle name="표준 9 3 7" xfId="31118" xr:uid="{00000000-0005-0000-0000-00008E790000}"/>
    <cellStyle name="표준 9 3 7 2" xfId="31119" xr:uid="{00000000-0005-0000-0000-00008F790000}"/>
    <cellStyle name="표준 9 3 8" xfId="31120" xr:uid="{00000000-0005-0000-0000-000090790000}"/>
    <cellStyle name="표준 9 3 9" xfId="31121" xr:uid="{00000000-0005-0000-0000-000091790000}"/>
    <cellStyle name="표준 9 4" xfId="31122" xr:uid="{00000000-0005-0000-0000-000092790000}"/>
    <cellStyle name="표준 9 4 2" xfId="31123" xr:uid="{00000000-0005-0000-0000-000093790000}"/>
    <cellStyle name="표준 9 4 2 2" xfId="31124" xr:uid="{00000000-0005-0000-0000-000094790000}"/>
    <cellStyle name="표준 9 4 2 2 2" xfId="31125" xr:uid="{00000000-0005-0000-0000-000095790000}"/>
    <cellStyle name="표준 9 4 2 2 2 2" xfId="31126" xr:uid="{00000000-0005-0000-0000-000096790000}"/>
    <cellStyle name="표준 9 4 2 2 2 2 2" xfId="31127" xr:uid="{00000000-0005-0000-0000-000097790000}"/>
    <cellStyle name="표준 9 4 2 2 2 2 2 2" xfId="31128" xr:uid="{00000000-0005-0000-0000-000098790000}"/>
    <cellStyle name="표준 9 4 2 2 2 2 3" xfId="31129" xr:uid="{00000000-0005-0000-0000-000099790000}"/>
    <cellStyle name="표준 9 4 2 2 2 3" xfId="31130" xr:uid="{00000000-0005-0000-0000-00009A790000}"/>
    <cellStyle name="표준 9 4 2 2 2 3 2" xfId="31131" xr:uid="{00000000-0005-0000-0000-00009B790000}"/>
    <cellStyle name="표준 9 4 2 2 2 4" xfId="31132" xr:uid="{00000000-0005-0000-0000-00009C790000}"/>
    <cellStyle name="표준 9 4 2 2 3" xfId="31133" xr:uid="{00000000-0005-0000-0000-00009D790000}"/>
    <cellStyle name="표준 9 4 2 2 3 2" xfId="31134" xr:uid="{00000000-0005-0000-0000-00009E790000}"/>
    <cellStyle name="표준 9 4 2 2 3 2 2" xfId="31135" xr:uid="{00000000-0005-0000-0000-00009F790000}"/>
    <cellStyle name="표준 9 4 2 2 3 3" xfId="31136" xr:uid="{00000000-0005-0000-0000-0000A0790000}"/>
    <cellStyle name="표준 9 4 2 2 4" xfId="31137" xr:uid="{00000000-0005-0000-0000-0000A1790000}"/>
    <cellStyle name="표준 9 4 2 2 4 2" xfId="31138" xr:uid="{00000000-0005-0000-0000-0000A2790000}"/>
    <cellStyle name="표준 9 4 2 2 5" xfId="31139" xr:uid="{00000000-0005-0000-0000-0000A3790000}"/>
    <cellStyle name="표준 9 4 2 3" xfId="31140" xr:uid="{00000000-0005-0000-0000-0000A4790000}"/>
    <cellStyle name="표준 9 4 2 3 2" xfId="31141" xr:uid="{00000000-0005-0000-0000-0000A5790000}"/>
    <cellStyle name="표준 9 4 2 3 2 2" xfId="31142" xr:uid="{00000000-0005-0000-0000-0000A6790000}"/>
    <cellStyle name="표준 9 4 2 3 2 2 2" xfId="31143" xr:uid="{00000000-0005-0000-0000-0000A7790000}"/>
    <cellStyle name="표준 9 4 2 3 2 3" xfId="31144" xr:uid="{00000000-0005-0000-0000-0000A8790000}"/>
    <cellStyle name="표준 9 4 2 3 3" xfId="31145" xr:uid="{00000000-0005-0000-0000-0000A9790000}"/>
    <cellStyle name="표준 9 4 2 3 3 2" xfId="31146" xr:uid="{00000000-0005-0000-0000-0000AA790000}"/>
    <cellStyle name="표준 9 4 2 3 4" xfId="31147" xr:uid="{00000000-0005-0000-0000-0000AB790000}"/>
    <cellStyle name="표준 9 4 2 4" xfId="31148" xr:uid="{00000000-0005-0000-0000-0000AC790000}"/>
    <cellStyle name="표준 9 4 2 4 2" xfId="31149" xr:uid="{00000000-0005-0000-0000-0000AD790000}"/>
    <cellStyle name="표준 9 4 2 4 2 2" xfId="31150" xr:uid="{00000000-0005-0000-0000-0000AE790000}"/>
    <cellStyle name="표준 9 4 2 4 3" xfId="31151" xr:uid="{00000000-0005-0000-0000-0000AF790000}"/>
    <cellStyle name="표준 9 4 2 5" xfId="31152" xr:uid="{00000000-0005-0000-0000-0000B0790000}"/>
    <cellStyle name="표준 9 4 2 5 2" xfId="31153" xr:uid="{00000000-0005-0000-0000-0000B1790000}"/>
    <cellStyle name="표준 9 4 2 6" xfId="31154" xr:uid="{00000000-0005-0000-0000-0000B2790000}"/>
    <cellStyle name="표준 9 4 3" xfId="31155" xr:uid="{00000000-0005-0000-0000-0000B3790000}"/>
    <cellStyle name="표준 9 4 3 2" xfId="31156" xr:uid="{00000000-0005-0000-0000-0000B4790000}"/>
    <cellStyle name="표준 9 4 3 2 2" xfId="31157" xr:uid="{00000000-0005-0000-0000-0000B5790000}"/>
    <cellStyle name="표준 9 4 3 2 2 2" xfId="31158" xr:uid="{00000000-0005-0000-0000-0000B6790000}"/>
    <cellStyle name="표준 9 4 3 2 2 2 2" xfId="31159" xr:uid="{00000000-0005-0000-0000-0000B7790000}"/>
    <cellStyle name="표준 9 4 3 2 2 3" xfId="31160" xr:uid="{00000000-0005-0000-0000-0000B8790000}"/>
    <cellStyle name="표준 9 4 3 2 3" xfId="31161" xr:uid="{00000000-0005-0000-0000-0000B9790000}"/>
    <cellStyle name="표준 9 4 3 2 3 2" xfId="31162" xr:uid="{00000000-0005-0000-0000-0000BA790000}"/>
    <cellStyle name="표준 9 4 3 2 4" xfId="31163" xr:uid="{00000000-0005-0000-0000-0000BB790000}"/>
    <cellStyle name="표준 9 4 3 3" xfId="31164" xr:uid="{00000000-0005-0000-0000-0000BC790000}"/>
    <cellStyle name="표준 9 4 3 3 2" xfId="31165" xr:uid="{00000000-0005-0000-0000-0000BD790000}"/>
    <cellStyle name="표준 9 4 3 3 2 2" xfId="31166" xr:uid="{00000000-0005-0000-0000-0000BE790000}"/>
    <cellStyle name="표준 9 4 3 3 3" xfId="31167" xr:uid="{00000000-0005-0000-0000-0000BF790000}"/>
    <cellStyle name="표준 9 4 3 4" xfId="31168" xr:uid="{00000000-0005-0000-0000-0000C0790000}"/>
    <cellStyle name="표준 9 4 3 4 2" xfId="31169" xr:uid="{00000000-0005-0000-0000-0000C1790000}"/>
    <cellStyle name="표준 9 4 3 5" xfId="31170" xr:uid="{00000000-0005-0000-0000-0000C2790000}"/>
    <cellStyle name="표준 9 4 4" xfId="31171" xr:uid="{00000000-0005-0000-0000-0000C3790000}"/>
    <cellStyle name="표준 9 4 4 2" xfId="31172" xr:uid="{00000000-0005-0000-0000-0000C4790000}"/>
    <cellStyle name="표준 9 4 4 2 2" xfId="31173" xr:uid="{00000000-0005-0000-0000-0000C5790000}"/>
    <cellStyle name="표준 9 4 4 2 2 2" xfId="31174" xr:uid="{00000000-0005-0000-0000-0000C6790000}"/>
    <cellStyle name="표준 9 4 4 2 3" xfId="31175" xr:uid="{00000000-0005-0000-0000-0000C7790000}"/>
    <cellStyle name="표준 9 4 4 3" xfId="31176" xr:uid="{00000000-0005-0000-0000-0000C8790000}"/>
    <cellStyle name="표준 9 4 4 3 2" xfId="31177" xr:uid="{00000000-0005-0000-0000-0000C9790000}"/>
    <cellStyle name="표준 9 4 4 4" xfId="31178" xr:uid="{00000000-0005-0000-0000-0000CA790000}"/>
    <cellStyle name="표준 9 4 5" xfId="31179" xr:uid="{00000000-0005-0000-0000-0000CB790000}"/>
    <cellStyle name="표준 9 4 5 2" xfId="31180" xr:uid="{00000000-0005-0000-0000-0000CC790000}"/>
    <cellStyle name="표준 9 4 5 2 2" xfId="31181" xr:uid="{00000000-0005-0000-0000-0000CD790000}"/>
    <cellStyle name="표준 9 4 5 3" xfId="31182" xr:uid="{00000000-0005-0000-0000-0000CE790000}"/>
    <cellStyle name="표준 9 4 6" xfId="31183" xr:uid="{00000000-0005-0000-0000-0000CF790000}"/>
    <cellStyle name="표준 9 4 6 2" xfId="31184" xr:uid="{00000000-0005-0000-0000-0000D0790000}"/>
    <cellStyle name="표준 9 4 7" xfId="31185" xr:uid="{00000000-0005-0000-0000-0000D1790000}"/>
    <cellStyle name="표준 9 4 8" xfId="31186" xr:uid="{00000000-0005-0000-0000-0000D2790000}"/>
    <cellStyle name="표준 9 5" xfId="31187" xr:uid="{00000000-0005-0000-0000-0000D3790000}"/>
    <cellStyle name="표준 9 5 2" xfId="31188" xr:uid="{00000000-0005-0000-0000-0000D4790000}"/>
    <cellStyle name="표준 9 5 2 2" xfId="31189" xr:uid="{00000000-0005-0000-0000-0000D5790000}"/>
    <cellStyle name="표준 9 5 2 2 2" xfId="31190" xr:uid="{00000000-0005-0000-0000-0000D6790000}"/>
    <cellStyle name="표준 9 5 2 2 2 2" xfId="31191" xr:uid="{00000000-0005-0000-0000-0000D7790000}"/>
    <cellStyle name="표준 9 5 2 2 2 2 2" xfId="31192" xr:uid="{00000000-0005-0000-0000-0000D8790000}"/>
    <cellStyle name="표준 9 5 2 2 2 3" xfId="31193" xr:uid="{00000000-0005-0000-0000-0000D9790000}"/>
    <cellStyle name="표준 9 5 2 2 3" xfId="31194" xr:uid="{00000000-0005-0000-0000-0000DA790000}"/>
    <cellStyle name="표준 9 5 2 2 3 2" xfId="31195" xr:uid="{00000000-0005-0000-0000-0000DB790000}"/>
    <cellStyle name="표준 9 5 2 2 4" xfId="31196" xr:uid="{00000000-0005-0000-0000-0000DC790000}"/>
    <cellStyle name="표준 9 5 2 3" xfId="31197" xr:uid="{00000000-0005-0000-0000-0000DD790000}"/>
    <cellStyle name="표준 9 5 2 3 2" xfId="31198" xr:uid="{00000000-0005-0000-0000-0000DE790000}"/>
    <cellStyle name="표준 9 5 2 3 2 2" xfId="31199" xr:uid="{00000000-0005-0000-0000-0000DF790000}"/>
    <cellStyle name="표준 9 5 2 3 3" xfId="31200" xr:uid="{00000000-0005-0000-0000-0000E0790000}"/>
    <cellStyle name="표준 9 5 2 4" xfId="31201" xr:uid="{00000000-0005-0000-0000-0000E1790000}"/>
    <cellStyle name="표준 9 5 2 4 2" xfId="31202" xr:uid="{00000000-0005-0000-0000-0000E2790000}"/>
    <cellStyle name="표준 9 5 2 5" xfId="31203" xr:uid="{00000000-0005-0000-0000-0000E3790000}"/>
    <cellStyle name="표준 9 5 3" xfId="31204" xr:uid="{00000000-0005-0000-0000-0000E4790000}"/>
    <cellStyle name="표준 9 5 3 2" xfId="31205" xr:uid="{00000000-0005-0000-0000-0000E5790000}"/>
    <cellStyle name="표준 9 5 3 2 2" xfId="31206" xr:uid="{00000000-0005-0000-0000-0000E6790000}"/>
    <cellStyle name="표준 9 5 3 2 2 2" xfId="31207" xr:uid="{00000000-0005-0000-0000-0000E7790000}"/>
    <cellStyle name="표준 9 5 3 2 3" xfId="31208" xr:uid="{00000000-0005-0000-0000-0000E8790000}"/>
    <cellStyle name="표준 9 5 3 3" xfId="31209" xr:uid="{00000000-0005-0000-0000-0000E9790000}"/>
    <cellStyle name="표준 9 5 3 3 2" xfId="31210" xr:uid="{00000000-0005-0000-0000-0000EA790000}"/>
    <cellStyle name="표준 9 5 3 4" xfId="31211" xr:uid="{00000000-0005-0000-0000-0000EB790000}"/>
    <cellStyle name="표준 9 5 4" xfId="31212" xr:uid="{00000000-0005-0000-0000-0000EC790000}"/>
    <cellStyle name="표준 9 5 4 2" xfId="31213" xr:uid="{00000000-0005-0000-0000-0000ED790000}"/>
    <cellStyle name="표준 9 5 4 2 2" xfId="31214" xr:uid="{00000000-0005-0000-0000-0000EE790000}"/>
    <cellStyle name="표준 9 5 4 3" xfId="31215" xr:uid="{00000000-0005-0000-0000-0000EF790000}"/>
    <cellStyle name="표준 9 5 5" xfId="31216" xr:uid="{00000000-0005-0000-0000-0000F0790000}"/>
    <cellStyle name="표준 9 5 5 2" xfId="31217" xr:uid="{00000000-0005-0000-0000-0000F1790000}"/>
    <cellStyle name="표준 9 5 6" xfId="31218" xr:uid="{00000000-0005-0000-0000-0000F2790000}"/>
    <cellStyle name="표준 9 6" xfId="31219" xr:uid="{00000000-0005-0000-0000-0000F3790000}"/>
    <cellStyle name="표준 9 6 2" xfId="31220" xr:uid="{00000000-0005-0000-0000-0000F4790000}"/>
    <cellStyle name="표준 9 6 2 2" xfId="31221" xr:uid="{00000000-0005-0000-0000-0000F5790000}"/>
    <cellStyle name="표준 9 6 2 2 2" xfId="31222" xr:uid="{00000000-0005-0000-0000-0000F6790000}"/>
    <cellStyle name="표준 9 6 2 2 2 2" xfId="31223" xr:uid="{00000000-0005-0000-0000-0000F7790000}"/>
    <cellStyle name="표준 9 6 2 2 3" xfId="31224" xr:uid="{00000000-0005-0000-0000-0000F8790000}"/>
    <cellStyle name="표준 9 6 2 3" xfId="31225" xr:uid="{00000000-0005-0000-0000-0000F9790000}"/>
    <cellStyle name="표준 9 6 2 3 2" xfId="31226" xr:uid="{00000000-0005-0000-0000-0000FA790000}"/>
    <cellStyle name="표준 9 6 2 4" xfId="31227" xr:uid="{00000000-0005-0000-0000-0000FB790000}"/>
    <cellStyle name="표준 9 6 3" xfId="31228" xr:uid="{00000000-0005-0000-0000-0000FC790000}"/>
    <cellStyle name="표준 9 6 3 2" xfId="31229" xr:uid="{00000000-0005-0000-0000-0000FD790000}"/>
    <cellStyle name="표준 9 6 3 2 2" xfId="31230" xr:uid="{00000000-0005-0000-0000-0000FE790000}"/>
    <cellStyle name="표준 9 6 3 3" xfId="31231" xr:uid="{00000000-0005-0000-0000-0000FF790000}"/>
    <cellStyle name="표준 9 6 4" xfId="31232" xr:uid="{00000000-0005-0000-0000-0000007A0000}"/>
    <cellStyle name="표준 9 6 4 2" xfId="31233" xr:uid="{00000000-0005-0000-0000-0000017A0000}"/>
    <cellStyle name="표준 9 6 5" xfId="31234" xr:uid="{00000000-0005-0000-0000-0000027A0000}"/>
    <cellStyle name="표준 9 7" xfId="31235" xr:uid="{00000000-0005-0000-0000-0000037A0000}"/>
    <cellStyle name="표준 9 7 2" xfId="31236" xr:uid="{00000000-0005-0000-0000-0000047A0000}"/>
    <cellStyle name="표준 9 7 2 2" xfId="31237" xr:uid="{00000000-0005-0000-0000-0000057A0000}"/>
    <cellStyle name="표준 9 7 2 2 2" xfId="31238" xr:uid="{00000000-0005-0000-0000-0000067A0000}"/>
    <cellStyle name="표준 9 7 2 3" xfId="31239" xr:uid="{00000000-0005-0000-0000-0000077A0000}"/>
    <cellStyle name="표준 9 7 3" xfId="31240" xr:uid="{00000000-0005-0000-0000-0000087A0000}"/>
    <cellStyle name="표준 9 7 3 2" xfId="31241" xr:uid="{00000000-0005-0000-0000-0000097A0000}"/>
    <cellStyle name="표준 9 7 4" xfId="31242" xr:uid="{00000000-0005-0000-0000-00000A7A0000}"/>
    <cellStyle name="표준 9 8" xfId="31243" xr:uid="{00000000-0005-0000-0000-00000B7A0000}"/>
    <cellStyle name="표준 9 8 2" xfId="31244" xr:uid="{00000000-0005-0000-0000-00000C7A0000}"/>
    <cellStyle name="표준 9 8 2 2" xfId="31245" xr:uid="{00000000-0005-0000-0000-00000D7A0000}"/>
    <cellStyle name="표준 9 8 3" xfId="31246" xr:uid="{00000000-0005-0000-0000-00000E7A0000}"/>
    <cellStyle name="표준 9 9" xfId="31247" xr:uid="{00000000-0005-0000-0000-00000F7A0000}"/>
    <cellStyle name="표준 9 9 2" xfId="31248" xr:uid="{00000000-0005-0000-0000-0000107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82"/>
  <sheetViews>
    <sheetView tabSelected="1" zoomScaleNormal="100" workbookViewId="0">
      <pane ySplit="3" topLeftCell="A3945" activePane="bottomLeft" state="frozen"/>
      <selection pane="bottomLeft" activeCell="K3950" sqref="K3950"/>
    </sheetView>
  </sheetViews>
  <sheetFormatPr defaultColWidth="9.140625" defaultRowHeight="13.5"/>
  <cols>
    <col min="1" max="1" width="11.5703125" style="45" customWidth="1"/>
    <col min="2" max="2" width="47.140625" style="14" customWidth="1"/>
    <col min="3" max="3" width="19.7109375" style="46" customWidth="1"/>
    <col min="4" max="4" width="20.5703125" style="46" customWidth="1"/>
    <col min="5" max="5" width="22.140625" style="46" customWidth="1"/>
    <col min="6" max="6" width="45.42578125" style="17" customWidth="1"/>
    <col min="7" max="7" width="20.5703125" style="14" customWidth="1"/>
    <col min="8" max="8" width="4.140625" style="17" customWidth="1"/>
    <col min="9" max="9" width="14.140625" style="15" bestFit="1" customWidth="1"/>
    <col min="10" max="10" width="14.140625" style="16" bestFit="1" customWidth="1"/>
    <col min="11" max="11" width="12.7109375" style="14" bestFit="1" customWidth="1"/>
    <col min="12" max="13" width="13.28515625" style="14" bestFit="1" customWidth="1"/>
    <col min="14" max="16" width="14.42578125" style="14" bestFit="1" customWidth="1"/>
    <col min="17" max="17" width="15.85546875" style="14" customWidth="1"/>
    <col min="18" max="18" width="15.85546875" style="229" customWidth="1"/>
    <col min="19" max="19" width="15.85546875" style="286" customWidth="1"/>
    <col min="20" max="20" width="10" bestFit="1" customWidth="1"/>
    <col min="21" max="21" width="11.42578125" bestFit="1" customWidth="1"/>
    <col min="22" max="22" width="10" bestFit="1" customWidth="1"/>
    <col min="23" max="23" width="12.5703125" bestFit="1" customWidth="1"/>
    <col min="24" max="24" width="10" bestFit="1" customWidth="1"/>
  </cols>
  <sheetData>
    <row r="1" spans="1:19" ht="20.100000000000001" customHeight="1">
      <c r="A1" s="305" t="s">
        <v>3</v>
      </c>
      <c r="B1" s="305"/>
      <c r="C1" s="305"/>
      <c r="D1" s="305"/>
      <c r="E1" s="305"/>
      <c r="F1" s="305"/>
      <c r="G1" s="305"/>
      <c r="I1" s="18" t="s">
        <v>1004</v>
      </c>
      <c r="J1" s="19">
        <f>SUM(D4:D314)</f>
        <v>978891830</v>
      </c>
      <c r="K1" s="180">
        <f>SUM(D315:D885)</f>
        <v>2238896840</v>
      </c>
      <c r="L1" s="20">
        <f>SUM(D886:D1358)</f>
        <v>2400598440</v>
      </c>
      <c r="M1" s="20">
        <f>SUM(D1359:D1684)</f>
        <v>2412642418</v>
      </c>
      <c r="N1" s="21">
        <f>SUM(D1685:D2109)</f>
        <v>3186033695</v>
      </c>
      <c r="O1" s="21">
        <f>SUM(D2110:D2732)</f>
        <v>4952107244</v>
      </c>
      <c r="P1" s="21">
        <f>SUM(D2733:D3375)</f>
        <v>4127550188</v>
      </c>
      <c r="Q1" s="21">
        <f>SUM(D3376:D3961)</f>
        <v>5324478103</v>
      </c>
      <c r="R1" s="21">
        <f>SUM(D3962:D4237)</f>
        <v>3563807712</v>
      </c>
      <c r="S1" s="21">
        <f>SUM(D4238:D4441)</f>
        <v>645778498</v>
      </c>
    </row>
    <row r="2" spans="1:19" ht="20.100000000000001" customHeight="1">
      <c r="A2" s="305"/>
      <c r="B2" s="305"/>
      <c r="C2" s="305"/>
      <c r="D2" s="305"/>
      <c r="E2" s="305"/>
      <c r="F2" s="305"/>
      <c r="G2" s="305"/>
      <c r="I2" s="18" t="s">
        <v>278</v>
      </c>
      <c r="J2" s="19">
        <f>SUM(E4:E314)</f>
        <v>97889176</v>
      </c>
      <c r="K2" s="19">
        <f>SUM(E315:E885)</f>
        <v>223889682</v>
      </c>
      <c r="L2" s="20">
        <f>SUM(E886:E1358)</f>
        <v>240059844</v>
      </c>
      <c r="M2" s="20">
        <f>SUM(E1359:E1684)</f>
        <v>241264240</v>
      </c>
      <c r="N2" s="21">
        <f>SUM(E1685:E2109)</f>
        <v>318603368</v>
      </c>
      <c r="O2" s="21">
        <f>SUM(E2110:E2732)</f>
        <v>495210738</v>
      </c>
      <c r="P2" s="21">
        <f>SUM(E2733:E3375)</f>
        <v>401842478.29999995</v>
      </c>
      <c r="Q2" s="21">
        <f>SUM(E3376:E3961)</f>
        <v>493523666</v>
      </c>
      <c r="R2" s="21">
        <f>SUM(E3962:E4237)</f>
        <v>338738423</v>
      </c>
      <c r="S2" s="21">
        <f>SUM(E4238:E4441)</f>
        <v>63082955</v>
      </c>
    </row>
    <row r="3" spans="1:19">
      <c r="A3" s="22" t="s">
        <v>4</v>
      </c>
      <c r="B3" s="23" t="s">
        <v>5</v>
      </c>
      <c r="C3" s="24" t="s">
        <v>6</v>
      </c>
      <c r="D3" s="24" t="s">
        <v>7</v>
      </c>
      <c r="E3" s="24" t="s">
        <v>8</v>
      </c>
      <c r="F3" s="23" t="s">
        <v>21</v>
      </c>
      <c r="G3" s="23" t="s">
        <v>22</v>
      </c>
      <c r="H3" s="25"/>
      <c r="J3" s="16" t="s">
        <v>632</v>
      </c>
      <c r="K3" s="14" t="s">
        <v>633</v>
      </c>
      <c r="L3" s="14" t="s">
        <v>634</v>
      </c>
      <c r="M3" s="14" t="s">
        <v>635</v>
      </c>
      <c r="N3" s="14" t="s">
        <v>636</v>
      </c>
      <c r="O3" s="14" t="s">
        <v>737</v>
      </c>
      <c r="P3" s="14" t="s">
        <v>847</v>
      </c>
      <c r="Q3" s="179" t="s">
        <v>988</v>
      </c>
      <c r="R3" s="229" t="s">
        <v>1142</v>
      </c>
      <c r="S3" s="286" t="s">
        <v>1305</v>
      </c>
    </row>
    <row r="4" spans="1:19">
      <c r="A4" s="26" t="s">
        <v>23</v>
      </c>
      <c r="B4" s="27" t="s">
        <v>15</v>
      </c>
      <c r="C4" s="28">
        <v>-18271000</v>
      </c>
      <c r="D4" s="28">
        <v>-16610000</v>
      </c>
      <c r="E4" s="28">
        <v>-1661000</v>
      </c>
      <c r="F4" s="29" t="s">
        <v>24</v>
      </c>
      <c r="G4" s="30" t="s">
        <v>25</v>
      </c>
      <c r="H4" s="31"/>
      <c r="I4" s="32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>
      <c r="A5" s="26" t="s">
        <v>23</v>
      </c>
      <c r="B5" s="27" t="s">
        <v>15</v>
      </c>
      <c r="C5" s="28">
        <v>-17611000</v>
      </c>
      <c r="D5" s="28">
        <v>-16010000</v>
      </c>
      <c r="E5" s="28">
        <v>-1601000</v>
      </c>
      <c r="F5" s="29" t="s">
        <v>26</v>
      </c>
      <c r="G5" s="30" t="s">
        <v>25</v>
      </c>
      <c r="H5" s="31"/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>
      <c r="A6" s="26" t="s">
        <v>23</v>
      </c>
      <c r="B6" s="27" t="s">
        <v>15</v>
      </c>
      <c r="C6" s="28">
        <v>17611000</v>
      </c>
      <c r="D6" s="28">
        <v>16010000</v>
      </c>
      <c r="E6" s="28">
        <v>1601000</v>
      </c>
      <c r="F6" s="29" t="s">
        <v>26</v>
      </c>
      <c r="G6" s="30" t="s">
        <v>25</v>
      </c>
      <c r="H6" s="31"/>
      <c r="I6" s="32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>
      <c r="A7" s="26" t="s">
        <v>23</v>
      </c>
      <c r="B7" s="27" t="s">
        <v>15</v>
      </c>
      <c r="C7" s="28">
        <v>18271000</v>
      </c>
      <c r="D7" s="28">
        <v>16610000</v>
      </c>
      <c r="E7" s="28">
        <v>1661000</v>
      </c>
      <c r="F7" s="29" t="s">
        <v>24</v>
      </c>
      <c r="G7" s="30" t="s">
        <v>25</v>
      </c>
      <c r="H7" s="31"/>
      <c r="I7" s="32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>
      <c r="A8" s="22" t="s">
        <v>27</v>
      </c>
      <c r="B8" s="23" t="s">
        <v>15</v>
      </c>
      <c r="C8" s="34">
        <f>SUM(D8:E8)</f>
        <v>8767000</v>
      </c>
      <c r="D8" s="34">
        <v>7970000</v>
      </c>
      <c r="E8" s="34">
        <v>797000</v>
      </c>
      <c r="F8" s="25" t="s">
        <v>28</v>
      </c>
      <c r="G8" s="9">
        <v>42831</v>
      </c>
      <c r="H8" s="35"/>
      <c r="J8" s="14"/>
    </row>
    <row r="9" spans="1:19">
      <c r="A9" s="22" t="s">
        <v>23</v>
      </c>
      <c r="B9" s="23" t="s">
        <v>15</v>
      </c>
      <c r="C9" s="34">
        <f t="shared" ref="C9:C31" si="0">SUM(D9:E9)</f>
        <v>17127000</v>
      </c>
      <c r="D9" s="34">
        <v>15570000</v>
      </c>
      <c r="E9" s="34">
        <v>1557000</v>
      </c>
      <c r="F9" s="25" t="s">
        <v>26</v>
      </c>
      <c r="G9" s="9">
        <v>42836</v>
      </c>
      <c r="H9" s="35"/>
      <c r="J9" s="14"/>
    </row>
    <row r="10" spans="1:19">
      <c r="A10" s="22" t="s">
        <v>23</v>
      </c>
      <c r="B10" s="23" t="s">
        <v>15</v>
      </c>
      <c r="C10" s="34">
        <f t="shared" si="0"/>
        <v>17853000</v>
      </c>
      <c r="D10" s="34">
        <v>16230000</v>
      </c>
      <c r="E10" s="34">
        <v>1623000</v>
      </c>
      <c r="F10" s="25" t="s">
        <v>29</v>
      </c>
      <c r="G10" s="9">
        <v>42836</v>
      </c>
      <c r="H10" s="35"/>
      <c r="J10" s="14"/>
    </row>
    <row r="11" spans="1:19">
      <c r="A11" s="22" t="s">
        <v>30</v>
      </c>
      <c r="B11" s="23" t="s">
        <v>15</v>
      </c>
      <c r="C11" s="34">
        <f t="shared" si="0"/>
        <v>10351000</v>
      </c>
      <c r="D11" s="34">
        <v>9410000</v>
      </c>
      <c r="E11" s="34">
        <v>941000</v>
      </c>
      <c r="F11" s="25" t="s">
        <v>31</v>
      </c>
      <c r="G11" s="9">
        <v>42839</v>
      </c>
      <c r="H11" s="35"/>
      <c r="J11" s="14"/>
    </row>
    <row r="12" spans="1:19">
      <c r="A12" s="22" t="s">
        <v>32</v>
      </c>
      <c r="B12" s="23" t="s">
        <v>15</v>
      </c>
      <c r="C12" s="34">
        <f t="shared" si="0"/>
        <v>7623000</v>
      </c>
      <c r="D12" s="34">
        <v>6930000</v>
      </c>
      <c r="E12" s="34">
        <v>693000</v>
      </c>
      <c r="F12" s="25" t="s">
        <v>33</v>
      </c>
      <c r="G12" s="9">
        <v>42842</v>
      </c>
      <c r="H12" s="35"/>
      <c r="J12" s="14"/>
    </row>
    <row r="13" spans="1:19">
      <c r="A13" s="22" t="s">
        <v>32</v>
      </c>
      <c r="B13" s="23" t="s">
        <v>15</v>
      </c>
      <c r="C13" s="34">
        <f t="shared" si="0"/>
        <v>6336000</v>
      </c>
      <c r="D13" s="34">
        <v>5760000</v>
      </c>
      <c r="E13" s="34">
        <v>576000</v>
      </c>
      <c r="F13" s="25" t="s">
        <v>34</v>
      </c>
      <c r="G13" s="9">
        <v>42842</v>
      </c>
      <c r="H13" s="35"/>
      <c r="J13" s="14"/>
    </row>
    <row r="14" spans="1:19">
      <c r="A14" s="22" t="s">
        <v>35</v>
      </c>
      <c r="B14" s="23" t="s">
        <v>15</v>
      </c>
      <c r="C14" s="34">
        <f t="shared" si="0"/>
        <v>18018000</v>
      </c>
      <c r="D14" s="34">
        <v>16380000</v>
      </c>
      <c r="E14" s="34">
        <v>1638000</v>
      </c>
      <c r="F14" s="25" t="s">
        <v>36</v>
      </c>
      <c r="G14" s="9">
        <v>42844</v>
      </c>
      <c r="H14" s="35"/>
      <c r="J14" s="14"/>
    </row>
    <row r="15" spans="1:19">
      <c r="A15" s="22" t="s">
        <v>37</v>
      </c>
      <c r="B15" s="23" t="s">
        <v>38</v>
      </c>
      <c r="C15" s="34">
        <f t="shared" si="0"/>
        <v>32599600</v>
      </c>
      <c r="D15" s="34">
        <v>29636000</v>
      </c>
      <c r="E15" s="34">
        <v>2963600</v>
      </c>
      <c r="F15" s="25" t="s">
        <v>28</v>
      </c>
      <c r="G15" s="9">
        <v>42845</v>
      </c>
      <c r="H15" s="35"/>
      <c r="J15" s="14"/>
    </row>
    <row r="16" spans="1:19">
      <c r="A16" s="22" t="s">
        <v>39</v>
      </c>
      <c r="B16" s="23" t="s">
        <v>40</v>
      </c>
      <c r="C16" s="34">
        <f t="shared" si="0"/>
        <v>6105000</v>
      </c>
      <c r="D16" s="34">
        <v>5550000</v>
      </c>
      <c r="E16" s="34">
        <v>555000</v>
      </c>
      <c r="F16" s="25" t="s">
        <v>28</v>
      </c>
      <c r="G16" s="9">
        <v>42853</v>
      </c>
      <c r="H16" s="35"/>
      <c r="J16" s="14"/>
    </row>
    <row r="17" spans="1:19">
      <c r="A17" s="22" t="s">
        <v>41</v>
      </c>
      <c r="B17" s="23" t="s">
        <v>15</v>
      </c>
      <c r="C17" s="34">
        <f t="shared" si="0"/>
        <v>15356000</v>
      </c>
      <c r="D17" s="34">
        <v>13960000</v>
      </c>
      <c r="E17" s="34">
        <v>1396000</v>
      </c>
      <c r="F17" s="25" t="s">
        <v>42</v>
      </c>
      <c r="G17" s="9">
        <v>42853</v>
      </c>
      <c r="H17" s="35"/>
      <c r="J17" s="14"/>
    </row>
    <row r="18" spans="1:19">
      <c r="A18" s="22" t="s">
        <v>41</v>
      </c>
      <c r="B18" s="23" t="s">
        <v>15</v>
      </c>
      <c r="C18" s="34">
        <f t="shared" si="0"/>
        <v>3960000</v>
      </c>
      <c r="D18" s="34">
        <v>3600000</v>
      </c>
      <c r="E18" s="34">
        <v>360000</v>
      </c>
      <c r="F18" s="25" t="s">
        <v>43</v>
      </c>
      <c r="G18" s="9">
        <v>42867</v>
      </c>
      <c r="H18" s="35"/>
      <c r="J18" s="14"/>
    </row>
    <row r="19" spans="1:19">
      <c r="A19" s="22" t="s">
        <v>20</v>
      </c>
      <c r="B19" s="23" t="s">
        <v>10</v>
      </c>
      <c r="C19" s="34">
        <f t="shared" si="0"/>
        <v>16500000</v>
      </c>
      <c r="D19" s="34">
        <v>15000000</v>
      </c>
      <c r="E19" s="34">
        <v>1500000</v>
      </c>
      <c r="F19" s="25" t="s">
        <v>28</v>
      </c>
      <c r="G19" s="9">
        <v>42874</v>
      </c>
      <c r="H19" s="35"/>
      <c r="I19" s="304" t="s">
        <v>44</v>
      </c>
      <c r="J19" s="304"/>
      <c r="K19" s="304"/>
    </row>
    <row r="20" spans="1:19">
      <c r="A20" s="22" t="s">
        <v>20</v>
      </c>
      <c r="B20" s="23" t="s">
        <v>15</v>
      </c>
      <c r="C20" s="34">
        <f t="shared" si="0"/>
        <v>3960000</v>
      </c>
      <c r="D20" s="34">
        <v>3600000</v>
      </c>
      <c r="E20" s="34">
        <v>360000</v>
      </c>
      <c r="F20" s="25" t="s">
        <v>45</v>
      </c>
      <c r="G20" s="9">
        <v>42853</v>
      </c>
      <c r="H20" s="35"/>
      <c r="I20" s="18" t="s">
        <v>46</v>
      </c>
      <c r="J20" s="36" t="s">
        <v>47</v>
      </c>
      <c r="K20" s="36" t="s">
        <v>48</v>
      </c>
    </row>
    <row r="21" spans="1:19">
      <c r="A21" s="37" t="s">
        <v>20</v>
      </c>
      <c r="B21" s="38" t="s">
        <v>15</v>
      </c>
      <c r="C21" s="39">
        <f t="shared" si="0"/>
        <v>12188000</v>
      </c>
      <c r="D21" s="39">
        <v>11080000</v>
      </c>
      <c r="E21" s="39">
        <v>1108000</v>
      </c>
      <c r="F21" s="40" t="s">
        <v>49</v>
      </c>
      <c r="G21" s="10">
        <v>42867</v>
      </c>
      <c r="H21" s="41"/>
      <c r="I21" s="18">
        <f>SUM(C4:C21)</f>
        <v>176743600</v>
      </c>
      <c r="J21" s="19">
        <f>SUM(D4:D21)</f>
        <v>160676000</v>
      </c>
      <c r="K21" s="19">
        <f>SUM(E4:E21)</f>
        <v>16067600</v>
      </c>
      <c r="L21" s="42"/>
      <c r="M21" s="42"/>
      <c r="N21" s="42"/>
      <c r="O21" s="42"/>
      <c r="P21" s="42"/>
      <c r="Q21" s="42"/>
      <c r="R21" s="42"/>
      <c r="S21" s="42"/>
    </row>
    <row r="22" spans="1:19">
      <c r="A22" s="26" t="s">
        <v>50</v>
      </c>
      <c r="B22" s="27" t="s">
        <v>15</v>
      </c>
      <c r="C22" s="28">
        <v>-6336000</v>
      </c>
      <c r="D22" s="28">
        <v>-5760000</v>
      </c>
      <c r="E22" s="28">
        <v>-576000</v>
      </c>
      <c r="F22" s="29" t="s">
        <v>51</v>
      </c>
      <c r="G22" s="30" t="s">
        <v>25</v>
      </c>
      <c r="H22" s="31"/>
      <c r="J22" s="14"/>
    </row>
    <row r="23" spans="1:19">
      <c r="A23" s="26" t="s">
        <v>50</v>
      </c>
      <c r="B23" s="27" t="s">
        <v>15</v>
      </c>
      <c r="C23" s="28">
        <v>6336000</v>
      </c>
      <c r="D23" s="28">
        <v>5760000</v>
      </c>
      <c r="E23" s="28">
        <v>576000</v>
      </c>
      <c r="F23" s="29" t="s">
        <v>51</v>
      </c>
      <c r="G23" s="30" t="s">
        <v>25</v>
      </c>
      <c r="H23" s="31"/>
      <c r="J23" s="14"/>
    </row>
    <row r="24" spans="1:19">
      <c r="A24" s="22" t="s">
        <v>50</v>
      </c>
      <c r="B24" s="23" t="s">
        <v>15</v>
      </c>
      <c r="C24" s="34">
        <f t="shared" si="0"/>
        <v>6556000</v>
      </c>
      <c r="D24" s="34">
        <v>5960000</v>
      </c>
      <c r="E24" s="34">
        <v>596000</v>
      </c>
      <c r="F24" s="25" t="s">
        <v>52</v>
      </c>
      <c r="G24" s="9">
        <v>42866</v>
      </c>
      <c r="H24" s="35"/>
      <c r="J24" s="14"/>
    </row>
    <row r="25" spans="1:19">
      <c r="A25" s="22" t="s">
        <v>53</v>
      </c>
      <c r="B25" s="23" t="s">
        <v>15</v>
      </c>
      <c r="C25" s="34">
        <f t="shared" si="0"/>
        <v>28468000</v>
      </c>
      <c r="D25" s="34">
        <v>25880000</v>
      </c>
      <c r="E25" s="34">
        <v>2588000</v>
      </c>
      <c r="F25" s="25" t="s">
        <v>54</v>
      </c>
      <c r="G25" s="9">
        <v>42866</v>
      </c>
      <c r="H25" s="35"/>
      <c r="J25" s="14"/>
    </row>
    <row r="26" spans="1:19">
      <c r="A26" s="22" t="s">
        <v>9</v>
      </c>
      <c r="B26" s="23" t="s">
        <v>10</v>
      </c>
      <c r="C26" s="34">
        <f t="shared" si="0"/>
        <v>31240000</v>
      </c>
      <c r="D26" s="34">
        <v>28400000</v>
      </c>
      <c r="E26" s="34">
        <v>2840000</v>
      </c>
      <c r="F26" s="25" t="s">
        <v>11</v>
      </c>
      <c r="G26" s="9">
        <v>42881</v>
      </c>
      <c r="J26" s="14"/>
    </row>
    <row r="27" spans="1:19">
      <c r="A27" s="22" t="s">
        <v>9</v>
      </c>
      <c r="B27" s="23" t="s">
        <v>15</v>
      </c>
      <c r="C27" s="34">
        <f t="shared" si="0"/>
        <v>9460000</v>
      </c>
      <c r="D27" s="34">
        <v>8600000</v>
      </c>
      <c r="E27" s="34">
        <v>860000</v>
      </c>
      <c r="F27" s="25" t="s">
        <v>55</v>
      </c>
      <c r="G27" s="9">
        <v>42867</v>
      </c>
      <c r="H27" s="35"/>
      <c r="J27" s="5"/>
    </row>
    <row r="28" spans="1:19">
      <c r="A28" s="43" t="s">
        <v>56</v>
      </c>
      <c r="B28" s="44" t="s">
        <v>15</v>
      </c>
      <c r="C28" s="34">
        <f t="shared" si="0"/>
        <v>12540000</v>
      </c>
      <c r="D28" s="34">
        <v>11400000</v>
      </c>
      <c r="E28" s="34">
        <v>1140000</v>
      </c>
      <c r="F28" s="25" t="s">
        <v>57</v>
      </c>
      <c r="G28" s="9">
        <v>42877</v>
      </c>
      <c r="H28" s="35"/>
      <c r="J28" s="14"/>
    </row>
    <row r="29" spans="1:19">
      <c r="A29" s="43" t="s">
        <v>56</v>
      </c>
      <c r="B29" s="44" t="s">
        <v>15</v>
      </c>
      <c r="C29" s="34">
        <f t="shared" si="0"/>
        <v>2640000</v>
      </c>
      <c r="D29" s="34">
        <v>2400000</v>
      </c>
      <c r="E29" s="34">
        <v>240000</v>
      </c>
      <c r="F29" s="25" t="s">
        <v>58</v>
      </c>
      <c r="G29" s="9">
        <v>42877</v>
      </c>
      <c r="H29" s="35"/>
      <c r="J29" s="14"/>
    </row>
    <row r="30" spans="1:19">
      <c r="A30" s="45" t="s">
        <v>14</v>
      </c>
      <c r="B30" s="14" t="s">
        <v>15</v>
      </c>
      <c r="C30" s="34">
        <f t="shared" si="0"/>
        <v>11396000</v>
      </c>
      <c r="D30" s="46">
        <v>10360000</v>
      </c>
      <c r="E30" s="46">
        <v>1036000</v>
      </c>
      <c r="F30" s="17" t="s">
        <v>16</v>
      </c>
      <c r="G30" s="9">
        <v>42895</v>
      </c>
      <c r="I30" s="304" t="s">
        <v>77</v>
      </c>
      <c r="J30" s="304"/>
      <c r="K30" s="304"/>
    </row>
    <row r="31" spans="1:19">
      <c r="A31" s="45" t="s">
        <v>18</v>
      </c>
      <c r="B31" s="14" t="s">
        <v>10</v>
      </c>
      <c r="C31" s="34">
        <f t="shared" si="0"/>
        <v>12573000</v>
      </c>
      <c r="D31" s="46">
        <v>11430000</v>
      </c>
      <c r="E31" s="46">
        <v>1143000</v>
      </c>
      <c r="F31" s="17" t="s">
        <v>19</v>
      </c>
      <c r="G31" s="9">
        <v>42898</v>
      </c>
      <c r="I31" s="18" t="s">
        <v>46</v>
      </c>
      <c r="J31" s="36" t="s">
        <v>47</v>
      </c>
      <c r="K31" s="36" t="s">
        <v>48</v>
      </c>
    </row>
    <row r="32" spans="1:19">
      <c r="A32" s="47">
        <v>42886</v>
      </c>
      <c r="B32" s="48" t="s">
        <v>15</v>
      </c>
      <c r="C32" s="49">
        <v>11264000</v>
      </c>
      <c r="D32" s="49">
        <v>10240000</v>
      </c>
      <c r="E32" s="49">
        <v>1024000</v>
      </c>
      <c r="F32" s="50" t="s">
        <v>76</v>
      </c>
      <c r="G32" s="10">
        <v>42895</v>
      </c>
      <c r="H32" s="51"/>
      <c r="I32" s="18">
        <f>SUM(C22:C32)</f>
        <v>126137000</v>
      </c>
      <c r="J32" s="19">
        <f>SUM(D22:D32)</f>
        <v>114670000</v>
      </c>
      <c r="K32" s="19">
        <f>SUM(E22:E32)</f>
        <v>11467000</v>
      </c>
      <c r="L32" s="42"/>
      <c r="M32" s="42"/>
      <c r="N32" s="42"/>
      <c r="O32" s="42"/>
      <c r="P32" s="42"/>
      <c r="Q32" s="42"/>
      <c r="R32" s="42"/>
      <c r="S32" s="42"/>
    </row>
    <row r="33" spans="1:19">
      <c r="A33" s="52" t="s">
        <v>88</v>
      </c>
      <c r="B33" s="33" t="s">
        <v>15</v>
      </c>
      <c r="C33" s="53">
        <v>11665500</v>
      </c>
      <c r="D33" s="53">
        <v>10605000</v>
      </c>
      <c r="E33" s="53">
        <v>1060500</v>
      </c>
      <c r="F33" s="54" t="s">
        <v>89</v>
      </c>
      <c r="G33" s="9">
        <v>42916</v>
      </c>
    </row>
    <row r="34" spans="1:19">
      <c r="A34" s="55" t="s">
        <v>88</v>
      </c>
      <c r="B34" s="30" t="s">
        <v>15</v>
      </c>
      <c r="C34" s="28">
        <v>11671000</v>
      </c>
      <c r="D34" s="28">
        <v>10610000</v>
      </c>
      <c r="E34" s="28">
        <v>1061000</v>
      </c>
      <c r="F34" s="31" t="s">
        <v>89</v>
      </c>
      <c r="G34" s="30" t="s">
        <v>25</v>
      </c>
    </row>
    <row r="35" spans="1:19">
      <c r="A35" s="55" t="s">
        <v>83</v>
      </c>
      <c r="B35" s="30" t="s">
        <v>10</v>
      </c>
      <c r="C35" s="28">
        <v>-3168000</v>
      </c>
      <c r="D35" s="28">
        <v>-2880000</v>
      </c>
      <c r="E35" s="28">
        <v>-288000</v>
      </c>
      <c r="F35" s="31" t="s">
        <v>84</v>
      </c>
      <c r="G35" s="30" t="s">
        <v>25</v>
      </c>
    </row>
    <row r="36" spans="1:19">
      <c r="A36" s="55" t="s">
        <v>83</v>
      </c>
      <c r="B36" s="30" t="s">
        <v>10</v>
      </c>
      <c r="C36" s="28">
        <v>3168000</v>
      </c>
      <c r="D36" s="28">
        <v>2880000</v>
      </c>
      <c r="E36" s="28">
        <v>288000</v>
      </c>
      <c r="F36" s="31" t="s">
        <v>84</v>
      </c>
      <c r="G36" s="30" t="s">
        <v>25</v>
      </c>
      <c r="I36" s="304" t="s">
        <v>81</v>
      </c>
      <c r="J36" s="304"/>
      <c r="K36" s="304"/>
    </row>
    <row r="37" spans="1:19">
      <c r="A37" s="55" t="s">
        <v>87</v>
      </c>
      <c r="B37" s="30" t="s">
        <v>15</v>
      </c>
      <c r="C37" s="28">
        <v>-11671000</v>
      </c>
      <c r="D37" s="28">
        <v>-10610000</v>
      </c>
      <c r="E37" s="28">
        <v>-1061000</v>
      </c>
      <c r="F37" s="31" t="s">
        <v>89</v>
      </c>
      <c r="G37" s="30" t="s">
        <v>25</v>
      </c>
      <c r="I37" s="18" t="s">
        <v>46</v>
      </c>
      <c r="J37" s="36" t="s">
        <v>47</v>
      </c>
      <c r="K37" s="36" t="s">
        <v>48</v>
      </c>
    </row>
    <row r="38" spans="1:19">
      <c r="A38" s="52" t="s">
        <v>90</v>
      </c>
      <c r="B38" s="33" t="s">
        <v>15</v>
      </c>
      <c r="C38" s="53">
        <v>12320000</v>
      </c>
      <c r="D38" s="53">
        <v>11200000</v>
      </c>
      <c r="E38" s="53">
        <v>1120000</v>
      </c>
      <c r="F38" s="54" t="s">
        <v>71</v>
      </c>
      <c r="G38" s="56">
        <v>42927</v>
      </c>
      <c r="H38" s="51"/>
      <c r="I38" s="18">
        <f>SUM(C33:C38)</f>
        <v>23985500</v>
      </c>
      <c r="J38" s="19">
        <f>SUM(D33:D38)</f>
        <v>21805000</v>
      </c>
      <c r="K38" s="19">
        <f>SUM(E33:E38)</f>
        <v>2180500</v>
      </c>
      <c r="L38" s="42"/>
      <c r="M38" s="42"/>
      <c r="N38" s="42"/>
      <c r="O38" s="42"/>
      <c r="P38" s="42"/>
      <c r="Q38" s="42"/>
      <c r="R38" s="42"/>
      <c r="S38" s="42"/>
    </row>
    <row r="39" spans="1:19">
      <c r="A39" s="57" t="s">
        <v>101</v>
      </c>
      <c r="B39" s="58" t="s">
        <v>10</v>
      </c>
      <c r="C39" s="59">
        <v>3168000</v>
      </c>
      <c r="D39" s="59">
        <v>2880000</v>
      </c>
      <c r="E39" s="59">
        <v>288000</v>
      </c>
      <c r="F39" s="60" t="s">
        <v>84</v>
      </c>
      <c r="G39" s="30" t="s">
        <v>113</v>
      </c>
      <c r="J39" s="14"/>
    </row>
    <row r="40" spans="1:19">
      <c r="A40" s="52" t="s">
        <v>93</v>
      </c>
      <c r="B40" s="33" t="s">
        <v>10</v>
      </c>
      <c r="C40" s="53">
        <v>4752000</v>
      </c>
      <c r="D40" s="53">
        <v>4320000</v>
      </c>
      <c r="E40" s="53">
        <v>432000</v>
      </c>
      <c r="F40" s="54" t="s">
        <v>94</v>
      </c>
      <c r="G40" s="9">
        <v>42942</v>
      </c>
    </row>
    <row r="41" spans="1:19">
      <c r="A41" s="52" t="s">
        <v>95</v>
      </c>
      <c r="B41" s="33" t="s">
        <v>10</v>
      </c>
      <c r="C41" s="53">
        <v>2079000</v>
      </c>
      <c r="D41" s="53">
        <v>1890000</v>
      </c>
      <c r="E41" s="53">
        <v>189000</v>
      </c>
      <c r="F41" s="54" t="s">
        <v>96</v>
      </c>
      <c r="G41" s="9">
        <v>42948</v>
      </c>
    </row>
    <row r="42" spans="1:19">
      <c r="A42" s="52" t="s">
        <v>97</v>
      </c>
      <c r="B42" s="33" t="s">
        <v>10</v>
      </c>
      <c r="C42" s="53">
        <v>1980000</v>
      </c>
      <c r="D42" s="53">
        <v>1800000</v>
      </c>
      <c r="E42" s="53">
        <v>180000</v>
      </c>
      <c r="F42" s="54" t="s">
        <v>98</v>
      </c>
      <c r="G42" s="9">
        <v>42948</v>
      </c>
      <c r="J42" s="14"/>
    </row>
    <row r="43" spans="1:19">
      <c r="A43" s="52" t="s">
        <v>99</v>
      </c>
      <c r="B43" s="33" t="s">
        <v>15</v>
      </c>
      <c r="C43" s="53">
        <v>14520000</v>
      </c>
      <c r="D43" s="53">
        <v>13200000</v>
      </c>
      <c r="E43" s="53">
        <v>1320000</v>
      </c>
      <c r="F43" s="54" t="s">
        <v>78</v>
      </c>
      <c r="G43" s="9">
        <v>42972</v>
      </c>
      <c r="J43" s="14"/>
    </row>
    <row r="44" spans="1:19">
      <c r="A44" s="55" t="s">
        <v>99</v>
      </c>
      <c r="B44" s="30" t="s">
        <v>15</v>
      </c>
      <c r="C44" s="28">
        <v>-14531000</v>
      </c>
      <c r="D44" s="28">
        <v>-13210000</v>
      </c>
      <c r="E44" s="28">
        <v>-1321000</v>
      </c>
      <c r="F44" s="31" t="s">
        <v>78</v>
      </c>
      <c r="G44" s="30" t="s">
        <v>25</v>
      </c>
      <c r="J44" s="14"/>
    </row>
    <row r="45" spans="1:19">
      <c r="A45" s="52" t="s">
        <v>99</v>
      </c>
      <c r="B45" s="33" t="s">
        <v>15</v>
      </c>
      <c r="C45" s="53">
        <v>4785000</v>
      </c>
      <c r="D45" s="53">
        <v>4350000</v>
      </c>
      <c r="E45" s="53">
        <v>435000</v>
      </c>
      <c r="F45" s="54" t="s">
        <v>68</v>
      </c>
      <c r="G45" s="61">
        <v>42972</v>
      </c>
      <c r="J45" s="14"/>
    </row>
    <row r="46" spans="1:19">
      <c r="A46" s="52" t="s">
        <v>99</v>
      </c>
      <c r="B46" s="33" t="s">
        <v>15</v>
      </c>
      <c r="C46" s="53">
        <v>3135000</v>
      </c>
      <c r="D46" s="53">
        <v>2850000</v>
      </c>
      <c r="E46" s="53">
        <v>285000</v>
      </c>
      <c r="F46" s="54" t="s">
        <v>73</v>
      </c>
      <c r="G46" s="61">
        <v>42972</v>
      </c>
      <c r="J46" s="14"/>
    </row>
    <row r="47" spans="1:19">
      <c r="A47" s="52" t="s">
        <v>99</v>
      </c>
      <c r="B47" s="33" t="s">
        <v>15</v>
      </c>
      <c r="C47" s="53">
        <v>4312000</v>
      </c>
      <c r="D47" s="53">
        <v>3920000</v>
      </c>
      <c r="E47" s="53">
        <v>392000</v>
      </c>
      <c r="F47" s="54" t="s">
        <v>67</v>
      </c>
      <c r="G47" s="61">
        <v>42972</v>
      </c>
      <c r="J47" s="14"/>
    </row>
    <row r="48" spans="1:19">
      <c r="A48" s="55" t="s">
        <v>99</v>
      </c>
      <c r="B48" s="30" t="s">
        <v>15</v>
      </c>
      <c r="C48" s="28">
        <v>14531000</v>
      </c>
      <c r="D48" s="28">
        <v>13210000</v>
      </c>
      <c r="E48" s="28">
        <v>1321000</v>
      </c>
      <c r="F48" s="31" t="s">
        <v>78</v>
      </c>
      <c r="G48" s="30" t="s">
        <v>25</v>
      </c>
      <c r="I48" s="304" t="s">
        <v>92</v>
      </c>
      <c r="J48" s="304"/>
      <c r="K48" s="304"/>
    </row>
    <row r="49" spans="1:19">
      <c r="A49" s="52" t="s">
        <v>99</v>
      </c>
      <c r="B49" s="33" t="s">
        <v>15</v>
      </c>
      <c r="C49" s="53">
        <v>726000</v>
      </c>
      <c r="D49" s="53">
        <v>660000</v>
      </c>
      <c r="E49" s="53">
        <v>66000</v>
      </c>
      <c r="F49" s="54" t="s">
        <v>103</v>
      </c>
      <c r="G49" s="61">
        <v>42972</v>
      </c>
      <c r="I49" s="62" t="s">
        <v>46</v>
      </c>
      <c r="J49" s="63" t="s">
        <v>47</v>
      </c>
      <c r="K49" s="63" t="s">
        <v>48</v>
      </c>
    </row>
    <row r="50" spans="1:19">
      <c r="A50" s="47" t="s">
        <v>99</v>
      </c>
      <c r="B50" s="48" t="s">
        <v>10</v>
      </c>
      <c r="C50" s="49">
        <v>1980000</v>
      </c>
      <c r="D50" s="49">
        <v>1800000</v>
      </c>
      <c r="E50" s="49">
        <v>180000</v>
      </c>
      <c r="F50" s="50" t="s">
        <v>100</v>
      </c>
      <c r="G50" s="10">
        <v>42956</v>
      </c>
      <c r="H50" s="51"/>
      <c r="I50" s="18">
        <f>SUM(C39:C50)</f>
        <v>41437000</v>
      </c>
      <c r="J50" s="19">
        <f>SUM(D39:D50)</f>
        <v>37670000</v>
      </c>
      <c r="K50" s="19">
        <f>SUM(E39:E50)</f>
        <v>3767000</v>
      </c>
      <c r="L50" s="42"/>
      <c r="M50" s="42"/>
      <c r="N50" s="42"/>
      <c r="O50" s="42"/>
      <c r="P50" s="42"/>
      <c r="Q50" s="42"/>
      <c r="R50" s="42"/>
      <c r="S50" s="42"/>
    </row>
    <row r="51" spans="1:19">
      <c r="A51" s="52" t="s">
        <v>106</v>
      </c>
      <c r="B51" s="33" t="s">
        <v>120</v>
      </c>
      <c r="C51" s="53">
        <v>8470000</v>
      </c>
      <c r="D51" s="53">
        <v>7700000</v>
      </c>
      <c r="E51" s="53">
        <v>770000</v>
      </c>
      <c r="F51" s="54" t="s">
        <v>121</v>
      </c>
      <c r="G51" s="61">
        <v>42989</v>
      </c>
      <c r="J51" s="64"/>
      <c r="K51" s="64"/>
    </row>
    <row r="52" spans="1:19">
      <c r="A52" s="52" t="s">
        <v>106</v>
      </c>
      <c r="B52" s="33" t="s">
        <v>10</v>
      </c>
      <c r="C52" s="53">
        <v>1980000</v>
      </c>
      <c r="D52" s="53">
        <v>1800000</v>
      </c>
      <c r="E52" s="53">
        <v>180000</v>
      </c>
      <c r="F52" s="54" t="s">
        <v>107</v>
      </c>
      <c r="G52" s="61">
        <v>42965</v>
      </c>
      <c r="J52" s="64"/>
      <c r="K52" s="64"/>
    </row>
    <row r="53" spans="1:19">
      <c r="A53" s="52" t="s">
        <v>102</v>
      </c>
      <c r="B53" s="33" t="s">
        <v>59</v>
      </c>
      <c r="C53" s="53">
        <v>440000</v>
      </c>
      <c r="D53" s="53">
        <v>400000</v>
      </c>
      <c r="E53" s="53">
        <v>40000</v>
      </c>
      <c r="F53" s="54" t="s">
        <v>72</v>
      </c>
      <c r="G53" s="9">
        <v>42956</v>
      </c>
    </row>
    <row r="54" spans="1:19">
      <c r="A54" s="52" t="s">
        <v>102</v>
      </c>
      <c r="B54" s="33" t="s">
        <v>59</v>
      </c>
      <c r="C54" s="53">
        <v>1760000</v>
      </c>
      <c r="D54" s="53">
        <v>1600000</v>
      </c>
      <c r="E54" s="53">
        <v>160000</v>
      </c>
      <c r="F54" s="54" t="s">
        <v>62</v>
      </c>
      <c r="G54" s="9">
        <v>42956</v>
      </c>
    </row>
    <row r="55" spans="1:19">
      <c r="A55" s="52" t="s">
        <v>102</v>
      </c>
      <c r="B55" s="33" t="s">
        <v>59</v>
      </c>
      <c r="C55" s="53">
        <v>880000</v>
      </c>
      <c r="D55" s="53">
        <v>800000</v>
      </c>
      <c r="E55" s="53">
        <v>80000</v>
      </c>
      <c r="F55" s="54" t="s">
        <v>64</v>
      </c>
      <c r="G55" s="9">
        <v>42956</v>
      </c>
    </row>
    <row r="56" spans="1:19">
      <c r="A56" s="52" t="s">
        <v>102</v>
      </c>
      <c r="B56" s="33" t="s">
        <v>59</v>
      </c>
      <c r="C56" s="53">
        <v>1584000</v>
      </c>
      <c r="D56" s="53">
        <v>1440000</v>
      </c>
      <c r="E56" s="53">
        <v>144000</v>
      </c>
      <c r="F56" s="54" t="s">
        <v>13</v>
      </c>
      <c r="G56" s="9">
        <v>42957</v>
      </c>
    </row>
    <row r="57" spans="1:19">
      <c r="A57" s="52" t="s">
        <v>104</v>
      </c>
      <c r="B57" s="33" t="s">
        <v>59</v>
      </c>
      <c r="C57" s="53">
        <v>792000</v>
      </c>
      <c r="D57" s="53">
        <v>720000</v>
      </c>
      <c r="E57" s="53">
        <v>72000</v>
      </c>
      <c r="F57" s="54" t="s">
        <v>105</v>
      </c>
      <c r="G57" s="9">
        <v>42957</v>
      </c>
    </row>
    <row r="58" spans="1:19">
      <c r="A58" s="52" t="s">
        <v>108</v>
      </c>
      <c r="B58" s="33" t="s">
        <v>59</v>
      </c>
      <c r="C58" s="53">
        <v>704000</v>
      </c>
      <c r="D58" s="53">
        <v>640000</v>
      </c>
      <c r="E58" s="53">
        <v>64000</v>
      </c>
      <c r="F58" s="54" t="s">
        <v>65</v>
      </c>
      <c r="G58" s="61">
        <v>42965</v>
      </c>
    </row>
    <row r="59" spans="1:19">
      <c r="A59" s="52" t="s">
        <v>108</v>
      </c>
      <c r="B59" s="33" t="s">
        <v>59</v>
      </c>
      <c r="C59" s="53">
        <v>968000</v>
      </c>
      <c r="D59" s="53">
        <v>880000</v>
      </c>
      <c r="E59" s="53">
        <v>88000</v>
      </c>
      <c r="F59" s="54" t="s">
        <v>62</v>
      </c>
      <c r="G59" s="9">
        <v>42964</v>
      </c>
    </row>
    <row r="60" spans="1:19">
      <c r="A60" s="52" t="s">
        <v>108</v>
      </c>
      <c r="B60" s="33" t="s">
        <v>59</v>
      </c>
      <c r="C60" s="53">
        <v>1320000</v>
      </c>
      <c r="D60" s="53">
        <v>1200000</v>
      </c>
      <c r="E60" s="53">
        <v>120000</v>
      </c>
      <c r="F60" s="54" t="s">
        <v>64</v>
      </c>
      <c r="G60" s="9">
        <v>42964</v>
      </c>
    </row>
    <row r="61" spans="1:19">
      <c r="A61" s="52" t="s">
        <v>108</v>
      </c>
      <c r="B61" s="33" t="s">
        <v>59</v>
      </c>
      <c r="C61" s="53">
        <v>1232000</v>
      </c>
      <c r="D61" s="53">
        <v>1120000</v>
      </c>
      <c r="E61" s="53">
        <v>112000</v>
      </c>
      <c r="F61" s="54" t="s">
        <v>61</v>
      </c>
      <c r="G61" s="61">
        <v>42965</v>
      </c>
    </row>
    <row r="62" spans="1:19">
      <c r="A62" s="52" t="s">
        <v>108</v>
      </c>
      <c r="B62" s="33" t="s">
        <v>10</v>
      </c>
      <c r="C62" s="53">
        <v>1320000</v>
      </c>
      <c r="D62" s="53">
        <v>1200000</v>
      </c>
      <c r="E62" s="53">
        <v>120000</v>
      </c>
      <c r="F62" s="54" t="s">
        <v>109</v>
      </c>
      <c r="G62" s="9">
        <v>42970</v>
      </c>
    </row>
    <row r="63" spans="1:19">
      <c r="A63" s="55" t="s">
        <v>110</v>
      </c>
      <c r="B63" s="30" t="s">
        <v>10</v>
      </c>
      <c r="C63" s="28">
        <v>3168000</v>
      </c>
      <c r="D63" s="28">
        <v>2880000</v>
      </c>
      <c r="E63" s="28">
        <v>288000</v>
      </c>
      <c r="F63" s="31" t="s">
        <v>111</v>
      </c>
      <c r="G63" s="30" t="s">
        <v>484</v>
      </c>
    </row>
    <row r="64" spans="1:19">
      <c r="A64" s="55" t="s">
        <v>110</v>
      </c>
      <c r="B64" s="30" t="s">
        <v>10</v>
      </c>
      <c r="C64" s="28">
        <v>-3168000</v>
      </c>
      <c r="D64" s="28">
        <v>-2880000</v>
      </c>
      <c r="E64" s="28">
        <v>-288000</v>
      </c>
      <c r="F64" s="31" t="s">
        <v>84</v>
      </c>
      <c r="G64" s="30" t="s">
        <v>485</v>
      </c>
    </row>
    <row r="65" spans="1:11">
      <c r="A65" s="52" t="s">
        <v>112</v>
      </c>
      <c r="B65" s="33" t="s">
        <v>10</v>
      </c>
      <c r="C65" s="53">
        <v>3168000</v>
      </c>
      <c r="D65" s="53">
        <v>2880000</v>
      </c>
      <c r="E65" s="53">
        <v>288000</v>
      </c>
      <c r="F65" s="54" t="s">
        <v>84</v>
      </c>
      <c r="G65" s="65">
        <v>42970</v>
      </c>
    </row>
    <row r="66" spans="1:11">
      <c r="A66" s="55" t="s">
        <v>112</v>
      </c>
      <c r="B66" s="30" t="s">
        <v>10</v>
      </c>
      <c r="C66" s="28">
        <v>-3168000</v>
      </c>
      <c r="D66" s="28">
        <v>-2880000</v>
      </c>
      <c r="E66" s="28">
        <v>-288000</v>
      </c>
      <c r="F66" s="31" t="s">
        <v>84</v>
      </c>
      <c r="G66" s="30" t="s">
        <v>484</v>
      </c>
    </row>
    <row r="67" spans="1:11">
      <c r="A67" s="52" t="s">
        <v>114</v>
      </c>
      <c r="B67" s="33" t="s">
        <v>59</v>
      </c>
      <c r="C67" s="53">
        <v>616000</v>
      </c>
      <c r="D67" s="53">
        <v>560000</v>
      </c>
      <c r="E67" s="53">
        <v>56000</v>
      </c>
      <c r="F67" s="54" t="s">
        <v>65</v>
      </c>
      <c r="G67" s="9">
        <v>42969</v>
      </c>
    </row>
    <row r="68" spans="1:11">
      <c r="A68" s="52" t="s">
        <v>114</v>
      </c>
      <c r="B68" s="33" t="s">
        <v>59</v>
      </c>
      <c r="C68" s="53">
        <v>880000</v>
      </c>
      <c r="D68" s="53">
        <v>800000</v>
      </c>
      <c r="E68" s="53">
        <v>80000</v>
      </c>
      <c r="F68" s="54" t="s">
        <v>64</v>
      </c>
      <c r="G68" s="9">
        <v>42969</v>
      </c>
    </row>
    <row r="69" spans="1:11">
      <c r="A69" s="52" t="s">
        <v>114</v>
      </c>
      <c r="B69" s="33" t="s">
        <v>59</v>
      </c>
      <c r="C69" s="53">
        <v>616000</v>
      </c>
      <c r="D69" s="53">
        <v>560000</v>
      </c>
      <c r="E69" s="53">
        <v>56000</v>
      </c>
      <c r="F69" s="54" t="s">
        <v>62</v>
      </c>
      <c r="G69" s="9">
        <v>42969</v>
      </c>
    </row>
    <row r="70" spans="1:11">
      <c r="A70" s="52" t="s">
        <v>114</v>
      </c>
      <c r="B70" s="33" t="s">
        <v>59</v>
      </c>
      <c r="C70" s="53">
        <v>1408000</v>
      </c>
      <c r="D70" s="53">
        <v>1280000</v>
      </c>
      <c r="E70" s="53">
        <v>128000</v>
      </c>
      <c r="F70" s="54" t="s">
        <v>61</v>
      </c>
      <c r="G70" s="9">
        <v>42975</v>
      </c>
    </row>
    <row r="71" spans="1:11">
      <c r="A71" s="52" t="s">
        <v>115</v>
      </c>
      <c r="B71" s="33" t="s">
        <v>10</v>
      </c>
      <c r="C71" s="53">
        <v>1320000</v>
      </c>
      <c r="D71" s="53">
        <v>1200000</v>
      </c>
      <c r="E71" s="53">
        <v>120000</v>
      </c>
      <c r="F71" s="54" t="s">
        <v>116</v>
      </c>
      <c r="G71" s="9">
        <v>42979</v>
      </c>
    </row>
    <row r="72" spans="1:11">
      <c r="A72" s="52" t="s">
        <v>117</v>
      </c>
      <c r="B72" s="33" t="s">
        <v>40</v>
      </c>
      <c r="C72" s="53">
        <v>2024000</v>
      </c>
      <c r="D72" s="53">
        <v>1840000</v>
      </c>
      <c r="E72" s="53">
        <v>184000</v>
      </c>
      <c r="F72" s="54" t="s">
        <v>13</v>
      </c>
      <c r="G72" s="9">
        <v>42972</v>
      </c>
    </row>
    <row r="73" spans="1:11">
      <c r="A73" s="52" t="s">
        <v>118</v>
      </c>
      <c r="B73" s="33" t="s">
        <v>59</v>
      </c>
      <c r="C73" s="53">
        <v>528000</v>
      </c>
      <c r="D73" s="53">
        <v>480000</v>
      </c>
      <c r="E73" s="53">
        <v>48000</v>
      </c>
      <c r="F73" s="54" t="s">
        <v>64</v>
      </c>
      <c r="G73" s="9">
        <v>42976</v>
      </c>
    </row>
    <row r="74" spans="1:11">
      <c r="A74" s="52" t="s">
        <v>118</v>
      </c>
      <c r="B74" s="33" t="s">
        <v>59</v>
      </c>
      <c r="C74" s="53">
        <v>880000</v>
      </c>
      <c r="D74" s="53">
        <v>800000</v>
      </c>
      <c r="E74" s="53">
        <v>80000</v>
      </c>
      <c r="F74" s="54" t="s">
        <v>62</v>
      </c>
      <c r="G74" s="9">
        <v>42976</v>
      </c>
    </row>
    <row r="75" spans="1:11">
      <c r="A75" s="52" t="s">
        <v>118</v>
      </c>
      <c r="B75" s="33" t="s">
        <v>10</v>
      </c>
      <c r="C75" s="53">
        <v>1320000</v>
      </c>
      <c r="D75" s="53">
        <v>1200000</v>
      </c>
      <c r="E75" s="53">
        <v>120000</v>
      </c>
      <c r="F75" s="54" t="s">
        <v>119</v>
      </c>
      <c r="G75" s="9">
        <v>42991</v>
      </c>
    </row>
    <row r="76" spans="1:11">
      <c r="A76" s="52" t="s">
        <v>118</v>
      </c>
      <c r="B76" s="33" t="s">
        <v>59</v>
      </c>
      <c r="C76" s="53">
        <v>1408000</v>
      </c>
      <c r="D76" s="53">
        <v>1280000</v>
      </c>
      <c r="E76" s="53">
        <v>128000</v>
      </c>
      <c r="F76" s="54" t="s">
        <v>61</v>
      </c>
      <c r="G76" s="9">
        <v>42977</v>
      </c>
    </row>
    <row r="77" spans="1:11">
      <c r="A77" s="52" t="s">
        <v>123</v>
      </c>
      <c r="B77" s="33" t="s">
        <v>15</v>
      </c>
      <c r="C77" s="53">
        <v>2871000</v>
      </c>
      <c r="D77" s="53">
        <v>2610000</v>
      </c>
      <c r="E77" s="53">
        <v>261000</v>
      </c>
      <c r="F77" s="54" t="s">
        <v>68</v>
      </c>
      <c r="G77" s="9">
        <v>42993</v>
      </c>
      <c r="J77" s="64"/>
      <c r="K77" s="64"/>
    </row>
    <row r="78" spans="1:11">
      <c r="A78" s="55" t="s">
        <v>123</v>
      </c>
      <c r="B78" s="30" t="s">
        <v>15</v>
      </c>
      <c r="C78" s="28">
        <v>2893000</v>
      </c>
      <c r="D78" s="28">
        <v>2630000</v>
      </c>
      <c r="E78" s="28">
        <v>263000</v>
      </c>
      <c r="F78" s="31" t="s">
        <v>68</v>
      </c>
      <c r="G78" s="30" t="s">
        <v>484</v>
      </c>
      <c r="J78" s="64"/>
      <c r="K78" s="64"/>
    </row>
    <row r="79" spans="1:11">
      <c r="A79" s="52" t="s">
        <v>123</v>
      </c>
      <c r="B79" s="33" t="s">
        <v>15</v>
      </c>
      <c r="C79" s="53">
        <v>16104000</v>
      </c>
      <c r="D79" s="53">
        <v>14640000</v>
      </c>
      <c r="E79" s="53">
        <v>1464000</v>
      </c>
      <c r="F79" s="54" t="s">
        <v>78</v>
      </c>
      <c r="G79" s="9">
        <v>42993</v>
      </c>
      <c r="J79" s="64"/>
      <c r="K79" s="64"/>
    </row>
    <row r="80" spans="1:11">
      <c r="A80" s="52" t="s">
        <v>123</v>
      </c>
      <c r="B80" s="33" t="s">
        <v>15</v>
      </c>
      <c r="C80" s="53">
        <v>4048000</v>
      </c>
      <c r="D80" s="53">
        <v>3680000</v>
      </c>
      <c r="E80" s="53">
        <v>368000</v>
      </c>
      <c r="F80" s="54" t="s">
        <v>67</v>
      </c>
      <c r="G80" s="9">
        <v>42993</v>
      </c>
      <c r="J80" s="64"/>
      <c r="K80" s="64"/>
    </row>
    <row r="81" spans="1:19">
      <c r="A81" s="52" t="s">
        <v>123</v>
      </c>
      <c r="B81" s="33" t="s">
        <v>15</v>
      </c>
      <c r="C81" s="53">
        <v>1815000</v>
      </c>
      <c r="D81" s="53">
        <v>1650000</v>
      </c>
      <c r="E81" s="53">
        <v>165000</v>
      </c>
      <c r="F81" s="54" t="s">
        <v>73</v>
      </c>
      <c r="G81" s="9">
        <v>42993</v>
      </c>
      <c r="I81" s="304" t="s">
        <v>486</v>
      </c>
      <c r="J81" s="304"/>
      <c r="K81" s="304"/>
    </row>
    <row r="82" spans="1:19">
      <c r="A82" s="52" t="s">
        <v>123</v>
      </c>
      <c r="B82" s="33" t="s">
        <v>15</v>
      </c>
      <c r="C82" s="53">
        <v>1573000</v>
      </c>
      <c r="D82" s="53">
        <v>1430000</v>
      </c>
      <c r="E82" s="53">
        <v>143000</v>
      </c>
      <c r="F82" s="54" t="s">
        <v>103</v>
      </c>
      <c r="G82" s="9">
        <v>42993</v>
      </c>
      <c r="I82" s="66" t="s">
        <v>487</v>
      </c>
      <c r="J82" s="63" t="s">
        <v>488</v>
      </c>
      <c r="K82" s="67" t="s">
        <v>494</v>
      </c>
    </row>
    <row r="83" spans="1:19">
      <c r="A83" s="47" t="s">
        <v>123</v>
      </c>
      <c r="B83" s="48" t="s">
        <v>59</v>
      </c>
      <c r="C83" s="49">
        <v>7206430</v>
      </c>
      <c r="D83" s="49">
        <v>6551300</v>
      </c>
      <c r="E83" s="49">
        <v>655130</v>
      </c>
      <c r="F83" s="50" t="s">
        <v>61</v>
      </c>
      <c r="G83" s="10">
        <v>42984</v>
      </c>
      <c r="H83" s="51"/>
      <c r="I83" s="68">
        <f>SUM(C51:C83)</f>
        <v>68960430</v>
      </c>
      <c r="J83" s="69">
        <f>SUM(D51:D83)</f>
        <v>62691300</v>
      </c>
      <c r="K83" s="70">
        <f>SUM(E51:E83)</f>
        <v>6269130</v>
      </c>
      <c r="L83" s="42"/>
      <c r="M83" s="42"/>
      <c r="N83" s="42"/>
      <c r="O83" s="42"/>
      <c r="P83" s="42"/>
      <c r="Q83" s="42"/>
      <c r="R83" s="42"/>
      <c r="S83" s="42"/>
    </row>
    <row r="84" spans="1:19">
      <c r="A84" s="52" t="s">
        <v>122</v>
      </c>
      <c r="B84" s="33" t="s">
        <v>59</v>
      </c>
      <c r="C84" s="53">
        <v>616000</v>
      </c>
      <c r="D84" s="53">
        <v>560000</v>
      </c>
      <c r="E84" s="53">
        <v>56000</v>
      </c>
      <c r="F84" s="54" t="s">
        <v>72</v>
      </c>
      <c r="G84" s="9">
        <v>42984</v>
      </c>
    </row>
    <row r="85" spans="1:19">
      <c r="A85" s="52" t="s">
        <v>122</v>
      </c>
      <c r="B85" s="33" t="s">
        <v>59</v>
      </c>
      <c r="C85" s="53">
        <v>1034000</v>
      </c>
      <c r="D85" s="53">
        <v>940000</v>
      </c>
      <c r="E85" s="53">
        <v>94000</v>
      </c>
      <c r="F85" s="54" t="s">
        <v>64</v>
      </c>
      <c r="G85" s="9">
        <v>42984</v>
      </c>
    </row>
    <row r="86" spans="1:19">
      <c r="A86" s="52" t="s">
        <v>122</v>
      </c>
      <c r="B86" s="33" t="s">
        <v>59</v>
      </c>
      <c r="C86" s="53">
        <v>3201000</v>
      </c>
      <c r="D86" s="53">
        <v>2910000</v>
      </c>
      <c r="E86" s="53">
        <v>291000</v>
      </c>
      <c r="F86" s="54" t="s">
        <v>62</v>
      </c>
      <c r="G86" s="9">
        <v>42984</v>
      </c>
    </row>
    <row r="87" spans="1:19">
      <c r="A87" s="52" t="s">
        <v>122</v>
      </c>
      <c r="B87" s="33" t="s">
        <v>59</v>
      </c>
      <c r="C87" s="53">
        <v>704000</v>
      </c>
      <c r="D87" s="53">
        <v>640000</v>
      </c>
      <c r="E87" s="53">
        <v>64000</v>
      </c>
      <c r="F87" s="54" t="s">
        <v>65</v>
      </c>
      <c r="G87" s="9">
        <v>42985</v>
      </c>
    </row>
    <row r="88" spans="1:19">
      <c r="A88" s="52" t="s">
        <v>122</v>
      </c>
      <c r="B88" s="33" t="s">
        <v>59</v>
      </c>
      <c r="C88" s="53">
        <v>1848000</v>
      </c>
      <c r="D88" s="53">
        <v>1680000</v>
      </c>
      <c r="E88" s="53">
        <v>168000</v>
      </c>
      <c r="F88" s="54" t="s">
        <v>61</v>
      </c>
      <c r="G88" s="9">
        <v>42984</v>
      </c>
    </row>
    <row r="89" spans="1:19">
      <c r="A89" s="55" t="s">
        <v>124</v>
      </c>
      <c r="B89" s="30" t="s">
        <v>10</v>
      </c>
      <c r="C89" s="28">
        <v>-1980000</v>
      </c>
      <c r="D89" s="28">
        <v>-1800000</v>
      </c>
      <c r="E89" s="28">
        <v>-180000</v>
      </c>
      <c r="F89" s="31" t="s">
        <v>125</v>
      </c>
      <c r="G89" s="30" t="s">
        <v>484</v>
      </c>
      <c r="J89" s="64"/>
      <c r="K89" s="64"/>
    </row>
    <row r="90" spans="1:19">
      <c r="A90" s="55" t="s">
        <v>124</v>
      </c>
      <c r="B90" s="30" t="s">
        <v>10</v>
      </c>
      <c r="C90" s="28">
        <v>1980000</v>
      </c>
      <c r="D90" s="28">
        <v>1800000</v>
      </c>
      <c r="E90" s="28">
        <v>180000</v>
      </c>
      <c r="F90" s="31" t="s">
        <v>125</v>
      </c>
      <c r="G90" s="30" t="s">
        <v>484</v>
      </c>
    </row>
    <row r="91" spans="1:19">
      <c r="A91" s="55" t="s">
        <v>126</v>
      </c>
      <c r="B91" s="30" t="s">
        <v>15</v>
      </c>
      <c r="C91" s="28">
        <v>-2893000</v>
      </c>
      <c r="D91" s="28">
        <v>-2630000</v>
      </c>
      <c r="E91" s="28">
        <v>-263000</v>
      </c>
      <c r="F91" s="31" t="s">
        <v>68</v>
      </c>
      <c r="G91" s="30" t="s">
        <v>484</v>
      </c>
    </row>
    <row r="92" spans="1:19">
      <c r="A92" s="52" t="s">
        <v>127</v>
      </c>
      <c r="B92" s="33" t="s">
        <v>59</v>
      </c>
      <c r="C92" s="53">
        <v>880000</v>
      </c>
      <c r="D92" s="53">
        <v>800000</v>
      </c>
      <c r="E92" s="53">
        <v>80000</v>
      </c>
      <c r="F92" s="54" t="s">
        <v>61</v>
      </c>
      <c r="G92" s="9">
        <v>42991</v>
      </c>
    </row>
    <row r="93" spans="1:19">
      <c r="A93" s="52" t="s">
        <v>128</v>
      </c>
      <c r="B93" s="33" t="s">
        <v>59</v>
      </c>
      <c r="C93" s="53">
        <v>792000</v>
      </c>
      <c r="D93" s="53">
        <v>720000</v>
      </c>
      <c r="E93" s="53">
        <v>72000</v>
      </c>
      <c r="F93" s="54" t="s">
        <v>64</v>
      </c>
      <c r="G93" s="9">
        <v>42990</v>
      </c>
    </row>
    <row r="94" spans="1:19">
      <c r="A94" s="52" t="s">
        <v>128</v>
      </c>
      <c r="B94" s="33" t="s">
        <v>59</v>
      </c>
      <c r="C94" s="53">
        <v>1760000</v>
      </c>
      <c r="D94" s="53">
        <v>1600000</v>
      </c>
      <c r="E94" s="53">
        <v>160000</v>
      </c>
      <c r="F94" s="54" t="s">
        <v>62</v>
      </c>
      <c r="G94" s="9">
        <v>42990</v>
      </c>
    </row>
    <row r="95" spans="1:19">
      <c r="A95" s="52" t="s">
        <v>128</v>
      </c>
      <c r="B95" s="33" t="s">
        <v>59</v>
      </c>
      <c r="C95" s="53">
        <v>528000</v>
      </c>
      <c r="D95" s="53">
        <v>480000</v>
      </c>
      <c r="E95" s="53">
        <v>48000</v>
      </c>
      <c r="F95" s="54" t="s">
        <v>65</v>
      </c>
      <c r="G95" s="9">
        <v>42993</v>
      </c>
    </row>
    <row r="96" spans="1:19">
      <c r="A96" s="52" t="s">
        <v>128</v>
      </c>
      <c r="B96" s="33" t="s">
        <v>129</v>
      </c>
      <c r="C96" s="53">
        <v>1639000</v>
      </c>
      <c r="D96" s="53">
        <v>1490000</v>
      </c>
      <c r="E96" s="53">
        <v>149000</v>
      </c>
      <c r="F96" s="54" t="s">
        <v>130</v>
      </c>
      <c r="G96" s="9">
        <v>42991</v>
      </c>
    </row>
    <row r="97" spans="1:7">
      <c r="A97" s="52" t="s">
        <v>131</v>
      </c>
      <c r="B97" s="33" t="s">
        <v>10</v>
      </c>
      <c r="C97" s="53">
        <v>3300000</v>
      </c>
      <c r="D97" s="53">
        <v>3000000</v>
      </c>
      <c r="E97" s="53">
        <v>300000</v>
      </c>
      <c r="F97" s="54" t="s">
        <v>132</v>
      </c>
      <c r="G97" s="9">
        <v>43005</v>
      </c>
    </row>
    <row r="98" spans="1:7">
      <c r="A98" s="52" t="s">
        <v>133</v>
      </c>
      <c r="B98" s="33" t="s">
        <v>59</v>
      </c>
      <c r="C98" s="53">
        <v>528000</v>
      </c>
      <c r="D98" s="53">
        <v>480000</v>
      </c>
      <c r="E98" s="53">
        <v>48000</v>
      </c>
      <c r="F98" s="54" t="s">
        <v>64</v>
      </c>
      <c r="G98" s="9">
        <v>42996</v>
      </c>
    </row>
    <row r="99" spans="1:7">
      <c r="A99" s="52" t="s">
        <v>133</v>
      </c>
      <c r="B99" s="33" t="s">
        <v>59</v>
      </c>
      <c r="C99" s="53">
        <v>2376000</v>
      </c>
      <c r="D99" s="53">
        <v>2160000</v>
      </c>
      <c r="E99" s="53">
        <v>216000</v>
      </c>
      <c r="F99" s="54" t="s">
        <v>62</v>
      </c>
      <c r="G99" s="9">
        <v>42996</v>
      </c>
    </row>
    <row r="100" spans="1:7">
      <c r="A100" s="52" t="s">
        <v>133</v>
      </c>
      <c r="B100" s="33" t="s">
        <v>59</v>
      </c>
      <c r="C100" s="53">
        <v>1232000</v>
      </c>
      <c r="D100" s="53">
        <v>1120000</v>
      </c>
      <c r="E100" s="53">
        <v>112000</v>
      </c>
      <c r="F100" s="54" t="s">
        <v>61</v>
      </c>
      <c r="G100" s="9">
        <v>42998</v>
      </c>
    </row>
    <row r="101" spans="1:7">
      <c r="A101" s="52" t="s">
        <v>134</v>
      </c>
      <c r="B101" s="33" t="s">
        <v>40</v>
      </c>
      <c r="C101" s="53">
        <v>803000</v>
      </c>
      <c r="D101" s="53">
        <v>730000</v>
      </c>
      <c r="E101" s="53">
        <v>73000</v>
      </c>
      <c r="F101" s="54" t="s">
        <v>13</v>
      </c>
      <c r="G101" s="9">
        <v>43000</v>
      </c>
    </row>
    <row r="102" spans="1:7">
      <c r="A102" s="52" t="s">
        <v>135</v>
      </c>
      <c r="B102" s="33" t="s">
        <v>129</v>
      </c>
      <c r="C102" s="53">
        <v>1408000</v>
      </c>
      <c r="D102" s="53">
        <v>1280000</v>
      </c>
      <c r="E102" s="53">
        <v>128000</v>
      </c>
      <c r="F102" s="54" t="s">
        <v>136</v>
      </c>
      <c r="G102" s="9">
        <v>43000</v>
      </c>
    </row>
    <row r="103" spans="1:7">
      <c r="A103" s="52" t="s">
        <v>135</v>
      </c>
      <c r="B103" s="33" t="s">
        <v>38</v>
      </c>
      <c r="C103" s="53">
        <v>23347500</v>
      </c>
      <c r="D103" s="53">
        <v>21225000</v>
      </c>
      <c r="E103" s="53">
        <v>2122500</v>
      </c>
      <c r="F103" s="54" t="s">
        <v>137</v>
      </c>
      <c r="G103" s="9">
        <v>43006</v>
      </c>
    </row>
    <row r="104" spans="1:7">
      <c r="A104" s="52" t="s">
        <v>138</v>
      </c>
      <c r="B104" s="33" t="s">
        <v>2</v>
      </c>
      <c r="C104" s="53">
        <v>4070000</v>
      </c>
      <c r="D104" s="53">
        <v>3700000</v>
      </c>
      <c r="E104" s="53">
        <v>370000</v>
      </c>
      <c r="F104" s="54" t="s">
        <v>489</v>
      </c>
      <c r="G104" s="9">
        <v>43000</v>
      </c>
    </row>
    <row r="105" spans="1:7">
      <c r="A105" s="52" t="s">
        <v>138</v>
      </c>
      <c r="B105" s="33" t="s">
        <v>2</v>
      </c>
      <c r="C105" s="53">
        <v>3410635</v>
      </c>
      <c r="D105" s="53">
        <v>3100578</v>
      </c>
      <c r="E105" s="53">
        <v>310057</v>
      </c>
      <c r="F105" s="54" t="s">
        <v>567</v>
      </c>
      <c r="G105" s="9">
        <v>43000</v>
      </c>
    </row>
    <row r="106" spans="1:7">
      <c r="A106" s="52" t="s">
        <v>139</v>
      </c>
      <c r="B106" s="33" t="s">
        <v>91</v>
      </c>
      <c r="C106" s="53">
        <v>7020750</v>
      </c>
      <c r="D106" s="53">
        <v>6382500</v>
      </c>
      <c r="E106" s="53">
        <v>638250</v>
      </c>
      <c r="F106" s="54" t="s">
        <v>13</v>
      </c>
      <c r="G106" s="9">
        <v>43000</v>
      </c>
    </row>
    <row r="107" spans="1:7">
      <c r="A107" s="52" t="s">
        <v>140</v>
      </c>
      <c r="B107" s="33" t="s">
        <v>59</v>
      </c>
      <c r="C107" s="53">
        <v>1056000</v>
      </c>
      <c r="D107" s="53">
        <v>960000</v>
      </c>
      <c r="E107" s="53">
        <v>96000</v>
      </c>
      <c r="F107" s="54" t="s">
        <v>64</v>
      </c>
      <c r="G107" s="9">
        <v>43003</v>
      </c>
    </row>
    <row r="108" spans="1:7">
      <c r="A108" s="52" t="s">
        <v>140</v>
      </c>
      <c r="B108" s="33" t="s">
        <v>59</v>
      </c>
      <c r="C108" s="53">
        <v>1468500</v>
      </c>
      <c r="D108" s="53">
        <v>1335000</v>
      </c>
      <c r="E108" s="53">
        <v>133500</v>
      </c>
      <c r="F108" s="54" t="s">
        <v>62</v>
      </c>
      <c r="G108" s="9">
        <v>43003</v>
      </c>
    </row>
    <row r="109" spans="1:7">
      <c r="A109" s="52" t="s">
        <v>140</v>
      </c>
      <c r="B109" s="33" t="s">
        <v>59</v>
      </c>
      <c r="C109" s="53">
        <v>968000</v>
      </c>
      <c r="D109" s="53">
        <v>880000</v>
      </c>
      <c r="E109" s="53">
        <v>88000</v>
      </c>
      <c r="F109" s="54" t="s">
        <v>61</v>
      </c>
      <c r="G109" s="9">
        <v>43007</v>
      </c>
    </row>
    <row r="110" spans="1:7">
      <c r="A110" s="52" t="s">
        <v>141</v>
      </c>
      <c r="B110" s="33" t="s">
        <v>59</v>
      </c>
      <c r="C110" s="53">
        <v>2205500</v>
      </c>
      <c r="D110" s="53">
        <v>2005000</v>
      </c>
      <c r="E110" s="53">
        <v>200500</v>
      </c>
      <c r="F110" s="54" t="s">
        <v>142</v>
      </c>
      <c r="G110" s="9">
        <v>43005</v>
      </c>
    </row>
    <row r="111" spans="1:7">
      <c r="A111" s="52" t="s">
        <v>141</v>
      </c>
      <c r="B111" s="33" t="s">
        <v>59</v>
      </c>
      <c r="C111" s="53">
        <v>440000</v>
      </c>
      <c r="D111" s="53">
        <v>400000</v>
      </c>
      <c r="E111" s="53">
        <v>40000</v>
      </c>
      <c r="F111" s="54" t="s">
        <v>105</v>
      </c>
      <c r="G111" s="9">
        <v>43006</v>
      </c>
    </row>
    <row r="112" spans="1:7">
      <c r="A112" s="52" t="s">
        <v>144</v>
      </c>
      <c r="B112" s="33" t="s">
        <v>40</v>
      </c>
      <c r="C112" s="53">
        <v>3223000</v>
      </c>
      <c r="D112" s="53">
        <v>2930000</v>
      </c>
      <c r="E112" s="53">
        <v>293000</v>
      </c>
      <c r="F112" s="54" t="s">
        <v>13</v>
      </c>
      <c r="G112" s="9">
        <v>43006</v>
      </c>
    </row>
    <row r="113" spans="1:11">
      <c r="A113" s="52" t="s">
        <v>145</v>
      </c>
      <c r="B113" s="33" t="s">
        <v>86</v>
      </c>
      <c r="C113" s="53">
        <v>4521000</v>
      </c>
      <c r="D113" s="53">
        <v>4110000</v>
      </c>
      <c r="E113" s="53">
        <v>411000</v>
      </c>
      <c r="F113" s="54" t="s">
        <v>13</v>
      </c>
      <c r="G113" s="9">
        <v>43038</v>
      </c>
    </row>
    <row r="114" spans="1:11">
      <c r="A114" s="52" t="s">
        <v>145</v>
      </c>
      <c r="B114" s="33" t="s">
        <v>12</v>
      </c>
      <c r="C114" s="53">
        <v>1584000</v>
      </c>
      <c r="D114" s="53">
        <v>1440000</v>
      </c>
      <c r="E114" s="53">
        <v>144000</v>
      </c>
      <c r="F114" s="54" t="s">
        <v>13</v>
      </c>
      <c r="G114" s="9">
        <v>43098</v>
      </c>
    </row>
    <row r="115" spans="1:11">
      <c r="A115" s="52" t="s">
        <v>145</v>
      </c>
      <c r="B115" s="33" t="s">
        <v>91</v>
      </c>
      <c r="C115" s="53">
        <v>3751000</v>
      </c>
      <c r="D115" s="53">
        <v>3410000</v>
      </c>
      <c r="E115" s="53">
        <v>341000</v>
      </c>
      <c r="F115" s="54" t="s">
        <v>13</v>
      </c>
      <c r="G115" s="9">
        <v>43008</v>
      </c>
    </row>
    <row r="116" spans="1:11">
      <c r="A116" s="52" t="s">
        <v>145</v>
      </c>
      <c r="B116" s="33" t="s">
        <v>79</v>
      </c>
      <c r="C116" s="53">
        <v>7161000</v>
      </c>
      <c r="D116" s="53">
        <v>6510000</v>
      </c>
      <c r="E116" s="53">
        <v>651000</v>
      </c>
      <c r="F116" s="54" t="s">
        <v>146</v>
      </c>
      <c r="G116" s="9">
        <v>43007</v>
      </c>
    </row>
    <row r="117" spans="1:11">
      <c r="A117" s="52" t="s">
        <v>145</v>
      </c>
      <c r="B117" s="33" t="s">
        <v>147</v>
      </c>
      <c r="C117" s="53">
        <v>1815000</v>
      </c>
      <c r="D117" s="53">
        <v>1650000</v>
      </c>
      <c r="E117" s="53">
        <v>165000</v>
      </c>
      <c r="F117" s="54" t="s">
        <v>13</v>
      </c>
      <c r="G117" s="9">
        <v>43006</v>
      </c>
    </row>
    <row r="118" spans="1:11">
      <c r="A118" s="52" t="s">
        <v>149</v>
      </c>
      <c r="B118" s="33" t="s">
        <v>150</v>
      </c>
      <c r="C118" s="53">
        <v>1862520</v>
      </c>
      <c r="D118" s="53">
        <v>1693200</v>
      </c>
      <c r="E118" s="53">
        <v>169320</v>
      </c>
      <c r="F118" s="54" t="s">
        <v>13</v>
      </c>
      <c r="G118" s="9">
        <v>43070</v>
      </c>
    </row>
    <row r="119" spans="1:11">
      <c r="A119" s="52" t="s">
        <v>149</v>
      </c>
      <c r="B119" s="33" t="s">
        <v>59</v>
      </c>
      <c r="C119" s="53">
        <v>2200000</v>
      </c>
      <c r="D119" s="53">
        <v>2000000</v>
      </c>
      <c r="E119" s="53">
        <v>200000</v>
      </c>
      <c r="F119" s="54" t="s">
        <v>62</v>
      </c>
      <c r="G119" s="9">
        <v>43007</v>
      </c>
      <c r="J119" s="14"/>
    </row>
    <row r="120" spans="1:11">
      <c r="A120" s="52" t="s">
        <v>151</v>
      </c>
      <c r="B120" s="33" t="s">
        <v>15</v>
      </c>
      <c r="C120" s="53">
        <v>5621000</v>
      </c>
      <c r="D120" s="53">
        <v>5110000</v>
      </c>
      <c r="E120" s="53">
        <v>511000</v>
      </c>
      <c r="F120" s="54" t="s">
        <v>68</v>
      </c>
      <c r="G120" s="9">
        <v>43024</v>
      </c>
      <c r="J120" s="14"/>
    </row>
    <row r="121" spans="1:11">
      <c r="A121" s="52" t="s">
        <v>151</v>
      </c>
      <c r="B121" s="33" t="s">
        <v>15</v>
      </c>
      <c r="C121" s="53">
        <v>1732500</v>
      </c>
      <c r="D121" s="53">
        <v>1575000</v>
      </c>
      <c r="E121" s="53">
        <v>157500</v>
      </c>
      <c r="F121" s="54" t="s">
        <v>73</v>
      </c>
      <c r="G121" s="9">
        <v>43024</v>
      </c>
      <c r="J121" s="14"/>
    </row>
    <row r="122" spans="1:11">
      <c r="A122" s="52" t="s">
        <v>151</v>
      </c>
      <c r="B122" s="33" t="s">
        <v>15</v>
      </c>
      <c r="C122" s="53">
        <v>3696000</v>
      </c>
      <c r="D122" s="53">
        <v>3360000</v>
      </c>
      <c r="E122" s="53">
        <v>336000</v>
      </c>
      <c r="F122" s="54" t="s">
        <v>67</v>
      </c>
      <c r="G122" s="9">
        <v>43024</v>
      </c>
      <c r="J122" s="64"/>
      <c r="K122" s="64"/>
    </row>
    <row r="123" spans="1:11">
      <c r="A123" s="52" t="s">
        <v>151</v>
      </c>
      <c r="B123" s="33" t="s">
        <v>15</v>
      </c>
      <c r="C123" s="53">
        <v>12936000</v>
      </c>
      <c r="D123" s="53">
        <v>11760000</v>
      </c>
      <c r="E123" s="53">
        <v>1176000</v>
      </c>
      <c r="F123" s="54" t="s">
        <v>78</v>
      </c>
      <c r="G123" s="9">
        <v>43024</v>
      </c>
      <c r="J123" s="64"/>
      <c r="K123" s="64"/>
    </row>
    <row r="124" spans="1:11">
      <c r="A124" s="52" t="s">
        <v>151</v>
      </c>
      <c r="B124" s="33" t="s">
        <v>82</v>
      </c>
      <c r="C124" s="53">
        <v>4367000</v>
      </c>
      <c r="D124" s="53">
        <v>3970000</v>
      </c>
      <c r="E124" s="53">
        <v>397000</v>
      </c>
      <c r="F124" s="54" t="s">
        <v>13</v>
      </c>
      <c r="G124" s="9">
        <v>43024</v>
      </c>
      <c r="J124" s="64"/>
      <c r="K124" s="64"/>
    </row>
    <row r="125" spans="1:11">
      <c r="A125" s="52" t="s">
        <v>151</v>
      </c>
      <c r="B125" s="33" t="s">
        <v>82</v>
      </c>
      <c r="C125" s="53">
        <v>1232000</v>
      </c>
      <c r="D125" s="53">
        <v>1120000</v>
      </c>
      <c r="E125" s="53">
        <v>112000</v>
      </c>
      <c r="F125" s="54" t="s">
        <v>154</v>
      </c>
      <c r="G125" s="9">
        <v>43024</v>
      </c>
      <c r="J125" s="64"/>
      <c r="K125" s="64"/>
    </row>
    <row r="126" spans="1:11">
      <c r="A126" s="52" t="s">
        <v>151</v>
      </c>
      <c r="B126" s="33" t="s">
        <v>155</v>
      </c>
      <c r="C126" s="53">
        <v>924000</v>
      </c>
      <c r="D126" s="53">
        <v>840000</v>
      </c>
      <c r="E126" s="53">
        <v>84000</v>
      </c>
      <c r="F126" s="54" t="s">
        <v>13</v>
      </c>
      <c r="G126" s="9">
        <v>43021</v>
      </c>
      <c r="J126" s="64"/>
      <c r="K126" s="64"/>
    </row>
    <row r="127" spans="1:11">
      <c r="A127" s="52" t="s">
        <v>151</v>
      </c>
      <c r="B127" s="33" t="s">
        <v>59</v>
      </c>
      <c r="C127" s="53">
        <v>3426500</v>
      </c>
      <c r="D127" s="53">
        <v>3115000</v>
      </c>
      <c r="E127" s="53">
        <v>311500</v>
      </c>
      <c r="F127" s="54" t="s">
        <v>490</v>
      </c>
      <c r="G127" s="9">
        <v>43020</v>
      </c>
      <c r="J127" s="64"/>
      <c r="K127" s="64"/>
    </row>
    <row r="128" spans="1:11">
      <c r="A128" s="52" t="s">
        <v>151</v>
      </c>
      <c r="B128" s="33" t="s">
        <v>2</v>
      </c>
      <c r="C128" s="53">
        <v>7634000</v>
      </c>
      <c r="D128" s="53">
        <v>6940000</v>
      </c>
      <c r="E128" s="53">
        <v>694000</v>
      </c>
      <c r="F128" s="54" t="s">
        <v>491</v>
      </c>
      <c r="G128" s="9">
        <v>43019</v>
      </c>
      <c r="J128" s="64"/>
      <c r="K128" s="64"/>
    </row>
    <row r="129" spans="1:19">
      <c r="A129" s="52" t="s">
        <v>151</v>
      </c>
      <c r="B129" s="33" t="s">
        <v>2</v>
      </c>
      <c r="C129" s="53">
        <v>3971677</v>
      </c>
      <c r="D129" s="53">
        <v>3610616</v>
      </c>
      <c r="E129" s="53">
        <v>361061</v>
      </c>
      <c r="F129" s="54" t="s">
        <v>492</v>
      </c>
      <c r="G129" s="9">
        <v>43019</v>
      </c>
      <c r="I129" s="307" t="s">
        <v>493</v>
      </c>
      <c r="J129" s="307"/>
      <c r="K129" s="307"/>
    </row>
    <row r="130" spans="1:19">
      <c r="A130" s="52" t="s">
        <v>151</v>
      </c>
      <c r="B130" s="33" t="s">
        <v>59</v>
      </c>
      <c r="C130" s="53">
        <v>7076102</v>
      </c>
      <c r="D130" s="53">
        <v>6432820</v>
      </c>
      <c r="E130" s="53">
        <v>643282</v>
      </c>
      <c r="F130" s="54" t="s">
        <v>61</v>
      </c>
      <c r="G130" s="9">
        <v>43018</v>
      </c>
      <c r="I130" s="66" t="s">
        <v>487</v>
      </c>
      <c r="J130" s="63" t="s">
        <v>488</v>
      </c>
      <c r="K130" s="67" t="s">
        <v>494</v>
      </c>
    </row>
    <row r="131" spans="1:19">
      <c r="A131" s="52" t="s">
        <v>151</v>
      </c>
      <c r="B131" s="33" t="s">
        <v>2</v>
      </c>
      <c r="C131" s="53">
        <v>11206327</v>
      </c>
      <c r="D131" s="53">
        <v>10187570</v>
      </c>
      <c r="E131" s="53">
        <v>1018757</v>
      </c>
      <c r="F131" s="54" t="s">
        <v>152</v>
      </c>
      <c r="G131" s="10">
        <v>43019</v>
      </c>
      <c r="H131" s="51"/>
      <c r="I131" s="68">
        <f>SUM(C84:C131)</f>
        <v>153683511</v>
      </c>
      <c r="J131" s="70">
        <f>SUM(D84:D131)</f>
        <v>139712284</v>
      </c>
      <c r="K131" s="71">
        <f>SUM(E84:E131)</f>
        <v>13971227</v>
      </c>
      <c r="L131" s="42"/>
      <c r="M131" s="42"/>
      <c r="N131" s="42"/>
      <c r="O131" s="42"/>
      <c r="P131" s="42"/>
      <c r="Q131" s="42"/>
      <c r="R131" s="42"/>
      <c r="S131" s="42"/>
    </row>
    <row r="132" spans="1:19">
      <c r="A132" s="57" t="s">
        <v>153</v>
      </c>
      <c r="B132" s="58" t="s">
        <v>10</v>
      </c>
      <c r="C132" s="59">
        <v>3960000</v>
      </c>
      <c r="D132" s="59">
        <v>3600000</v>
      </c>
      <c r="E132" s="59">
        <v>360000</v>
      </c>
      <c r="F132" s="60" t="s">
        <v>160</v>
      </c>
      <c r="G132" s="9">
        <v>43042</v>
      </c>
    </row>
    <row r="133" spans="1:19">
      <c r="A133" s="52" t="s">
        <v>153</v>
      </c>
      <c r="B133" s="33" t="s">
        <v>129</v>
      </c>
      <c r="C133" s="53">
        <v>968000</v>
      </c>
      <c r="D133" s="53">
        <v>880000</v>
      </c>
      <c r="E133" s="53">
        <v>88000</v>
      </c>
      <c r="F133" s="54" t="s">
        <v>13</v>
      </c>
      <c r="G133" s="9">
        <v>43010</v>
      </c>
    </row>
    <row r="134" spans="1:19">
      <c r="A134" s="52" t="s">
        <v>153</v>
      </c>
      <c r="B134" s="33" t="s">
        <v>59</v>
      </c>
      <c r="C134" s="53">
        <v>528000</v>
      </c>
      <c r="D134" s="53">
        <v>480000</v>
      </c>
      <c r="E134" s="53">
        <v>48000</v>
      </c>
      <c r="F134" s="54" t="s">
        <v>61</v>
      </c>
      <c r="G134" s="9">
        <v>43018</v>
      </c>
    </row>
    <row r="135" spans="1:19">
      <c r="A135" s="52" t="s">
        <v>156</v>
      </c>
      <c r="B135" s="33" t="s">
        <v>59</v>
      </c>
      <c r="C135" s="53">
        <v>440000</v>
      </c>
      <c r="D135" s="53">
        <v>400000</v>
      </c>
      <c r="E135" s="53">
        <v>40000</v>
      </c>
      <c r="F135" s="54" t="s">
        <v>64</v>
      </c>
      <c r="G135" s="9">
        <v>43018</v>
      </c>
    </row>
    <row r="136" spans="1:19">
      <c r="A136" s="52" t="s">
        <v>156</v>
      </c>
      <c r="B136" s="33" t="s">
        <v>59</v>
      </c>
      <c r="C136" s="53">
        <v>825000</v>
      </c>
      <c r="D136" s="53">
        <v>750000</v>
      </c>
      <c r="E136" s="53">
        <v>75000</v>
      </c>
      <c r="F136" s="54" t="s">
        <v>62</v>
      </c>
      <c r="G136" s="9">
        <v>43018</v>
      </c>
    </row>
    <row r="137" spans="1:19">
      <c r="A137" s="52" t="s">
        <v>156</v>
      </c>
      <c r="B137" s="33" t="s">
        <v>59</v>
      </c>
      <c r="C137" s="53">
        <v>1232000</v>
      </c>
      <c r="D137" s="53">
        <v>1120000</v>
      </c>
      <c r="E137" s="53">
        <v>112000</v>
      </c>
      <c r="F137" s="54" t="s">
        <v>61</v>
      </c>
      <c r="G137" s="9">
        <v>43021</v>
      </c>
    </row>
    <row r="138" spans="1:19">
      <c r="A138" s="52" t="s">
        <v>156</v>
      </c>
      <c r="B138" s="33" t="s">
        <v>59</v>
      </c>
      <c r="C138" s="53">
        <v>6781500</v>
      </c>
      <c r="D138" s="53">
        <v>6165000</v>
      </c>
      <c r="E138" s="53">
        <v>616500</v>
      </c>
      <c r="F138" s="54" t="s">
        <v>495</v>
      </c>
      <c r="G138" s="9">
        <v>43020</v>
      </c>
    </row>
    <row r="139" spans="1:19">
      <c r="A139" s="52" t="s">
        <v>157</v>
      </c>
      <c r="B139" s="33" t="s">
        <v>59</v>
      </c>
      <c r="C139" s="53">
        <v>440000</v>
      </c>
      <c r="D139" s="53">
        <v>400000</v>
      </c>
      <c r="E139" s="53">
        <v>40000</v>
      </c>
      <c r="F139" s="54" t="s">
        <v>62</v>
      </c>
      <c r="G139" s="9">
        <v>43024</v>
      </c>
    </row>
    <row r="140" spans="1:19">
      <c r="A140" s="52" t="s">
        <v>157</v>
      </c>
      <c r="B140" s="33" t="s">
        <v>59</v>
      </c>
      <c r="C140" s="53">
        <v>440000</v>
      </c>
      <c r="D140" s="53">
        <v>400000</v>
      </c>
      <c r="E140" s="53">
        <v>40000</v>
      </c>
      <c r="F140" s="54" t="s">
        <v>72</v>
      </c>
      <c r="G140" s="9">
        <v>43024</v>
      </c>
    </row>
    <row r="141" spans="1:19">
      <c r="A141" s="52" t="s">
        <v>158</v>
      </c>
      <c r="B141" s="33" t="s">
        <v>2</v>
      </c>
      <c r="C141" s="53">
        <v>14069000</v>
      </c>
      <c r="D141" s="53">
        <v>12790000</v>
      </c>
      <c r="E141" s="53">
        <v>1279000</v>
      </c>
      <c r="F141" s="54" t="s">
        <v>165</v>
      </c>
      <c r="G141" s="61">
        <v>43028</v>
      </c>
      <c r="H141" s="54" t="s">
        <v>166</v>
      </c>
      <c r="J141" s="14"/>
      <c r="K141" s="16"/>
    </row>
    <row r="142" spans="1:19">
      <c r="A142" s="55" t="s">
        <v>158</v>
      </c>
      <c r="B142" s="30" t="s">
        <v>2</v>
      </c>
      <c r="C142" s="28">
        <v>-15475900</v>
      </c>
      <c r="D142" s="28">
        <v>-14069000</v>
      </c>
      <c r="E142" s="28">
        <v>-1406900</v>
      </c>
      <c r="F142" s="31" t="s">
        <v>165</v>
      </c>
      <c r="G142" s="72" t="s">
        <v>496</v>
      </c>
      <c r="H142" s="31" t="s">
        <v>167</v>
      </c>
      <c r="I142" s="73"/>
      <c r="J142" s="30"/>
      <c r="K142" s="74"/>
      <c r="L142" s="30"/>
      <c r="M142" s="30"/>
      <c r="N142" s="30"/>
      <c r="O142" s="30"/>
      <c r="P142" s="30"/>
      <c r="Q142" s="30"/>
      <c r="R142" s="30"/>
      <c r="S142" s="30"/>
    </row>
    <row r="143" spans="1:19">
      <c r="A143" s="52" t="s">
        <v>158</v>
      </c>
      <c r="B143" s="33" t="s">
        <v>2</v>
      </c>
      <c r="C143" s="53">
        <v>1650000</v>
      </c>
      <c r="D143" s="53">
        <v>1500000</v>
      </c>
      <c r="E143" s="53">
        <v>150000</v>
      </c>
      <c r="F143" s="54" t="s">
        <v>168</v>
      </c>
      <c r="G143" s="75">
        <v>43028</v>
      </c>
      <c r="H143" s="54" t="s">
        <v>169</v>
      </c>
      <c r="J143" s="14"/>
      <c r="K143" s="16"/>
    </row>
    <row r="144" spans="1:19">
      <c r="A144" s="55" t="s">
        <v>158</v>
      </c>
      <c r="B144" s="30" t="s">
        <v>2</v>
      </c>
      <c r="C144" s="28">
        <v>15475900</v>
      </c>
      <c r="D144" s="28">
        <v>14069000</v>
      </c>
      <c r="E144" s="28">
        <v>1406900</v>
      </c>
      <c r="F144" s="31" t="s">
        <v>165</v>
      </c>
      <c r="G144" s="72" t="s">
        <v>496</v>
      </c>
      <c r="H144" s="31" t="s">
        <v>167</v>
      </c>
      <c r="I144" s="73"/>
      <c r="J144" s="30"/>
      <c r="K144" s="74"/>
      <c r="L144" s="30"/>
      <c r="M144" s="30"/>
      <c r="N144" s="30"/>
      <c r="O144" s="30"/>
      <c r="P144" s="30"/>
      <c r="Q144" s="30"/>
      <c r="R144" s="30"/>
      <c r="S144" s="30"/>
    </row>
    <row r="145" spans="1:11">
      <c r="A145" s="52" t="s">
        <v>158</v>
      </c>
      <c r="B145" s="33" t="s">
        <v>2</v>
      </c>
      <c r="C145" s="53">
        <v>4457142</v>
      </c>
      <c r="D145" s="53">
        <v>4051948</v>
      </c>
      <c r="E145" s="53">
        <v>405194</v>
      </c>
      <c r="F145" s="54" t="s">
        <v>165</v>
      </c>
      <c r="G145" s="65">
        <v>43028</v>
      </c>
      <c r="H145" s="54" t="s">
        <v>170</v>
      </c>
      <c r="J145" s="14"/>
      <c r="K145" s="16"/>
    </row>
    <row r="146" spans="1:11">
      <c r="A146" s="52" t="s">
        <v>158</v>
      </c>
      <c r="B146" s="33" t="s">
        <v>2</v>
      </c>
      <c r="C146" s="53">
        <v>5238013</v>
      </c>
      <c r="D146" s="53">
        <v>4761830</v>
      </c>
      <c r="E146" s="53">
        <v>476183</v>
      </c>
      <c r="F146" s="54" t="s">
        <v>171</v>
      </c>
      <c r="G146" s="65">
        <v>43028</v>
      </c>
      <c r="H146" s="54" t="s">
        <v>172</v>
      </c>
      <c r="J146" s="14"/>
      <c r="K146" s="16"/>
    </row>
    <row r="147" spans="1:11">
      <c r="A147" s="52" t="s">
        <v>158</v>
      </c>
      <c r="B147" s="33" t="s">
        <v>59</v>
      </c>
      <c r="C147" s="53">
        <v>880000</v>
      </c>
      <c r="D147" s="53">
        <v>800000</v>
      </c>
      <c r="E147" s="53">
        <v>80000</v>
      </c>
      <c r="F147" s="54" t="s">
        <v>61</v>
      </c>
      <c r="G147" s="9">
        <v>43026</v>
      </c>
    </row>
    <row r="148" spans="1:11">
      <c r="A148" s="52" t="s">
        <v>159</v>
      </c>
      <c r="B148" s="33" t="s">
        <v>40</v>
      </c>
      <c r="C148" s="53">
        <v>594000</v>
      </c>
      <c r="D148" s="53">
        <v>540000</v>
      </c>
      <c r="E148" s="53">
        <v>54000</v>
      </c>
      <c r="F148" s="54" t="s">
        <v>13</v>
      </c>
      <c r="G148" s="9">
        <v>43025</v>
      </c>
    </row>
    <row r="149" spans="1:11">
      <c r="A149" s="52" t="s">
        <v>161</v>
      </c>
      <c r="B149" s="33" t="s">
        <v>2</v>
      </c>
      <c r="C149" s="53">
        <v>176000</v>
      </c>
      <c r="D149" s="53">
        <v>160000</v>
      </c>
      <c r="E149" s="53">
        <v>16000</v>
      </c>
      <c r="F149" s="54" t="s">
        <v>162</v>
      </c>
      <c r="G149" s="9">
        <v>43038</v>
      </c>
    </row>
    <row r="150" spans="1:11">
      <c r="A150" s="52" t="s">
        <v>161</v>
      </c>
      <c r="B150" s="33" t="s">
        <v>91</v>
      </c>
      <c r="C150" s="53">
        <v>3564000</v>
      </c>
      <c r="D150" s="53">
        <v>3240000</v>
      </c>
      <c r="E150" s="53">
        <v>324000</v>
      </c>
      <c r="F150" s="54" t="s">
        <v>13</v>
      </c>
      <c r="G150" s="9">
        <v>43027</v>
      </c>
    </row>
    <row r="151" spans="1:11">
      <c r="A151" s="52" t="s">
        <v>163</v>
      </c>
      <c r="B151" s="33" t="s">
        <v>10</v>
      </c>
      <c r="C151" s="53">
        <v>6160000</v>
      </c>
      <c r="D151" s="53">
        <v>5600000</v>
      </c>
      <c r="E151" s="53">
        <v>560000</v>
      </c>
      <c r="F151" s="54" t="s">
        <v>164</v>
      </c>
      <c r="G151" s="9">
        <v>43035</v>
      </c>
    </row>
    <row r="152" spans="1:11">
      <c r="A152" s="52" t="s">
        <v>174</v>
      </c>
      <c r="B152" s="33" t="s">
        <v>59</v>
      </c>
      <c r="C152" s="53">
        <v>1430000</v>
      </c>
      <c r="D152" s="53">
        <v>1300000</v>
      </c>
      <c r="E152" s="53">
        <v>130000</v>
      </c>
      <c r="F152" s="54" t="s">
        <v>64</v>
      </c>
      <c r="G152" s="9">
        <v>43031</v>
      </c>
    </row>
    <row r="153" spans="1:11">
      <c r="A153" s="52" t="s">
        <v>174</v>
      </c>
      <c r="B153" s="33" t="s">
        <v>59</v>
      </c>
      <c r="C153" s="53">
        <v>440000</v>
      </c>
      <c r="D153" s="53">
        <v>400000</v>
      </c>
      <c r="E153" s="53">
        <v>40000</v>
      </c>
      <c r="F153" s="54" t="s">
        <v>62</v>
      </c>
      <c r="G153" s="9">
        <v>43031</v>
      </c>
    </row>
    <row r="154" spans="1:11">
      <c r="A154" s="52" t="s">
        <v>174</v>
      </c>
      <c r="B154" s="33" t="s">
        <v>59</v>
      </c>
      <c r="C154" s="53">
        <v>440000</v>
      </c>
      <c r="D154" s="53">
        <v>400000</v>
      </c>
      <c r="E154" s="53">
        <v>40000</v>
      </c>
      <c r="F154" s="54" t="s">
        <v>72</v>
      </c>
      <c r="G154" s="9">
        <v>43031</v>
      </c>
    </row>
    <row r="155" spans="1:11">
      <c r="A155" s="52" t="s">
        <v>174</v>
      </c>
      <c r="B155" s="33" t="s">
        <v>59</v>
      </c>
      <c r="C155" s="53">
        <v>1144000</v>
      </c>
      <c r="D155" s="53">
        <v>1040000</v>
      </c>
      <c r="E155" s="53">
        <v>104000</v>
      </c>
      <c r="F155" s="54" t="s">
        <v>61</v>
      </c>
      <c r="G155" s="9">
        <v>43033</v>
      </c>
    </row>
    <row r="156" spans="1:11">
      <c r="A156" s="52" t="s">
        <v>175</v>
      </c>
      <c r="B156" s="33" t="s">
        <v>59</v>
      </c>
      <c r="C156" s="53">
        <v>3608000</v>
      </c>
      <c r="D156" s="53">
        <v>3280000</v>
      </c>
      <c r="E156" s="53">
        <v>328000</v>
      </c>
      <c r="F156" s="54" t="s">
        <v>142</v>
      </c>
      <c r="G156" s="9">
        <v>43035</v>
      </c>
    </row>
    <row r="157" spans="1:11">
      <c r="A157" s="55" t="s">
        <v>175</v>
      </c>
      <c r="B157" s="30" t="s">
        <v>2</v>
      </c>
      <c r="C157" s="28">
        <v>-176000</v>
      </c>
      <c r="D157" s="28">
        <v>-160000</v>
      </c>
      <c r="E157" s="28">
        <v>-16000</v>
      </c>
      <c r="F157" s="31" t="s">
        <v>176</v>
      </c>
      <c r="G157" s="72" t="s">
        <v>496</v>
      </c>
    </row>
    <row r="158" spans="1:11">
      <c r="A158" s="55" t="s">
        <v>175</v>
      </c>
      <c r="B158" s="30" t="s">
        <v>2</v>
      </c>
      <c r="C158" s="28">
        <v>176000</v>
      </c>
      <c r="D158" s="28">
        <v>160000</v>
      </c>
      <c r="E158" s="28">
        <v>16000</v>
      </c>
      <c r="F158" s="31" t="s">
        <v>176</v>
      </c>
      <c r="G158" s="72" t="s">
        <v>496</v>
      </c>
    </row>
    <row r="159" spans="1:11">
      <c r="A159" s="52" t="s">
        <v>177</v>
      </c>
      <c r="B159" s="33" t="s">
        <v>59</v>
      </c>
      <c r="C159" s="53">
        <v>1606000</v>
      </c>
      <c r="D159" s="53">
        <v>1460000</v>
      </c>
      <c r="E159" s="53">
        <v>146000</v>
      </c>
      <c r="F159" s="54" t="s">
        <v>105</v>
      </c>
      <c r="G159" s="9">
        <v>43035</v>
      </c>
    </row>
    <row r="160" spans="1:11">
      <c r="A160" s="52" t="s">
        <v>178</v>
      </c>
      <c r="B160" s="33" t="s">
        <v>10</v>
      </c>
      <c r="C160" s="53">
        <v>2640000</v>
      </c>
      <c r="D160" s="53">
        <v>2400000</v>
      </c>
      <c r="E160" s="53">
        <v>240000</v>
      </c>
      <c r="F160" s="54" t="s">
        <v>179</v>
      </c>
      <c r="G160" s="9">
        <v>43042</v>
      </c>
    </row>
    <row r="161" spans="1:7">
      <c r="A161" s="52" t="s">
        <v>178</v>
      </c>
      <c r="B161" s="33" t="s">
        <v>59</v>
      </c>
      <c r="C161" s="53">
        <v>1232000</v>
      </c>
      <c r="D161" s="53">
        <v>1120000</v>
      </c>
      <c r="E161" s="53">
        <v>112000</v>
      </c>
      <c r="F161" s="54" t="s">
        <v>61</v>
      </c>
      <c r="G161" s="9">
        <v>43039</v>
      </c>
    </row>
    <row r="162" spans="1:7">
      <c r="A162" s="52" t="s">
        <v>178</v>
      </c>
      <c r="B162" s="33" t="s">
        <v>59</v>
      </c>
      <c r="C162" s="53">
        <v>880000</v>
      </c>
      <c r="D162" s="53">
        <v>800000</v>
      </c>
      <c r="E162" s="53">
        <v>80000</v>
      </c>
      <c r="F162" s="54" t="s">
        <v>62</v>
      </c>
      <c r="G162" s="9">
        <v>43038</v>
      </c>
    </row>
    <row r="163" spans="1:7">
      <c r="A163" s="52" t="s">
        <v>178</v>
      </c>
      <c r="B163" s="33" t="s">
        <v>59</v>
      </c>
      <c r="C163" s="53">
        <v>1408000</v>
      </c>
      <c r="D163" s="53">
        <v>1280000</v>
      </c>
      <c r="E163" s="53">
        <v>128000</v>
      </c>
      <c r="F163" s="54" t="s">
        <v>64</v>
      </c>
      <c r="G163" s="9">
        <v>43038</v>
      </c>
    </row>
    <row r="164" spans="1:7">
      <c r="A164" s="52" t="s">
        <v>180</v>
      </c>
      <c r="B164" s="33" t="s">
        <v>150</v>
      </c>
      <c r="C164" s="53">
        <v>2106500</v>
      </c>
      <c r="D164" s="53">
        <v>1915000</v>
      </c>
      <c r="E164" s="53">
        <v>191500</v>
      </c>
      <c r="F164" s="54" t="s">
        <v>13</v>
      </c>
      <c r="G164" s="9">
        <v>43070</v>
      </c>
    </row>
    <row r="165" spans="1:7">
      <c r="A165" s="52" t="s">
        <v>180</v>
      </c>
      <c r="B165" s="33" t="s">
        <v>82</v>
      </c>
      <c r="C165" s="53">
        <v>4290000</v>
      </c>
      <c r="D165" s="53">
        <v>3900000</v>
      </c>
      <c r="E165" s="53">
        <v>390000</v>
      </c>
      <c r="F165" s="54" t="s">
        <v>13</v>
      </c>
      <c r="G165" s="9">
        <v>43054</v>
      </c>
    </row>
    <row r="166" spans="1:7">
      <c r="A166" s="52" t="s">
        <v>180</v>
      </c>
      <c r="B166" s="33" t="s">
        <v>59</v>
      </c>
      <c r="C166" s="53">
        <v>167662</v>
      </c>
      <c r="D166" s="53">
        <v>152420</v>
      </c>
      <c r="E166" s="53">
        <v>15242</v>
      </c>
      <c r="F166" s="54" t="s">
        <v>190</v>
      </c>
      <c r="G166" s="9">
        <v>43045</v>
      </c>
    </row>
    <row r="167" spans="1:7">
      <c r="A167" s="52" t="s">
        <v>180</v>
      </c>
      <c r="B167" s="33" t="s">
        <v>1</v>
      </c>
      <c r="C167" s="53">
        <v>4840000</v>
      </c>
      <c r="D167" s="53">
        <v>4400000</v>
      </c>
      <c r="E167" s="53">
        <v>440000</v>
      </c>
      <c r="F167" s="54" t="s">
        <v>13</v>
      </c>
      <c r="G167" s="9">
        <v>43048</v>
      </c>
    </row>
    <row r="168" spans="1:7">
      <c r="A168" s="52" t="s">
        <v>180</v>
      </c>
      <c r="B168" s="33" t="s">
        <v>2</v>
      </c>
      <c r="C168" s="53">
        <v>14784000</v>
      </c>
      <c r="D168" s="53">
        <v>13440000</v>
      </c>
      <c r="E168" s="53">
        <v>1344000</v>
      </c>
      <c r="F168" s="54" t="s">
        <v>186</v>
      </c>
      <c r="G168" s="9">
        <v>43049</v>
      </c>
    </row>
    <row r="169" spans="1:7">
      <c r="A169" s="52" t="s">
        <v>180</v>
      </c>
      <c r="B169" s="33" t="s">
        <v>2</v>
      </c>
      <c r="C169" s="53">
        <v>5051257</v>
      </c>
      <c r="D169" s="53">
        <v>4592052</v>
      </c>
      <c r="E169" s="53">
        <v>459205</v>
      </c>
      <c r="F169" s="54" t="s">
        <v>187</v>
      </c>
      <c r="G169" s="9">
        <v>43049</v>
      </c>
    </row>
    <row r="170" spans="1:7">
      <c r="A170" s="52" t="s">
        <v>180</v>
      </c>
      <c r="B170" s="33" t="s">
        <v>79</v>
      </c>
      <c r="C170" s="53">
        <v>5082000</v>
      </c>
      <c r="D170" s="53">
        <v>4620000</v>
      </c>
      <c r="E170" s="53">
        <v>462000</v>
      </c>
      <c r="F170" s="54" t="s">
        <v>188</v>
      </c>
      <c r="G170" s="9">
        <v>43042</v>
      </c>
    </row>
    <row r="171" spans="1:7">
      <c r="A171" s="52" t="s">
        <v>180</v>
      </c>
      <c r="B171" s="33" t="s">
        <v>15</v>
      </c>
      <c r="C171" s="53">
        <v>10560000</v>
      </c>
      <c r="D171" s="53">
        <v>9600000</v>
      </c>
      <c r="E171" s="53">
        <v>960000</v>
      </c>
      <c r="F171" s="54" t="s">
        <v>78</v>
      </c>
      <c r="G171" s="9">
        <v>43054</v>
      </c>
    </row>
    <row r="172" spans="1:7">
      <c r="A172" s="52" t="s">
        <v>180</v>
      </c>
      <c r="B172" s="33" t="s">
        <v>15</v>
      </c>
      <c r="C172" s="53">
        <v>176000</v>
      </c>
      <c r="D172" s="53">
        <v>160000</v>
      </c>
      <c r="E172" s="53">
        <v>16000</v>
      </c>
      <c r="F172" s="54" t="s">
        <v>69</v>
      </c>
      <c r="G172" s="9">
        <v>43054</v>
      </c>
    </row>
    <row r="173" spans="1:7">
      <c r="A173" s="52" t="s">
        <v>180</v>
      </c>
      <c r="B173" s="33" t="s">
        <v>15</v>
      </c>
      <c r="C173" s="53">
        <v>165000</v>
      </c>
      <c r="D173" s="53">
        <v>150000</v>
      </c>
      <c r="E173" s="53">
        <v>15000</v>
      </c>
      <c r="F173" s="54" t="s">
        <v>73</v>
      </c>
      <c r="G173" s="9">
        <v>43054</v>
      </c>
    </row>
    <row r="174" spans="1:7">
      <c r="A174" s="52" t="s">
        <v>180</v>
      </c>
      <c r="B174" s="33" t="s">
        <v>15</v>
      </c>
      <c r="C174" s="53">
        <v>2464000</v>
      </c>
      <c r="D174" s="53">
        <v>2240000</v>
      </c>
      <c r="E174" s="53">
        <v>224000</v>
      </c>
      <c r="F174" s="54" t="s">
        <v>68</v>
      </c>
      <c r="G174" s="9">
        <v>43054</v>
      </c>
    </row>
    <row r="175" spans="1:7">
      <c r="A175" s="52" t="s">
        <v>180</v>
      </c>
      <c r="B175" s="33" t="s">
        <v>15</v>
      </c>
      <c r="C175" s="53">
        <v>2992000</v>
      </c>
      <c r="D175" s="53">
        <v>2720000</v>
      </c>
      <c r="E175" s="53">
        <v>272000</v>
      </c>
      <c r="F175" s="54" t="s">
        <v>67</v>
      </c>
      <c r="G175" s="9">
        <v>43054</v>
      </c>
    </row>
    <row r="176" spans="1:7">
      <c r="A176" s="52" t="s">
        <v>180</v>
      </c>
      <c r="B176" s="33" t="s">
        <v>15</v>
      </c>
      <c r="C176" s="53">
        <v>1496000</v>
      </c>
      <c r="D176" s="53">
        <v>1360000</v>
      </c>
      <c r="E176" s="53">
        <v>136000</v>
      </c>
      <c r="F176" s="54" t="s">
        <v>189</v>
      </c>
      <c r="G176" s="9">
        <v>43054</v>
      </c>
    </row>
    <row r="177" spans="1:19">
      <c r="A177" s="52" t="s">
        <v>180</v>
      </c>
      <c r="B177" s="33" t="s">
        <v>182</v>
      </c>
      <c r="C177" s="53">
        <v>880000</v>
      </c>
      <c r="D177" s="53">
        <v>800000</v>
      </c>
      <c r="E177" s="53">
        <v>80000</v>
      </c>
      <c r="F177" s="54" t="s">
        <v>143</v>
      </c>
      <c r="G177" s="9">
        <v>43046</v>
      </c>
    </row>
    <row r="178" spans="1:19">
      <c r="A178" s="52" t="s">
        <v>180</v>
      </c>
      <c r="B178" s="33" t="s">
        <v>2</v>
      </c>
      <c r="C178" s="53">
        <v>330000</v>
      </c>
      <c r="D178" s="53">
        <v>300000</v>
      </c>
      <c r="E178" s="53">
        <v>30000</v>
      </c>
      <c r="F178" s="54" t="s">
        <v>66</v>
      </c>
      <c r="G178" s="9">
        <v>43049</v>
      </c>
    </row>
    <row r="179" spans="1:19">
      <c r="A179" s="52" t="s">
        <v>180</v>
      </c>
      <c r="B179" s="33" t="s">
        <v>2</v>
      </c>
      <c r="C179" s="53">
        <v>594000</v>
      </c>
      <c r="D179" s="53">
        <v>540000</v>
      </c>
      <c r="E179" s="53">
        <v>54000</v>
      </c>
      <c r="F179" s="54" t="s">
        <v>181</v>
      </c>
      <c r="G179" s="9">
        <v>43049</v>
      </c>
    </row>
    <row r="180" spans="1:19">
      <c r="A180" s="52" t="s">
        <v>180</v>
      </c>
      <c r="B180" s="33" t="s">
        <v>1256</v>
      </c>
      <c r="C180" s="53">
        <v>5302000</v>
      </c>
      <c r="D180" s="53">
        <v>4820000</v>
      </c>
      <c r="E180" s="53">
        <v>482000</v>
      </c>
      <c r="F180" s="54" t="s">
        <v>13</v>
      </c>
      <c r="G180" s="9">
        <v>43040</v>
      </c>
    </row>
    <row r="181" spans="1:19">
      <c r="A181" s="55" t="s">
        <v>180</v>
      </c>
      <c r="B181" s="30" t="s">
        <v>2</v>
      </c>
      <c r="C181" s="28">
        <v>-594000</v>
      </c>
      <c r="D181" s="28">
        <v>-540000</v>
      </c>
      <c r="E181" s="28">
        <v>-54000</v>
      </c>
      <c r="F181" s="31" t="s">
        <v>181</v>
      </c>
      <c r="G181" s="30" t="s">
        <v>496</v>
      </c>
      <c r="H181" s="31"/>
      <c r="I181" s="73"/>
      <c r="J181" s="74"/>
      <c r="K181" s="30"/>
      <c r="L181" s="30"/>
      <c r="M181" s="30"/>
      <c r="N181" s="30"/>
      <c r="O181" s="30"/>
      <c r="P181" s="30"/>
      <c r="Q181" s="30"/>
      <c r="R181" s="30"/>
      <c r="S181" s="30"/>
    </row>
    <row r="182" spans="1:19">
      <c r="A182" s="52" t="s">
        <v>180</v>
      </c>
      <c r="B182" s="33" t="s">
        <v>155</v>
      </c>
      <c r="C182" s="53">
        <v>858000</v>
      </c>
      <c r="D182" s="53">
        <v>780000</v>
      </c>
      <c r="E182" s="53">
        <v>78000</v>
      </c>
      <c r="F182" s="54" t="s">
        <v>13</v>
      </c>
      <c r="G182" s="9">
        <v>43046</v>
      </c>
    </row>
    <row r="183" spans="1:19">
      <c r="A183" s="52" t="s">
        <v>180</v>
      </c>
      <c r="B183" s="33" t="s">
        <v>70</v>
      </c>
      <c r="C183" s="53">
        <v>660000</v>
      </c>
      <c r="D183" s="53">
        <v>600000</v>
      </c>
      <c r="E183" s="53">
        <v>60000</v>
      </c>
      <c r="F183" s="54" t="s">
        <v>13</v>
      </c>
      <c r="G183" s="9">
        <v>43042</v>
      </c>
    </row>
    <row r="184" spans="1:19">
      <c r="A184" s="52" t="s">
        <v>180</v>
      </c>
      <c r="B184" s="33" t="s">
        <v>91</v>
      </c>
      <c r="C184" s="53">
        <v>1804000</v>
      </c>
      <c r="D184" s="53">
        <v>1640000</v>
      </c>
      <c r="E184" s="53">
        <v>164000</v>
      </c>
      <c r="F184" s="54" t="s">
        <v>13</v>
      </c>
      <c r="G184" s="9">
        <v>43041</v>
      </c>
    </row>
    <row r="185" spans="1:19">
      <c r="A185" s="55" t="s">
        <v>180</v>
      </c>
      <c r="B185" s="30" t="s">
        <v>2</v>
      </c>
      <c r="C185" s="28">
        <v>594000</v>
      </c>
      <c r="D185" s="28">
        <v>540000</v>
      </c>
      <c r="E185" s="28">
        <v>54000</v>
      </c>
      <c r="F185" s="31" t="s">
        <v>181</v>
      </c>
      <c r="G185" s="30" t="s">
        <v>496</v>
      </c>
      <c r="H185" s="31"/>
      <c r="I185" s="73"/>
      <c r="J185" s="74"/>
      <c r="K185" s="30"/>
      <c r="L185" s="30"/>
      <c r="M185" s="30"/>
      <c r="N185" s="30"/>
      <c r="O185" s="30"/>
      <c r="P185" s="30"/>
      <c r="Q185" s="30"/>
      <c r="R185" s="30"/>
      <c r="S185" s="30"/>
    </row>
    <row r="186" spans="1:19">
      <c r="A186" s="52" t="s">
        <v>180</v>
      </c>
      <c r="B186" s="33" t="s">
        <v>59</v>
      </c>
      <c r="C186" s="53">
        <v>6448575</v>
      </c>
      <c r="D186" s="53">
        <v>5862341</v>
      </c>
      <c r="E186" s="53">
        <v>586234</v>
      </c>
      <c r="F186" s="54" t="s">
        <v>61</v>
      </c>
      <c r="G186" s="9">
        <v>43041</v>
      </c>
    </row>
    <row r="187" spans="1:19">
      <c r="A187" s="55" t="s">
        <v>180</v>
      </c>
      <c r="B187" s="30" t="s">
        <v>59</v>
      </c>
      <c r="C187" s="28">
        <v>-7093432</v>
      </c>
      <c r="D187" s="28">
        <v>-6448575</v>
      </c>
      <c r="E187" s="28">
        <v>-644857</v>
      </c>
      <c r="F187" s="31" t="s">
        <v>61</v>
      </c>
      <c r="G187" s="30" t="s">
        <v>496</v>
      </c>
      <c r="H187" s="31"/>
      <c r="I187" s="73"/>
      <c r="J187" s="30"/>
      <c r="K187" s="30"/>
      <c r="L187" s="30"/>
      <c r="M187" s="30"/>
      <c r="N187" s="30"/>
      <c r="O187" s="30"/>
      <c r="P187" s="30"/>
      <c r="Q187" s="30"/>
      <c r="R187" s="30"/>
      <c r="S187" s="30"/>
    </row>
    <row r="188" spans="1:19">
      <c r="A188" s="55" t="s">
        <v>180</v>
      </c>
      <c r="B188" s="30" t="s">
        <v>59</v>
      </c>
      <c r="C188" s="28">
        <v>7093432</v>
      </c>
      <c r="D188" s="28">
        <v>6448575</v>
      </c>
      <c r="E188" s="28">
        <v>644857</v>
      </c>
      <c r="F188" s="31" t="s">
        <v>61</v>
      </c>
      <c r="G188" s="30" t="s">
        <v>496</v>
      </c>
      <c r="H188" s="31"/>
      <c r="I188" s="304" t="s">
        <v>497</v>
      </c>
      <c r="J188" s="304"/>
      <c r="K188" s="304"/>
      <c r="L188" s="30"/>
      <c r="M188" s="30"/>
      <c r="N188" s="30"/>
      <c r="O188" s="30"/>
      <c r="P188" s="30"/>
      <c r="Q188" s="30"/>
      <c r="R188" s="30"/>
      <c r="S188" s="30"/>
    </row>
    <row r="189" spans="1:19">
      <c r="A189" s="52" t="s">
        <v>180</v>
      </c>
      <c r="B189" s="33" t="s">
        <v>59</v>
      </c>
      <c r="C189" s="53">
        <v>2376000</v>
      </c>
      <c r="D189" s="53">
        <v>2160000</v>
      </c>
      <c r="E189" s="53">
        <v>216000</v>
      </c>
      <c r="F189" s="54" t="s">
        <v>498</v>
      </c>
      <c r="G189" s="9">
        <v>43045</v>
      </c>
      <c r="I189" s="66" t="s">
        <v>487</v>
      </c>
      <c r="J189" s="63" t="s">
        <v>488</v>
      </c>
      <c r="K189" s="67" t="s">
        <v>494</v>
      </c>
    </row>
    <row r="190" spans="1:19">
      <c r="A190" s="47" t="s">
        <v>180</v>
      </c>
      <c r="B190" s="48" t="s">
        <v>2</v>
      </c>
      <c r="C190" s="49">
        <v>5205200</v>
      </c>
      <c r="D190" s="49">
        <v>4732000</v>
      </c>
      <c r="E190" s="49">
        <v>473200</v>
      </c>
      <c r="F190" s="50" t="s">
        <v>171</v>
      </c>
      <c r="G190" s="10">
        <v>43049</v>
      </c>
      <c r="H190" s="51"/>
      <c r="I190" s="68">
        <f>SUM(C132:C190)</f>
        <v>145862849</v>
      </c>
      <c r="J190" s="69">
        <f>SUM(D132:D190)</f>
        <v>132602591</v>
      </c>
      <c r="K190" s="70">
        <f>SUM(E132:E190)</f>
        <v>13260258</v>
      </c>
      <c r="L190" s="42"/>
      <c r="M190" s="42"/>
      <c r="N190" s="42"/>
      <c r="O190" s="42"/>
      <c r="P190" s="42"/>
      <c r="Q190" s="42"/>
      <c r="R190" s="42"/>
      <c r="S190" s="42"/>
    </row>
    <row r="191" spans="1:19">
      <c r="A191" s="52" t="s">
        <v>183</v>
      </c>
      <c r="B191" s="33" t="s">
        <v>59</v>
      </c>
      <c r="C191" s="53">
        <v>880000</v>
      </c>
      <c r="D191" s="53">
        <v>800000</v>
      </c>
      <c r="E191" s="53">
        <v>80000</v>
      </c>
      <c r="F191" s="54" t="s">
        <v>184</v>
      </c>
      <c r="G191" s="9">
        <v>43042</v>
      </c>
    </row>
    <row r="192" spans="1:19">
      <c r="A192" s="52" t="s">
        <v>183</v>
      </c>
      <c r="B192" s="33" t="s">
        <v>59</v>
      </c>
      <c r="C192" s="53">
        <v>880000</v>
      </c>
      <c r="D192" s="53">
        <v>800000</v>
      </c>
      <c r="E192" s="53">
        <v>80000</v>
      </c>
      <c r="F192" s="54" t="s">
        <v>75</v>
      </c>
      <c r="G192" s="9">
        <v>43042</v>
      </c>
    </row>
    <row r="193" spans="1:7">
      <c r="A193" s="52" t="s">
        <v>183</v>
      </c>
      <c r="B193" s="33" t="s">
        <v>59</v>
      </c>
      <c r="C193" s="53">
        <v>4092000</v>
      </c>
      <c r="D193" s="53">
        <v>3720000</v>
      </c>
      <c r="E193" s="53">
        <v>372000</v>
      </c>
      <c r="F193" s="54" t="s">
        <v>185</v>
      </c>
      <c r="G193" s="9">
        <v>43041</v>
      </c>
    </row>
    <row r="194" spans="1:7">
      <c r="A194" s="52" t="s">
        <v>191</v>
      </c>
      <c r="B194" s="33" t="s">
        <v>15</v>
      </c>
      <c r="C194" s="53">
        <v>297000</v>
      </c>
      <c r="D194" s="53">
        <v>270000</v>
      </c>
      <c r="E194" s="53">
        <v>27000</v>
      </c>
      <c r="F194" s="54" t="s">
        <v>193</v>
      </c>
      <c r="G194" s="9">
        <v>43089</v>
      </c>
    </row>
    <row r="195" spans="1:7">
      <c r="A195" s="52" t="s">
        <v>191</v>
      </c>
      <c r="B195" s="33" t="s">
        <v>59</v>
      </c>
      <c r="C195" s="53">
        <v>3283500</v>
      </c>
      <c r="D195" s="53">
        <v>2985000</v>
      </c>
      <c r="E195" s="53">
        <v>298500</v>
      </c>
      <c r="F195" s="54" t="s">
        <v>499</v>
      </c>
      <c r="G195" s="9">
        <v>43049</v>
      </c>
    </row>
    <row r="196" spans="1:7">
      <c r="A196" s="52" t="s">
        <v>191</v>
      </c>
      <c r="B196" s="33" t="s">
        <v>59</v>
      </c>
      <c r="C196" s="53">
        <v>880000</v>
      </c>
      <c r="D196" s="53">
        <v>800000</v>
      </c>
      <c r="E196" s="53">
        <v>80000</v>
      </c>
      <c r="F196" s="54" t="s">
        <v>61</v>
      </c>
      <c r="G196" s="9">
        <v>43046</v>
      </c>
    </row>
    <row r="197" spans="1:7">
      <c r="A197" s="52" t="s">
        <v>192</v>
      </c>
      <c r="B197" s="33" t="s">
        <v>59</v>
      </c>
      <c r="C197" s="53">
        <v>440000</v>
      </c>
      <c r="D197" s="53">
        <v>400000</v>
      </c>
      <c r="E197" s="53">
        <v>40000</v>
      </c>
      <c r="F197" s="54" t="s">
        <v>62</v>
      </c>
      <c r="G197" s="9">
        <v>43046</v>
      </c>
    </row>
    <row r="198" spans="1:7">
      <c r="A198" s="52" t="s">
        <v>192</v>
      </c>
      <c r="B198" s="33" t="s">
        <v>59</v>
      </c>
      <c r="C198" s="53">
        <v>880000</v>
      </c>
      <c r="D198" s="53">
        <v>800000</v>
      </c>
      <c r="E198" s="53">
        <v>80000</v>
      </c>
      <c r="F198" s="54" t="s">
        <v>64</v>
      </c>
      <c r="G198" s="9">
        <v>43046</v>
      </c>
    </row>
    <row r="199" spans="1:7">
      <c r="A199" s="52" t="s">
        <v>194</v>
      </c>
      <c r="B199" s="33" t="s">
        <v>59</v>
      </c>
      <c r="C199" s="53">
        <v>1870000</v>
      </c>
      <c r="D199" s="53">
        <v>1700000</v>
      </c>
      <c r="E199" s="53">
        <v>170000</v>
      </c>
      <c r="F199" s="54" t="s">
        <v>65</v>
      </c>
      <c r="G199" s="9">
        <v>43055</v>
      </c>
    </row>
    <row r="200" spans="1:7">
      <c r="A200" s="52" t="s">
        <v>194</v>
      </c>
      <c r="B200" s="33" t="s">
        <v>59</v>
      </c>
      <c r="C200" s="53">
        <v>440000</v>
      </c>
      <c r="D200" s="53">
        <v>400000</v>
      </c>
      <c r="E200" s="53">
        <v>40000</v>
      </c>
      <c r="F200" s="54" t="s">
        <v>72</v>
      </c>
      <c r="G200" s="9">
        <v>43054</v>
      </c>
    </row>
    <row r="201" spans="1:7">
      <c r="A201" s="52" t="s">
        <v>194</v>
      </c>
      <c r="B201" s="33" t="s">
        <v>59</v>
      </c>
      <c r="C201" s="53">
        <v>3960000</v>
      </c>
      <c r="D201" s="53">
        <v>3600000</v>
      </c>
      <c r="E201" s="53">
        <v>360000</v>
      </c>
      <c r="F201" s="54" t="s">
        <v>64</v>
      </c>
      <c r="G201" s="9">
        <v>43053</v>
      </c>
    </row>
    <row r="202" spans="1:7">
      <c r="A202" s="52" t="s">
        <v>194</v>
      </c>
      <c r="B202" s="33" t="s">
        <v>59</v>
      </c>
      <c r="C202" s="53">
        <v>880000</v>
      </c>
      <c r="D202" s="53">
        <v>800000</v>
      </c>
      <c r="E202" s="53">
        <v>80000</v>
      </c>
      <c r="F202" s="54" t="s">
        <v>62</v>
      </c>
      <c r="G202" s="9">
        <v>43053</v>
      </c>
    </row>
    <row r="203" spans="1:7">
      <c r="A203" s="52" t="s">
        <v>194</v>
      </c>
      <c r="B203" s="33" t="s">
        <v>59</v>
      </c>
      <c r="C203" s="53">
        <v>1056000</v>
      </c>
      <c r="D203" s="53">
        <v>960000</v>
      </c>
      <c r="E203" s="53">
        <v>96000</v>
      </c>
      <c r="F203" s="54" t="s">
        <v>61</v>
      </c>
      <c r="G203" s="9">
        <v>43053</v>
      </c>
    </row>
    <row r="204" spans="1:7">
      <c r="A204" s="52" t="s">
        <v>195</v>
      </c>
      <c r="B204" s="33" t="s">
        <v>59</v>
      </c>
      <c r="C204" s="53">
        <v>4246000</v>
      </c>
      <c r="D204" s="53">
        <v>3860000</v>
      </c>
      <c r="E204" s="53">
        <v>386000</v>
      </c>
      <c r="F204" s="54" t="s">
        <v>142</v>
      </c>
      <c r="G204" s="9">
        <v>43054</v>
      </c>
    </row>
    <row r="205" spans="1:7">
      <c r="A205" s="52" t="s">
        <v>196</v>
      </c>
      <c r="B205" s="33" t="s">
        <v>2</v>
      </c>
      <c r="C205" s="53">
        <v>3842694</v>
      </c>
      <c r="D205" s="53">
        <v>3493359</v>
      </c>
      <c r="E205" s="53">
        <v>349335</v>
      </c>
      <c r="F205" s="54" t="s">
        <v>500</v>
      </c>
      <c r="G205" s="9">
        <v>43060</v>
      </c>
    </row>
    <row r="206" spans="1:7">
      <c r="A206" s="52" t="s">
        <v>196</v>
      </c>
      <c r="B206" s="33" t="s">
        <v>2</v>
      </c>
      <c r="C206" s="53">
        <v>7183000</v>
      </c>
      <c r="D206" s="53">
        <v>6530000</v>
      </c>
      <c r="E206" s="53">
        <v>653000</v>
      </c>
      <c r="F206" s="54" t="s">
        <v>501</v>
      </c>
      <c r="G206" s="9">
        <v>43060</v>
      </c>
    </row>
    <row r="207" spans="1:7">
      <c r="A207" s="52" t="s">
        <v>196</v>
      </c>
      <c r="B207" s="33" t="s">
        <v>2</v>
      </c>
      <c r="C207" s="53">
        <v>4479288</v>
      </c>
      <c r="D207" s="53">
        <v>4072080</v>
      </c>
      <c r="E207" s="53">
        <v>407208</v>
      </c>
      <c r="F207" s="54" t="s">
        <v>171</v>
      </c>
      <c r="G207" s="9">
        <v>43059</v>
      </c>
    </row>
    <row r="208" spans="1:7">
      <c r="A208" s="52" t="s">
        <v>196</v>
      </c>
      <c r="B208" s="33" t="s">
        <v>2</v>
      </c>
      <c r="C208" s="53">
        <v>77000</v>
      </c>
      <c r="D208" s="53">
        <v>70000</v>
      </c>
      <c r="E208" s="53">
        <v>7000</v>
      </c>
      <c r="F208" s="54" t="s">
        <v>197</v>
      </c>
      <c r="G208" s="9">
        <v>43059</v>
      </c>
    </row>
    <row r="209" spans="1:10">
      <c r="A209" s="52" t="s">
        <v>198</v>
      </c>
      <c r="B209" s="33" t="s">
        <v>59</v>
      </c>
      <c r="C209" s="53">
        <v>1276000</v>
      </c>
      <c r="D209" s="53">
        <v>1160000</v>
      </c>
      <c r="E209" s="53">
        <v>116000</v>
      </c>
      <c r="F209" s="54" t="s">
        <v>142</v>
      </c>
      <c r="G209" s="9">
        <v>43063</v>
      </c>
    </row>
    <row r="210" spans="1:10">
      <c r="A210" s="52" t="s">
        <v>198</v>
      </c>
      <c r="B210" s="33" t="s">
        <v>182</v>
      </c>
      <c r="C210" s="53">
        <v>1056000</v>
      </c>
      <c r="D210" s="53">
        <v>960000</v>
      </c>
      <c r="E210" s="53">
        <v>96000</v>
      </c>
      <c r="F210" s="54" t="s">
        <v>143</v>
      </c>
      <c r="G210" s="9">
        <v>43081</v>
      </c>
    </row>
    <row r="211" spans="1:10">
      <c r="A211" s="52" t="s">
        <v>198</v>
      </c>
      <c r="B211" s="33" t="s">
        <v>91</v>
      </c>
      <c r="C211" s="53">
        <v>2398000</v>
      </c>
      <c r="D211" s="53">
        <v>2180000</v>
      </c>
      <c r="E211" s="53">
        <v>218000</v>
      </c>
      <c r="F211" s="54" t="s">
        <v>13</v>
      </c>
      <c r="G211" s="9">
        <v>43059</v>
      </c>
    </row>
    <row r="212" spans="1:10">
      <c r="A212" s="52" t="s">
        <v>198</v>
      </c>
      <c r="B212" s="33" t="s">
        <v>59</v>
      </c>
      <c r="C212" s="53">
        <v>4394500</v>
      </c>
      <c r="D212" s="53">
        <v>3995000</v>
      </c>
      <c r="E212" s="53">
        <v>399500</v>
      </c>
      <c r="F212" s="54" t="s">
        <v>62</v>
      </c>
      <c r="G212" s="9">
        <v>43059</v>
      </c>
    </row>
    <row r="213" spans="1:10">
      <c r="A213" s="52" t="s">
        <v>198</v>
      </c>
      <c r="B213" s="33" t="s">
        <v>129</v>
      </c>
      <c r="C213" s="53">
        <v>88000</v>
      </c>
      <c r="D213" s="53">
        <v>80000</v>
      </c>
      <c r="E213" s="53">
        <v>8000</v>
      </c>
      <c r="F213" s="54" t="s">
        <v>199</v>
      </c>
      <c r="G213" s="9">
        <v>43059</v>
      </c>
    </row>
    <row r="214" spans="1:10">
      <c r="A214" s="52" t="s">
        <v>198</v>
      </c>
      <c r="B214" s="33" t="s">
        <v>59</v>
      </c>
      <c r="C214" s="53">
        <v>880000</v>
      </c>
      <c r="D214" s="53">
        <v>800000</v>
      </c>
      <c r="E214" s="53">
        <v>80000</v>
      </c>
      <c r="F214" s="54" t="s">
        <v>62</v>
      </c>
      <c r="G214" s="9">
        <v>43059</v>
      </c>
    </row>
    <row r="215" spans="1:10">
      <c r="A215" s="52" t="s">
        <v>198</v>
      </c>
      <c r="B215" s="33" t="s">
        <v>59</v>
      </c>
      <c r="C215" s="53">
        <v>704000</v>
      </c>
      <c r="D215" s="53">
        <v>640000</v>
      </c>
      <c r="E215" s="53">
        <v>64000</v>
      </c>
      <c r="F215" s="54" t="s">
        <v>64</v>
      </c>
      <c r="G215" s="9">
        <v>43059</v>
      </c>
    </row>
    <row r="216" spans="1:10">
      <c r="A216" s="52" t="s">
        <v>198</v>
      </c>
      <c r="B216" s="33" t="s">
        <v>59</v>
      </c>
      <c r="C216" s="53">
        <v>1881000</v>
      </c>
      <c r="D216" s="53">
        <v>1710000</v>
      </c>
      <c r="E216" s="53">
        <v>171000</v>
      </c>
      <c r="F216" s="54" t="s">
        <v>74</v>
      </c>
      <c r="G216" s="9">
        <v>43059</v>
      </c>
    </row>
    <row r="217" spans="1:10">
      <c r="A217" s="52" t="s">
        <v>200</v>
      </c>
      <c r="B217" s="33" t="s">
        <v>59</v>
      </c>
      <c r="C217" s="53">
        <v>616000</v>
      </c>
      <c r="D217" s="53">
        <v>560000</v>
      </c>
      <c r="E217" s="53">
        <v>56000</v>
      </c>
      <c r="F217" s="54" t="s">
        <v>142</v>
      </c>
      <c r="G217" s="9">
        <v>43075</v>
      </c>
    </row>
    <row r="218" spans="1:10">
      <c r="A218" s="52" t="s">
        <v>200</v>
      </c>
      <c r="B218" s="33" t="s">
        <v>59</v>
      </c>
      <c r="C218" s="53">
        <v>154880</v>
      </c>
      <c r="D218" s="53">
        <v>140800</v>
      </c>
      <c r="E218" s="53">
        <v>14080</v>
      </c>
      <c r="F218" s="54" t="s">
        <v>60</v>
      </c>
      <c r="G218" s="9">
        <v>43067</v>
      </c>
    </row>
    <row r="219" spans="1:10">
      <c r="A219" s="52" t="s">
        <v>200</v>
      </c>
      <c r="B219" s="33" t="s">
        <v>59</v>
      </c>
      <c r="C219" s="53">
        <v>1881000</v>
      </c>
      <c r="D219" s="53">
        <v>1710000</v>
      </c>
      <c r="E219" s="53">
        <v>171000</v>
      </c>
      <c r="F219" s="54" t="s">
        <v>74</v>
      </c>
      <c r="G219" s="9">
        <v>43067</v>
      </c>
    </row>
    <row r="220" spans="1:10">
      <c r="A220" s="52" t="s">
        <v>201</v>
      </c>
      <c r="B220" s="33" t="s">
        <v>10</v>
      </c>
      <c r="C220" s="53">
        <v>10010000</v>
      </c>
      <c r="D220" s="53">
        <v>9100000</v>
      </c>
      <c r="E220" s="53">
        <v>910000</v>
      </c>
      <c r="F220" s="54" t="s">
        <v>202</v>
      </c>
      <c r="G220" s="9">
        <v>43073</v>
      </c>
    </row>
    <row r="221" spans="1:10">
      <c r="A221" s="52" t="s">
        <v>201</v>
      </c>
      <c r="B221" s="33" t="s">
        <v>59</v>
      </c>
      <c r="C221" s="53">
        <v>880000</v>
      </c>
      <c r="D221" s="53">
        <v>800000</v>
      </c>
      <c r="E221" s="53">
        <v>80000</v>
      </c>
      <c r="F221" s="54" t="s">
        <v>62</v>
      </c>
      <c r="G221" s="9">
        <v>43070</v>
      </c>
    </row>
    <row r="222" spans="1:10">
      <c r="A222" s="52" t="s">
        <v>201</v>
      </c>
      <c r="B222" s="33" t="s">
        <v>59</v>
      </c>
      <c r="C222" s="53">
        <v>704000</v>
      </c>
      <c r="D222" s="53">
        <v>640000</v>
      </c>
      <c r="E222" s="53">
        <v>64000</v>
      </c>
      <c r="F222" s="54" t="s">
        <v>64</v>
      </c>
      <c r="G222" s="9">
        <v>43070</v>
      </c>
      <c r="J222" s="14"/>
    </row>
    <row r="223" spans="1:10">
      <c r="A223" s="52" t="s">
        <v>203</v>
      </c>
      <c r="B223" s="33" t="s">
        <v>59</v>
      </c>
      <c r="C223" s="53">
        <v>3912420</v>
      </c>
      <c r="D223" s="53">
        <v>3556746</v>
      </c>
      <c r="E223" s="53">
        <v>355674</v>
      </c>
      <c r="F223" s="54" t="s">
        <v>209</v>
      </c>
      <c r="G223" s="9">
        <v>43080</v>
      </c>
      <c r="J223" s="14"/>
    </row>
    <row r="224" spans="1:10">
      <c r="A224" s="52" t="s">
        <v>203</v>
      </c>
      <c r="B224" s="33" t="s">
        <v>63</v>
      </c>
      <c r="C224" s="53">
        <v>6116000</v>
      </c>
      <c r="D224" s="53">
        <v>5560000</v>
      </c>
      <c r="E224" s="53">
        <v>556000</v>
      </c>
      <c r="F224" s="54" t="s">
        <v>13</v>
      </c>
      <c r="G224" s="9">
        <v>43077</v>
      </c>
      <c r="J224" s="14"/>
    </row>
    <row r="225" spans="1:10">
      <c r="A225" s="52" t="s">
        <v>203</v>
      </c>
      <c r="B225" s="33" t="s">
        <v>86</v>
      </c>
      <c r="C225" s="53">
        <v>748000</v>
      </c>
      <c r="D225" s="53">
        <v>680000</v>
      </c>
      <c r="E225" s="53">
        <v>68000</v>
      </c>
      <c r="F225" s="54" t="s">
        <v>13</v>
      </c>
      <c r="G225" s="9">
        <v>43097</v>
      </c>
      <c r="J225" s="14"/>
    </row>
    <row r="226" spans="1:10">
      <c r="A226" s="52" t="s">
        <v>203</v>
      </c>
      <c r="B226" s="33" t="s">
        <v>12</v>
      </c>
      <c r="C226" s="53">
        <v>737000</v>
      </c>
      <c r="D226" s="53">
        <v>670000</v>
      </c>
      <c r="E226" s="53">
        <v>67000</v>
      </c>
      <c r="F226" s="54" t="s">
        <v>13</v>
      </c>
      <c r="G226" s="65">
        <v>43098</v>
      </c>
      <c r="J226" s="14"/>
    </row>
    <row r="227" spans="1:10">
      <c r="A227" s="52" t="s">
        <v>203</v>
      </c>
      <c r="B227" s="33" t="s">
        <v>59</v>
      </c>
      <c r="C227" s="53">
        <v>6644030</v>
      </c>
      <c r="D227" s="53">
        <v>6040028</v>
      </c>
      <c r="E227" s="53">
        <v>604002</v>
      </c>
      <c r="F227" s="54" t="s">
        <v>61</v>
      </c>
      <c r="G227" s="9">
        <v>43077</v>
      </c>
      <c r="J227" s="14"/>
    </row>
    <row r="228" spans="1:10">
      <c r="A228" s="52" t="s">
        <v>203</v>
      </c>
      <c r="B228" s="33" t="s">
        <v>82</v>
      </c>
      <c r="C228" s="53">
        <v>594000</v>
      </c>
      <c r="D228" s="53">
        <v>540000</v>
      </c>
      <c r="E228" s="53">
        <v>54000</v>
      </c>
      <c r="F228" s="54" t="s">
        <v>13</v>
      </c>
      <c r="G228" s="65">
        <v>43084</v>
      </c>
      <c r="J228" s="14"/>
    </row>
    <row r="229" spans="1:10">
      <c r="A229" s="52" t="s">
        <v>203</v>
      </c>
      <c r="B229" s="33" t="s">
        <v>2</v>
      </c>
      <c r="C229" s="53">
        <v>5060000</v>
      </c>
      <c r="D229" s="53">
        <v>4600000</v>
      </c>
      <c r="E229" s="53">
        <v>460000</v>
      </c>
      <c r="F229" s="54" t="s">
        <v>502</v>
      </c>
      <c r="G229" s="65">
        <v>43080</v>
      </c>
      <c r="J229" s="14"/>
    </row>
    <row r="230" spans="1:10">
      <c r="A230" s="55" t="s">
        <v>203</v>
      </c>
      <c r="B230" s="30" t="s">
        <v>2</v>
      </c>
      <c r="C230" s="28">
        <v>-5566000</v>
      </c>
      <c r="D230" s="28">
        <v>-5060000</v>
      </c>
      <c r="E230" s="28">
        <v>-506000</v>
      </c>
      <c r="F230" s="31" t="s">
        <v>503</v>
      </c>
      <c r="G230" s="30" t="s">
        <v>496</v>
      </c>
      <c r="J230" s="14"/>
    </row>
    <row r="231" spans="1:10">
      <c r="A231" s="55" t="s">
        <v>203</v>
      </c>
      <c r="B231" s="30" t="s">
        <v>59</v>
      </c>
      <c r="C231" s="28">
        <v>-3827678</v>
      </c>
      <c r="D231" s="28">
        <v>-3479708</v>
      </c>
      <c r="E231" s="28">
        <v>-347970</v>
      </c>
      <c r="F231" s="31" t="s">
        <v>61</v>
      </c>
      <c r="G231" s="30" t="s">
        <v>496</v>
      </c>
      <c r="J231" s="14"/>
    </row>
    <row r="232" spans="1:10">
      <c r="A232" s="55" t="s">
        <v>203</v>
      </c>
      <c r="B232" s="30" t="s">
        <v>59</v>
      </c>
      <c r="C232" s="28">
        <v>3827678</v>
      </c>
      <c r="D232" s="28">
        <v>3479708</v>
      </c>
      <c r="E232" s="28">
        <v>347970</v>
      </c>
      <c r="F232" s="31" t="s">
        <v>61</v>
      </c>
      <c r="G232" s="30" t="s">
        <v>496</v>
      </c>
      <c r="J232" s="14"/>
    </row>
    <row r="233" spans="1:10">
      <c r="A233" s="52" t="s">
        <v>203</v>
      </c>
      <c r="B233" s="33" t="s">
        <v>79</v>
      </c>
      <c r="C233" s="53">
        <v>12023000</v>
      </c>
      <c r="D233" s="53">
        <v>10930000</v>
      </c>
      <c r="E233" s="53">
        <v>1093000</v>
      </c>
      <c r="F233" s="54" t="s">
        <v>207</v>
      </c>
      <c r="G233" s="65">
        <v>43083</v>
      </c>
      <c r="J233" s="14"/>
    </row>
    <row r="234" spans="1:10">
      <c r="A234" s="52" t="s">
        <v>203</v>
      </c>
      <c r="B234" s="33" t="s">
        <v>1</v>
      </c>
      <c r="C234" s="53">
        <v>2904000</v>
      </c>
      <c r="D234" s="53">
        <v>2640000</v>
      </c>
      <c r="E234" s="53">
        <v>264000</v>
      </c>
      <c r="F234" s="54" t="s">
        <v>13</v>
      </c>
      <c r="G234" s="65">
        <v>43083</v>
      </c>
      <c r="J234" s="14"/>
    </row>
    <row r="235" spans="1:10">
      <c r="A235" s="52" t="s">
        <v>203</v>
      </c>
      <c r="B235" s="33" t="s">
        <v>15</v>
      </c>
      <c r="C235" s="53">
        <v>3432000</v>
      </c>
      <c r="D235" s="53">
        <v>3120000</v>
      </c>
      <c r="E235" s="53">
        <v>312000</v>
      </c>
      <c r="F235" s="54" t="s">
        <v>189</v>
      </c>
      <c r="G235" s="65">
        <v>43089</v>
      </c>
      <c r="J235" s="14"/>
    </row>
    <row r="236" spans="1:10">
      <c r="A236" s="52" t="s">
        <v>203</v>
      </c>
      <c r="B236" s="33" t="s">
        <v>15</v>
      </c>
      <c r="C236" s="53">
        <v>1072500</v>
      </c>
      <c r="D236" s="53">
        <v>975000</v>
      </c>
      <c r="E236" s="53">
        <v>97500</v>
      </c>
      <c r="F236" s="54" t="s">
        <v>73</v>
      </c>
      <c r="G236" s="65">
        <v>43089</v>
      </c>
      <c r="J236" s="14"/>
    </row>
    <row r="237" spans="1:10">
      <c r="A237" s="52" t="s">
        <v>203</v>
      </c>
      <c r="B237" s="33" t="s">
        <v>15</v>
      </c>
      <c r="C237" s="53">
        <v>4224000</v>
      </c>
      <c r="D237" s="53">
        <v>3840000</v>
      </c>
      <c r="E237" s="53">
        <v>384000</v>
      </c>
      <c r="F237" s="54" t="s">
        <v>67</v>
      </c>
      <c r="G237" s="65">
        <v>43089</v>
      </c>
      <c r="J237" s="14"/>
    </row>
    <row r="238" spans="1:10">
      <c r="A238" s="52" t="s">
        <v>203</v>
      </c>
      <c r="B238" s="33" t="s">
        <v>15</v>
      </c>
      <c r="C238" s="53">
        <v>12936000</v>
      </c>
      <c r="D238" s="53">
        <v>11760000</v>
      </c>
      <c r="E238" s="53">
        <v>1176000</v>
      </c>
      <c r="F238" s="54" t="s">
        <v>78</v>
      </c>
      <c r="G238" s="65">
        <v>43089</v>
      </c>
      <c r="J238" s="14"/>
    </row>
    <row r="239" spans="1:10">
      <c r="A239" s="52" t="s">
        <v>203</v>
      </c>
      <c r="B239" s="33" t="s">
        <v>2</v>
      </c>
      <c r="C239" s="53">
        <v>4035795</v>
      </c>
      <c r="D239" s="53">
        <v>3668905</v>
      </c>
      <c r="E239" s="53">
        <v>366890</v>
      </c>
      <c r="F239" s="54" t="s">
        <v>204</v>
      </c>
      <c r="G239" s="65">
        <v>43080</v>
      </c>
    </row>
    <row r="240" spans="1:10">
      <c r="A240" s="52" t="s">
        <v>203</v>
      </c>
      <c r="B240" s="33" t="s">
        <v>80</v>
      </c>
      <c r="C240" s="53">
        <v>1023000</v>
      </c>
      <c r="D240" s="53">
        <v>930000</v>
      </c>
      <c r="E240" s="53">
        <v>93000</v>
      </c>
      <c r="F240" s="54" t="s">
        <v>13</v>
      </c>
      <c r="G240" s="65">
        <v>43465</v>
      </c>
    </row>
    <row r="241" spans="1:19">
      <c r="A241" s="52" t="s">
        <v>203</v>
      </c>
      <c r="B241" s="33" t="s">
        <v>2</v>
      </c>
      <c r="C241" s="53">
        <v>4288680</v>
      </c>
      <c r="D241" s="53">
        <v>3898800</v>
      </c>
      <c r="E241" s="53">
        <v>389880</v>
      </c>
      <c r="F241" s="54" t="s">
        <v>504</v>
      </c>
      <c r="G241" s="65">
        <v>43080</v>
      </c>
    </row>
    <row r="242" spans="1:19">
      <c r="A242" s="52" t="s">
        <v>203</v>
      </c>
      <c r="B242" s="33" t="s">
        <v>2</v>
      </c>
      <c r="C242" s="53">
        <v>374000</v>
      </c>
      <c r="D242" s="53">
        <v>340000</v>
      </c>
      <c r="E242" s="53">
        <v>34000</v>
      </c>
      <c r="F242" s="54" t="s">
        <v>205</v>
      </c>
      <c r="G242" s="65">
        <v>43080</v>
      </c>
    </row>
    <row r="243" spans="1:19">
      <c r="A243" s="55" t="s">
        <v>203</v>
      </c>
      <c r="B243" s="30" t="s">
        <v>2</v>
      </c>
      <c r="C243" s="28">
        <v>5566000</v>
      </c>
      <c r="D243" s="28">
        <v>5060000</v>
      </c>
      <c r="E243" s="28">
        <v>506000</v>
      </c>
      <c r="F243" s="31" t="s">
        <v>503</v>
      </c>
      <c r="G243" s="30" t="s">
        <v>496</v>
      </c>
    </row>
    <row r="244" spans="1:19">
      <c r="A244" s="52" t="s">
        <v>203</v>
      </c>
      <c r="B244" s="33" t="s">
        <v>2</v>
      </c>
      <c r="C244" s="53">
        <v>3868829</v>
      </c>
      <c r="D244" s="53">
        <v>3517118</v>
      </c>
      <c r="E244" s="53">
        <v>351711</v>
      </c>
      <c r="F244" s="54" t="s">
        <v>505</v>
      </c>
      <c r="G244" s="65">
        <v>43080</v>
      </c>
    </row>
    <row r="245" spans="1:19">
      <c r="A245" s="52" t="s">
        <v>203</v>
      </c>
      <c r="B245" s="33" t="s">
        <v>2</v>
      </c>
      <c r="C245" s="53">
        <v>2486000</v>
      </c>
      <c r="D245" s="53">
        <v>2260000</v>
      </c>
      <c r="E245" s="53">
        <v>226000</v>
      </c>
      <c r="F245" s="54" t="s">
        <v>66</v>
      </c>
      <c r="G245" s="65">
        <v>43080</v>
      </c>
    </row>
    <row r="246" spans="1:19">
      <c r="A246" s="52" t="s">
        <v>203</v>
      </c>
      <c r="B246" s="33" t="s">
        <v>91</v>
      </c>
      <c r="C246" s="53">
        <v>1540000</v>
      </c>
      <c r="D246" s="53">
        <v>1400000</v>
      </c>
      <c r="E246" s="53">
        <v>140000</v>
      </c>
      <c r="F246" s="54" t="s">
        <v>13</v>
      </c>
      <c r="G246" s="65">
        <v>43075</v>
      </c>
      <c r="I246" s="304" t="s">
        <v>506</v>
      </c>
      <c r="J246" s="304"/>
      <c r="K246" s="304"/>
    </row>
    <row r="247" spans="1:19">
      <c r="A247" s="52" t="s">
        <v>203</v>
      </c>
      <c r="B247" s="33" t="s">
        <v>59</v>
      </c>
      <c r="C247" s="53">
        <v>1188000</v>
      </c>
      <c r="D247" s="53">
        <v>1080000</v>
      </c>
      <c r="E247" s="53">
        <v>108000</v>
      </c>
      <c r="F247" s="54" t="s">
        <v>105</v>
      </c>
      <c r="G247" s="65">
        <v>43075</v>
      </c>
      <c r="I247" s="62" t="s">
        <v>487</v>
      </c>
      <c r="J247" s="63" t="s">
        <v>488</v>
      </c>
      <c r="K247" s="63" t="s">
        <v>494</v>
      </c>
    </row>
    <row r="248" spans="1:19">
      <c r="A248" s="47" t="s">
        <v>203</v>
      </c>
      <c r="B248" s="48" t="s">
        <v>155</v>
      </c>
      <c r="C248" s="49">
        <v>440000</v>
      </c>
      <c r="D248" s="49">
        <v>400000</v>
      </c>
      <c r="E248" s="49">
        <v>40000</v>
      </c>
      <c r="F248" s="50" t="s">
        <v>13</v>
      </c>
      <c r="G248" s="76">
        <v>43075</v>
      </c>
      <c r="H248" s="51"/>
      <c r="I248" s="77">
        <f>SUM(C191:C248)</f>
        <v>146237116</v>
      </c>
      <c r="J248" s="70">
        <f>SUM(D191:D248)</f>
        <v>132942836</v>
      </c>
      <c r="K248" s="70">
        <f>SUM(E191:E248)</f>
        <v>13294280</v>
      </c>
      <c r="L248" s="42"/>
      <c r="M248" s="42"/>
      <c r="N248" s="42"/>
      <c r="O248" s="42"/>
      <c r="P248" s="42"/>
      <c r="Q248" s="42"/>
      <c r="R248" s="42"/>
      <c r="S248" s="42"/>
    </row>
    <row r="249" spans="1:19">
      <c r="A249" s="52" t="s">
        <v>206</v>
      </c>
      <c r="B249" s="33" t="s">
        <v>59</v>
      </c>
      <c r="C249" s="53">
        <v>440000</v>
      </c>
      <c r="D249" s="53">
        <v>400000</v>
      </c>
      <c r="E249" s="53">
        <v>40000</v>
      </c>
      <c r="F249" s="54" t="s">
        <v>75</v>
      </c>
      <c r="G249" s="9">
        <v>43073</v>
      </c>
    </row>
    <row r="250" spans="1:19">
      <c r="A250" s="52" t="s">
        <v>206</v>
      </c>
      <c r="B250" s="33" t="s">
        <v>59</v>
      </c>
      <c r="C250" s="53">
        <v>528000</v>
      </c>
      <c r="D250" s="53">
        <v>480000</v>
      </c>
      <c r="E250" s="53">
        <v>48000</v>
      </c>
      <c r="F250" s="54" t="s">
        <v>64</v>
      </c>
      <c r="G250" s="9">
        <v>43073</v>
      </c>
    </row>
    <row r="251" spans="1:19">
      <c r="A251" s="52" t="s">
        <v>206</v>
      </c>
      <c r="B251" s="33" t="s">
        <v>59</v>
      </c>
      <c r="C251" s="53">
        <v>3276350</v>
      </c>
      <c r="D251" s="53">
        <v>2978500</v>
      </c>
      <c r="E251" s="53">
        <v>297850</v>
      </c>
      <c r="F251" s="54" t="s">
        <v>62</v>
      </c>
      <c r="G251" s="9">
        <v>43073</v>
      </c>
    </row>
    <row r="252" spans="1:19">
      <c r="A252" s="52" t="s">
        <v>206</v>
      </c>
      <c r="B252" s="33" t="s">
        <v>59</v>
      </c>
      <c r="C252" s="53">
        <v>440000</v>
      </c>
      <c r="D252" s="53">
        <v>400000</v>
      </c>
      <c r="E252" s="53">
        <v>40000</v>
      </c>
      <c r="F252" s="54" t="s">
        <v>62</v>
      </c>
      <c r="G252" s="9">
        <v>43073</v>
      </c>
    </row>
    <row r="253" spans="1:19">
      <c r="A253" s="52" t="s">
        <v>208</v>
      </c>
      <c r="B253" s="33" t="s">
        <v>59</v>
      </c>
      <c r="C253" s="53">
        <v>3443000</v>
      </c>
      <c r="D253" s="53">
        <v>3130000</v>
      </c>
      <c r="E253" s="53">
        <v>313000</v>
      </c>
      <c r="F253" s="54" t="s">
        <v>209</v>
      </c>
      <c r="G253" s="9">
        <v>43075</v>
      </c>
    </row>
    <row r="254" spans="1:19">
      <c r="A254" s="52" t="s">
        <v>210</v>
      </c>
      <c r="B254" s="33" t="s">
        <v>59</v>
      </c>
      <c r="C254" s="53">
        <v>2121680</v>
      </c>
      <c r="D254" s="53">
        <v>1928800</v>
      </c>
      <c r="E254" s="53">
        <v>192880</v>
      </c>
      <c r="F254" s="54" t="s">
        <v>142</v>
      </c>
      <c r="G254" s="9">
        <v>43082</v>
      </c>
    </row>
    <row r="255" spans="1:19">
      <c r="A255" s="52" t="s">
        <v>211</v>
      </c>
      <c r="B255" s="33" t="s">
        <v>10</v>
      </c>
      <c r="C255" s="53">
        <v>16016000</v>
      </c>
      <c r="D255" s="53">
        <v>14560000</v>
      </c>
      <c r="E255" s="53">
        <v>1456000</v>
      </c>
      <c r="F255" s="54" t="s">
        <v>13</v>
      </c>
      <c r="G255" s="9">
        <v>43084</v>
      </c>
    </row>
    <row r="256" spans="1:19">
      <c r="A256" s="52" t="s">
        <v>211</v>
      </c>
      <c r="B256" s="33" t="s">
        <v>59</v>
      </c>
      <c r="C256" s="53">
        <v>176000</v>
      </c>
      <c r="D256" s="53">
        <v>160000</v>
      </c>
      <c r="E256" s="53">
        <v>16000</v>
      </c>
      <c r="F256" s="54" t="s">
        <v>61</v>
      </c>
      <c r="G256" s="9">
        <v>43081</v>
      </c>
    </row>
    <row r="257" spans="1:7">
      <c r="A257" s="52" t="s">
        <v>212</v>
      </c>
      <c r="B257" s="33" t="s">
        <v>59</v>
      </c>
      <c r="C257" s="53">
        <v>2519000</v>
      </c>
      <c r="D257" s="53">
        <v>2290000</v>
      </c>
      <c r="E257" s="53">
        <v>229000</v>
      </c>
      <c r="F257" s="54" t="s">
        <v>209</v>
      </c>
      <c r="G257" s="9">
        <v>43082</v>
      </c>
    </row>
    <row r="258" spans="1:7">
      <c r="A258" s="52" t="s">
        <v>212</v>
      </c>
      <c r="B258" s="33" t="s">
        <v>59</v>
      </c>
      <c r="C258" s="53">
        <v>440000</v>
      </c>
      <c r="D258" s="53">
        <v>400000</v>
      </c>
      <c r="E258" s="53">
        <v>40000</v>
      </c>
      <c r="F258" s="54" t="s">
        <v>62</v>
      </c>
      <c r="G258" s="9">
        <v>43081</v>
      </c>
    </row>
    <row r="259" spans="1:7">
      <c r="A259" s="52" t="s">
        <v>212</v>
      </c>
      <c r="B259" s="33" t="s">
        <v>59</v>
      </c>
      <c r="C259" s="53">
        <v>1408000</v>
      </c>
      <c r="D259" s="53">
        <v>1280000</v>
      </c>
      <c r="E259" s="53">
        <v>128000</v>
      </c>
      <c r="F259" s="54" t="s">
        <v>64</v>
      </c>
      <c r="G259" s="9">
        <v>43081</v>
      </c>
    </row>
    <row r="260" spans="1:7">
      <c r="A260" s="55" t="s">
        <v>212</v>
      </c>
      <c r="B260" s="30" t="s">
        <v>59</v>
      </c>
      <c r="C260" s="28">
        <v>-1848000</v>
      </c>
      <c r="D260" s="28">
        <v>-1680000</v>
      </c>
      <c r="E260" s="28">
        <v>-168000</v>
      </c>
      <c r="F260" s="31" t="s">
        <v>64</v>
      </c>
      <c r="G260" s="30" t="s">
        <v>496</v>
      </c>
    </row>
    <row r="261" spans="1:7">
      <c r="A261" s="55" t="s">
        <v>212</v>
      </c>
      <c r="B261" s="30" t="s">
        <v>59</v>
      </c>
      <c r="C261" s="28">
        <v>1848000</v>
      </c>
      <c r="D261" s="28">
        <v>1680000</v>
      </c>
      <c r="E261" s="28">
        <v>168000</v>
      </c>
      <c r="F261" s="31" t="s">
        <v>64</v>
      </c>
      <c r="G261" s="30" t="s">
        <v>496</v>
      </c>
    </row>
    <row r="262" spans="1:7">
      <c r="A262" s="52" t="s">
        <v>213</v>
      </c>
      <c r="B262" s="33" t="s">
        <v>2</v>
      </c>
      <c r="C262" s="53">
        <v>5474661</v>
      </c>
      <c r="D262" s="53">
        <v>4976965</v>
      </c>
      <c r="E262" s="53">
        <v>497696</v>
      </c>
      <c r="F262" s="54" t="s">
        <v>507</v>
      </c>
      <c r="G262" s="9">
        <v>43090</v>
      </c>
    </row>
    <row r="263" spans="1:7">
      <c r="A263" s="52" t="s">
        <v>213</v>
      </c>
      <c r="B263" s="33" t="s">
        <v>2</v>
      </c>
      <c r="C263" s="53">
        <v>902000</v>
      </c>
      <c r="D263" s="53">
        <v>820000</v>
      </c>
      <c r="E263" s="53">
        <v>82000</v>
      </c>
      <c r="F263" s="54" t="s">
        <v>197</v>
      </c>
      <c r="G263" s="9">
        <v>43090</v>
      </c>
    </row>
    <row r="264" spans="1:7">
      <c r="A264" s="52" t="s">
        <v>213</v>
      </c>
      <c r="B264" s="33" t="s">
        <v>2</v>
      </c>
      <c r="C264" s="53">
        <v>4917000</v>
      </c>
      <c r="D264" s="53">
        <v>4470000</v>
      </c>
      <c r="E264" s="53">
        <v>447000</v>
      </c>
      <c r="F264" s="54" t="s">
        <v>508</v>
      </c>
      <c r="G264" s="9">
        <v>43090</v>
      </c>
    </row>
    <row r="265" spans="1:7">
      <c r="A265" s="52" t="s">
        <v>213</v>
      </c>
      <c r="B265" s="33" t="s">
        <v>2</v>
      </c>
      <c r="C265" s="53">
        <v>5880901</v>
      </c>
      <c r="D265" s="53">
        <v>5346274</v>
      </c>
      <c r="E265" s="53">
        <v>534627</v>
      </c>
      <c r="F265" s="54" t="s">
        <v>509</v>
      </c>
      <c r="G265" s="9">
        <v>43090</v>
      </c>
    </row>
    <row r="266" spans="1:7">
      <c r="A266" s="52" t="s">
        <v>213</v>
      </c>
      <c r="B266" s="33" t="s">
        <v>2</v>
      </c>
      <c r="C266" s="53">
        <v>4955808</v>
      </c>
      <c r="D266" s="53">
        <v>4505280</v>
      </c>
      <c r="E266" s="53">
        <v>450528</v>
      </c>
      <c r="F266" s="54" t="s">
        <v>171</v>
      </c>
      <c r="G266" s="9">
        <v>43090</v>
      </c>
    </row>
    <row r="267" spans="1:7">
      <c r="A267" s="55" t="s">
        <v>213</v>
      </c>
      <c r="B267" s="30" t="s">
        <v>2</v>
      </c>
      <c r="C267" s="28">
        <v>-4576000</v>
      </c>
      <c r="D267" s="28">
        <v>-4160000</v>
      </c>
      <c r="E267" s="28">
        <v>-416000</v>
      </c>
      <c r="F267" s="31" t="s">
        <v>510</v>
      </c>
      <c r="G267" s="30" t="s">
        <v>496</v>
      </c>
    </row>
    <row r="268" spans="1:7">
      <c r="A268" s="55" t="s">
        <v>213</v>
      </c>
      <c r="B268" s="30" t="s">
        <v>2</v>
      </c>
      <c r="C268" s="28">
        <v>4576000</v>
      </c>
      <c r="D268" s="28">
        <v>4160000</v>
      </c>
      <c r="E268" s="28">
        <v>416000</v>
      </c>
      <c r="F268" s="31" t="s">
        <v>510</v>
      </c>
      <c r="G268" s="30" t="s">
        <v>496</v>
      </c>
    </row>
    <row r="269" spans="1:7">
      <c r="A269" s="52" t="s">
        <v>214</v>
      </c>
      <c r="B269" s="33" t="s">
        <v>59</v>
      </c>
      <c r="C269" s="53">
        <v>715000</v>
      </c>
      <c r="D269" s="53">
        <v>650000</v>
      </c>
      <c r="E269" s="53">
        <v>65000</v>
      </c>
      <c r="F269" s="54" t="s">
        <v>64</v>
      </c>
      <c r="G269" s="9">
        <v>43088</v>
      </c>
    </row>
    <row r="270" spans="1:7">
      <c r="A270" s="52" t="s">
        <v>214</v>
      </c>
      <c r="B270" s="33" t="s">
        <v>59</v>
      </c>
      <c r="C270" s="53">
        <v>616000</v>
      </c>
      <c r="D270" s="53">
        <v>560000</v>
      </c>
      <c r="E270" s="53">
        <v>56000</v>
      </c>
      <c r="F270" s="54" t="s">
        <v>62</v>
      </c>
      <c r="G270" s="9">
        <v>43088</v>
      </c>
    </row>
    <row r="271" spans="1:7">
      <c r="A271" s="52" t="s">
        <v>214</v>
      </c>
      <c r="B271" s="33" t="s">
        <v>59</v>
      </c>
      <c r="C271" s="53">
        <v>1656600</v>
      </c>
      <c r="D271" s="53">
        <v>1506000</v>
      </c>
      <c r="E271" s="53">
        <v>150600</v>
      </c>
      <c r="F271" s="54" t="s">
        <v>62</v>
      </c>
      <c r="G271" s="9">
        <v>43088</v>
      </c>
    </row>
    <row r="272" spans="1:7">
      <c r="A272" s="52" t="s">
        <v>214</v>
      </c>
      <c r="B272" s="33" t="s">
        <v>59</v>
      </c>
      <c r="C272" s="53">
        <v>1848000</v>
      </c>
      <c r="D272" s="53">
        <v>1680000</v>
      </c>
      <c r="E272" s="53">
        <v>168000</v>
      </c>
      <c r="F272" s="54" t="s">
        <v>209</v>
      </c>
      <c r="G272" s="9">
        <v>43088</v>
      </c>
    </row>
    <row r="273" spans="1:7">
      <c r="A273" s="52" t="s">
        <v>214</v>
      </c>
      <c r="B273" s="33" t="s">
        <v>59</v>
      </c>
      <c r="C273" s="53">
        <v>1562000</v>
      </c>
      <c r="D273" s="53">
        <v>1420000</v>
      </c>
      <c r="E273" s="53">
        <v>142000</v>
      </c>
      <c r="F273" s="54" t="s">
        <v>65</v>
      </c>
      <c r="G273" s="9">
        <v>43088</v>
      </c>
    </row>
    <row r="274" spans="1:7">
      <c r="A274" s="52" t="s">
        <v>214</v>
      </c>
      <c r="B274" s="33" t="s">
        <v>59</v>
      </c>
      <c r="C274" s="53">
        <v>1243000</v>
      </c>
      <c r="D274" s="53">
        <v>1130000</v>
      </c>
      <c r="E274" s="53">
        <v>113000</v>
      </c>
      <c r="F274" s="54" t="s">
        <v>142</v>
      </c>
      <c r="G274" s="9">
        <v>43089</v>
      </c>
    </row>
    <row r="275" spans="1:7">
      <c r="A275" s="52" t="s">
        <v>215</v>
      </c>
      <c r="B275" s="33" t="s">
        <v>91</v>
      </c>
      <c r="C275" s="53">
        <v>4532000</v>
      </c>
      <c r="D275" s="53">
        <v>4120000</v>
      </c>
      <c r="E275" s="53">
        <v>412000</v>
      </c>
      <c r="F275" s="54" t="s">
        <v>13</v>
      </c>
      <c r="G275" s="9">
        <v>43095</v>
      </c>
    </row>
    <row r="276" spans="1:7">
      <c r="A276" s="55" t="s">
        <v>216</v>
      </c>
      <c r="B276" s="30" t="s">
        <v>15</v>
      </c>
      <c r="C276" s="28">
        <v>-660000</v>
      </c>
      <c r="D276" s="28">
        <v>-600000</v>
      </c>
      <c r="E276" s="28">
        <v>-60000</v>
      </c>
      <c r="F276" s="31" t="s">
        <v>218</v>
      </c>
      <c r="G276" s="30" t="s">
        <v>496</v>
      </c>
    </row>
    <row r="277" spans="1:7">
      <c r="A277" s="55" t="s">
        <v>216</v>
      </c>
      <c r="B277" s="30" t="s">
        <v>10</v>
      </c>
      <c r="C277" s="28">
        <v>-14118500</v>
      </c>
      <c r="D277" s="28">
        <v>-12835000</v>
      </c>
      <c r="E277" s="28">
        <v>-1283500</v>
      </c>
      <c r="F277" s="31" t="s">
        <v>202</v>
      </c>
      <c r="G277" s="30" t="s">
        <v>496</v>
      </c>
    </row>
    <row r="278" spans="1:7">
      <c r="A278" s="52" t="s">
        <v>216</v>
      </c>
      <c r="B278" s="33" t="s">
        <v>12</v>
      </c>
      <c r="C278" s="53">
        <v>616000</v>
      </c>
      <c r="D278" s="53">
        <v>560000</v>
      </c>
      <c r="E278" s="53">
        <v>56000</v>
      </c>
      <c r="F278" s="54" t="s">
        <v>13</v>
      </c>
      <c r="G278" s="9">
        <v>43098</v>
      </c>
    </row>
    <row r="279" spans="1:7">
      <c r="A279" s="55" t="s">
        <v>216</v>
      </c>
      <c r="B279" s="30" t="s">
        <v>15</v>
      </c>
      <c r="C279" s="28">
        <v>660000</v>
      </c>
      <c r="D279" s="28">
        <v>600000</v>
      </c>
      <c r="E279" s="28">
        <v>60000</v>
      </c>
      <c r="F279" s="31" t="s">
        <v>218</v>
      </c>
      <c r="G279" s="30" t="s">
        <v>496</v>
      </c>
    </row>
    <row r="280" spans="1:7">
      <c r="A280" s="55" t="s">
        <v>216</v>
      </c>
      <c r="B280" s="30" t="s">
        <v>10</v>
      </c>
      <c r="C280" s="28">
        <v>14118500</v>
      </c>
      <c r="D280" s="28">
        <v>12835000</v>
      </c>
      <c r="E280" s="28">
        <v>1283500</v>
      </c>
      <c r="F280" s="31" t="s">
        <v>202</v>
      </c>
      <c r="G280" s="30" t="s">
        <v>496</v>
      </c>
    </row>
    <row r="281" spans="1:7">
      <c r="A281" s="52" t="s">
        <v>216</v>
      </c>
      <c r="B281" s="33" t="s">
        <v>59</v>
      </c>
      <c r="C281" s="53">
        <v>1881000</v>
      </c>
      <c r="D281" s="53">
        <v>1710000</v>
      </c>
      <c r="E281" s="53">
        <v>171000</v>
      </c>
      <c r="F281" s="54" t="s">
        <v>209</v>
      </c>
      <c r="G281" s="9">
        <v>43097</v>
      </c>
    </row>
    <row r="282" spans="1:7">
      <c r="A282" s="52" t="s">
        <v>216</v>
      </c>
      <c r="B282" s="33" t="s">
        <v>59</v>
      </c>
      <c r="C282" s="53">
        <v>2486000</v>
      </c>
      <c r="D282" s="53">
        <v>2260000</v>
      </c>
      <c r="E282" s="53">
        <v>226000</v>
      </c>
      <c r="F282" s="54" t="s">
        <v>65</v>
      </c>
      <c r="G282" s="9">
        <v>43102</v>
      </c>
    </row>
    <row r="283" spans="1:7">
      <c r="A283" s="52" t="s">
        <v>216</v>
      </c>
      <c r="B283" s="33" t="s">
        <v>59</v>
      </c>
      <c r="C283" s="53">
        <v>1936000</v>
      </c>
      <c r="D283" s="53">
        <v>1760000</v>
      </c>
      <c r="E283" s="53">
        <v>176000</v>
      </c>
      <c r="F283" s="54" t="s">
        <v>209</v>
      </c>
      <c r="G283" s="9">
        <v>43102</v>
      </c>
    </row>
    <row r="284" spans="1:7">
      <c r="A284" s="52" t="s">
        <v>216</v>
      </c>
      <c r="B284" s="33" t="s">
        <v>59</v>
      </c>
      <c r="C284" s="53">
        <v>2904000</v>
      </c>
      <c r="D284" s="53">
        <v>2640000</v>
      </c>
      <c r="E284" s="53">
        <v>264000</v>
      </c>
      <c r="F284" s="54" t="s">
        <v>142</v>
      </c>
      <c r="G284" s="9">
        <v>43097</v>
      </c>
    </row>
    <row r="285" spans="1:7">
      <c r="A285" s="52" t="s">
        <v>216</v>
      </c>
      <c r="B285" s="33" t="s">
        <v>59</v>
      </c>
      <c r="C285" s="53">
        <v>715000</v>
      </c>
      <c r="D285" s="53">
        <v>650000</v>
      </c>
      <c r="E285" s="53">
        <v>65000</v>
      </c>
      <c r="F285" s="54" t="s">
        <v>64</v>
      </c>
      <c r="G285" s="9">
        <v>43096</v>
      </c>
    </row>
    <row r="286" spans="1:7">
      <c r="A286" s="52" t="s">
        <v>216</v>
      </c>
      <c r="B286" s="33" t="s">
        <v>59</v>
      </c>
      <c r="C286" s="53">
        <v>880000</v>
      </c>
      <c r="D286" s="53">
        <v>800000</v>
      </c>
      <c r="E286" s="53">
        <v>80000</v>
      </c>
      <c r="F286" s="54" t="s">
        <v>62</v>
      </c>
      <c r="G286" s="9">
        <v>43096</v>
      </c>
    </row>
    <row r="287" spans="1:7">
      <c r="A287" s="52" t="s">
        <v>216</v>
      </c>
      <c r="B287" s="33" t="s">
        <v>59</v>
      </c>
      <c r="C287" s="53">
        <v>1782000</v>
      </c>
      <c r="D287" s="53">
        <v>1620000</v>
      </c>
      <c r="E287" s="53">
        <v>162000</v>
      </c>
      <c r="F287" s="54" t="s">
        <v>74</v>
      </c>
      <c r="G287" s="9">
        <v>43096</v>
      </c>
    </row>
    <row r="288" spans="1:7">
      <c r="A288" s="52" t="s">
        <v>217</v>
      </c>
      <c r="B288" s="33" t="s">
        <v>10</v>
      </c>
      <c r="C288" s="53">
        <v>14118500</v>
      </c>
      <c r="D288" s="53">
        <v>12835000</v>
      </c>
      <c r="E288" s="53">
        <v>1283500</v>
      </c>
      <c r="F288" s="54" t="s">
        <v>202</v>
      </c>
      <c r="G288" s="9">
        <v>43103</v>
      </c>
    </row>
    <row r="289" spans="1:7">
      <c r="A289" s="52" t="s">
        <v>217</v>
      </c>
      <c r="B289" s="33" t="s">
        <v>85</v>
      </c>
      <c r="C289" s="53">
        <v>1551000</v>
      </c>
      <c r="D289" s="53">
        <v>1410000</v>
      </c>
      <c r="E289" s="53">
        <v>141000</v>
      </c>
      <c r="F289" s="54" t="s">
        <v>13</v>
      </c>
      <c r="G289" s="9">
        <v>43118</v>
      </c>
    </row>
    <row r="290" spans="1:7">
      <c r="A290" s="52" t="s">
        <v>219</v>
      </c>
      <c r="B290" s="33" t="s">
        <v>91</v>
      </c>
      <c r="C290" s="53">
        <v>9718500</v>
      </c>
      <c r="D290" s="53">
        <v>8835000</v>
      </c>
      <c r="E290" s="53">
        <v>883500</v>
      </c>
      <c r="F290" s="54" t="s">
        <v>13</v>
      </c>
      <c r="G290" s="9">
        <v>43099</v>
      </c>
    </row>
    <row r="291" spans="1:7">
      <c r="A291" s="52" t="s">
        <v>220</v>
      </c>
      <c r="B291" s="33" t="s">
        <v>59</v>
      </c>
      <c r="C291" s="53">
        <v>3520000</v>
      </c>
      <c r="D291" s="53">
        <v>3200000</v>
      </c>
      <c r="E291" s="53">
        <v>320000</v>
      </c>
      <c r="F291" s="54" t="s">
        <v>142</v>
      </c>
      <c r="G291" s="9">
        <v>43111</v>
      </c>
    </row>
    <row r="292" spans="1:7">
      <c r="A292" s="52" t="s">
        <v>220</v>
      </c>
      <c r="B292" s="33" t="s">
        <v>17</v>
      </c>
      <c r="C292" s="53">
        <v>154000</v>
      </c>
      <c r="D292" s="53">
        <v>140000</v>
      </c>
      <c r="E292" s="53">
        <v>14000</v>
      </c>
      <c r="F292" s="54" t="s">
        <v>13</v>
      </c>
      <c r="G292" s="9">
        <v>43110</v>
      </c>
    </row>
    <row r="293" spans="1:7">
      <c r="A293" s="52" t="s">
        <v>220</v>
      </c>
      <c r="B293" s="33" t="s">
        <v>2</v>
      </c>
      <c r="C293" s="53">
        <v>396000</v>
      </c>
      <c r="D293" s="53">
        <v>360000</v>
      </c>
      <c r="E293" s="53">
        <v>36000</v>
      </c>
      <c r="F293" s="54" t="s">
        <v>181</v>
      </c>
      <c r="G293" s="9">
        <v>43110</v>
      </c>
    </row>
    <row r="294" spans="1:7">
      <c r="A294" s="52" t="s">
        <v>220</v>
      </c>
      <c r="B294" s="33" t="s">
        <v>150</v>
      </c>
      <c r="C294" s="53">
        <v>462000</v>
      </c>
      <c r="D294" s="53">
        <v>420000</v>
      </c>
      <c r="E294" s="53">
        <v>42000</v>
      </c>
      <c r="F294" s="54" t="s">
        <v>13</v>
      </c>
      <c r="G294" s="9">
        <v>43139</v>
      </c>
    </row>
    <row r="295" spans="1:7">
      <c r="A295" s="52" t="s">
        <v>220</v>
      </c>
      <c r="B295" s="33" t="s">
        <v>82</v>
      </c>
      <c r="C295" s="53">
        <v>484000</v>
      </c>
      <c r="D295" s="53">
        <v>440000</v>
      </c>
      <c r="E295" s="53">
        <v>44000</v>
      </c>
      <c r="F295" s="54" t="s">
        <v>13</v>
      </c>
      <c r="G295" s="9">
        <v>43115</v>
      </c>
    </row>
    <row r="296" spans="1:7">
      <c r="A296" s="52" t="s">
        <v>220</v>
      </c>
      <c r="B296" s="33" t="s">
        <v>15</v>
      </c>
      <c r="C296" s="53">
        <v>5280000</v>
      </c>
      <c r="D296" s="53">
        <v>4800000</v>
      </c>
      <c r="E296" s="53">
        <v>480000</v>
      </c>
      <c r="F296" s="54" t="s">
        <v>69</v>
      </c>
      <c r="G296" s="9">
        <v>43115</v>
      </c>
    </row>
    <row r="297" spans="1:7">
      <c r="A297" s="52" t="s">
        <v>220</v>
      </c>
      <c r="B297" s="33" t="s">
        <v>15</v>
      </c>
      <c r="C297" s="53">
        <v>4752000</v>
      </c>
      <c r="D297" s="53">
        <v>4320000</v>
      </c>
      <c r="E297" s="53">
        <v>432000</v>
      </c>
      <c r="F297" s="54" t="s">
        <v>67</v>
      </c>
      <c r="G297" s="9">
        <v>43115</v>
      </c>
    </row>
    <row r="298" spans="1:7">
      <c r="A298" s="52" t="s">
        <v>220</v>
      </c>
      <c r="B298" s="33" t="s">
        <v>15</v>
      </c>
      <c r="C298" s="53">
        <v>11528000</v>
      </c>
      <c r="D298" s="53">
        <v>10480000</v>
      </c>
      <c r="E298" s="53">
        <v>1048000</v>
      </c>
      <c r="F298" s="54" t="s">
        <v>78</v>
      </c>
      <c r="G298" s="9">
        <v>43115</v>
      </c>
    </row>
    <row r="299" spans="1:7">
      <c r="A299" s="52" t="s">
        <v>220</v>
      </c>
      <c r="B299" s="33" t="s">
        <v>225</v>
      </c>
      <c r="C299" s="53">
        <v>374000</v>
      </c>
      <c r="D299" s="53">
        <v>340000</v>
      </c>
      <c r="E299" s="53">
        <v>34000</v>
      </c>
      <c r="F299" s="54" t="s">
        <v>13</v>
      </c>
      <c r="G299" s="9">
        <v>43106</v>
      </c>
    </row>
    <row r="300" spans="1:7">
      <c r="A300" s="52" t="s">
        <v>220</v>
      </c>
      <c r="B300" s="33" t="s">
        <v>2</v>
      </c>
      <c r="C300" s="53">
        <v>10747000</v>
      </c>
      <c r="D300" s="53">
        <v>9770000</v>
      </c>
      <c r="E300" s="53">
        <v>977000</v>
      </c>
      <c r="F300" s="54" t="s">
        <v>511</v>
      </c>
      <c r="G300" s="9">
        <v>43110</v>
      </c>
    </row>
    <row r="301" spans="1:7">
      <c r="A301" s="52" t="s">
        <v>220</v>
      </c>
      <c r="B301" s="33" t="s">
        <v>2</v>
      </c>
      <c r="C301" s="53">
        <v>4950000</v>
      </c>
      <c r="D301" s="53">
        <v>4500000</v>
      </c>
      <c r="E301" s="53">
        <v>450000</v>
      </c>
      <c r="F301" s="54" t="s">
        <v>512</v>
      </c>
      <c r="G301" s="9">
        <v>43110</v>
      </c>
    </row>
    <row r="302" spans="1:7">
      <c r="A302" s="52" t="s">
        <v>220</v>
      </c>
      <c r="B302" s="33" t="s">
        <v>1</v>
      </c>
      <c r="C302" s="53">
        <v>2420000</v>
      </c>
      <c r="D302" s="53">
        <v>2200000</v>
      </c>
      <c r="E302" s="53">
        <v>220000</v>
      </c>
      <c r="F302" s="54" t="s">
        <v>13</v>
      </c>
      <c r="G302" s="9">
        <v>43112</v>
      </c>
    </row>
    <row r="303" spans="1:7">
      <c r="A303" s="52" t="s">
        <v>220</v>
      </c>
      <c r="B303" s="33" t="s">
        <v>59</v>
      </c>
      <c r="C303" s="53">
        <v>2585000</v>
      </c>
      <c r="D303" s="53">
        <v>2350000</v>
      </c>
      <c r="E303" s="53">
        <v>235000</v>
      </c>
      <c r="F303" s="54" t="s">
        <v>209</v>
      </c>
      <c r="G303" s="9">
        <v>43104</v>
      </c>
    </row>
    <row r="304" spans="1:7">
      <c r="A304" s="52" t="s">
        <v>220</v>
      </c>
      <c r="B304" s="33" t="s">
        <v>79</v>
      </c>
      <c r="C304" s="53">
        <v>5280000</v>
      </c>
      <c r="D304" s="53">
        <v>4800000</v>
      </c>
      <c r="E304" s="53">
        <v>480000</v>
      </c>
      <c r="F304" s="54" t="s">
        <v>224</v>
      </c>
      <c r="G304" s="9">
        <v>43132</v>
      </c>
    </row>
    <row r="305" spans="1:19">
      <c r="A305" s="52" t="s">
        <v>220</v>
      </c>
      <c r="B305" s="33" t="s">
        <v>63</v>
      </c>
      <c r="C305" s="53">
        <v>8789000</v>
      </c>
      <c r="D305" s="53">
        <v>7990000</v>
      </c>
      <c r="E305" s="53">
        <v>799000</v>
      </c>
      <c r="F305" s="54" t="s">
        <v>13</v>
      </c>
      <c r="G305" s="9">
        <v>43103</v>
      </c>
    </row>
    <row r="306" spans="1:19">
      <c r="A306" s="52" t="s">
        <v>220</v>
      </c>
      <c r="B306" s="33" t="s">
        <v>2</v>
      </c>
      <c r="C306" s="53">
        <v>1012000</v>
      </c>
      <c r="D306" s="53">
        <v>920000</v>
      </c>
      <c r="E306" s="53">
        <v>92000</v>
      </c>
      <c r="F306" s="54" t="s">
        <v>197</v>
      </c>
      <c r="G306" s="9">
        <v>43110</v>
      </c>
    </row>
    <row r="307" spans="1:19">
      <c r="A307" s="52" t="s">
        <v>220</v>
      </c>
      <c r="B307" s="33" t="s">
        <v>221</v>
      </c>
      <c r="C307" s="53">
        <v>5214000</v>
      </c>
      <c r="D307" s="53">
        <v>4740000</v>
      </c>
      <c r="E307" s="53">
        <v>474000</v>
      </c>
      <c r="F307" s="54" t="s">
        <v>13</v>
      </c>
      <c r="G307" s="9">
        <v>43103</v>
      </c>
    </row>
    <row r="308" spans="1:19">
      <c r="A308" s="52" t="s">
        <v>220</v>
      </c>
      <c r="B308" s="33" t="s">
        <v>182</v>
      </c>
      <c r="C308" s="53">
        <v>440000</v>
      </c>
      <c r="D308" s="53">
        <v>400000</v>
      </c>
      <c r="E308" s="53">
        <v>40000</v>
      </c>
      <c r="F308" s="54" t="s">
        <v>143</v>
      </c>
      <c r="G308" s="9">
        <v>43103</v>
      </c>
    </row>
    <row r="309" spans="1:19">
      <c r="A309" s="52" t="s">
        <v>220</v>
      </c>
      <c r="B309" s="33" t="s">
        <v>59</v>
      </c>
      <c r="C309" s="53">
        <v>1232000</v>
      </c>
      <c r="D309" s="53">
        <v>1120000</v>
      </c>
      <c r="E309" s="53">
        <v>112000</v>
      </c>
      <c r="F309" s="54" t="s">
        <v>142</v>
      </c>
      <c r="G309" s="9">
        <v>43103</v>
      </c>
    </row>
    <row r="310" spans="1:19">
      <c r="A310" s="52" t="s">
        <v>220</v>
      </c>
      <c r="B310" s="33" t="s">
        <v>2</v>
      </c>
      <c r="C310" s="53">
        <v>2079000</v>
      </c>
      <c r="D310" s="53">
        <v>1890000</v>
      </c>
      <c r="E310" s="53">
        <v>189000</v>
      </c>
      <c r="F310" s="54" t="s">
        <v>66</v>
      </c>
      <c r="G310" s="9">
        <v>43110</v>
      </c>
    </row>
    <row r="311" spans="1:19">
      <c r="A311" s="52" t="s">
        <v>220</v>
      </c>
      <c r="B311" s="33" t="s">
        <v>80</v>
      </c>
      <c r="C311" s="53">
        <v>4411000</v>
      </c>
      <c r="D311" s="53">
        <v>4010000</v>
      </c>
      <c r="E311" s="53">
        <v>401000</v>
      </c>
      <c r="F311" s="54" t="s">
        <v>13</v>
      </c>
      <c r="G311" s="9">
        <v>43199</v>
      </c>
    </row>
    <row r="312" spans="1:19">
      <c r="A312" s="52" t="s">
        <v>220</v>
      </c>
      <c r="B312" s="33" t="s">
        <v>59</v>
      </c>
      <c r="C312" s="53">
        <v>440000</v>
      </c>
      <c r="D312" s="53">
        <v>400000</v>
      </c>
      <c r="E312" s="53">
        <v>40000</v>
      </c>
      <c r="F312" s="54" t="s">
        <v>209</v>
      </c>
      <c r="G312" s="9">
        <v>43104</v>
      </c>
      <c r="I312" s="304" t="s">
        <v>513</v>
      </c>
      <c r="J312" s="304"/>
      <c r="K312" s="304"/>
    </row>
    <row r="313" spans="1:19">
      <c r="A313" s="52" t="s">
        <v>220</v>
      </c>
      <c r="B313" s="33" t="s">
        <v>10</v>
      </c>
      <c r="C313" s="53">
        <v>704000</v>
      </c>
      <c r="D313" s="53">
        <v>640000</v>
      </c>
      <c r="E313" s="53">
        <v>64000</v>
      </c>
      <c r="F313" s="54" t="s">
        <v>222</v>
      </c>
      <c r="G313" s="9">
        <v>43110</v>
      </c>
      <c r="I313" s="66" t="s">
        <v>487</v>
      </c>
      <c r="J313" s="63" t="s">
        <v>488</v>
      </c>
      <c r="K313" s="67" t="s">
        <v>494</v>
      </c>
    </row>
    <row r="314" spans="1:19">
      <c r="A314" s="52" t="s">
        <v>220</v>
      </c>
      <c r="B314" s="33" t="s">
        <v>10</v>
      </c>
      <c r="C314" s="53">
        <v>12782000</v>
      </c>
      <c r="D314" s="53">
        <v>11620000</v>
      </c>
      <c r="E314" s="53">
        <v>1162000</v>
      </c>
      <c r="F314" s="54" t="s">
        <v>202</v>
      </c>
      <c r="G314" s="10">
        <v>43105</v>
      </c>
      <c r="H314" s="51"/>
      <c r="I314" s="68">
        <f>SUM(C249:C314)</f>
        <v>193734000</v>
      </c>
      <c r="J314" s="69">
        <f>SUM(D249:D314)</f>
        <v>176121819</v>
      </c>
      <c r="K314" s="70">
        <f>SUM(E249:E314)</f>
        <v>17612181</v>
      </c>
      <c r="L314" s="42"/>
      <c r="M314" s="42"/>
      <c r="N314" s="42"/>
      <c r="O314" s="42"/>
      <c r="P314" s="42"/>
      <c r="Q314" s="42"/>
      <c r="R314" s="42"/>
      <c r="S314" s="42"/>
    </row>
    <row r="315" spans="1:19">
      <c r="A315" s="57" t="s">
        <v>223</v>
      </c>
      <c r="B315" s="58" t="s">
        <v>59</v>
      </c>
      <c r="C315" s="59">
        <v>528000</v>
      </c>
      <c r="D315" s="59">
        <v>480000</v>
      </c>
      <c r="E315" s="59">
        <v>48000</v>
      </c>
      <c r="F315" s="60" t="s">
        <v>64</v>
      </c>
      <c r="G315" s="9">
        <v>43102</v>
      </c>
    </row>
    <row r="316" spans="1:19">
      <c r="A316" s="52" t="s">
        <v>223</v>
      </c>
      <c r="B316" s="33" t="s">
        <v>59</v>
      </c>
      <c r="C316" s="53">
        <v>880000</v>
      </c>
      <c r="D316" s="53">
        <v>800000</v>
      </c>
      <c r="E316" s="53">
        <v>80000</v>
      </c>
      <c r="F316" s="54" t="s">
        <v>62</v>
      </c>
      <c r="G316" s="9">
        <v>43102</v>
      </c>
    </row>
    <row r="317" spans="1:19">
      <c r="A317" s="52" t="s">
        <v>226</v>
      </c>
      <c r="B317" s="33" t="s">
        <v>59</v>
      </c>
      <c r="C317" s="53">
        <v>2123000</v>
      </c>
      <c r="D317" s="53">
        <v>1930000</v>
      </c>
      <c r="E317" s="53">
        <v>193000</v>
      </c>
      <c r="F317" s="54" t="s">
        <v>142</v>
      </c>
      <c r="G317" s="9">
        <v>43110</v>
      </c>
    </row>
    <row r="318" spans="1:19">
      <c r="A318" s="52" t="s">
        <v>227</v>
      </c>
      <c r="B318" s="33" t="s">
        <v>10</v>
      </c>
      <c r="C318" s="53">
        <v>16795900</v>
      </c>
      <c r="D318" s="53">
        <v>15269000</v>
      </c>
      <c r="E318" s="53">
        <v>1526900</v>
      </c>
      <c r="F318" s="54" t="s">
        <v>202</v>
      </c>
      <c r="G318" s="9">
        <v>43117</v>
      </c>
    </row>
    <row r="319" spans="1:19">
      <c r="A319" s="52" t="s">
        <v>228</v>
      </c>
      <c r="B319" s="33" t="s">
        <v>59</v>
      </c>
      <c r="C319" s="53">
        <v>462000</v>
      </c>
      <c r="D319" s="53">
        <v>420000</v>
      </c>
      <c r="E319" s="53">
        <v>42000</v>
      </c>
      <c r="F319" s="54" t="s">
        <v>209</v>
      </c>
      <c r="G319" s="9">
        <v>43118</v>
      </c>
    </row>
    <row r="320" spans="1:19">
      <c r="A320" s="52" t="s">
        <v>228</v>
      </c>
      <c r="B320" s="33" t="s">
        <v>10</v>
      </c>
      <c r="C320" s="53">
        <v>4214100</v>
      </c>
      <c r="D320" s="53">
        <v>3831000</v>
      </c>
      <c r="E320" s="53">
        <v>383100</v>
      </c>
      <c r="F320" s="54" t="s">
        <v>514</v>
      </c>
      <c r="G320" s="9">
        <v>43124</v>
      </c>
    </row>
    <row r="321" spans="1:7">
      <c r="A321" s="52" t="s">
        <v>228</v>
      </c>
      <c r="B321" s="33" t="s">
        <v>10</v>
      </c>
      <c r="C321" s="53">
        <v>14683900</v>
      </c>
      <c r="D321" s="53">
        <v>13349000</v>
      </c>
      <c r="E321" s="53">
        <v>1334900</v>
      </c>
      <c r="F321" s="54" t="s">
        <v>515</v>
      </c>
      <c r="G321" s="9">
        <v>43122</v>
      </c>
    </row>
    <row r="322" spans="1:7">
      <c r="A322" s="52" t="s">
        <v>229</v>
      </c>
      <c r="B322" s="33" t="s">
        <v>59</v>
      </c>
      <c r="C322" s="53">
        <v>814000</v>
      </c>
      <c r="D322" s="53">
        <v>740000</v>
      </c>
      <c r="E322" s="53">
        <v>74000</v>
      </c>
      <c r="F322" s="54" t="s">
        <v>75</v>
      </c>
      <c r="G322" s="9">
        <v>43123</v>
      </c>
    </row>
    <row r="323" spans="1:7">
      <c r="A323" s="52" t="s">
        <v>229</v>
      </c>
      <c r="B323" s="33" t="s">
        <v>59</v>
      </c>
      <c r="C323" s="53">
        <v>660000</v>
      </c>
      <c r="D323" s="53">
        <v>600000</v>
      </c>
      <c r="E323" s="53">
        <v>60000</v>
      </c>
      <c r="F323" s="54" t="s">
        <v>62</v>
      </c>
      <c r="G323" s="9">
        <v>43123</v>
      </c>
    </row>
    <row r="324" spans="1:7">
      <c r="A324" s="52" t="s">
        <v>230</v>
      </c>
      <c r="B324" s="33" t="s">
        <v>2</v>
      </c>
      <c r="C324" s="53">
        <v>1056000</v>
      </c>
      <c r="D324" s="53">
        <v>960000</v>
      </c>
      <c r="E324" s="53">
        <v>96000</v>
      </c>
      <c r="F324" s="54" t="s">
        <v>66</v>
      </c>
      <c r="G324" s="9">
        <v>43122</v>
      </c>
    </row>
    <row r="325" spans="1:7">
      <c r="A325" s="52" t="s">
        <v>231</v>
      </c>
      <c r="B325" s="33" t="s">
        <v>2</v>
      </c>
      <c r="C325" s="53">
        <v>2310000</v>
      </c>
      <c r="D325" s="53">
        <v>2100000</v>
      </c>
      <c r="E325" s="53">
        <v>210000</v>
      </c>
      <c r="F325" s="54" t="s">
        <v>232</v>
      </c>
      <c r="G325" s="9">
        <v>43122</v>
      </c>
    </row>
    <row r="326" spans="1:7">
      <c r="A326" s="52" t="s">
        <v>231</v>
      </c>
      <c r="B326" s="33" t="s">
        <v>2</v>
      </c>
      <c r="C326" s="53">
        <v>1379400</v>
      </c>
      <c r="D326" s="53">
        <v>1254000</v>
      </c>
      <c r="E326" s="53">
        <v>125400</v>
      </c>
      <c r="F326" s="54" t="s">
        <v>233</v>
      </c>
      <c r="G326" s="9">
        <v>43122</v>
      </c>
    </row>
    <row r="327" spans="1:7">
      <c r="A327" s="52" t="s">
        <v>231</v>
      </c>
      <c r="B327" s="33" t="s">
        <v>59</v>
      </c>
      <c r="C327" s="53">
        <v>1045000</v>
      </c>
      <c r="D327" s="53">
        <v>950000</v>
      </c>
      <c r="E327" s="53">
        <v>95000</v>
      </c>
      <c r="F327" s="54" t="s">
        <v>209</v>
      </c>
      <c r="G327" s="9">
        <v>43122</v>
      </c>
    </row>
    <row r="328" spans="1:7">
      <c r="A328" s="52" t="s">
        <v>234</v>
      </c>
      <c r="B328" s="33" t="s">
        <v>2</v>
      </c>
      <c r="C328" s="53">
        <v>5758500</v>
      </c>
      <c r="D328" s="53">
        <v>5235000</v>
      </c>
      <c r="E328" s="53">
        <v>523500</v>
      </c>
      <c r="F328" s="54" t="s">
        <v>165</v>
      </c>
      <c r="G328" s="9">
        <v>43122</v>
      </c>
    </row>
    <row r="329" spans="1:7">
      <c r="A329" s="52" t="s">
        <v>235</v>
      </c>
      <c r="B329" s="33" t="s">
        <v>10</v>
      </c>
      <c r="C329" s="53">
        <v>12326600</v>
      </c>
      <c r="D329" s="53">
        <v>11206000</v>
      </c>
      <c r="E329" s="53">
        <v>1120600</v>
      </c>
      <c r="F329" s="54" t="s">
        <v>202</v>
      </c>
      <c r="G329" s="9">
        <v>43129</v>
      </c>
    </row>
    <row r="330" spans="1:7">
      <c r="A330" s="52" t="s">
        <v>236</v>
      </c>
      <c r="B330" s="33" t="s">
        <v>59</v>
      </c>
      <c r="C330" s="53">
        <v>638000</v>
      </c>
      <c r="D330" s="53">
        <v>580000</v>
      </c>
      <c r="E330" s="53">
        <v>58000</v>
      </c>
      <c r="F330" s="54" t="s">
        <v>75</v>
      </c>
      <c r="G330" s="9">
        <v>43124</v>
      </c>
    </row>
    <row r="331" spans="1:7">
      <c r="A331" s="52" t="s">
        <v>237</v>
      </c>
      <c r="B331" s="33" t="s">
        <v>59</v>
      </c>
      <c r="C331" s="53">
        <v>770000</v>
      </c>
      <c r="D331" s="53">
        <v>700000</v>
      </c>
      <c r="E331" s="53">
        <v>70000</v>
      </c>
      <c r="F331" s="54" t="s">
        <v>238</v>
      </c>
      <c r="G331" s="9">
        <v>43129</v>
      </c>
    </row>
    <row r="332" spans="1:7">
      <c r="A332" s="52" t="s">
        <v>239</v>
      </c>
      <c r="B332" s="33" t="s">
        <v>59</v>
      </c>
      <c r="C332" s="53">
        <v>616000</v>
      </c>
      <c r="D332" s="53">
        <v>560000</v>
      </c>
      <c r="E332" s="53">
        <v>56000</v>
      </c>
      <c r="F332" s="54" t="s">
        <v>75</v>
      </c>
      <c r="G332" s="9">
        <v>43137</v>
      </c>
    </row>
    <row r="333" spans="1:7">
      <c r="A333" s="52" t="s">
        <v>240</v>
      </c>
      <c r="B333" s="33" t="s">
        <v>182</v>
      </c>
      <c r="C333" s="53">
        <v>198000</v>
      </c>
      <c r="D333" s="53">
        <v>180000</v>
      </c>
      <c r="E333" s="53">
        <v>18000</v>
      </c>
      <c r="F333" s="54" t="s">
        <v>241</v>
      </c>
      <c r="G333" s="9">
        <v>43130</v>
      </c>
    </row>
    <row r="334" spans="1:7">
      <c r="A334" s="52" t="s">
        <v>240</v>
      </c>
      <c r="B334" s="33" t="s">
        <v>10</v>
      </c>
      <c r="C334" s="53">
        <v>9089300</v>
      </c>
      <c r="D334" s="53">
        <v>8263000</v>
      </c>
      <c r="E334" s="53">
        <v>826300</v>
      </c>
      <c r="F334" s="54" t="s">
        <v>202</v>
      </c>
      <c r="G334" s="9">
        <v>43136</v>
      </c>
    </row>
    <row r="335" spans="1:7">
      <c r="A335" s="52" t="s">
        <v>242</v>
      </c>
      <c r="B335" s="33" t="s">
        <v>12</v>
      </c>
      <c r="C335" s="53">
        <v>583000</v>
      </c>
      <c r="D335" s="53">
        <v>530000</v>
      </c>
      <c r="E335" s="53">
        <v>53000</v>
      </c>
      <c r="F335" s="54" t="s">
        <v>13</v>
      </c>
      <c r="G335" s="9">
        <v>43188</v>
      </c>
    </row>
    <row r="336" spans="1:7">
      <c r="A336" s="52" t="s">
        <v>242</v>
      </c>
      <c r="B336" s="33" t="s">
        <v>80</v>
      </c>
      <c r="C336" s="53">
        <v>1061500</v>
      </c>
      <c r="D336" s="53">
        <v>965000</v>
      </c>
      <c r="E336" s="53">
        <v>96500</v>
      </c>
      <c r="F336" s="54" t="s">
        <v>13</v>
      </c>
      <c r="G336" s="9">
        <v>43199</v>
      </c>
    </row>
    <row r="337" spans="1:19">
      <c r="A337" s="52" t="s">
        <v>242</v>
      </c>
      <c r="B337" s="33" t="s">
        <v>15</v>
      </c>
      <c r="C337" s="53">
        <v>7821000</v>
      </c>
      <c r="D337" s="53">
        <v>7110000</v>
      </c>
      <c r="E337" s="53">
        <v>711000</v>
      </c>
      <c r="F337" s="54" t="s">
        <v>67</v>
      </c>
      <c r="G337" s="9">
        <v>43157</v>
      </c>
    </row>
    <row r="338" spans="1:19">
      <c r="A338" s="52" t="s">
        <v>242</v>
      </c>
      <c r="B338" s="33" t="s">
        <v>15</v>
      </c>
      <c r="C338" s="53">
        <v>10197000</v>
      </c>
      <c r="D338" s="53">
        <v>9270000</v>
      </c>
      <c r="E338" s="53">
        <v>927000</v>
      </c>
      <c r="F338" s="54" t="s">
        <v>78</v>
      </c>
      <c r="G338" s="9">
        <v>43157</v>
      </c>
    </row>
    <row r="339" spans="1:19">
      <c r="A339" s="52" t="s">
        <v>242</v>
      </c>
      <c r="B339" s="33" t="s">
        <v>2</v>
      </c>
      <c r="C339" s="53">
        <v>4708000</v>
      </c>
      <c r="D339" s="53">
        <v>4280000</v>
      </c>
      <c r="E339" s="53">
        <v>428000</v>
      </c>
      <c r="F339" s="54" t="s">
        <v>165</v>
      </c>
      <c r="G339" s="9">
        <v>43143</v>
      </c>
    </row>
    <row r="340" spans="1:19">
      <c r="A340" s="52" t="s">
        <v>242</v>
      </c>
      <c r="B340" s="33" t="s">
        <v>2</v>
      </c>
      <c r="C340" s="53">
        <v>753500</v>
      </c>
      <c r="D340" s="53">
        <v>685000</v>
      </c>
      <c r="E340" s="53">
        <v>68500</v>
      </c>
      <c r="F340" s="54" t="s">
        <v>66</v>
      </c>
      <c r="G340" s="9">
        <v>43143</v>
      </c>
    </row>
    <row r="341" spans="1:19">
      <c r="A341" s="52" t="s">
        <v>242</v>
      </c>
      <c r="B341" s="33" t="s">
        <v>2</v>
      </c>
      <c r="C341" s="53">
        <v>1188000</v>
      </c>
      <c r="D341" s="53">
        <v>1080000</v>
      </c>
      <c r="E341" s="53">
        <v>108000</v>
      </c>
      <c r="F341" s="54" t="s">
        <v>245</v>
      </c>
      <c r="G341" s="9">
        <v>43143</v>
      </c>
    </row>
    <row r="342" spans="1:19">
      <c r="A342" s="52" t="s">
        <v>242</v>
      </c>
      <c r="B342" s="33" t="s">
        <v>150</v>
      </c>
      <c r="C342" s="53">
        <v>440000</v>
      </c>
      <c r="D342" s="53">
        <v>400000</v>
      </c>
      <c r="E342" s="53">
        <v>40000</v>
      </c>
      <c r="F342" s="54" t="s">
        <v>13</v>
      </c>
      <c r="G342" s="9">
        <v>43139</v>
      </c>
    </row>
    <row r="343" spans="1:19">
      <c r="A343" s="52" t="s">
        <v>242</v>
      </c>
      <c r="B343" s="33" t="s">
        <v>10</v>
      </c>
      <c r="C343" s="53">
        <v>5808000</v>
      </c>
      <c r="D343" s="53">
        <v>5280000</v>
      </c>
      <c r="E343" s="53">
        <v>528000</v>
      </c>
      <c r="F343" s="54" t="s">
        <v>243</v>
      </c>
      <c r="G343" s="9">
        <v>43143</v>
      </c>
    </row>
    <row r="344" spans="1:19">
      <c r="A344" s="52" t="s">
        <v>242</v>
      </c>
      <c r="B344" s="33" t="s">
        <v>63</v>
      </c>
      <c r="C344" s="53">
        <v>1980000</v>
      </c>
      <c r="D344" s="53">
        <v>1800000</v>
      </c>
      <c r="E344" s="53">
        <v>180000</v>
      </c>
      <c r="F344" s="54" t="s">
        <v>13</v>
      </c>
      <c r="G344" s="9">
        <v>43136</v>
      </c>
      <c r="I344" s="304" t="s">
        <v>516</v>
      </c>
      <c r="J344" s="304"/>
      <c r="K344" s="304"/>
    </row>
    <row r="345" spans="1:19">
      <c r="A345" s="52" t="s">
        <v>242</v>
      </c>
      <c r="B345" s="33" t="s">
        <v>59</v>
      </c>
      <c r="C345" s="53">
        <v>682000</v>
      </c>
      <c r="D345" s="53">
        <v>620000</v>
      </c>
      <c r="E345" s="53">
        <v>62000</v>
      </c>
      <c r="F345" s="54" t="s">
        <v>238</v>
      </c>
      <c r="G345" s="9">
        <v>43133</v>
      </c>
      <c r="I345" s="66" t="s">
        <v>487</v>
      </c>
      <c r="J345" s="63" t="s">
        <v>488</v>
      </c>
      <c r="K345" s="67" t="s">
        <v>494</v>
      </c>
    </row>
    <row r="346" spans="1:19">
      <c r="A346" s="47" t="s">
        <v>242</v>
      </c>
      <c r="B346" s="48" t="s">
        <v>79</v>
      </c>
      <c r="C346" s="49">
        <v>12034000</v>
      </c>
      <c r="D346" s="49">
        <v>10940000</v>
      </c>
      <c r="E346" s="49">
        <v>1094000</v>
      </c>
      <c r="F346" s="50" t="s">
        <v>13</v>
      </c>
      <c r="G346" s="10">
        <v>43132</v>
      </c>
      <c r="H346" s="51"/>
      <c r="I346" s="68">
        <f>SUM(C315:C346)</f>
        <v>123603700</v>
      </c>
      <c r="J346" s="69">
        <f>SUM(D315:D346)</f>
        <v>112367000</v>
      </c>
      <c r="K346" s="70">
        <f>SUM(E315:E346)</f>
        <v>11236700</v>
      </c>
      <c r="L346" s="42"/>
      <c r="M346" s="42"/>
      <c r="N346" s="42"/>
      <c r="O346" s="42"/>
      <c r="P346" s="42"/>
      <c r="Q346" s="42"/>
      <c r="R346" s="42"/>
      <c r="S346" s="42"/>
    </row>
    <row r="347" spans="1:19">
      <c r="A347" s="52" t="s">
        <v>246</v>
      </c>
      <c r="B347" s="33" t="s">
        <v>10</v>
      </c>
      <c r="C347" s="53">
        <v>7700000</v>
      </c>
      <c r="D347" s="53">
        <v>7000000</v>
      </c>
      <c r="E347" s="53">
        <v>700000</v>
      </c>
      <c r="F347" s="54" t="s">
        <v>202</v>
      </c>
      <c r="G347" s="9">
        <v>43150</v>
      </c>
    </row>
    <row r="348" spans="1:19">
      <c r="A348" s="52" t="s">
        <v>246</v>
      </c>
      <c r="B348" s="33" t="s">
        <v>59</v>
      </c>
      <c r="C348" s="53">
        <v>396000</v>
      </c>
      <c r="D348" s="53">
        <v>360000</v>
      </c>
      <c r="E348" s="53">
        <v>36000</v>
      </c>
      <c r="F348" s="54" t="s">
        <v>184</v>
      </c>
      <c r="G348" s="9">
        <v>43137</v>
      </c>
    </row>
    <row r="349" spans="1:19">
      <c r="A349" s="52" t="s">
        <v>246</v>
      </c>
      <c r="B349" s="33" t="s">
        <v>59</v>
      </c>
      <c r="C349" s="53">
        <v>616000</v>
      </c>
      <c r="D349" s="53">
        <v>560000</v>
      </c>
      <c r="E349" s="53">
        <v>56000</v>
      </c>
      <c r="F349" s="54" t="s">
        <v>75</v>
      </c>
      <c r="G349" s="9">
        <v>43140</v>
      </c>
    </row>
    <row r="350" spans="1:19">
      <c r="A350" s="52" t="s">
        <v>247</v>
      </c>
      <c r="B350" s="33" t="s">
        <v>59</v>
      </c>
      <c r="C350" s="53">
        <v>1155000</v>
      </c>
      <c r="D350" s="53">
        <v>1050000</v>
      </c>
      <c r="E350" s="53">
        <v>105000</v>
      </c>
      <c r="F350" s="54" t="s">
        <v>238</v>
      </c>
      <c r="G350" s="9">
        <v>43139</v>
      </c>
    </row>
    <row r="351" spans="1:19">
      <c r="A351" s="52" t="s">
        <v>248</v>
      </c>
      <c r="B351" s="33" t="s">
        <v>249</v>
      </c>
      <c r="C351" s="53">
        <v>1672000</v>
      </c>
      <c r="D351" s="53">
        <v>1520000</v>
      </c>
      <c r="E351" s="53">
        <v>152000</v>
      </c>
      <c r="F351" s="54" t="s">
        <v>243</v>
      </c>
      <c r="G351" s="9">
        <v>43143</v>
      </c>
    </row>
    <row r="352" spans="1:19">
      <c r="A352" s="52" t="s">
        <v>251</v>
      </c>
      <c r="B352" s="33" t="s">
        <v>10</v>
      </c>
      <c r="C352" s="53">
        <v>7854000</v>
      </c>
      <c r="D352" s="53">
        <v>7140000</v>
      </c>
      <c r="E352" s="53">
        <v>714000</v>
      </c>
      <c r="F352" s="54" t="s">
        <v>202</v>
      </c>
      <c r="G352" s="9">
        <v>43152</v>
      </c>
    </row>
    <row r="353" spans="1:10">
      <c r="A353" s="52" t="s">
        <v>250</v>
      </c>
      <c r="B353" s="33" t="s">
        <v>249</v>
      </c>
      <c r="C353" s="53">
        <v>2552000</v>
      </c>
      <c r="D353" s="53">
        <v>2320000</v>
      </c>
      <c r="E353" s="53">
        <v>232000</v>
      </c>
      <c r="F353" s="54" t="s">
        <v>243</v>
      </c>
      <c r="G353" s="9">
        <v>43144</v>
      </c>
    </row>
    <row r="354" spans="1:10">
      <c r="A354" s="52" t="s">
        <v>250</v>
      </c>
      <c r="B354" s="33" t="s">
        <v>59</v>
      </c>
      <c r="C354" s="53">
        <v>693000</v>
      </c>
      <c r="D354" s="53">
        <v>630000</v>
      </c>
      <c r="E354" s="53">
        <v>63000</v>
      </c>
      <c r="F354" s="54" t="s">
        <v>75</v>
      </c>
      <c r="G354" s="9">
        <v>43144</v>
      </c>
    </row>
    <row r="355" spans="1:10">
      <c r="A355" s="52" t="s">
        <v>252</v>
      </c>
      <c r="B355" s="33" t="s">
        <v>59</v>
      </c>
      <c r="C355" s="53">
        <v>1210000</v>
      </c>
      <c r="D355" s="53">
        <v>1100000</v>
      </c>
      <c r="E355" s="53">
        <v>110000</v>
      </c>
      <c r="F355" s="54" t="s">
        <v>238</v>
      </c>
      <c r="G355" s="9">
        <v>43150</v>
      </c>
    </row>
    <row r="356" spans="1:10">
      <c r="A356" s="52" t="s">
        <v>253</v>
      </c>
      <c r="B356" s="33" t="s">
        <v>2</v>
      </c>
      <c r="C356" s="53">
        <v>7474500</v>
      </c>
      <c r="D356" s="53">
        <v>6795000</v>
      </c>
      <c r="E356" s="53">
        <v>679500</v>
      </c>
      <c r="F356" s="54" t="s">
        <v>165</v>
      </c>
      <c r="G356" s="9">
        <v>43152</v>
      </c>
    </row>
    <row r="357" spans="1:10">
      <c r="A357" s="52" t="s">
        <v>253</v>
      </c>
      <c r="B357" s="33" t="s">
        <v>249</v>
      </c>
      <c r="C357" s="53">
        <v>1936000</v>
      </c>
      <c r="D357" s="53">
        <v>1760000</v>
      </c>
      <c r="E357" s="53">
        <v>176000</v>
      </c>
      <c r="F357" s="54" t="s">
        <v>243</v>
      </c>
      <c r="G357" s="9">
        <v>43152</v>
      </c>
    </row>
    <row r="358" spans="1:10">
      <c r="A358" s="52" t="s">
        <v>253</v>
      </c>
      <c r="B358" s="33" t="s">
        <v>59</v>
      </c>
      <c r="C358" s="53">
        <v>297000</v>
      </c>
      <c r="D358" s="53">
        <v>270000</v>
      </c>
      <c r="E358" s="53">
        <v>27000</v>
      </c>
      <c r="F358" s="54" t="s">
        <v>75</v>
      </c>
      <c r="G358" s="9">
        <v>43157</v>
      </c>
    </row>
    <row r="359" spans="1:10">
      <c r="A359" s="52" t="s">
        <v>253</v>
      </c>
      <c r="B359" s="33" t="s">
        <v>2</v>
      </c>
      <c r="C359" s="53">
        <v>555500</v>
      </c>
      <c r="D359" s="53">
        <v>505000</v>
      </c>
      <c r="E359" s="53">
        <v>50500</v>
      </c>
      <c r="F359" s="54" t="s">
        <v>66</v>
      </c>
      <c r="G359" s="9">
        <v>43152</v>
      </c>
    </row>
    <row r="360" spans="1:10">
      <c r="A360" s="52" t="s">
        <v>253</v>
      </c>
      <c r="B360" s="33" t="s">
        <v>2</v>
      </c>
      <c r="C360" s="53">
        <v>8288500</v>
      </c>
      <c r="D360" s="53">
        <v>7535000</v>
      </c>
      <c r="E360" s="53">
        <v>753500</v>
      </c>
      <c r="F360" s="54" t="s">
        <v>233</v>
      </c>
      <c r="G360" s="9">
        <v>43152</v>
      </c>
    </row>
    <row r="361" spans="1:10">
      <c r="A361" s="52" t="s">
        <v>253</v>
      </c>
      <c r="B361" s="33" t="s">
        <v>2</v>
      </c>
      <c r="C361" s="53">
        <v>1694000</v>
      </c>
      <c r="D361" s="53">
        <v>1540000</v>
      </c>
      <c r="E361" s="53">
        <v>154000</v>
      </c>
      <c r="F361" s="54" t="s">
        <v>254</v>
      </c>
      <c r="G361" s="9">
        <v>43152</v>
      </c>
    </row>
    <row r="362" spans="1:10">
      <c r="A362" s="52" t="s">
        <v>253</v>
      </c>
      <c r="B362" s="33" t="s">
        <v>2</v>
      </c>
      <c r="C362" s="53">
        <v>6168800</v>
      </c>
      <c r="D362" s="53">
        <v>5608000</v>
      </c>
      <c r="E362" s="53">
        <v>560800</v>
      </c>
      <c r="F362" s="54" t="s">
        <v>255</v>
      </c>
      <c r="G362" s="9">
        <v>43152</v>
      </c>
    </row>
    <row r="363" spans="1:10">
      <c r="A363" s="52" t="s">
        <v>256</v>
      </c>
      <c r="B363" s="33" t="s">
        <v>10</v>
      </c>
      <c r="C363" s="53">
        <v>8270900</v>
      </c>
      <c r="D363" s="53">
        <v>7519000</v>
      </c>
      <c r="E363" s="53">
        <v>751900</v>
      </c>
      <c r="F363" s="54" t="s">
        <v>202</v>
      </c>
      <c r="G363" s="9">
        <v>43157</v>
      </c>
    </row>
    <row r="364" spans="1:10">
      <c r="A364" s="52" t="s">
        <v>257</v>
      </c>
      <c r="B364" s="33" t="s">
        <v>59</v>
      </c>
      <c r="C364" s="78">
        <v>869000</v>
      </c>
      <c r="D364" s="78">
        <v>790000</v>
      </c>
      <c r="E364" s="78">
        <v>79000</v>
      </c>
      <c r="F364" s="54" t="s">
        <v>238</v>
      </c>
      <c r="G364" s="9">
        <v>43154</v>
      </c>
    </row>
    <row r="365" spans="1:10">
      <c r="A365" s="52" t="s">
        <v>258</v>
      </c>
      <c r="B365" s="33" t="s">
        <v>59</v>
      </c>
      <c r="C365" s="78">
        <v>1540000</v>
      </c>
      <c r="D365" s="78">
        <v>1400000</v>
      </c>
      <c r="E365" s="78">
        <v>140000</v>
      </c>
      <c r="F365" s="54" t="s">
        <v>142</v>
      </c>
      <c r="G365" s="9">
        <v>43161</v>
      </c>
    </row>
    <row r="366" spans="1:10">
      <c r="A366" s="52" t="s">
        <v>258</v>
      </c>
      <c r="B366" s="33" t="s">
        <v>59</v>
      </c>
      <c r="C366" s="78">
        <v>891000</v>
      </c>
      <c r="D366" s="78">
        <v>810000</v>
      </c>
      <c r="E366" s="78">
        <v>81000</v>
      </c>
      <c r="F366" s="54" t="s">
        <v>142</v>
      </c>
      <c r="G366" s="9">
        <v>43161</v>
      </c>
    </row>
    <row r="367" spans="1:10">
      <c r="A367" s="52" t="s">
        <v>258</v>
      </c>
      <c r="B367" s="33" t="s">
        <v>59</v>
      </c>
      <c r="C367" s="78">
        <v>297000</v>
      </c>
      <c r="D367" s="78">
        <v>270000</v>
      </c>
      <c r="E367" s="78">
        <v>27000</v>
      </c>
      <c r="F367" s="54" t="s">
        <v>184</v>
      </c>
      <c r="G367" s="9">
        <v>43158</v>
      </c>
      <c r="J367" s="14"/>
    </row>
    <row r="368" spans="1:10">
      <c r="A368" s="52" t="s">
        <v>258</v>
      </c>
      <c r="B368" s="33" t="s">
        <v>249</v>
      </c>
      <c r="C368" s="78">
        <v>704000</v>
      </c>
      <c r="D368" s="78">
        <v>640000</v>
      </c>
      <c r="E368" s="78">
        <v>64000</v>
      </c>
      <c r="F368" s="54" t="s">
        <v>243</v>
      </c>
      <c r="G368" s="9">
        <v>43159</v>
      </c>
      <c r="J368" s="14"/>
    </row>
    <row r="369" spans="1:10">
      <c r="A369" s="52" t="s">
        <v>260</v>
      </c>
      <c r="B369" s="33" t="s">
        <v>59</v>
      </c>
      <c r="C369" s="78">
        <v>6226000</v>
      </c>
      <c r="D369" s="78">
        <v>5660000</v>
      </c>
      <c r="E369" s="78">
        <v>566000</v>
      </c>
      <c r="F369" s="54" t="s">
        <v>238</v>
      </c>
      <c r="G369" s="9">
        <v>43171</v>
      </c>
      <c r="H369" s="17" t="s">
        <v>517</v>
      </c>
      <c r="J369" s="14"/>
    </row>
    <row r="370" spans="1:10">
      <c r="A370" s="52" t="s">
        <v>260</v>
      </c>
      <c r="B370" s="33" t="s">
        <v>2</v>
      </c>
      <c r="C370" s="78">
        <v>12045000</v>
      </c>
      <c r="D370" s="78">
        <v>10950000</v>
      </c>
      <c r="E370" s="78">
        <v>1095000</v>
      </c>
      <c r="F370" s="54" t="s">
        <v>165</v>
      </c>
      <c r="G370" s="9">
        <v>43171</v>
      </c>
      <c r="J370" s="14"/>
    </row>
    <row r="371" spans="1:10">
      <c r="A371" s="52" t="s">
        <v>260</v>
      </c>
      <c r="B371" s="33" t="s">
        <v>2</v>
      </c>
      <c r="C371" s="78">
        <v>5381523</v>
      </c>
      <c r="D371" s="78">
        <v>4892294</v>
      </c>
      <c r="E371" s="78">
        <v>489229</v>
      </c>
      <c r="F371" s="54" t="s">
        <v>165</v>
      </c>
      <c r="G371" s="65">
        <v>43171</v>
      </c>
      <c r="H371" s="17" t="s">
        <v>517</v>
      </c>
      <c r="J371" s="14"/>
    </row>
    <row r="372" spans="1:10">
      <c r="A372" s="52" t="s">
        <v>260</v>
      </c>
      <c r="B372" s="33" t="s">
        <v>150</v>
      </c>
      <c r="C372" s="78">
        <v>913000</v>
      </c>
      <c r="D372" s="78">
        <v>830000</v>
      </c>
      <c r="E372" s="78">
        <v>83000</v>
      </c>
      <c r="F372" s="54" t="s">
        <v>13</v>
      </c>
      <c r="G372" s="9">
        <v>43192</v>
      </c>
      <c r="J372" s="14"/>
    </row>
    <row r="373" spans="1:10">
      <c r="A373" s="52" t="s">
        <v>260</v>
      </c>
      <c r="B373" s="33" t="s">
        <v>82</v>
      </c>
      <c r="C373" s="78">
        <v>1672000</v>
      </c>
      <c r="D373" s="78">
        <v>1520000</v>
      </c>
      <c r="E373" s="78">
        <v>152000</v>
      </c>
      <c r="F373" s="54" t="s">
        <v>13</v>
      </c>
      <c r="G373" s="9">
        <v>43174</v>
      </c>
      <c r="J373" s="14"/>
    </row>
    <row r="374" spans="1:10">
      <c r="A374" s="52" t="s">
        <v>260</v>
      </c>
      <c r="B374" s="33" t="s">
        <v>80</v>
      </c>
      <c r="C374" s="78">
        <v>143000</v>
      </c>
      <c r="D374" s="78">
        <v>130000</v>
      </c>
      <c r="E374" s="78">
        <v>13000</v>
      </c>
      <c r="F374" s="54" t="s">
        <v>13</v>
      </c>
      <c r="G374" s="9">
        <v>43199</v>
      </c>
      <c r="J374" s="14"/>
    </row>
    <row r="375" spans="1:10">
      <c r="A375" s="52" t="s">
        <v>260</v>
      </c>
      <c r="B375" s="33" t="s">
        <v>86</v>
      </c>
      <c r="C375" s="78">
        <v>220000</v>
      </c>
      <c r="D375" s="78">
        <v>200000</v>
      </c>
      <c r="E375" s="78">
        <v>20000</v>
      </c>
      <c r="F375" s="54" t="s">
        <v>13</v>
      </c>
      <c r="G375" s="9">
        <v>43167</v>
      </c>
      <c r="J375" s="14"/>
    </row>
    <row r="376" spans="1:10">
      <c r="A376" s="52" t="s">
        <v>260</v>
      </c>
      <c r="B376" s="33" t="s">
        <v>12</v>
      </c>
      <c r="C376" s="78">
        <v>1694000</v>
      </c>
      <c r="D376" s="78">
        <v>1540000</v>
      </c>
      <c r="E376" s="78">
        <v>154000</v>
      </c>
      <c r="F376" s="54" t="s">
        <v>13</v>
      </c>
      <c r="G376" s="9">
        <v>43188</v>
      </c>
      <c r="J376" s="14"/>
    </row>
    <row r="377" spans="1:10">
      <c r="A377" s="52" t="s">
        <v>260</v>
      </c>
      <c r="B377" s="33" t="s">
        <v>15</v>
      </c>
      <c r="C377" s="78">
        <v>7920000</v>
      </c>
      <c r="D377" s="78">
        <v>7200000</v>
      </c>
      <c r="E377" s="78">
        <v>720000</v>
      </c>
      <c r="F377" s="54" t="s">
        <v>261</v>
      </c>
      <c r="G377" s="9">
        <v>43179</v>
      </c>
      <c r="J377" s="14"/>
    </row>
    <row r="378" spans="1:10">
      <c r="A378" s="52" t="s">
        <v>260</v>
      </c>
      <c r="B378" s="33" t="s">
        <v>15</v>
      </c>
      <c r="C378" s="78">
        <v>3080000</v>
      </c>
      <c r="D378" s="78">
        <v>2800000</v>
      </c>
      <c r="E378" s="78">
        <v>280000</v>
      </c>
      <c r="F378" s="54" t="s">
        <v>262</v>
      </c>
      <c r="G378" s="9">
        <v>43179</v>
      </c>
      <c r="J378" s="14"/>
    </row>
    <row r="379" spans="1:10">
      <c r="A379" s="52" t="s">
        <v>260</v>
      </c>
      <c r="B379" s="33" t="s">
        <v>15</v>
      </c>
      <c r="C379" s="78">
        <v>5643000</v>
      </c>
      <c r="D379" s="78">
        <v>5130000</v>
      </c>
      <c r="E379" s="78">
        <v>513000</v>
      </c>
      <c r="F379" s="54" t="s">
        <v>78</v>
      </c>
      <c r="G379" s="9">
        <v>43179</v>
      </c>
      <c r="J379" s="14"/>
    </row>
    <row r="380" spans="1:10">
      <c r="A380" s="52" t="s">
        <v>260</v>
      </c>
      <c r="B380" s="33" t="s">
        <v>15</v>
      </c>
      <c r="C380" s="78">
        <v>6039000</v>
      </c>
      <c r="D380" s="78">
        <v>5490000</v>
      </c>
      <c r="E380" s="78">
        <v>549000</v>
      </c>
      <c r="F380" s="54" t="s">
        <v>67</v>
      </c>
      <c r="G380" s="9">
        <v>43179</v>
      </c>
      <c r="J380" s="14"/>
    </row>
    <row r="381" spans="1:10">
      <c r="A381" s="52" t="s">
        <v>260</v>
      </c>
      <c r="B381" s="33" t="s">
        <v>2</v>
      </c>
      <c r="C381" s="78">
        <v>3533260</v>
      </c>
      <c r="D381" s="78">
        <v>3212055</v>
      </c>
      <c r="E381" s="78">
        <v>321205</v>
      </c>
      <c r="F381" s="54" t="s">
        <v>233</v>
      </c>
      <c r="G381" s="65">
        <v>43171</v>
      </c>
      <c r="H381" s="17" t="s">
        <v>517</v>
      </c>
      <c r="J381" s="14"/>
    </row>
    <row r="382" spans="1:10">
      <c r="A382" s="52" t="s">
        <v>260</v>
      </c>
      <c r="B382" s="33" t="s">
        <v>2</v>
      </c>
      <c r="C382" s="78">
        <v>18146128</v>
      </c>
      <c r="D382" s="78">
        <v>16496480</v>
      </c>
      <c r="E382" s="78">
        <v>1649648</v>
      </c>
      <c r="F382" s="54" t="s">
        <v>263</v>
      </c>
      <c r="G382" s="65">
        <v>43171</v>
      </c>
      <c r="H382" s="17" t="s">
        <v>517</v>
      </c>
      <c r="J382" s="14"/>
    </row>
    <row r="383" spans="1:10">
      <c r="A383" s="52" t="s">
        <v>260</v>
      </c>
      <c r="B383" s="33" t="s">
        <v>2</v>
      </c>
      <c r="C383" s="78">
        <v>6318741</v>
      </c>
      <c r="D383" s="78">
        <v>5744310</v>
      </c>
      <c r="E383" s="78">
        <v>574431</v>
      </c>
      <c r="F383" s="54" t="s">
        <v>264</v>
      </c>
      <c r="G383" s="65">
        <v>43171</v>
      </c>
      <c r="H383" s="17" t="s">
        <v>517</v>
      </c>
      <c r="J383" s="14"/>
    </row>
    <row r="384" spans="1:10">
      <c r="A384" s="52" t="s">
        <v>260</v>
      </c>
      <c r="B384" s="33" t="s">
        <v>2</v>
      </c>
      <c r="C384" s="78">
        <v>115905</v>
      </c>
      <c r="D384" s="78">
        <v>105369</v>
      </c>
      <c r="E384" s="78">
        <v>10536</v>
      </c>
      <c r="F384" s="54" t="s">
        <v>66</v>
      </c>
      <c r="G384" s="65">
        <v>43171</v>
      </c>
      <c r="H384" s="17" t="s">
        <v>517</v>
      </c>
      <c r="J384" s="14"/>
    </row>
    <row r="385" spans="1:19">
      <c r="A385" s="52" t="s">
        <v>260</v>
      </c>
      <c r="B385" s="33" t="s">
        <v>2</v>
      </c>
      <c r="C385" s="78">
        <v>3589344</v>
      </c>
      <c r="D385" s="78">
        <v>3263040</v>
      </c>
      <c r="E385" s="78">
        <v>326304</v>
      </c>
      <c r="F385" s="54" t="s">
        <v>265</v>
      </c>
      <c r="G385" s="65">
        <v>43171</v>
      </c>
      <c r="H385" s="17" t="s">
        <v>517</v>
      </c>
      <c r="J385" s="14"/>
    </row>
    <row r="386" spans="1:19">
      <c r="A386" s="52" t="s">
        <v>260</v>
      </c>
      <c r="B386" s="33" t="s">
        <v>2</v>
      </c>
      <c r="C386" s="78">
        <v>3133900</v>
      </c>
      <c r="D386" s="78">
        <v>2849000</v>
      </c>
      <c r="E386" s="78">
        <v>284900</v>
      </c>
      <c r="F386" s="54" t="s">
        <v>254</v>
      </c>
      <c r="G386" s="9">
        <v>43171</v>
      </c>
      <c r="J386" s="14"/>
    </row>
    <row r="387" spans="1:19">
      <c r="A387" s="52" t="s">
        <v>260</v>
      </c>
      <c r="B387" s="33" t="s">
        <v>2</v>
      </c>
      <c r="C387" s="78">
        <v>11997700</v>
      </c>
      <c r="D387" s="78">
        <v>10907000</v>
      </c>
      <c r="E387" s="78">
        <v>1090700</v>
      </c>
      <c r="F387" s="54" t="s">
        <v>255</v>
      </c>
      <c r="G387" s="9">
        <v>43171</v>
      </c>
      <c r="J387" s="14"/>
    </row>
    <row r="388" spans="1:19">
      <c r="A388" s="52" t="s">
        <v>260</v>
      </c>
      <c r="B388" s="33" t="s">
        <v>2</v>
      </c>
      <c r="C388" s="78">
        <v>1062600</v>
      </c>
      <c r="D388" s="78">
        <v>966000</v>
      </c>
      <c r="E388" s="78">
        <v>96600</v>
      </c>
      <c r="F388" s="54" t="s">
        <v>66</v>
      </c>
      <c r="G388" s="9">
        <v>43171</v>
      </c>
      <c r="J388" s="14"/>
    </row>
    <row r="389" spans="1:19">
      <c r="A389" s="52" t="s">
        <v>260</v>
      </c>
      <c r="B389" s="33" t="s">
        <v>2</v>
      </c>
      <c r="C389" s="78">
        <v>13830300</v>
      </c>
      <c r="D389" s="78">
        <v>12573000</v>
      </c>
      <c r="E389" s="78">
        <v>1257300</v>
      </c>
      <c r="F389" s="54" t="s">
        <v>233</v>
      </c>
      <c r="G389" s="9">
        <v>43171</v>
      </c>
      <c r="I389" s="304" t="s">
        <v>518</v>
      </c>
      <c r="J389" s="304"/>
      <c r="K389" s="304"/>
    </row>
    <row r="390" spans="1:19">
      <c r="A390" s="52" t="s">
        <v>260</v>
      </c>
      <c r="B390" s="33" t="s">
        <v>155</v>
      </c>
      <c r="C390" s="78">
        <v>533500</v>
      </c>
      <c r="D390" s="78">
        <v>485000</v>
      </c>
      <c r="E390" s="78">
        <v>48500</v>
      </c>
      <c r="F390" s="54" t="s">
        <v>13</v>
      </c>
      <c r="G390" s="9">
        <v>43167</v>
      </c>
      <c r="I390" s="66" t="s">
        <v>487</v>
      </c>
      <c r="J390" s="63" t="s">
        <v>488</v>
      </c>
      <c r="K390" s="67" t="s">
        <v>494</v>
      </c>
    </row>
    <row r="391" spans="1:19">
      <c r="A391" s="52" t="s">
        <v>260</v>
      </c>
      <c r="B391" s="33" t="s">
        <v>59</v>
      </c>
      <c r="C391" s="78">
        <v>1287000</v>
      </c>
      <c r="D391" s="78">
        <v>1170000</v>
      </c>
      <c r="E391" s="78">
        <v>117000</v>
      </c>
      <c r="F391" s="54" t="s">
        <v>238</v>
      </c>
      <c r="G391" s="10">
        <v>43175</v>
      </c>
      <c r="H391" s="51"/>
      <c r="I391" s="68">
        <f>SUM(C347:C391)</f>
        <v>177359101</v>
      </c>
      <c r="J391" s="69">
        <f>SUM(D347:D391)</f>
        <v>161235548</v>
      </c>
      <c r="K391" s="70">
        <f>SUM(E347:E391)</f>
        <v>16123553</v>
      </c>
      <c r="L391" s="42"/>
      <c r="M391" s="42"/>
      <c r="N391" s="42"/>
      <c r="O391" s="42"/>
      <c r="P391" s="42"/>
      <c r="Q391" s="42"/>
      <c r="R391" s="42"/>
      <c r="S391" s="42"/>
    </row>
    <row r="392" spans="1:19">
      <c r="A392" s="57" t="s">
        <v>271</v>
      </c>
      <c r="B392" s="58" t="s">
        <v>15</v>
      </c>
      <c r="C392" s="79">
        <v>660000</v>
      </c>
      <c r="D392" s="79">
        <v>600000</v>
      </c>
      <c r="E392" s="79">
        <v>60000</v>
      </c>
      <c r="F392" s="60" t="s">
        <v>103</v>
      </c>
      <c r="G392" s="9">
        <v>43179</v>
      </c>
      <c r="J392" s="64"/>
      <c r="K392" s="64"/>
    </row>
    <row r="393" spans="1:19">
      <c r="A393" s="52" t="s">
        <v>266</v>
      </c>
      <c r="B393" s="33" t="s">
        <v>59</v>
      </c>
      <c r="C393" s="78">
        <v>1001000</v>
      </c>
      <c r="D393" s="78">
        <v>910000</v>
      </c>
      <c r="E393" s="78">
        <v>91000</v>
      </c>
      <c r="F393" s="54" t="s">
        <v>184</v>
      </c>
      <c r="G393" s="9">
        <v>43167</v>
      </c>
    </row>
    <row r="394" spans="1:19">
      <c r="A394" s="52" t="s">
        <v>266</v>
      </c>
      <c r="B394" s="33" t="s">
        <v>59</v>
      </c>
      <c r="C394" s="78">
        <v>440000</v>
      </c>
      <c r="D394" s="78">
        <v>400000</v>
      </c>
      <c r="E394" s="78">
        <v>40000</v>
      </c>
      <c r="F394" s="54" t="s">
        <v>75</v>
      </c>
      <c r="G394" s="65">
        <v>43167</v>
      </c>
      <c r="H394" s="17" t="s">
        <v>517</v>
      </c>
    </row>
    <row r="395" spans="1:19">
      <c r="A395" s="52" t="s">
        <v>266</v>
      </c>
      <c r="B395" s="33" t="s">
        <v>59</v>
      </c>
      <c r="C395" s="78">
        <v>660000</v>
      </c>
      <c r="D395" s="78">
        <v>600000</v>
      </c>
      <c r="E395" s="78">
        <v>60000</v>
      </c>
      <c r="F395" s="54" t="s">
        <v>185</v>
      </c>
      <c r="G395" s="65">
        <v>43167</v>
      </c>
      <c r="H395" s="17" t="s">
        <v>517</v>
      </c>
    </row>
    <row r="396" spans="1:19">
      <c r="A396" s="52" t="s">
        <v>266</v>
      </c>
      <c r="B396" s="33" t="s">
        <v>249</v>
      </c>
      <c r="C396" s="78">
        <v>616000</v>
      </c>
      <c r="D396" s="78">
        <v>560000</v>
      </c>
      <c r="E396" s="78">
        <v>56000</v>
      </c>
      <c r="F396" s="54" t="s">
        <v>243</v>
      </c>
      <c r="G396" s="9">
        <v>43166</v>
      </c>
    </row>
    <row r="397" spans="1:19">
      <c r="A397" s="52" t="s">
        <v>267</v>
      </c>
      <c r="B397" s="33" t="s">
        <v>59</v>
      </c>
      <c r="C397" s="78">
        <v>759000</v>
      </c>
      <c r="D397" s="78">
        <v>690000</v>
      </c>
      <c r="E397" s="78">
        <v>69000</v>
      </c>
      <c r="F397" s="54" t="s">
        <v>209</v>
      </c>
      <c r="G397" s="9">
        <v>43167</v>
      </c>
    </row>
    <row r="398" spans="1:19">
      <c r="A398" s="52" t="s">
        <v>267</v>
      </c>
      <c r="B398" s="33" t="s">
        <v>59</v>
      </c>
      <c r="C398" s="78">
        <v>550000</v>
      </c>
      <c r="D398" s="78">
        <v>500000</v>
      </c>
      <c r="E398" s="78">
        <v>50000</v>
      </c>
      <c r="F398" s="54" t="s">
        <v>64</v>
      </c>
      <c r="G398" s="9">
        <v>43175</v>
      </c>
      <c r="H398" s="17" t="s">
        <v>517</v>
      </c>
    </row>
    <row r="399" spans="1:19">
      <c r="A399" s="52" t="s">
        <v>268</v>
      </c>
      <c r="B399" s="33" t="s">
        <v>59</v>
      </c>
      <c r="C399" s="78">
        <v>2651000</v>
      </c>
      <c r="D399" s="78">
        <v>2410000</v>
      </c>
      <c r="E399" s="78">
        <v>241000</v>
      </c>
      <c r="F399" s="54" t="s">
        <v>142</v>
      </c>
      <c r="G399" s="9">
        <v>43185</v>
      </c>
    </row>
    <row r="400" spans="1:19">
      <c r="A400" s="52" t="s">
        <v>268</v>
      </c>
      <c r="B400" s="33" t="s">
        <v>10</v>
      </c>
      <c r="C400" s="78">
        <v>968000</v>
      </c>
      <c r="D400" s="78">
        <v>880000</v>
      </c>
      <c r="E400" s="78">
        <v>88000</v>
      </c>
      <c r="F400" s="54" t="s">
        <v>202</v>
      </c>
      <c r="G400" s="9">
        <v>43178</v>
      </c>
    </row>
    <row r="401" spans="1:8">
      <c r="A401" s="52" t="s">
        <v>269</v>
      </c>
      <c r="B401" s="33" t="s">
        <v>59</v>
      </c>
      <c r="C401" s="78">
        <v>693000</v>
      </c>
      <c r="D401" s="78">
        <v>630000</v>
      </c>
      <c r="E401" s="78">
        <v>63000</v>
      </c>
      <c r="F401" s="54" t="s">
        <v>185</v>
      </c>
      <c r="G401" s="9">
        <v>43175</v>
      </c>
      <c r="H401" s="17" t="s">
        <v>517</v>
      </c>
    </row>
    <row r="402" spans="1:8">
      <c r="A402" s="52" t="s">
        <v>269</v>
      </c>
      <c r="B402" s="33" t="s">
        <v>59</v>
      </c>
      <c r="C402" s="78">
        <v>1188000</v>
      </c>
      <c r="D402" s="78">
        <v>1080000</v>
      </c>
      <c r="E402" s="78">
        <v>108000</v>
      </c>
      <c r="F402" s="54" t="s">
        <v>184</v>
      </c>
      <c r="G402" s="9">
        <v>43175</v>
      </c>
    </row>
    <row r="403" spans="1:8">
      <c r="A403" s="52" t="s">
        <v>269</v>
      </c>
      <c r="B403" s="33" t="s">
        <v>59</v>
      </c>
      <c r="C403" s="78">
        <v>550000</v>
      </c>
      <c r="D403" s="78">
        <v>500000</v>
      </c>
      <c r="E403" s="78">
        <v>50000</v>
      </c>
      <c r="F403" s="54" t="s">
        <v>184</v>
      </c>
      <c r="G403" s="9">
        <v>43175</v>
      </c>
      <c r="H403" s="17" t="s">
        <v>517</v>
      </c>
    </row>
    <row r="404" spans="1:8">
      <c r="A404" s="52" t="s">
        <v>269</v>
      </c>
      <c r="B404" s="33" t="s">
        <v>59</v>
      </c>
      <c r="C404" s="78">
        <v>3696000</v>
      </c>
      <c r="D404" s="78">
        <v>3360000</v>
      </c>
      <c r="E404" s="78">
        <v>336000</v>
      </c>
      <c r="F404" s="54" t="s">
        <v>74</v>
      </c>
      <c r="G404" s="9">
        <v>43172</v>
      </c>
    </row>
    <row r="405" spans="1:8">
      <c r="A405" s="52" t="s">
        <v>270</v>
      </c>
      <c r="B405" s="33" t="s">
        <v>59</v>
      </c>
      <c r="C405" s="78">
        <v>935000</v>
      </c>
      <c r="D405" s="78">
        <v>850000</v>
      </c>
      <c r="E405" s="78">
        <v>85000</v>
      </c>
      <c r="F405" s="54" t="s">
        <v>238</v>
      </c>
      <c r="G405" s="9">
        <v>43175</v>
      </c>
    </row>
    <row r="406" spans="1:8">
      <c r="A406" s="52" t="s">
        <v>272</v>
      </c>
      <c r="B406" s="33" t="s">
        <v>59</v>
      </c>
      <c r="C406" s="78">
        <v>3805450</v>
      </c>
      <c r="D406" s="78">
        <v>3459500</v>
      </c>
      <c r="E406" s="78">
        <v>345950</v>
      </c>
      <c r="F406" s="54" t="s">
        <v>185</v>
      </c>
      <c r="G406" s="9">
        <v>43175</v>
      </c>
      <c r="H406" s="17" t="s">
        <v>517</v>
      </c>
    </row>
    <row r="407" spans="1:8">
      <c r="A407" s="52" t="s">
        <v>272</v>
      </c>
      <c r="B407" s="33" t="s">
        <v>2</v>
      </c>
      <c r="C407" s="78">
        <v>2032800</v>
      </c>
      <c r="D407" s="78">
        <v>1848000</v>
      </c>
      <c r="E407" s="78">
        <v>184800</v>
      </c>
      <c r="F407" s="54" t="s">
        <v>254</v>
      </c>
      <c r="G407" s="9">
        <v>43180</v>
      </c>
    </row>
    <row r="408" spans="1:8">
      <c r="A408" s="52" t="s">
        <v>272</v>
      </c>
      <c r="B408" s="33" t="s">
        <v>2</v>
      </c>
      <c r="C408" s="78">
        <v>5255800</v>
      </c>
      <c r="D408" s="78">
        <v>4778000</v>
      </c>
      <c r="E408" s="78">
        <v>477800</v>
      </c>
      <c r="F408" s="54" t="s">
        <v>255</v>
      </c>
      <c r="G408" s="9">
        <v>43180</v>
      </c>
    </row>
    <row r="409" spans="1:8">
      <c r="A409" s="52" t="s">
        <v>272</v>
      </c>
      <c r="B409" s="33" t="s">
        <v>2</v>
      </c>
      <c r="C409" s="78">
        <v>990000</v>
      </c>
      <c r="D409" s="78">
        <v>900000</v>
      </c>
      <c r="E409" s="78">
        <v>90000</v>
      </c>
      <c r="F409" s="54" t="s">
        <v>66</v>
      </c>
      <c r="G409" s="9">
        <v>43180</v>
      </c>
    </row>
    <row r="410" spans="1:8">
      <c r="A410" s="52" t="s">
        <v>272</v>
      </c>
      <c r="B410" s="33" t="s">
        <v>2</v>
      </c>
      <c r="C410" s="78">
        <v>16589100</v>
      </c>
      <c r="D410" s="78">
        <v>15081000</v>
      </c>
      <c r="E410" s="78">
        <v>1508100</v>
      </c>
      <c r="F410" s="54" t="s">
        <v>233</v>
      </c>
      <c r="G410" s="9">
        <v>43180</v>
      </c>
    </row>
    <row r="411" spans="1:8">
      <c r="A411" s="52" t="s">
        <v>272</v>
      </c>
      <c r="B411" s="33" t="s">
        <v>2</v>
      </c>
      <c r="C411" s="78">
        <v>7711000</v>
      </c>
      <c r="D411" s="78">
        <v>7010000</v>
      </c>
      <c r="E411" s="78">
        <v>701000</v>
      </c>
      <c r="F411" s="54" t="s">
        <v>165</v>
      </c>
      <c r="G411" s="9">
        <v>43180</v>
      </c>
    </row>
    <row r="412" spans="1:8">
      <c r="A412" s="52" t="s">
        <v>273</v>
      </c>
      <c r="B412" s="33" t="s">
        <v>59</v>
      </c>
      <c r="C412" s="78">
        <v>693000</v>
      </c>
      <c r="D412" s="78">
        <v>630000</v>
      </c>
      <c r="E412" s="78">
        <v>63000</v>
      </c>
      <c r="F412" s="54" t="s">
        <v>142</v>
      </c>
      <c r="G412" s="9">
        <v>43180</v>
      </c>
    </row>
    <row r="413" spans="1:8">
      <c r="A413" s="52" t="s">
        <v>274</v>
      </c>
      <c r="B413" s="33" t="s">
        <v>59</v>
      </c>
      <c r="C413" s="78">
        <v>2332000</v>
      </c>
      <c r="D413" s="78">
        <v>2120000</v>
      </c>
      <c r="E413" s="78">
        <v>212000</v>
      </c>
      <c r="F413" s="54" t="s">
        <v>184</v>
      </c>
      <c r="G413" s="9">
        <v>43182</v>
      </c>
    </row>
    <row r="414" spans="1:8">
      <c r="A414" s="52" t="s">
        <v>275</v>
      </c>
      <c r="B414" s="33" t="s">
        <v>59</v>
      </c>
      <c r="C414" s="78">
        <v>742500</v>
      </c>
      <c r="D414" s="78">
        <v>675000</v>
      </c>
      <c r="E414" s="78">
        <v>67500</v>
      </c>
      <c r="F414" s="54" t="s">
        <v>238</v>
      </c>
      <c r="G414" s="9">
        <v>43181</v>
      </c>
    </row>
    <row r="415" spans="1:8">
      <c r="A415" s="52" t="s">
        <v>276</v>
      </c>
      <c r="B415" s="33" t="s">
        <v>59</v>
      </c>
      <c r="C415" s="78">
        <v>495000</v>
      </c>
      <c r="D415" s="78">
        <v>450000</v>
      </c>
      <c r="E415" s="78">
        <v>45000</v>
      </c>
      <c r="F415" s="54" t="s">
        <v>142</v>
      </c>
      <c r="G415" s="9">
        <v>43186</v>
      </c>
    </row>
    <row r="416" spans="1:8">
      <c r="A416" s="52" t="s">
        <v>277</v>
      </c>
      <c r="B416" s="33" t="s">
        <v>59</v>
      </c>
      <c r="C416" s="78">
        <v>660000</v>
      </c>
      <c r="D416" s="78">
        <v>600000</v>
      </c>
      <c r="E416" s="78">
        <v>60000</v>
      </c>
      <c r="F416" s="54" t="s">
        <v>238</v>
      </c>
      <c r="G416" s="9">
        <v>43192</v>
      </c>
    </row>
    <row r="417" spans="1:19">
      <c r="A417" s="52" t="s">
        <v>277</v>
      </c>
      <c r="B417" s="33" t="s">
        <v>59</v>
      </c>
      <c r="C417" s="78">
        <v>2024000</v>
      </c>
      <c r="D417" s="78">
        <v>1840000</v>
      </c>
      <c r="E417" s="78">
        <v>184000</v>
      </c>
      <c r="F417" s="54" t="s">
        <v>184</v>
      </c>
      <c r="G417" s="9">
        <v>43189</v>
      </c>
      <c r="J417" s="14"/>
    </row>
    <row r="418" spans="1:19">
      <c r="A418" s="52" t="s">
        <v>279</v>
      </c>
      <c r="B418" s="33" t="s">
        <v>285</v>
      </c>
      <c r="C418" s="78">
        <v>1012000</v>
      </c>
      <c r="D418" s="78">
        <v>920000</v>
      </c>
      <c r="E418" s="78">
        <v>92000</v>
      </c>
      <c r="F418" s="54" t="s">
        <v>13</v>
      </c>
      <c r="G418" s="9">
        <v>43238</v>
      </c>
      <c r="J418" s="14"/>
    </row>
    <row r="419" spans="1:19">
      <c r="A419" s="55" t="s">
        <v>279</v>
      </c>
      <c r="B419" s="30" t="s">
        <v>80</v>
      </c>
      <c r="C419" s="80">
        <v>-1012000</v>
      </c>
      <c r="D419" s="80">
        <v>-920000</v>
      </c>
      <c r="E419" s="80">
        <v>-92000</v>
      </c>
      <c r="F419" s="31" t="s">
        <v>13</v>
      </c>
      <c r="G419" s="81" t="s">
        <v>496</v>
      </c>
      <c r="J419" s="14"/>
    </row>
    <row r="420" spans="1:19">
      <c r="A420" s="52" t="s">
        <v>279</v>
      </c>
      <c r="B420" s="33" t="s">
        <v>150</v>
      </c>
      <c r="C420" s="78">
        <v>1716000</v>
      </c>
      <c r="D420" s="78">
        <v>1560000</v>
      </c>
      <c r="E420" s="78">
        <v>156000</v>
      </c>
      <c r="F420" s="54" t="s">
        <v>13</v>
      </c>
      <c r="G420" s="9">
        <v>43236</v>
      </c>
    </row>
    <row r="421" spans="1:19">
      <c r="A421" s="55" t="s">
        <v>279</v>
      </c>
      <c r="B421" s="30" t="s">
        <v>80</v>
      </c>
      <c r="C421" s="80">
        <v>1012000</v>
      </c>
      <c r="D421" s="80">
        <v>920000</v>
      </c>
      <c r="E421" s="80">
        <v>92000</v>
      </c>
      <c r="F421" s="31" t="s">
        <v>13</v>
      </c>
      <c r="G421" s="30" t="s">
        <v>496</v>
      </c>
      <c r="J421" s="14"/>
    </row>
    <row r="422" spans="1:19">
      <c r="A422" s="52" t="s">
        <v>279</v>
      </c>
      <c r="B422" s="33" t="s">
        <v>12</v>
      </c>
      <c r="C422" s="78">
        <v>214500</v>
      </c>
      <c r="D422" s="78">
        <v>195000</v>
      </c>
      <c r="E422" s="78">
        <v>19500</v>
      </c>
      <c r="F422" s="54" t="s">
        <v>13</v>
      </c>
      <c r="G422" s="9">
        <v>43237</v>
      </c>
      <c r="J422" s="14"/>
    </row>
    <row r="423" spans="1:19">
      <c r="A423" s="52" t="s">
        <v>279</v>
      </c>
      <c r="B423" s="33" t="s">
        <v>15</v>
      </c>
      <c r="C423" s="78">
        <v>4664000</v>
      </c>
      <c r="D423" s="78">
        <v>4240000</v>
      </c>
      <c r="E423" s="78">
        <v>424000</v>
      </c>
      <c r="F423" s="54" t="s">
        <v>262</v>
      </c>
      <c r="G423" s="9">
        <v>43215</v>
      </c>
      <c r="J423" s="14"/>
    </row>
    <row r="424" spans="1:19">
      <c r="A424" s="52" t="s">
        <v>279</v>
      </c>
      <c r="B424" s="33" t="s">
        <v>15</v>
      </c>
      <c r="C424" s="78">
        <v>1485000</v>
      </c>
      <c r="D424" s="78">
        <v>1350000</v>
      </c>
      <c r="E424" s="78">
        <v>135000</v>
      </c>
      <c r="F424" s="54" t="s">
        <v>261</v>
      </c>
      <c r="G424" s="9">
        <v>43215</v>
      </c>
    </row>
    <row r="425" spans="1:19">
      <c r="A425" s="52" t="s">
        <v>279</v>
      </c>
      <c r="B425" s="33" t="s">
        <v>15</v>
      </c>
      <c r="C425" s="78">
        <v>5621000</v>
      </c>
      <c r="D425" s="78">
        <v>5110000</v>
      </c>
      <c r="E425" s="78">
        <v>511000</v>
      </c>
      <c r="F425" s="54" t="s">
        <v>67</v>
      </c>
      <c r="G425" s="9">
        <v>43215</v>
      </c>
    </row>
    <row r="426" spans="1:19">
      <c r="A426" s="52" t="s">
        <v>279</v>
      </c>
      <c r="B426" s="33" t="s">
        <v>15</v>
      </c>
      <c r="C426" s="78">
        <v>8316000</v>
      </c>
      <c r="D426" s="78">
        <v>7560000</v>
      </c>
      <c r="E426" s="78">
        <v>756000</v>
      </c>
      <c r="F426" s="54" t="s">
        <v>78</v>
      </c>
      <c r="G426" s="9">
        <v>43215</v>
      </c>
    </row>
    <row r="427" spans="1:19">
      <c r="A427" s="52" t="s">
        <v>279</v>
      </c>
      <c r="B427" s="33" t="s">
        <v>2</v>
      </c>
      <c r="C427" s="78">
        <v>1760000</v>
      </c>
      <c r="D427" s="78">
        <v>1600000</v>
      </c>
      <c r="E427" s="78">
        <v>160000</v>
      </c>
      <c r="F427" s="54" t="s">
        <v>254</v>
      </c>
      <c r="G427" s="9">
        <v>43200</v>
      </c>
    </row>
    <row r="428" spans="1:19">
      <c r="A428" s="52" t="s">
        <v>279</v>
      </c>
      <c r="B428" s="33" t="s">
        <v>2</v>
      </c>
      <c r="C428" s="78">
        <v>3366000</v>
      </c>
      <c r="D428" s="78">
        <v>3060000</v>
      </c>
      <c r="E428" s="78">
        <v>306000</v>
      </c>
      <c r="F428" s="54" t="s">
        <v>281</v>
      </c>
      <c r="G428" s="9">
        <v>43200</v>
      </c>
    </row>
    <row r="429" spans="1:19">
      <c r="A429" s="52" t="s">
        <v>279</v>
      </c>
      <c r="B429" s="33" t="s">
        <v>2</v>
      </c>
      <c r="C429" s="78">
        <v>495000</v>
      </c>
      <c r="D429" s="78">
        <v>450000</v>
      </c>
      <c r="E429" s="78">
        <v>45000</v>
      </c>
      <c r="F429" s="54" t="s">
        <v>66</v>
      </c>
      <c r="G429" s="9">
        <v>43200</v>
      </c>
      <c r="I429" s="304" t="s">
        <v>519</v>
      </c>
      <c r="J429" s="304"/>
      <c r="K429" s="304"/>
    </row>
    <row r="430" spans="1:19">
      <c r="A430" s="52" t="s">
        <v>279</v>
      </c>
      <c r="B430" s="33" t="s">
        <v>2</v>
      </c>
      <c r="C430" s="78">
        <v>4235000</v>
      </c>
      <c r="D430" s="78">
        <v>3850000</v>
      </c>
      <c r="E430" s="78">
        <v>385000</v>
      </c>
      <c r="F430" s="54" t="s">
        <v>233</v>
      </c>
      <c r="G430" s="9">
        <v>43200</v>
      </c>
      <c r="I430" s="66" t="s">
        <v>487</v>
      </c>
      <c r="J430" s="63" t="s">
        <v>488</v>
      </c>
      <c r="K430" s="67" t="s">
        <v>494</v>
      </c>
    </row>
    <row r="431" spans="1:19">
      <c r="A431" s="52" t="s">
        <v>279</v>
      </c>
      <c r="B431" s="33" t="s">
        <v>2</v>
      </c>
      <c r="C431" s="78">
        <v>12270500</v>
      </c>
      <c r="D431" s="78">
        <v>11155000</v>
      </c>
      <c r="E431" s="78">
        <v>1115500</v>
      </c>
      <c r="F431" s="54" t="s">
        <v>165</v>
      </c>
      <c r="G431" s="10">
        <v>43200</v>
      </c>
      <c r="H431" s="51"/>
      <c r="I431" s="68">
        <f>SUM(C392:C431)</f>
        <v>103852650</v>
      </c>
      <c r="J431" s="69">
        <f>SUM(D392:D431)</f>
        <v>94411500</v>
      </c>
      <c r="K431" s="70">
        <f>SUM(E392:E431)</f>
        <v>9441150</v>
      </c>
      <c r="L431" s="42"/>
      <c r="M431" s="42"/>
      <c r="N431" s="42"/>
      <c r="O431" s="42"/>
      <c r="P431" s="42"/>
      <c r="Q431" s="42"/>
      <c r="R431" s="42"/>
      <c r="S431" s="42"/>
    </row>
    <row r="432" spans="1:19">
      <c r="A432" s="57" t="s">
        <v>282</v>
      </c>
      <c r="B432" s="58" t="s">
        <v>249</v>
      </c>
      <c r="C432" s="79">
        <v>352000</v>
      </c>
      <c r="D432" s="79">
        <v>320000</v>
      </c>
      <c r="E432" s="79">
        <v>32000</v>
      </c>
      <c r="F432" s="60" t="s">
        <v>243</v>
      </c>
      <c r="G432" s="9">
        <v>43195</v>
      </c>
    </row>
    <row r="433" spans="1:8">
      <c r="A433" s="52" t="s">
        <v>282</v>
      </c>
      <c r="B433" s="33" t="s">
        <v>59</v>
      </c>
      <c r="C433" s="78">
        <v>1881000</v>
      </c>
      <c r="D433" s="78">
        <v>1710000</v>
      </c>
      <c r="E433" s="78">
        <v>171000</v>
      </c>
      <c r="F433" s="54" t="s">
        <v>184</v>
      </c>
      <c r="G433" s="9">
        <v>43195</v>
      </c>
    </row>
    <row r="434" spans="1:8">
      <c r="A434" s="52" t="s">
        <v>282</v>
      </c>
      <c r="B434" s="33" t="s">
        <v>59</v>
      </c>
      <c r="C434" s="78">
        <v>891000</v>
      </c>
      <c r="D434" s="78">
        <v>810000</v>
      </c>
      <c r="E434" s="78">
        <v>81000</v>
      </c>
      <c r="F434" s="54" t="s">
        <v>142</v>
      </c>
      <c r="G434" s="9">
        <v>43195</v>
      </c>
    </row>
    <row r="435" spans="1:8">
      <c r="A435" s="52" t="s">
        <v>283</v>
      </c>
      <c r="B435" s="33" t="s">
        <v>59</v>
      </c>
      <c r="C435" s="78">
        <v>660000</v>
      </c>
      <c r="D435" s="78">
        <v>600000</v>
      </c>
      <c r="E435" s="78">
        <v>60000</v>
      </c>
      <c r="F435" s="54" t="s">
        <v>238</v>
      </c>
      <c r="G435" s="9">
        <v>43222</v>
      </c>
    </row>
    <row r="436" spans="1:8">
      <c r="A436" s="52" t="s">
        <v>284</v>
      </c>
      <c r="B436" s="33" t="s">
        <v>59</v>
      </c>
      <c r="C436" s="78">
        <v>693000</v>
      </c>
      <c r="D436" s="78">
        <v>630000</v>
      </c>
      <c r="E436" s="78">
        <v>63000</v>
      </c>
      <c r="F436" s="54" t="s">
        <v>74</v>
      </c>
      <c r="G436" s="9">
        <v>43199</v>
      </c>
    </row>
    <row r="437" spans="1:8">
      <c r="A437" s="52" t="s">
        <v>284</v>
      </c>
      <c r="B437" s="33" t="s">
        <v>59</v>
      </c>
      <c r="C437" s="78">
        <v>2178000</v>
      </c>
      <c r="D437" s="78">
        <v>1980000</v>
      </c>
      <c r="E437" s="78">
        <v>198000</v>
      </c>
      <c r="F437" s="54" t="s">
        <v>184</v>
      </c>
      <c r="G437" s="9">
        <v>43199</v>
      </c>
    </row>
    <row r="438" spans="1:8">
      <c r="A438" s="52" t="s">
        <v>286</v>
      </c>
      <c r="B438" s="33" t="s">
        <v>249</v>
      </c>
      <c r="C438" s="78">
        <v>528000</v>
      </c>
      <c r="D438" s="78">
        <v>480000</v>
      </c>
      <c r="E438" s="78">
        <v>48000</v>
      </c>
      <c r="F438" s="54" t="s">
        <v>243</v>
      </c>
      <c r="G438" s="9">
        <v>43201</v>
      </c>
    </row>
    <row r="439" spans="1:8">
      <c r="A439" s="52" t="s">
        <v>287</v>
      </c>
      <c r="B439" s="33" t="s">
        <v>59</v>
      </c>
      <c r="C439" s="78">
        <v>759000</v>
      </c>
      <c r="D439" s="78">
        <v>690000</v>
      </c>
      <c r="E439" s="78">
        <v>69000</v>
      </c>
      <c r="F439" s="54" t="s">
        <v>238</v>
      </c>
      <c r="G439" s="9">
        <v>43222</v>
      </c>
    </row>
    <row r="440" spans="1:8">
      <c r="A440" s="52" t="s">
        <v>288</v>
      </c>
      <c r="B440" s="33" t="s">
        <v>59</v>
      </c>
      <c r="C440" s="78">
        <v>3096500</v>
      </c>
      <c r="D440" s="78">
        <v>2815000</v>
      </c>
      <c r="E440" s="78">
        <v>281500</v>
      </c>
      <c r="F440" s="54" t="s">
        <v>142</v>
      </c>
      <c r="G440" s="9">
        <v>43222</v>
      </c>
    </row>
    <row r="441" spans="1:8">
      <c r="A441" s="52" t="s">
        <v>289</v>
      </c>
      <c r="B441" s="33" t="s">
        <v>59</v>
      </c>
      <c r="C441" s="78">
        <v>6068150</v>
      </c>
      <c r="D441" s="78">
        <v>5516500</v>
      </c>
      <c r="E441" s="78">
        <v>551650</v>
      </c>
      <c r="F441" s="54" t="s">
        <v>185</v>
      </c>
      <c r="G441" s="9">
        <v>43224</v>
      </c>
      <c r="H441" s="17" t="s">
        <v>517</v>
      </c>
    </row>
    <row r="442" spans="1:8">
      <c r="A442" s="52" t="s">
        <v>289</v>
      </c>
      <c r="B442" s="33" t="s">
        <v>59</v>
      </c>
      <c r="C442" s="78">
        <v>693000</v>
      </c>
      <c r="D442" s="78">
        <v>630000</v>
      </c>
      <c r="E442" s="78">
        <v>63000</v>
      </c>
      <c r="F442" s="54" t="s">
        <v>74</v>
      </c>
      <c r="G442" s="9">
        <v>43237</v>
      </c>
    </row>
    <row r="443" spans="1:8">
      <c r="A443" s="52" t="s">
        <v>289</v>
      </c>
      <c r="B443" s="33" t="s">
        <v>2</v>
      </c>
      <c r="C443" s="78">
        <v>1556500</v>
      </c>
      <c r="D443" s="78">
        <v>1415000</v>
      </c>
      <c r="E443" s="78">
        <v>141500</v>
      </c>
      <c r="F443" s="54" t="s">
        <v>245</v>
      </c>
      <c r="G443" s="9">
        <v>43210</v>
      </c>
    </row>
    <row r="444" spans="1:8">
      <c r="A444" s="52" t="s">
        <v>289</v>
      </c>
      <c r="B444" s="33" t="s">
        <v>2</v>
      </c>
      <c r="C444" s="78">
        <v>15479200</v>
      </c>
      <c r="D444" s="78">
        <v>14072000</v>
      </c>
      <c r="E444" s="78">
        <v>1407200</v>
      </c>
      <c r="F444" s="54" t="s">
        <v>165</v>
      </c>
      <c r="G444" s="9">
        <v>43210</v>
      </c>
    </row>
    <row r="445" spans="1:8">
      <c r="A445" s="52" t="s">
        <v>289</v>
      </c>
      <c r="B445" s="33" t="s">
        <v>2</v>
      </c>
      <c r="C445" s="78">
        <v>396000</v>
      </c>
      <c r="D445" s="78">
        <v>360000</v>
      </c>
      <c r="E445" s="78">
        <v>36000</v>
      </c>
      <c r="F445" s="54" t="s">
        <v>66</v>
      </c>
      <c r="G445" s="9">
        <v>43210</v>
      </c>
    </row>
    <row r="446" spans="1:8">
      <c r="A446" s="52" t="s">
        <v>289</v>
      </c>
      <c r="B446" s="33" t="s">
        <v>2</v>
      </c>
      <c r="C446" s="78">
        <v>435600</v>
      </c>
      <c r="D446" s="78">
        <v>396000</v>
      </c>
      <c r="E446" s="78">
        <v>39600</v>
      </c>
      <c r="F446" s="54" t="s">
        <v>233</v>
      </c>
      <c r="G446" s="9">
        <v>43210</v>
      </c>
    </row>
    <row r="447" spans="1:8">
      <c r="A447" s="52" t="s">
        <v>289</v>
      </c>
      <c r="B447" s="33" t="s">
        <v>2</v>
      </c>
      <c r="C447" s="78">
        <v>847000</v>
      </c>
      <c r="D447" s="78">
        <v>770000</v>
      </c>
      <c r="E447" s="78">
        <v>77000</v>
      </c>
      <c r="F447" s="54" t="s">
        <v>255</v>
      </c>
      <c r="G447" s="9">
        <v>43210</v>
      </c>
    </row>
    <row r="448" spans="1:8">
      <c r="A448" s="52" t="s">
        <v>289</v>
      </c>
      <c r="B448" s="33" t="s">
        <v>59</v>
      </c>
      <c r="C448" s="78">
        <v>2288000</v>
      </c>
      <c r="D448" s="78">
        <v>2080000</v>
      </c>
      <c r="E448" s="78">
        <v>208000</v>
      </c>
      <c r="F448" s="54" t="s">
        <v>184</v>
      </c>
      <c r="G448" s="9">
        <v>43237</v>
      </c>
    </row>
    <row r="449" spans="1:19">
      <c r="A449" s="52" t="s">
        <v>289</v>
      </c>
      <c r="B449" s="33" t="s">
        <v>59</v>
      </c>
      <c r="C449" s="78">
        <v>2475000</v>
      </c>
      <c r="D449" s="78">
        <v>2250000</v>
      </c>
      <c r="E449" s="78">
        <v>225000</v>
      </c>
      <c r="F449" s="54" t="s">
        <v>142</v>
      </c>
      <c r="G449" s="9">
        <v>43245</v>
      </c>
    </row>
    <row r="450" spans="1:19">
      <c r="A450" s="52">
        <v>43209</v>
      </c>
      <c r="B450" s="33" t="s">
        <v>59</v>
      </c>
      <c r="C450" s="78">
        <v>869000</v>
      </c>
      <c r="D450" s="78">
        <v>790000</v>
      </c>
      <c r="E450" s="78">
        <v>79000</v>
      </c>
      <c r="F450" s="54" t="s">
        <v>238</v>
      </c>
      <c r="G450" s="9">
        <v>43245</v>
      </c>
    </row>
    <row r="451" spans="1:19">
      <c r="A451" s="52">
        <v>43209</v>
      </c>
      <c r="B451" s="33" t="s">
        <v>249</v>
      </c>
      <c r="C451" s="78">
        <v>440000</v>
      </c>
      <c r="D451" s="78">
        <v>400000</v>
      </c>
      <c r="E451" s="78">
        <v>40000</v>
      </c>
      <c r="F451" s="54" t="s">
        <v>243</v>
      </c>
      <c r="G451" s="9">
        <v>43214</v>
      </c>
    </row>
    <row r="452" spans="1:19">
      <c r="A452" s="52" t="s">
        <v>291</v>
      </c>
      <c r="B452" s="33" t="s">
        <v>59</v>
      </c>
      <c r="C452" s="78">
        <v>693000</v>
      </c>
      <c r="D452" s="78">
        <v>630000</v>
      </c>
      <c r="E452" s="78">
        <v>63000</v>
      </c>
      <c r="F452" s="54" t="s">
        <v>74</v>
      </c>
      <c r="G452" s="9">
        <v>43237</v>
      </c>
    </row>
    <row r="453" spans="1:19">
      <c r="A453" s="52" t="s">
        <v>291</v>
      </c>
      <c r="B453" s="33" t="s">
        <v>59</v>
      </c>
      <c r="C453" s="78">
        <v>1232000</v>
      </c>
      <c r="D453" s="78">
        <v>1120000</v>
      </c>
      <c r="E453" s="78">
        <v>112000</v>
      </c>
      <c r="F453" s="54" t="s">
        <v>184</v>
      </c>
      <c r="G453" s="9">
        <v>43237</v>
      </c>
    </row>
    <row r="454" spans="1:19">
      <c r="A454" s="52" t="s">
        <v>291</v>
      </c>
      <c r="B454" s="33" t="s">
        <v>59</v>
      </c>
      <c r="C454" s="78">
        <v>1881000</v>
      </c>
      <c r="D454" s="78">
        <v>1710000</v>
      </c>
      <c r="E454" s="78">
        <v>171000</v>
      </c>
      <c r="F454" s="54" t="s">
        <v>142</v>
      </c>
      <c r="G454" s="9">
        <v>43245</v>
      </c>
    </row>
    <row r="455" spans="1:19">
      <c r="A455" s="52" t="s">
        <v>292</v>
      </c>
      <c r="B455" s="33" t="s">
        <v>59</v>
      </c>
      <c r="C455" s="78">
        <v>858000</v>
      </c>
      <c r="D455" s="78">
        <v>780000</v>
      </c>
      <c r="E455" s="78">
        <v>78000</v>
      </c>
      <c r="F455" s="54" t="s">
        <v>238</v>
      </c>
      <c r="G455" s="9">
        <v>43245</v>
      </c>
    </row>
    <row r="456" spans="1:19">
      <c r="A456" s="52" t="s">
        <v>293</v>
      </c>
      <c r="B456" s="33" t="s">
        <v>79</v>
      </c>
      <c r="C456" s="53">
        <v>561000</v>
      </c>
      <c r="D456" s="53">
        <v>510000</v>
      </c>
      <c r="E456" s="53">
        <v>51000</v>
      </c>
      <c r="F456" s="54" t="s">
        <v>13</v>
      </c>
      <c r="G456" s="9">
        <v>43221</v>
      </c>
    </row>
    <row r="457" spans="1:19">
      <c r="A457" s="52" t="s">
        <v>294</v>
      </c>
      <c r="B457" s="33" t="s">
        <v>59</v>
      </c>
      <c r="C457" s="78">
        <v>10079300</v>
      </c>
      <c r="D457" s="78">
        <v>9163000</v>
      </c>
      <c r="E457" s="78">
        <v>916300</v>
      </c>
      <c r="F457" s="54" t="s">
        <v>185</v>
      </c>
      <c r="G457" s="65">
        <v>43230</v>
      </c>
      <c r="H457" s="54" t="s">
        <v>517</v>
      </c>
    </row>
    <row r="458" spans="1:19">
      <c r="A458" s="55" t="s">
        <v>294</v>
      </c>
      <c r="B458" s="30" t="s">
        <v>59</v>
      </c>
      <c r="C458" s="80">
        <v>-8022300</v>
      </c>
      <c r="D458" s="80">
        <v>-7293000</v>
      </c>
      <c r="E458" s="80">
        <v>-729300</v>
      </c>
      <c r="F458" s="31" t="s">
        <v>185</v>
      </c>
      <c r="G458" s="81" t="s">
        <v>496</v>
      </c>
      <c r="H458" s="31"/>
      <c r="I458" s="73"/>
      <c r="J458" s="74"/>
      <c r="K458" s="30"/>
      <c r="L458" s="30"/>
      <c r="M458" s="30"/>
      <c r="N458" s="30"/>
      <c r="O458" s="30"/>
      <c r="P458" s="30"/>
      <c r="Q458" s="30"/>
      <c r="R458" s="30"/>
      <c r="S458" s="30"/>
    </row>
    <row r="459" spans="1:19">
      <c r="A459" s="55" t="s">
        <v>294</v>
      </c>
      <c r="B459" s="30" t="s">
        <v>59</v>
      </c>
      <c r="C459" s="80">
        <v>8022300</v>
      </c>
      <c r="D459" s="80">
        <v>7293000</v>
      </c>
      <c r="E459" s="80">
        <v>729300</v>
      </c>
      <c r="F459" s="31" t="s">
        <v>185</v>
      </c>
      <c r="G459" s="81" t="s">
        <v>496</v>
      </c>
      <c r="H459" s="31"/>
      <c r="I459" s="73"/>
      <c r="J459" s="74"/>
      <c r="K459" s="30"/>
      <c r="L459" s="30"/>
      <c r="M459" s="30"/>
      <c r="N459" s="30"/>
      <c r="O459" s="30"/>
      <c r="P459" s="30"/>
      <c r="Q459" s="30"/>
      <c r="R459" s="30"/>
      <c r="S459" s="30"/>
    </row>
    <row r="460" spans="1:19">
      <c r="A460" s="55" t="s">
        <v>294</v>
      </c>
      <c r="B460" s="30" t="s">
        <v>59</v>
      </c>
      <c r="C460" s="80">
        <v>-10079300</v>
      </c>
      <c r="D460" s="80">
        <v>-9163000</v>
      </c>
      <c r="E460" s="80">
        <v>-916300</v>
      </c>
      <c r="F460" s="31" t="s">
        <v>185</v>
      </c>
      <c r="G460" s="81" t="s">
        <v>496</v>
      </c>
      <c r="H460" s="31"/>
      <c r="I460" s="73"/>
      <c r="J460" s="74"/>
      <c r="K460" s="30"/>
      <c r="L460" s="30"/>
      <c r="M460" s="30"/>
      <c r="N460" s="30"/>
      <c r="O460" s="30"/>
      <c r="P460" s="30"/>
      <c r="Q460" s="30"/>
      <c r="R460" s="30"/>
      <c r="S460" s="30"/>
    </row>
    <row r="461" spans="1:19">
      <c r="A461" s="52" t="s">
        <v>294</v>
      </c>
      <c r="B461" s="33" t="s">
        <v>59</v>
      </c>
      <c r="C461" s="78">
        <v>8581168</v>
      </c>
      <c r="D461" s="78">
        <v>7801062</v>
      </c>
      <c r="E461" s="78">
        <v>780106</v>
      </c>
      <c r="F461" s="54" t="s">
        <v>238</v>
      </c>
      <c r="G461" s="9">
        <v>43230</v>
      </c>
      <c r="H461" s="17" t="s">
        <v>517</v>
      </c>
    </row>
    <row r="462" spans="1:19">
      <c r="A462" s="55" t="s">
        <v>294</v>
      </c>
      <c r="B462" s="30" t="s">
        <v>59</v>
      </c>
      <c r="C462" s="80">
        <v>-847000</v>
      </c>
      <c r="D462" s="80">
        <v>-770000</v>
      </c>
      <c r="E462" s="80">
        <v>-77000</v>
      </c>
      <c r="F462" s="31" t="s">
        <v>238</v>
      </c>
      <c r="G462" s="81" t="s">
        <v>496</v>
      </c>
      <c r="H462" s="31"/>
      <c r="I462" s="73"/>
      <c r="J462" s="74"/>
      <c r="K462" s="30"/>
      <c r="L462" s="30"/>
      <c r="M462" s="30"/>
      <c r="N462" s="30"/>
      <c r="O462" s="30"/>
      <c r="P462" s="30"/>
      <c r="Q462" s="30"/>
      <c r="R462" s="30"/>
      <c r="S462" s="30"/>
    </row>
    <row r="463" spans="1:19">
      <c r="A463" s="52" t="s">
        <v>294</v>
      </c>
      <c r="B463" s="33" t="s">
        <v>2</v>
      </c>
      <c r="C463" s="78">
        <v>12210000</v>
      </c>
      <c r="D463" s="78">
        <v>11100000</v>
      </c>
      <c r="E463" s="78">
        <v>1110000</v>
      </c>
      <c r="F463" s="54" t="s">
        <v>255</v>
      </c>
      <c r="G463" s="9">
        <v>43230</v>
      </c>
      <c r="H463" s="17" t="s">
        <v>517</v>
      </c>
    </row>
    <row r="464" spans="1:19">
      <c r="A464" s="52" t="s">
        <v>294</v>
      </c>
      <c r="B464" s="33" t="s">
        <v>2</v>
      </c>
      <c r="C464" s="78">
        <v>792000</v>
      </c>
      <c r="D464" s="78">
        <v>720000</v>
      </c>
      <c r="E464" s="78">
        <v>72000</v>
      </c>
      <c r="F464" s="54" t="s">
        <v>297</v>
      </c>
      <c r="G464" s="9">
        <v>43230</v>
      </c>
      <c r="H464" s="17" t="s">
        <v>517</v>
      </c>
    </row>
    <row r="465" spans="1:19">
      <c r="A465" s="52" t="s">
        <v>294</v>
      </c>
      <c r="B465" s="33" t="s">
        <v>2</v>
      </c>
      <c r="C465" s="78">
        <v>5940000</v>
      </c>
      <c r="D465" s="78">
        <v>5400000</v>
      </c>
      <c r="E465" s="78">
        <v>540000</v>
      </c>
      <c r="F465" s="54" t="s">
        <v>280</v>
      </c>
      <c r="G465" s="9">
        <v>43230</v>
      </c>
      <c r="H465" s="17" t="s">
        <v>517</v>
      </c>
    </row>
    <row r="466" spans="1:19">
      <c r="A466" s="52" t="s">
        <v>294</v>
      </c>
      <c r="B466" s="33" t="s">
        <v>2</v>
      </c>
      <c r="C466" s="78">
        <v>3418800</v>
      </c>
      <c r="D466" s="78">
        <v>3108000</v>
      </c>
      <c r="E466" s="78">
        <v>310800</v>
      </c>
      <c r="F466" s="54" t="s">
        <v>298</v>
      </c>
      <c r="G466" s="9">
        <v>43230</v>
      </c>
      <c r="H466" s="17" t="s">
        <v>517</v>
      </c>
    </row>
    <row r="467" spans="1:19">
      <c r="A467" s="52" t="s">
        <v>294</v>
      </c>
      <c r="B467" s="33" t="s">
        <v>2</v>
      </c>
      <c r="C467" s="78">
        <v>4075500</v>
      </c>
      <c r="D467" s="78">
        <v>3705000</v>
      </c>
      <c r="E467" s="78">
        <v>370500</v>
      </c>
      <c r="F467" s="54" t="s">
        <v>299</v>
      </c>
      <c r="G467" s="9">
        <v>43230</v>
      </c>
      <c r="H467" s="17" t="s">
        <v>517</v>
      </c>
      <c r="M467" s="82"/>
      <c r="N467" s="82"/>
      <c r="O467" s="82"/>
      <c r="P467" s="82"/>
    </row>
    <row r="468" spans="1:19">
      <c r="A468" s="55" t="s">
        <v>294</v>
      </c>
      <c r="B468" s="30" t="s">
        <v>59</v>
      </c>
      <c r="C468" s="80">
        <v>10079300</v>
      </c>
      <c r="D468" s="80">
        <v>9163000</v>
      </c>
      <c r="E468" s="80">
        <v>916300</v>
      </c>
      <c r="F468" s="31" t="s">
        <v>185</v>
      </c>
      <c r="G468" s="81" t="s">
        <v>496</v>
      </c>
      <c r="H468" s="31"/>
      <c r="I468" s="73"/>
      <c r="J468" s="74"/>
      <c r="K468" s="30"/>
      <c r="L468" s="30"/>
      <c r="M468" s="30"/>
      <c r="N468" s="30"/>
      <c r="O468" s="30"/>
      <c r="P468" s="30"/>
      <c r="Q468" s="30"/>
      <c r="R468" s="30"/>
      <c r="S468" s="30"/>
    </row>
    <row r="469" spans="1:19">
      <c r="A469" s="52" t="s">
        <v>294</v>
      </c>
      <c r="B469" s="33" t="s">
        <v>2</v>
      </c>
      <c r="C469" s="78">
        <v>592900</v>
      </c>
      <c r="D469" s="78">
        <v>539000</v>
      </c>
      <c r="E469" s="78">
        <v>53900</v>
      </c>
      <c r="F469" s="54" t="s">
        <v>254</v>
      </c>
      <c r="G469" s="9">
        <v>43230</v>
      </c>
    </row>
    <row r="470" spans="1:19">
      <c r="A470" s="52" t="s">
        <v>294</v>
      </c>
      <c r="B470" s="33" t="s">
        <v>2</v>
      </c>
      <c r="C470" s="78">
        <v>990000</v>
      </c>
      <c r="D470" s="78">
        <v>900000</v>
      </c>
      <c r="E470" s="78">
        <v>90000</v>
      </c>
      <c r="F470" s="54" t="s">
        <v>245</v>
      </c>
      <c r="G470" s="9">
        <v>43230</v>
      </c>
    </row>
    <row r="471" spans="1:19">
      <c r="A471" s="52" t="s">
        <v>294</v>
      </c>
      <c r="B471" s="33" t="s">
        <v>2</v>
      </c>
      <c r="C471" s="78">
        <v>677600</v>
      </c>
      <c r="D471" s="78">
        <v>616000</v>
      </c>
      <c r="E471" s="78">
        <v>61600</v>
      </c>
      <c r="F471" s="54" t="s">
        <v>255</v>
      </c>
      <c r="G471" s="9">
        <v>43230</v>
      </c>
    </row>
    <row r="472" spans="1:19">
      <c r="A472" s="52" t="s">
        <v>294</v>
      </c>
      <c r="B472" s="33" t="s">
        <v>2</v>
      </c>
      <c r="C472" s="78">
        <v>517000</v>
      </c>
      <c r="D472" s="78">
        <v>470000</v>
      </c>
      <c r="E472" s="78">
        <v>47000</v>
      </c>
      <c r="F472" s="54" t="s">
        <v>297</v>
      </c>
      <c r="G472" s="9">
        <v>43230</v>
      </c>
    </row>
    <row r="473" spans="1:19">
      <c r="A473" s="52" t="s">
        <v>294</v>
      </c>
      <c r="B473" s="33" t="s">
        <v>2</v>
      </c>
      <c r="C473" s="78">
        <v>10461000</v>
      </c>
      <c r="D473" s="78">
        <v>9510000</v>
      </c>
      <c r="E473" s="78">
        <v>951000</v>
      </c>
      <c r="F473" s="54" t="s">
        <v>280</v>
      </c>
      <c r="G473" s="9">
        <v>43230</v>
      </c>
    </row>
    <row r="474" spans="1:19">
      <c r="A474" s="52" t="s">
        <v>294</v>
      </c>
      <c r="B474" s="33" t="s">
        <v>59</v>
      </c>
      <c r="C474" s="78">
        <v>891000</v>
      </c>
      <c r="D474" s="78">
        <v>810000</v>
      </c>
      <c r="E474" s="78">
        <v>81000</v>
      </c>
      <c r="F474" s="54" t="s">
        <v>74</v>
      </c>
      <c r="G474" s="9">
        <v>43237</v>
      </c>
    </row>
    <row r="475" spans="1:19">
      <c r="A475" s="52" t="s">
        <v>294</v>
      </c>
      <c r="B475" s="33" t="s">
        <v>59</v>
      </c>
      <c r="C475" s="78">
        <v>2277000</v>
      </c>
      <c r="D475" s="78">
        <v>2070000</v>
      </c>
      <c r="E475" s="78">
        <v>207000</v>
      </c>
      <c r="F475" s="54" t="s">
        <v>184</v>
      </c>
      <c r="G475" s="9">
        <v>43236</v>
      </c>
    </row>
    <row r="476" spans="1:19">
      <c r="A476" s="52" t="s">
        <v>294</v>
      </c>
      <c r="B476" s="33" t="s">
        <v>296</v>
      </c>
      <c r="C476" s="78">
        <v>5076500</v>
      </c>
      <c r="D476" s="78">
        <v>4615000</v>
      </c>
      <c r="E476" s="78">
        <v>461500</v>
      </c>
      <c r="F476" s="54" t="s">
        <v>13</v>
      </c>
      <c r="G476" s="9">
        <v>43224</v>
      </c>
    </row>
    <row r="477" spans="1:19">
      <c r="A477" s="52" t="s">
        <v>294</v>
      </c>
      <c r="B477" s="33" t="s">
        <v>15</v>
      </c>
      <c r="C477" s="78">
        <v>3861000</v>
      </c>
      <c r="D477" s="78">
        <v>3510000</v>
      </c>
      <c r="E477" s="78">
        <v>351000</v>
      </c>
      <c r="F477" s="54" t="s">
        <v>67</v>
      </c>
      <c r="G477" s="9">
        <v>43245</v>
      </c>
    </row>
    <row r="478" spans="1:19">
      <c r="A478" s="55" t="s">
        <v>294</v>
      </c>
      <c r="B478" s="30" t="s">
        <v>15</v>
      </c>
      <c r="C478" s="80">
        <v>-4356000</v>
      </c>
      <c r="D478" s="80">
        <v>-3960000</v>
      </c>
      <c r="E478" s="80">
        <v>-396000</v>
      </c>
      <c r="F478" s="31" t="s">
        <v>67</v>
      </c>
      <c r="G478" s="81" t="s">
        <v>496</v>
      </c>
      <c r="H478" s="31"/>
      <c r="I478" s="73"/>
      <c r="J478" s="74"/>
      <c r="K478" s="30"/>
      <c r="L478" s="30"/>
      <c r="M478" s="30"/>
      <c r="N478" s="30"/>
      <c r="O478" s="30"/>
      <c r="P478" s="30"/>
      <c r="Q478" s="30"/>
      <c r="R478" s="30"/>
      <c r="S478" s="30"/>
    </row>
    <row r="479" spans="1:19">
      <c r="A479" s="52" t="s">
        <v>294</v>
      </c>
      <c r="B479" s="33" t="s">
        <v>15</v>
      </c>
      <c r="C479" s="78">
        <v>3872000</v>
      </c>
      <c r="D479" s="78">
        <v>3520000</v>
      </c>
      <c r="E479" s="78">
        <v>352000</v>
      </c>
      <c r="F479" s="54" t="s">
        <v>262</v>
      </c>
      <c r="G479" s="9">
        <v>43245</v>
      </c>
    </row>
    <row r="480" spans="1:19">
      <c r="A480" s="55" t="s">
        <v>294</v>
      </c>
      <c r="B480" s="30" t="s">
        <v>15</v>
      </c>
      <c r="C480" s="80">
        <v>4356000</v>
      </c>
      <c r="D480" s="80">
        <v>3960000</v>
      </c>
      <c r="E480" s="80">
        <v>396000</v>
      </c>
      <c r="F480" s="31" t="s">
        <v>67</v>
      </c>
      <c r="G480" s="81" t="s">
        <v>496</v>
      </c>
      <c r="H480" s="31"/>
      <c r="I480" s="73"/>
      <c r="J480" s="74"/>
      <c r="K480" s="30"/>
      <c r="L480" s="30"/>
      <c r="M480" s="30"/>
      <c r="N480" s="30"/>
      <c r="O480" s="30"/>
      <c r="P480" s="30"/>
      <c r="Q480" s="30"/>
      <c r="R480" s="30"/>
      <c r="S480" s="30"/>
    </row>
    <row r="481" spans="1:19">
      <c r="A481" s="52" t="s">
        <v>294</v>
      </c>
      <c r="B481" s="33" t="s">
        <v>15</v>
      </c>
      <c r="C481" s="78">
        <v>9009000</v>
      </c>
      <c r="D481" s="78">
        <v>8190000</v>
      </c>
      <c r="E481" s="78">
        <v>819000</v>
      </c>
      <c r="F481" s="54" t="s">
        <v>78</v>
      </c>
      <c r="G481" s="9">
        <v>43245</v>
      </c>
    </row>
    <row r="482" spans="1:19">
      <c r="A482" s="55" t="s">
        <v>294</v>
      </c>
      <c r="B482" s="30" t="s">
        <v>59</v>
      </c>
      <c r="C482" s="80">
        <v>847000</v>
      </c>
      <c r="D482" s="80">
        <v>770000</v>
      </c>
      <c r="E482" s="80">
        <v>77000</v>
      </c>
      <c r="F482" s="31" t="s">
        <v>238</v>
      </c>
      <c r="G482" s="81" t="s">
        <v>496</v>
      </c>
      <c r="H482" s="31"/>
      <c r="I482" s="73"/>
      <c r="J482" s="74"/>
      <c r="K482" s="30"/>
      <c r="L482" s="30"/>
      <c r="M482" s="30"/>
      <c r="N482" s="30"/>
      <c r="O482" s="30"/>
      <c r="P482" s="30"/>
      <c r="Q482" s="30"/>
      <c r="R482" s="30"/>
      <c r="S482" s="30"/>
    </row>
    <row r="483" spans="1:19">
      <c r="A483" s="52" t="s">
        <v>294</v>
      </c>
      <c r="B483" s="33" t="s">
        <v>59</v>
      </c>
      <c r="C483" s="78">
        <v>1980000</v>
      </c>
      <c r="D483" s="78">
        <v>1800000</v>
      </c>
      <c r="E483" s="78">
        <v>180000</v>
      </c>
      <c r="F483" s="54" t="s">
        <v>142</v>
      </c>
      <c r="G483" s="9">
        <v>43245</v>
      </c>
    </row>
    <row r="484" spans="1:19">
      <c r="A484" s="52" t="s">
        <v>294</v>
      </c>
      <c r="B484" s="33" t="s">
        <v>150</v>
      </c>
      <c r="C484" s="78">
        <v>827640</v>
      </c>
      <c r="D484" s="78">
        <v>752400</v>
      </c>
      <c r="E484" s="78">
        <v>75240</v>
      </c>
      <c r="F484" s="54" t="s">
        <v>13</v>
      </c>
      <c r="G484" s="9">
        <v>43236</v>
      </c>
    </row>
    <row r="485" spans="1:19">
      <c r="A485" s="52" t="s">
        <v>294</v>
      </c>
      <c r="B485" s="33" t="s">
        <v>85</v>
      </c>
      <c r="C485" s="78">
        <v>2244000</v>
      </c>
      <c r="D485" s="78">
        <v>2040000</v>
      </c>
      <c r="E485" s="78">
        <v>204000</v>
      </c>
      <c r="F485" s="54" t="s">
        <v>13</v>
      </c>
      <c r="G485" s="9">
        <v>43252</v>
      </c>
    </row>
    <row r="486" spans="1:19">
      <c r="A486" s="52" t="s">
        <v>294</v>
      </c>
      <c r="B486" s="33" t="s">
        <v>285</v>
      </c>
      <c r="C486" s="78">
        <v>143000</v>
      </c>
      <c r="D486" s="78">
        <v>130000</v>
      </c>
      <c r="E486" s="78">
        <v>13000</v>
      </c>
      <c r="F486" s="54" t="s">
        <v>13</v>
      </c>
      <c r="G486" s="9">
        <v>43238</v>
      </c>
    </row>
    <row r="487" spans="1:19">
      <c r="A487" s="52" t="s">
        <v>294</v>
      </c>
      <c r="B487" s="33" t="s">
        <v>82</v>
      </c>
      <c r="C487" s="78">
        <v>1320000</v>
      </c>
      <c r="D487" s="78">
        <v>1200000</v>
      </c>
      <c r="E487" s="78">
        <v>120000</v>
      </c>
      <c r="F487" s="54" t="s">
        <v>13</v>
      </c>
      <c r="G487" s="9">
        <v>43235</v>
      </c>
    </row>
    <row r="488" spans="1:19">
      <c r="A488" s="52" t="s">
        <v>294</v>
      </c>
      <c r="B488" s="33" t="s">
        <v>70</v>
      </c>
      <c r="C488" s="78">
        <v>572000</v>
      </c>
      <c r="D488" s="78">
        <v>520000</v>
      </c>
      <c r="E488" s="78">
        <v>52000</v>
      </c>
      <c r="F488" s="54" t="s">
        <v>13</v>
      </c>
      <c r="G488" s="9">
        <v>43224</v>
      </c>
    </row>
    <row r="489" spans="1:19">
      <c r="A489" s="52" t="s">
        <v>294</v>
      </c>
      <c r="B489" s="33" t="s">
        <v>86</v>
      </c>
      <c r="C489" s="78">
        <v>990000</v>
      </c>
      <c r="D489" s="78">
        <v>900000</v>
      </c>
      <c r="E489" s="78">
        <v>90000</v>
      </c>
      <c r="F489" s="54" t="s">
        <v>13</v>
      </c>
      <c r="G489" s="9">
        <v>43230</v>
      </c>
    </row>
    <row r="490" spans="1:19">
      <c r="A490" s="52" t="s">
        <v>294</v>
      </c>
      <c r="B490" s="33" t="s">
        <v>12</v>
      </c>
      <c r="C490" s="78">
        <v>511500</v>
      </c>
      <c r="D490" s="78">
        <v>465000</v>
      </c>
      <c r="E490" s="78">
        <v>46500</v>
      </c>
      <c r="F490" s="54" t="s">
        <v>13</v>
      </c>
      <c r="G490" s="9">
        <v>43236</v>
      </c>
    </row>
    <row r="491" spans="1:19">
      <c r="A491" s="52" t="s">
        <v>294</v>
      </c>
      <c r="B491" s="33" t="s">
        <v>63</v>
      </c>
      <c r="C491" s="78">
        <v>2970000</v>
      </c>
      <c r="D491" s="78">
        <v>2700000</v>
      </c>
      <c r="E491" s="78">
        <v>270000</v>
      </c>
      <c r="F491" s="54" t="s">
        <v>13</v>
      </c>
      <c r="G491" s="9">
        <v>43224</v>
      </c>
      <c r="I491" s="304" t="s">
        <v>520</v>
      </c>
      <c r="J491" s="304"/>
      <c r="K491" s="304"/>
    </row>
    <row r="492" spans="1:19">
      <c r="A492" s="52" t="s">
        <v>294</v>
      </c>
      <c r="B492" s="33" t="s">
        <v>155</v>
      </c>
      <c r="C492" s="78">
        <v>968000</v>
      </c>
      <c r="D492" s="78">
        <v>880000</v>
      </c>
      <c r="E492" s="78">
        <v>88000</v>
      </c>
      <c r="F492" s="54" t="s">
        <v>13</v>
      </c>
      <c r="G492" s="9">
        <v>43224</v>
      </c>
      <c r="I492" s="18" t="s">
        <v>487</v>
      </c>
      <c r="J492" s="36" t="s">
        <v>488</v>
      </c>
      <c r="K492" s="36" t="s">
        <v>494</v>
      </c>
    </row>
    <row r="493" spans="1:19">
      <c r="A493" s="47" t="s">
        <v>294</v>
      </c>
      <c r="B493" s="48" t="s">
        <v>295</v>
      </c>
      <c r="C493" s="83">
        <v>71500</v>
      </c>
      <c r="D493" s="83">
        <v>65000</v>
      </c>
      <c r="E493" s="83">
        <v>6500</v>
      </c>
      <c r="F493" s="50" t="s">
        <v>13</v>
      </c>
      <c r="G493" s="10">
        <v>43222</v>
      </c>
      <c r="H493" s="51"/>
      <c r="I493" s="18">
        <f>SUM(C432:C493)</f>
        <v>143730358</v>
      </c>
      <c r="J493" s="19">
        <f>SUM(D432:D493)</f>
        <v>130663962</v>
      </c>
      <c r="K493" s="19">
        <f>SUM(E432:E493)</f>
        <v>13066396</v>
      </c>
      <c r="L493" s="42"/>
      <c r="M493" s="42"/>
      <c r="N493" s="42"/>
      <c r="O493" s="42"/>
      <c r="P493" s="42"/>
      <c r="Q493" s="42"/>
      <c r="R493" s="42"/>
      <c r="S493" s="42"/>
    </row>
    <row r="494" spans="1:19">
      <c r="A494" s="52">
        <v>43222</v>
      </c>
      <c r="B494" s="33" t="s">
        <v>59</v>
      </c>
      <c r="C494" s="78">
        <v>847000</v>
      </c>
      <c r="D494" s="78">
        <v>770000</v>
      </c>
      <c r="E494" s="78">
        <v>77000</v>
      </c>
      <c r="F494" s="54" t="s">
        <v>238</v>
      </c>
      <c r="G494" s="9">
        <v>43251</v>
      </c>
    </row>
    <row r="495" spans="1:19">
      <c r="A495" s="55" t="s">
        <v>300</v>
      </c>
      <c r="B495" s="30" t="s">
        <v>59</v>
      </c>
      <c r="C495" s="80">
        <v>-8581168</v>
      </c>
      <c r="D495" s="80">
        <v>-7801062</v>
      </c>
      <c r="E495" s="80">
        <v>-780106</v>
      </c>
      <c r="F495" s="31" t="s">
        <v>238</v>
      </c>
      <c r="G495" s="81" t="s">
        <v>496</v>
      </c>
      <c r="H495" s="31"/>
      <c r="I495" s="73"/>
      <c r="J495" s="30"/>
      <c r="K495" s="30"/>
      <c r="L495" s="30"/>
      <c r="M495" s="30"/>
      <c r="N495" s="30"/>
      <c r="O495" s="30"/>
      <c r="P495" s="30"/>
      <c r="Q495" s="30"/>
      <c r="R495" s="30"/>
      <c r="S495" s="30"/>
    </row>
    <row r="496" spans="1:19">
      <c r="A496" s="52" t="s">
        <v>300</v>
      </c>
      <c r="B496" s="33" t="s">
        <v>249</v>
      </c>
      <c r="C496" s="78">
        <v>352000</v>
      </c>
      <c r="D496" s="78">
        <v>320000</v>
      </c>
      <c r="E496" s="78">
        <v>32000</v>
      </c>
      <c r="F496" s="54" t="s">
        <v>243</v>
      </c>
      <c r="G496" s="9">
        <v>43230</v>
      </c>
    </row>
    <row r="497" spans="1:11">
      <c r="A497" s="55" t="s">
        <v>300</v>
      </c>
      <c r="B497" s="30" t="s">
        <v>59</v>
      </c>
      <c r="C497" s="80">
        <v>8581168</v>
      </c>
      <c r="D497" s="80">
        <v>7801062</v>
      </c>
      <c r="E497" s="80">
        <v>780106</v>
      </c>
      <c r="F497" s="31" t="s">
        <v>238</v>
      </c>
      <c r="G497" s="81" t="s">
        <v>496</v>
      </c>
    </row>
    <row r="498" spans="1:11">
      <c r="A498" s="52">
        <v>43229</v>
      </c>
      <c r="B498" s="33" t="s">
        <v>59</v>
      </c>
      <c r="C498" s="78">
        <v>847000</v>
      </c>
      <c r="D498" s="78">
        <v>770000</v>
      </c>
      <c r="E498" s="78">
        <v>77000</v>
      </c>
      <c r="F498" s="54" t="s">
        <v>238</v>
      </c>
      <c r="G498" s="9">
        <v>43251</v>
      </c>
      <c r="J498" s="64"/>
      <c r="K498" s="64"/>
    </row>
    <row r="499" spans="1:11">
      <c r="A499" s="52">
        <v>43229</v>
      </c>
      <c r="B499" s="33" t="s">
        <v>59</v>
      </c>
      <c r="C499" s="78">
        <v>2002000</v>
      </c>
      <c r="D499" s="78">
        <v>1820000</v>
      </c>
      <c r="E499" s="78">
        <v>182000</v>
      </c>
      <c r="F499" s="54" t="s">
        <v>184</v>
      </c>
      <c r="G499" s="9">
        <v>43236</v>
      </c>
    </row>
    <row r="500" spans="1:11">
      <c r="A500" s="52">
        <v>43229</v>
      </c>
      <c r="B500" s="33" t="s">
        <v>59</v>
      </c>
      <c r="C500" s="78">
        <v>2695000</v>
      </c>
      <c r="D500" s="78">
        <v>2450000</v>
      </c>
      <c r="E500" s="78">
        <v>245000</v>
      </c>
      <c r="F500" s="54" t="s">
        <v>142</v>
      </c>
      <c r="G500" s="9">
        <v>43251</v>
      </c>
    </row>
    <row r="501" spans="1:11">
      <c r="A501" s="52" t="s">
        <v>301</v>
      </c>
      <c r="B501" s="33" t="s">
        <v>2</v>
      </c>
      <c r="C501" s="78">
        <v>13530000</v>
      </c>
      <c r="D501" s="78">
        <v>12300000</v>
      </c>
      <c r="E501" s="78">
        <v>1230000</v>
      </c>
      <c r="F501" s="54" t="s">
        <v>521</v>
      </c>
      <c r="G501" s="65">
        <v>43245</v>
      </c>
      <c r="H501" s="17" t="s">
        <v>517</v>
      </c>
    </row>
    <row r="502" spans="1:11">
      <c r="A502" s="52" t="s">
        <v>301</v>
      </c>
      <c r="B502" s="33" t="s">
        <v>2</v>
      </c>
      <c r="C502" s="78">
        <v>2502720</v>
      </c>
      <c r="D502" s="78">
        <v>2275200</v>
      </c>
      <c r="E502" s="78">
        <v>227520</v>
      </c>
      <c r="F502" s="54" t="s">
        <v>233</v>
      </c>
      <c r="G502" s="65">
        <v>43245</v>
      </c>
      <c r="H502" s="17" t="s">
        <v>517</v>
      </c>
    </row>
    <row r="503" spans="1:11">
      <c r="A503" s="52" t="s">
        <v>301</v>
      </c>
      <c r="B503" s="33" t="s">
        <v>2</v>
      </c>
      <c r="C503" s="78">
        <v>99000</v>
      </c>
      <c r="D503" s="78">
        <v>90000</v>
      </c>
      <c r="E503" s="78">
        <v>9000</v>
      </c>
      <c r="F503" s="54" t="s">
        <v>66</v>
      </c>
      <c r="G503" s="65">
        <v>43245</v>
      </c>
      <c r="H503" s="17" t="s">
        <v>517</v>
      </c>
    </row>
    <row r="504" spans="1:11">
      <c r="A504" s="52" t="s">
        <v>301</v>
      </c>
      <c r="B504" s="33" t="s">
        <v>2</v>
      </c>
      <c r="C504" s="78">
        <v>3833500</v>
      </c>
      <c r="D504" s="78">
        <v>3485000</v>
      </c>
      <c r="E504" s="78">
        <v>348500</v>
      </c>
      <c r="F504" s="54" t="s">
        <v>244</v>
      </c>
      <c r="G504" s="65">
        <v>43245</v>
      </c>
      <c r="H504" s="17" t="s">
        <v>517</v>
      </c>
    </row>
    <row r="505" spans="1:11">
      <c r="A505" s="52" t="s">
        <v>301</v>
      </c>
      <c r="B505" s="33" t="s">
        <v>2</v>
      </c>
      <c r="C505" s="78">
        <v>6039000</v>
      </c>
      <c r="D505" s="78">
        <v>5490000</v>
      </c>
      <c r="E505" s="78">
        <v>549000</v>
      </c>
      <c r="F505" s="54" t="s">
        <v>280</v>
      </c>
      <c r="G505" s="65">
        <v>43245</v>
      </c>
      <c r="H505" s="17" t="s">
        <v>517</v>
      </c>
    </row>
    <row r="506" spans="1:11">
      <c r="A506" s="52" t="s">
        <v>301</v>
      </c>
      <c r="B506" s="33" t="s">
        <v>2</v>
      </c>
      <c r="C506" s="78">
        <v>254100</v>
      </c>
      <c r="D506" s="78">
        <v>231000</v>
      </c>
      <c r="E506" s="78">
        <v>23100</v>
      </c>
      <c r="F506" s="54" t="s">
        <v>254</v>
      </c>
      <c r="G506" s="65">
        <v>43245</v>
      </c>
    </row>
    <row r="507" spans="1:11">
      <c r="A507" s="52" t="s">
        <v>301</v>
      </c>
      <c r="B507" s="33" t="s">
        <v>2</v>
      </c>
      <c r="C507" s="78">
        <v>297000</v>
      </c>
      <c r="D507" s="78">
        <v>270000</v>
      </c>
      <c r="E507" s="78">
        <v>27000</v>
      </c>
      <c r="F507" s="54" t="s">
        <v>245</v>
      </c>
      <c r="G507" s="65">
        <v>43245</v>
      </c>
    </row>
    <row r="508" spans="1:11">
      <c r="A508" s="52" t="s">
        <v>301</v>
      </c>
      <c r="B508" s="33" t="s">
        <v>2</v>
      </c>
      <c r="C508" s="78">
        <v>931700</v>
      </c>
      <c r="D508" s="78">
        <v>847000</v>
      </c>
      <c r="E508" s="78">
        <v>84700</v>
      </c>
      <c r="F508" s="54" t="s">
        <v>255</v>
      </c>
      <c r="G508" s="65">
        <v>43245</v>
      </c>
    </row>
    <row r="509" spans="1:11">
      <c r="A509" s="52" t="s">
        <v>301</v>
      </c>
      <c r="B509" s="33" t="s">
        <v>2</v>
      </c>
      <c r="C509" s="78">
        <v>396000</v>
      </c>
      <c r="D509" s="78">
        <v>360000</v>
      </c>
      <c r="E509" s="78">
        <v>36000</v>
      </c>
      <c r="F509" s="54" t="s">
        <v>297</v>
      </c>
      <c r="G509" s="65">
        <v>43245</v>
      </c>
    </row>
    <row r="510" spans="1:11">
      <c r="A510" s="52" t="s">
        <v>301</v>
      </c>
      <c r="B510" s="33" t="s">
        <v>2</v>
      </c>
      <c r="C510" s="78">
        <v>641520</v>
      </c>
      <c r="D510" s="78">
        <v>583200</v>
      </c>
      <c r="E510" s="78">
        <v>58320</v>
      </c>
      <c r="F510" s="54" t="s">
        <v>298</v>
      </c>
      <c r="G510" s="65">
        <v>43245</v>
      </c>
    </row>
    <row r="511" spans="1:11">
      <c r="A511" s="52" t="s">
        <v>301</v>
      </c>
      <c r="B511" s="33" t="s">
        <v>2</v>
      </c>
      <c r="C511" s="78">
        <v>12254000</v>
      </c>
      <c r="D511" s="78">
        <v>11140000</v>
      </c>
      <c r="E511" s="78">
        <v>1114000</v>
      </c>
      <c r="F511" s="54" t="s">
        <v>280</v>
      </c>
      <c r="G511" s="65">
        <v>43245</v>
      </c>
    </row>
    <row r="512" spans="1:11">
      <c r="A512" s="52">
        <v>43235</v>
      </c>
      <c r="B512" s="33" t="s">
        <v>59</v>
      </c>
      <c r="C512" s="78">
        <v>5759600</v>
      </c>
      <c r="D512" s="78">
        <v>5236000</v>
      </c>
      <c r="E512" s="78">
        <v>523600</v>
      </c>
      <c r="F512" s="54" t="s">
        <v>522</v>
      </c>
      <c r="G512" s="9">
        <v>43251</v>
      </c>
      <c r="H512" s="17" t="s">
        <v>517</v>
      </c>
    </row>
    <row r="513" spans="1:10">
      <c r="A513" s="52">
        <v>43235</v>
      </c>
      <c r="B513" s="33" t="s">
        <v>59</v>
      </c>
      <c r="C513" s="78">
        <v>693000</v>
      </c>
      <c r="D513" s="78">
        <v>630000</v>
      </c>
      <c r="E513" s="78">
        <v>63000</v>
      </c>
      <c r="F513" s="54" t="s">
        <v>523</v>
      </c>
      <c r="G513" s="9">
        <v>43251</v>
      </c>
    </row>
    <row r="514" spans="1:10">
      <c r="A514" s="52">
        <v>43235</v>
      </c>
      <c r="B514" s="33" t="s">
        <v>59</v>
      </c>
      <c r="C514" s="78">
        <v>1991000</v>
      </c>
      <c r="D514" s="78">
        <v>1810000</v>
      </c>
      <c r="E514" s="78">
        <v>181000</v>
      </c>
      <c r="F514" s="54" t="s">
        <v>184</v>
      </c>
      <c r="G514" s="9">
        <v>43251</v>
      </c>
    </row>
    <row r="515" spans="1:10">
      <c r="A515" s="52">
        <v>43235</v>
      </c>
      <c r="B515" s="33" t="s">
        <v>59</v>
      </c>
      <c r="C515" s="78">
        <v>2882000</v>
      </c>
      <c r="D515" s="78">
        <v>2620000</v>
      </c>
      <c r="E515" s="78">
        <v>262000</v>
      </c>
      <c r="F515" s="54" t="s">
        <v>142</v>
      </c>
      <c r="G515" s="9">
        <v>43251</v>
      </c>
    </row>
    <row r="516" spans="1:10">
      <c r="A516" s="52">
        <v>43236</v>
      </c>
      <c r="B516" s="33" t="s">
        <v>59</v>
      </c>
      <c r="C516" s="78">
        <v>792000</v>
      </c>
      <c r="D516" s="78">
        <v>720000</v>
      </c>
      <c r="E516" s="78">
        <v>72000</v>
      </c>
      <c r="F516" s="54" t="s">
        <v>568</v>
      </c>
      <c r="G516" s="9">
        <v>43251</v>
      </c>
      <c r="H516" s="17" t="s">
        <v>517</v>
      </c>
    </row>
    <row r="517" spans="1:10">
      <c r="A517" s="52">
        <v>43236</v>
      </c>
      <c r="B517" s="33" t="s">
        <v>59</v>
      </c>
      <c r="C517" s="78">
        <v>1760550</v>
      </c>
      <c r="D517" s="78">
        <v>1600500</v>
      </c>
      <c r="E517" s="78">
        <v>160050</v>
      </c>
      <c r="F517" s="54" t="s">
        <v>568</v>
      </c>
      <c r="G517" s="9">
        <v>43251</v>
      </c>
      <c r="H517" s="17" t="s">
        <v>517</v>
      </c>
    </row>
    <row r="518" spans="1:10">
      <c r="A518" s="52">
        <v>43237</v>
      </c>
      <c r="B518" s="33" t="s">
        <v>59</v>
      </c>
      <c r="C518" s="78">
        <v>440000</v>
      </c>
      <c r="D518" s="78">
        <v>400000</v>
      </c>
      <c r="E518" s="78">
        <v>40000</v>
      </c>
      <c r="F518" s="54" t="s">
        <v>568</v>
      </c>
      <c r="G518" s="9">
        <v>43251</v>
      </c>
      <c r="H518" s="17" t="s">
        <v>517</v>
      </c>
    </row>
    <row r="519" spans="1:10">
      <c r="A519" s="52">
        <v>43243</v>
      </c>
      <c r="B519" s="33" t="s">
        <v>59</v>
      </c>
      <c r="C519" s="78">
        <v>1573000</v>
      </c>
      <c r="D519" s="78">
        <v>1430000</v>
      </c>
      <c r="E519" s="78">
        <v>143000</v>
      </c>
      <c r="F519" s="54" t="s">
        <v>184</v>
      </c>
      <c r="G519" s="9">
        <v>43251</v>
      </c>
      <c r="J519" s="14"/>
    </row>
    <row r="520" spans="1:10">
      <c r="A520" s="52">
        <v>43244</v>
      </c>
      <c r="B520" s="33" t="s">
        <v>59</v>
      </c>
      <c r="C520" s="78">
        <v>1881000</v>
      </c>
      <c r="D520" s="78">
        <v>1710000</v>
      </c>
      <c r="E520" s="78">
        <v>171000</v>
      </c>
      <c r="F520" s="54" t="s">
        <v>142</v>
      </c>
      <c r="G520" s="9">
        <v>43252</v>
      </c>
    </row>
    <row r="521" spans="1:10">
      <c r="A521" s="52">
        <v>43250</v>
      </c>
      <c r="B521" s="33" t="s">
        <v>59</v>
      </c>
      <c r="C521" s="78">
        <v>1804000</v>
      </c>
      <c r="D521" s="78">
        <v>1640000</v>
      </c>
      <c r="E521" s="78">
        <v>164000</v>
      </c>
      <c r="F521" s="54" t="s">
        <v>568</v>
      </c>
      <c r="G521" s="9">
        <v>43251</v>
      </c>
    </row>
    <row r="522" spans="1:10">
      <c r="A522" s="52">
        <v>43250</v>
      </c>
      <c r="B522" s="33" t="s">
        <v>59</v>
      </c>
      <c r="C522" s="78">
        <v>1881000</v>
      </c>
      <c r="D522" s="78">
        <v>1710000</v>
      </c>
      <c r="E522" s="78">
        <v>171000</v>
      </c>
      <c r="F522" s="54" t="s">
        <v>142</v>
      </c>
      <c r="G522" s="9">
        <v>43269</v>
      </c>
    </row>
    <row r="523" spans="1:10">
      <c r="A523" s="52" t="s">
        <v>302</v>
      </c>
      <c r="B523" s="33" t="s">
        <v>296</v>
      </c>
      <c r="C523" s="78">
        <v>3113000</v>
      </c>
      <c r="D523" s="78">
        <v>2830000</v>
      </c>
      <c r="E523" s="78">
        <v>283000</v>
      </c>
      <c r="F523" s="54" t="s">
        <v>13</v>
      </c>
      <c r="G523" s="9">
        <v>43259</v>
      </c>
    </row>
    <row r="524" spans="1:10">
      <c r="A524" s="52" t="s">
        <v>302</v>
      </c>
      <c r="B524" s="33" t="s">
        <v>150</v>
      </c>
      <c r="C524" s="78">
        <v>1474000</v>
      </c>
      <c r="D524" s="78">
        <v>1340000</v>
      </c>
      <c r="E524" s="78">
        <v>134000</v>
      </c>
      <c r="F524" s="54" t="s">
        <v>13</v>
      </c>
      <c r="G524" s="9">
        <v>43291</v>
      </c>
    </row>
    <row r="525" spans="1:10">
      <c r="A525" s="52" t="s">
        <v>302</v>
      </c>
      <c r="B525" s="33" t="s">
        <v>85</v>
      </c>
      <c r="C525" s="78">
        <v>5577000</v>
      </c>
      <c r="D525" s="78">
        <v>5070000</v>
      </c>
      <c r="E525" s="78">
        <v>507000</v>
      </c>
      <c r="F525" s="54" t="s">
        <v>13</v>
      </c>
      <c r="G525" s="30" t="s">
        <v>524</v>
      </c>
    </row>
    <row r="526" spans="1:10">
      <c r="A526" s="52" t="s">
        <v>302</v>
      </c>
      <c r="B526" s="33" t="s">
        <v>285</v>
      </c>
      <c r="C526" s="78">
        <v>3866500</v>
      </c>
      <c r="D526" s="78">
        <v>3515000</v>
      </c>
      <c r="E526" s="78">
        <v>351500</v>
      </c>
      <c r="F526" s="54" t="s">
        <v>13</v>
      </c>
      <c r="G526" s="9">
        <v>43262</v>
      </c>
    </row>
    <row r="527" spans="1:10">
      <c r="A527" s="52" t="s">
        <v>302</v>
      </c>
      <c r="B527" s="33" t="s">
        <v>86</v>
      </c>
      <c r="C527" s="78">
        <v>583000</v>
      </c>
      <c r="D527" s="78">
        <v>530000</v>
      </c>
      <c r="E527" s="78">
        <v>53000</v>
      </c>
      <c r="F527" s="54" t="s">
        <v>13</v>
      </c>
      <c r="G527" s="9">
        <v>43262</v>
      </c>
    </row>
    <row r="528" spans="1:10">
      <c r="A528" s="52" t="s">
        <v>302</v>
      </c>
      <c r="B528" s="33" t="s">
        <v>2</v>
      </c>
      <c r="C528" s="78">
        <v>3549700</v>
      </c>
      <c r="D528" s="78">
        <v>3227000</v>
      </c>
      <c r="E528" s="78">
        <v>322700</v>
      </c>
      <c r="F528" s="54" t="s">
        <v>306</v>
      </c>
      <c r="G528" s="9">
        <v>43262</v>
      </c>
    </row>
    <row r="529" spans="1:8">
      <c r="A529" s="52" t="s">
        <v>302</v>
      </c>
      <c r="B529" s="33" t="s">
        <v>2</v>
      </c>
      <c r="C529" s="78">
        <v>338800</v>
      </c>
      <c r="D529" s="78">
        <v>308000</v>
      </c>
      <c r="E529" s="78">
        <v>30800</v>
      </c>
      <c r="F529" s="54" t="s">
        <v>254</v>
      </c>
      <c r="G529" s="9">
        <v>43262</v>
      </c>
    </row>
    <row r="530" spans="1:8">
      <c r="A530" s="52" t="s">
        <v>302</v>
      </c>
      <c r="B530" s="33" t="s">
        <v>2</v>
      </c>
      <c r="C530" s="78">
        <v>495000</v>
      </c>
      <c r="D530" s="78">
        <v>450000</v>
      </c>
      <c r="E530" s="78">
        <v>45000</v>
      </c>
      <c r="F530" s="54" t="s">
        <v>245</v>
      </c>
      <c r="G530" s="9">
        <v>43262</v>
      </c>
    </row>
    <row r="531" spans="1:8">
      <c r="A531" s="52" t="s">
        <v>302</v>
      </c>
      <c r="B531" s="33" t="s">
        <v>2</v>
      </c>
      <c r="C531" s="78">
        <v>338800</v>
      </c>
      <c r="D531" s="78">
        <v>308000</v>
      </c>
      <c r="E531" s="78">
        <v>30800</v>
      </c>
      <c r="F531" s="54" t="s">
        <v>255</v>
      </c>
      <c r="G531" s="9">
        <v>43262</v>
      </c>
    </row>
    <row r="532" spans="1:8">
      <c r="A532" s="52" t="s">
        <v>302</v>
      </c>
      <c r="B532" s="33" t="s">
        <v>2</v>
      </c>
      <c r="C532" s="78">
        <v>297000</v>
      </c>
      <c r="D532" s="78">
        <v>270000</v>
      </c>
      <c r="E532" s="78">
        <v>27000</v>
      </c>
      <c r="F532" s="54" t="s">
        <v>66</v>
      </c>
      <c r="G532" s="9">
        <v>43262</v>
      </c>
    </row>
    <row r="533" spans="1:8">
      <c r="A533" s="52" t="s">
        <v>302</v>
      </c>
      <c r="B533" s="33" t="s">
        <v>2</v>
      </c>
      <c r="C533" s="78">
        <v>521400</v>
      </c>
      <c r="D533" s="78">
        <v>474000</v>
      </c>
      <c r="E533" s="78">
        <v>47400</v>
      </c>
      <c r="F533" s="54" t="s">
        <v>233</v>
      </c>
      <c r="G533" s="9">
        <v>43262</v>
      </c>
    </row>
    <row r="534" spans="1:8">
      <c r="A534" s="52" t="s">
        <v>302</v>
      </c>
      <c r="B534" s="33" t="s">
        <v>2</v>
      </c>
      <c r="C534" s="78">
        <v>13810500</v>
      </c>
      <c r="D534" s="78">
        <v>12555000</v>
      </c>
      <c r="E534" s="78">
        <v>1255500</v>
      </c>
      <c r="F534" s="54" t="s">
        <v>280</v>
      </c>
      <c r="G534" s="9">
        <v>43262</v>
      </c>
    </row>
    <row r="535" spans="1:8">
      <c r="A535" s="52" t="s">
        <v>302</v>
      </c>
      <c r="B535" s="33" t="s">
        <v>2</v>
      </c>
      <c r="C535" s="78">
        <v>3657500</v>
      </c>
      <c r="D535" s="78">
        <v>3325000</v>
      </c>
      <c r="E535" s="78">
        <v>332500</v>
      </c>
      <c r="F535" s="54" t="s">
        <v>244</v>
      </c>
      <c r="G535" s="9">
        <v>43262</v>
      </c>
      <c r="H535" s="17" t="s">
        <v>517</v>
      </c>
    </row>
    <row r="536" spans="1:8">
      <c r="A536" s="52" t="s">
        <v>302</v>
      </c>
      <c r="B536" s="33" t="s">
        <v>2</v>
      </c>
      <c r="C536" s="78">
        <v>2815560</v>
      </c>
      <c r="D536" s="78">
        <v>2559600</v>
      </c>
      <c r="E536" s="78">
        <v>255960</v>
      </c>
      <c r="F536" s="54" t="s">
        <v>233</v>
      </c>
      <c r="G536" s="9">
        <v>43262</v>
      </c>
      <c r="H536" s="17" t="s">
        <v>517</v>
      </c>
    </row>
    <row r="537" spans="1:8">
      <c r="A537" s="52" t="s">
        <v>302</v>
      </c>
      <c r="B537" s="33" t="s">
        <v>2</v>
      </c>
      <c r="C537" s="78">
        <v>5841000</v>
      </c>
      <c r="D537" s="78">
        <v>5310000</v>
      </c>
      <c r="E537" s="78">
        <v>531000</v>
      </c>
      <c r="F537" s="54" t="s">
        <v>280</v>
      </c>
      <c r="G537" s="9">
        <v>43262</v>
      </c>
      <c r="H537" s="17" t="s">
        <v>517</v>
      </c>
    </row>
    <row r="538" spans="1:8">
      <c r="A538" s="52" t="s">
        <v>302</v>
      </c>
      <c r="B538" s="33" t="s">
        <v>2</v>
      </c>
      <c r="C538" s="78">
        <v>13310000</v>
      </c>
      <c r="D538" s="78">
        <v>12100000</v>
      </c>
      <c r="E538" s="78">
        <v>1210000</v>
      </c>
      <c r="F538" s="54" t="s">
        <v>255</v>
      </c>
      <c r="G538" s="9">
        <v>43262</v>
      </c>
      <c r="H538" s="17" t="s">
        <v>517</v>
      </c>
    </row>
    <row r="539" spans="1:8">
      <c r="A539" s="52" t="s">
        <v>302</v>
      </c>
      <c r="B539" s="33" t="s">
        <v>59</v>
      </c>
      <c r="C539" s="78">
        <v>6828800</v>
      </c>
      <c r="D539" s="78">
        <v>6208000</v>
      </c>
      <c r="E539" s="78">
        <v>620800</v>
      </c>
      <c r="F539" s="54" t="s">
        <v>238</v>
      </c>
      <c r="G539" s="9">
        <v>43269</v>
      </c>
      <c r="H539" s="17" t="s">
        <v>517</v>
      </c>
    </row>
    <row r="540" spans="1:8">
      <c r="A540" s="52" t="s">
        <v>302</v>
      </c>
      <c r="B540" s="33" t="s">
        <v>15</v>
      </c>
      <c r="C540" s="78">
        <v>198000</v>
      </c>
      <c r="D540" s="78">
        <v>180000</v>
      </c>
      <c r="E540" s="78">
        <v>18000</v>
      </c>
      <c r="F540" s="54" t="s">
        <v>305</v>
      </c>
      <c r="G540" s="9">
        <v>43276</v>
      </c>
    </row>
    <row r="541" spans="1:8">
      <c r="A541" s="52" t="s">
        <v>302</v>
      </c>
      <c r="B541" s="33" t="s">
        <v>15</v>
      </c>
      <c r="C541" s="78">
        <v>1188000</v>
      </c>
      <c r="D541" s="78">
        <v>1080000</v>
      </c>
      <c r="E541" s="78">
        <v>108000</v>
      </c>
      <c r="F541" s="54" t="s">
        <v>261</v>
      </c>
      <c r="G541" s="9">
        <v>43276</v>
      </c>
    </row>
    <row r="542" spans="1:8">
      <c r="A542" s="52" t="s">
        <v>302</v>
      </c>
      <c r="B542" s="33" t="s">
        <v>15</v>
      </c>
      <c r="C542" s="78">
        <v>8657000</v>
      </c>
      <c r="D542" s="78">
        <v>7870000</v>
      </c>
      <c r="E542" s="78">
        <v>787000</v>
      </c>
      <c r="F542" s="54" t="s">
        <v>262</v>
      </c>
      <c r="G542" s="9">
        <v>43276</v>
      </c>
    </row>
    <row r="543" spans="1:8">
      <c r="A543" s="52" t="s">
        <v>302</v>
      </c>
      <c r="B543" s="33" t="s">
        <v>15</v>
      </c>
      <c r="C543" s="78">
        <v>2970000</v>
      </c>
      <c r="D543" s="78">
        <v>2700000</v>
      </c>
      <c r="E543" s="78">
        <v>270000</v>
      </c>
      <c r="F543" s="54" t="s">
        <v>67</v>
      </c>
      <c r="G543" s="9">
        <v>43276</v>
      </c>
    </row>
    <row r="544" spans="1:8">
      <c r="A544" s="52" t="s">
        <v>302</v>
      </c>
      <c r="B544" s="33" t="s">
        <v>15</v>
      </c>
      <c r="C544" s="78">
        <v>10395000</v>
      </c>
      <c r="D544" s="78">
        <v>9450000</v>
      </c>
      <c r="E544" s="78">
        <v>945000</v>
      </c>
      <c r="F544" s="54" t="s">
        <v>78</v>
      </c>
      <c r="G544" s="9">
        <v>43276</v>
      </c>
    </row>
    <row r="545" spans="1:19">
      <c r="A545" s="52">
        <v>43251</v>
      </c>
      <c r="B545" s="33" t="s">
        <v>155</v>
      </c>
      <c r="C545" s="78">
        <v>5346000</v>
      </c>
      <c r="D545" s="78">
        <v>4860000</v>
      </c>
      <c r="E545" s="78">
        <v>486000</v>
      </c>
      <c r="F545" s="54" t="s">
        <v>13</v>
      </c>
      <c r="G545" s="9">
        <v>43273</v>
      </c>
    </row>
    <row r="546" spans="1:19">
      <c r="A546" s="52" t="s">
        <v>302</v>
      </c>
      <c r="B546" s="33" t="s">
        <v>63</v>
      </c>
      <c r="C546" s="78">
        <v>2321000</v>
      </c>
      <c r="D546" s="78">
        <v>2110000</v>
      </c>
      <c r="E546" s="78">
        <v>211000</v>
      </c>
      <c r="F546" s="54" t="s">
        <v>13</v>
      </c>
      <c r="G546" s="9">
        <v>43256</v>
      </c>
    </row>
    <row r="547" spans="1:19">
      <c r="A547" s="52" t="s">
        <v>302</v>
      </c>
      <c r="B547" s="33" t="s">
        <v>1</v>
      </c>
      <c r="C547" s="78">
        <v>778800</v>
      </c>
      <c r="D547" s="78">
        <v>708000</v>
      </c>
      <c r="E547" s="78">
        <v>70800</v>
      </c>
      <c r="F547" s="54" t="s">
        <v>303</v>
      </c>
      <c r="G547" s="9">
        <v>43263</v>
      </c>
      <c r="I547" s="308" t="s">
        <v>525</v>
      </c>
      <c r="J547" s="309"/>
      <c r="K547" s="310"/>
    </row>
    <row r="548" spans="1:19">
      <c r="A548" s="52" t="s">
        <v>302</v>
      </c>
      <c r="B548" s="33" t="s">
        <v>79</v>
      </c>
      <c r="C548" s="78">
        <v>6479000</v>
      </c>
      <c r="D548" s="78">
        <v>5890000</v>
      </c>
      <c r="E548" s="78">
        <v>589000</v>
      </c>
      <c r="F548" s="54" t="s">
        <v>13</v>
      </c>
      <c r="G548" s="9">
        <v>43280</v>
      </c>
      <c r="I548" s="18" t="s">
        <v>487</v>
      </c>
      <c r="J548" s="36" t="s">
        <v>488</v>
      </c>
      <c r="K548" s="36" t="s">
        <v>494</v>
      </c>
    </row>
    <row r="549" spans="1:19">
      <c r="A549" s="47" t="s">
        <v>302</v>
      </c>
      <c r="B549" s="48" t="s">
        <v>59</v>
      </c>
      <c r="C549" s="83">
        <v>6376700</v>
      </c>
      <c r="D549" s="83">
        <v>5797000</v>
      </c>
      <c r="E549" s="83">
        <v>579700</v>
      </c>
      <c r="F549" s="50" t="s">
        <v>522</v>
      </c>
      <c r="G549" s="10">
        <v>43251</v>
      </c>
      <c r="H549" s="51" t="s">
        <v>517</v>
      </c>
      <c r="I549" s="18">
        <f>SUM(C494:C549)</f>
        <v>180105750</v>
      </c>
      <c r="J549" s="19">
        <f>SUM(D494:D549)</f>
        <v>163732500</v>
      </c>
      <c r="K549" s="19">
        <f>SUM(E494:E549)</f>
        <v>16373250</v>
      </c>
      <c r="L549" s="42"/>
      <c r="M549" s="42"/>
      <c r="N549" s="42"/>
      <c r="O549" s="42"/>
      <c r="P549" s="42"/>
      <c r="Q549" s="42"/>
      <c r="R549" s="42"/>
      <c r="S549" s="42"/>
    </row>
    <row r="550" spans="1:19">
      <c r="A550" s="52">
        <v>43255</v>
      </c>
      <c r="B550" s="33" t="s">
        <v>59</v>
      </c>
      <c r="C550" s="78">
        <v>550000</v>
      </c>
      <c r="D550" s="78">
        <v>500000</v>
      </c>
      <c r="E550" s="78">
        <v>50000</v>
      </c>
      <c r="F550" s="54" t="s">
        <v>523</v>
      </c>
      <c r="G550" s="9">
        <v>43269</v>
      </c>
    </row>
    <row r="551" spans="1:19">
      <c r="A551" s="52">
        <v>43255</v>
      </c>
      <c r="B551" s="33" t="s">
        <v>59</v>
      </c>
      <c r="C551" s="78">
        <v>1397000</v>
      </c>
      <c r="D551" s="78">
        <v>1270000</v>
      </c>
      <c r="E551" s="78">
        <v>127000</v>
      </c>
      <c r="F551" s="54" t="s">
        <v>184</v>
      </c>
      <c r="G551" s="9">
        <v>43269</v>
      </c>
    </row>
    <row r="552" spans="1:19">
      <c r="A552" s="52">
        <v>43255</v>
      </c>
      <c r="B552" s="33" t="s">
        <v>59</v>
      </c>
      <c r="C552" s="78">
        <v>2200000</v>
      </c>
      <c r="D552" s="78">
        <v>2000000</v>
      </c>
      <c r="E552" s="78">
        <v>200000</v>
      </c>
      <c r="F552" s="54" t="s">
        <v>142</v>
      </c>
      <c r="G552" s="9">
        <v>43269</v>
      </c>
    </row>
    <row r="553" spans="1:19">
      <c r="A553" s="52">
        <v>43263</v>
      </c>
      <c r="B553" s="33" t="s">
        <v>59</v>
      </c>
      <c r="C553" s="78">
        <v>1507000</v>
      </c>
      <c r="D553" s="78">
        <v>1370000</v>
      </c>
      <c r="E553" s="78">
        <v>137000</v>
      </c>
      <c r="F553" s="54" t="s">
        <v>142</v>
      </c>
      <c r="G553" s="9">
        <v>43269</v>
      </c>
    </row>
    <row r="554" spans="1:19">
      <c r="A554" s="52">
        <v>43265</v>
      </c>
      <c r="B554" s="33" t="s">
        <v>59</v>
      </c>
      <c r="C554" s="78">
        <v>1182500</v>
      </c>
      <c r="D554" s="78">
        <v>1075000</v>
      </c>
      <c r="E554" s="78">
        <v>107500</v>
      </c>
      <c r="F554" s="54" t="s">
        <v>184</v>
      </c>
      <c r="G554" s="9">
        <v>43269</v>
      </c>
    </row>
    <row r="555" spans="1:19">
      <c r="A555" s="52">
        <v>43265</v>
      </c>
      <c r="B555" s="33" t="s">
        <v>59</v>
      </c>
      <c r="C555" s="78">
        <v>467500</v>
      </c>
      <c r="D555" s="78">
        <v>425000</v>
      </c>
      <c r="E555" s="78">
        <v>42500</v>
      </c>
      <c r="F555" s="54" t="s">
        <v>523</v>
      </c>
      <c r="G555" s="9">
        <v>43269</v>
      </c>
    </row>
    <row r="556" spans="1:19">
      <c r="A556" s="52" t="s">
        <v>307</v>
      </c>
      <c r="B556" s="33" t="s">
        <v>2</v>
      </c>
      <c r="C556" s="78">
        <v>11660000</v>
      </c>
      <c r="D556" s="78">
        <v>10600000</v>
      </c>
      <c r="E556" s="78">
        <v>1060000</v>
      </c>
      <c r="F556" s="54" t="s">
        <v>255</v>
      </c>
      <c r="G556" s="65">
        <v>43276</v>
      </c>
      <c r="H556" s="17" t="s">
        <v>517</v>
      </c>
    </row>
    <row r="557" spans="1:19">
      <c r="A557" s="55" t="s">
        <v>307</v>
      </c>
      <c r="B557" s="30" t="s">
        <v>2</v>
      </c>
      <c r="C557" s="80">
        <v>-11550000</v>
      </c>
      <c r="D557" s="80">
        <v>-10500000</v>
      </c>
      <c r="E557" s="80">
        <v>-1050000</v>
      </c>
      <c r="F557" s="31" t="s">
        <v>255</v>
      </c>
      <c r="G557" s="30" t="s">
        <v>496</v>
      </c>
      <c r="H557" s="31"/>
    </row>
    <row r="558" spans="1:19">
      <c r="A558" s="55" t="s">
        <v>307</v>
      </c>
      <c r="B558" s="30" t="s">
        <v>2</v>
      </c>
      <c r="C558" s="80">
        <v>11550000</v>
      </c>
      <c r="D558" s="80">
        <v>10500000</v>
      </c>
      <c r="E558" s="80">
        <v>1050000</v>
      </c>
      <c r="F558" s="31" t="s">
        <v>255</v>
      </c>
      <c r="G558" s="30" t="s">
        <v>496</v>
      </c>
      <c r="H558" s="31"/>
    </row>
    <row r="559" spans="1:19">
      <c r="A559" s="52" t="s">
        <v>307</v>
      </c>
      <c r="B559" s="33" t="s">
        <v>2</v>
      </c>
      <c r="C559" s="78">
        <v>2612500</v>
      </c>
      <c r="D559" s="78">
        <v>2375000</v>
      </c>
      <c r="E559" s="78">
        <v>237500</v>
      </c>
      <c r="F559" s="54" t="s">
        <v>244</v>
      </c>
      <c r="G559" s="65">
        <v>43276</v>
      </c>
      <c r="H559" s="17" t="s">
        <v>517</v>
      </c>
    </row>
    <row r="560" spans="1:19">
      <c r="A560" s="52" t="s">
        <v>307</v>
      </c>
      <c r="B560" s="33" t="s">
        <v>2</v>
      </c>
      <c r="C560" s="78">
        <v>2711280</v>
      </c>
      <c r="D560" s="78">
        <v>2464800</v>
      </c>
      <c r="E560" s="78">
        <v>246480</v>
      </c>
      <c r="F560" s="54" t="s">
        <v>233</v>
      </c>
      <c r="G560" s="65">
        <v>43276</v>
      </c>
      <c r="H560" s="17" t="s">
        <v>517</v>
      </c>
    </row>
    <row r="561" spans="1:8">
      <c r="A561" s="52" t="s">
        <v>307</v>
      </c>
      <c r="B561" s="33" t="s">
        <v>2</v>
      </c>
      <c r="C561" s="78">
        <v>4257000</v>
      </c>
      <c r="D561" s="78">
        <v>3870000</v>
      </c>
      <c r="E561" s="78">
        <v>387000</v>
      </c>
      <c r="F561" s="54" t="s">
        <v>280</v>
      </c>
      <c r="G561" s="65">
        <v>43276</v>
      </c>
      <c r="H561" s="17" t="s">
        <v>517</v>
      </c>
    </row>
    <row r="562" spans="1:8">
      <c r="A562" s="52" t="s">
        <v>307</v>
      </c>
      <c r="B562" s="33" t="s">
        <v>2</v>
      </c>
      <c r="C562" s="78">
        <v>6692400</v>
      </c>
      <c r="D562" s="78">
        <v>6084000</v>
      </c>
      <c r="E562" s="78">
        <v>608400</v>
      </c>
      <c r="F562" s="54" t="s">
        <v>306</v>
      </c>
      <c r="G562" s="65">
        <v>43276</v>
      </c>
    </row>
    <row r="563" spans="1:8">
      <c r="A563" s="52" t="s">
        <v>307</v>
      </c>
      <c r="B563" s="33" t="s">
        <v>2</v>
      </c>
      <c r="C563" s="78">
        <v>297000</v>
      </c>
      <c r="D563" s="78">
        <v>270000</v>
      </c>
      <c r="E563" s="78">
        <v>27000</v>
      </c>
      <c r="F563" s="54" t="s">
        <v>245</v>
      </c>
      <c r="G563" s="65">
        <v>43276</v>
      </c>
    </row>
    <row r="564" spans="1:8">
      <c r="A564" s="52" t="s">
        <v>307</v>
      </c>
      <c r="B564" s="33" t="s">
        <v>2</v>
      </c>
      <c r="C564" s="78">
        <v>1147080</v>
      </c>
      <c r="D564" s="78">
        <v>1042800</v>
      </c>
      <c r="E564" s="78">
        <v>104280</v>
      </c>
      <c r="F564" s="54" t="s">
        <v>233</v>
      </c>
      <c r="G564" s="65">
        <v>43276</v>
      </c>
    </row>
    <row r="565" spans="1:8">
      <c r="A565" s="52" t="s">
        <v>307</v>
      </c>
      <c r="B565" s="33" t="s">
        <v>2</v>
      </c>
      <c r="C565" s="78">
        <v>10895500</v>
      </c>
      <c r="D565" s="78">
        <v>9905000</v>
      </c>
      <c r="E565" s="78">
        <v>990500</v>
      </c>
      <c r="F565" s="54" t="s">
        <v>280</v>
      </c>
      <c r="G565" s="65">
        <v>43276</v>
      </c>
    </row>
    <row r="566" spans="1:8">
      <c r="A566" s="52">
        <v>43266</v>
      </c>
      <c r="B566" s="33" t="s">
        <v>59</v>
      </c>
      <c r="C566" s="78">
        <v>1199000</v>
      </c>
      <c r="D566" s="78">
        <v>1090000</v>
      </c>
      <c r="E566" s="78">
        <v>109000</v>
      </c>
      <c r="F566" s="54" t="s">
        <v>142</v>
      </c>
      <c r="G566" s="9">
        <v>43283</v>
      </c>
    </row>
    <row r="567" spans="1:8">
      <c r="A567" s="52">
        <v>43266</v>
      </c>
      <c r="B567" s="33" t="s">
        <v>59</v>
      </c>
      <c r="C567" s="78">
        <v>594000</v>
      </c>
      <c r="D567" s="78">
        <v>540000</v>
      </c>
      <c r="E567" s="78">
        <v>54000</v>
      </c>
      <c r="F567" s="54" t="s">
        <v>522</v>
      </c>
      <c r="G567" s="9">
        <v>43269</v>
      </c>
    </row>
    <row r="568" spans="1:8">
      <c r="A568" s="52">
        <v>43266</v>
      </c>
      <c r="B568" s="33" t="s">
        <v>59</v>
      </c>
      <c r="C568" s="78">
        <v>297000</v>
      </c>
      <c r="D568" s="78">
        <v>270000</v>
      </c>
      <c r="E568" s="78">
        <v>27000</v>
      </c>
      <c r="F568" s="54" t="s">
        <v>184</v>
      </c>
      <c r="G568" s="9">
        <v>43269</v>
      </c>
    </row>
    <row r="569" spans="1:8">
      <c r="A569" s="52">
        <v>43266</v>
      </c>
      <c r="B569" s="33" t="s">
        <v>59</v>
      </c>
      <c r="C569" s="78">
        <v>4525400</v>
      </c>
      <c r="D569" s="78">
        <v>4114000</v>
      </c>
      <c r="E569" s="78">
        <v>411400</v>
      </c>
      <c r="F569" s="54" t="s">
        <v>522</v>
      </c>
      <c r="G569" s="9">
        <v>43269</v>
      </c>
      <c r="H569" s="17" t="s">
        <v>517</v>
      </c>
    </row>
    <row r="570" spans="1:8">
      <c r="A570" s="52" t="s">
        <v>309</v>
      </c>
      <c r="B570" s="33" t="s">
        <v>310</v>
      </c>
      <c r="C570" s="78">
        <v>1683000</v>
      </c>
      <c r="D570" s="78">
        <v>1530000</v>
      </c>
      <c r="E570" s="78">
        <v>153000</v>
      </c>
      <c r="F570" s="54" t="s">
        <v>13</v>
      </c>
      <c r="G570" s="9">
        <v>43286</v>
      </c>
    </row>
    <row r="571" spans="1:8">
      <c r="A571" s="52">
        <v>43280</v>
      </c>
      <c r="B571" s="33" t="s">
        <v>295</v>
      </c>
      <c r="C571" s="78">
        <v>880000</v>
      </c>
      <c r="D571" s="78">
        <v>800000</v>
      </c>
      <c r="E571" s="78">
        <v>80000</v>
      </c>
      <c r="F571" s="54" t="s">
        <v>13</v>
      </c>
      <c r="G571" s="9">
        <v>43280</v>
      </c>
    </row>
    <row r="572" spans="1:8">
      <c r="A572" s="52" t="s">
        <v>311</v>
      </c>
      <c r="B572" s="33" t="s">
        <v>59</v>
      </c>
      <c r="C572" s="78">
        <v>7793500</v>
      </c>
      <c r="D572" s="78">
        <v>7085000</v>
      </c>
      <c r="E572" s="78">
        <v>708500</v>
      </c>
      <c r="F572" s="54" t="s">
        <v>238</v>
      </c>
      <c r="G572" s="65">
        <v>43297</v>
      </c>
      <c r="H572" s="17" t="s">
        <v>517</v>
      </c>
    </row>
    <row r="573" spans="1:8">
      <c r="A573" s="52" t="s">
        <v>311</v>
      </c>
      <c r="B573" s="33" t="s">
        <v>15</v>
      </c>
      <c r="C573" s="78">
        <v>2640000</v>
      </c>
      <c r="D573" s="78">
        <v>2400000</v>
      </c>
      <c r="E573" s="78">
        <v>240000</v>
      </c>
      <c r="F573" s="54" t="s">
        <v>262</v>
      </c>
      <c r="G573" s="9">
        <v>43312</v>
      </c>
    </row>
    <row r="574" spans="1:8">
      <c r="A574" s="55" t="s">
        <v>311</v>
      </c>
      <c r="B574" s="30" t="s">
        <v>15</v>
      </c>
      <c r="C574" s="80">
        <v>-3344000</v>
      </c>
      <c r="D574" s="80">
        <v>-3040000</v>
      </c>
      <c r="E574" s="80">
        <v>-304000</v>
      </c>
      <c r="F574" s="31" t="s">
        <v>262</v>
      </c>
      <c r="G574" s="81" t="s">
        <v>496</v>
      </c>
    </row>
    <row r="575" spans="1:8">
      <c r="A575" s="52" t="s">
        <v>311</v>
      </c>
      <c r="B575" s="33" t="s">
        <v>155</v>
      </c>
      <c r="C575" s="78">
        <v>3817000</v>
      </c>
      <c r="D575" s="78">
        <v>3470000</v>
      </c>
      <c r="E575" s="78">
        <v>347000</v>
      </c>
      <c r="F575" s="54" t="s">
        <v>13</v>
      </c>
      <c r="G575" s="9">
        <v>43299</v>
      </c>
    </row>
    <row r="576" spans="1:8">
      <c r="A576" s="52" t="s">
        <v>311</v>
      </c>
      <c r="B576" s="33" t="s">
        <v>150</v>
      </c>
      <c r="C576" s="78">
        <v>440000</v>
      </c>
      <c r="D576" s="78">
        <v>400000</v>
      </c>
      <c r="E576" s="78">
        <v>40000</v>
      </c>
      <c r="F576" s="54" t="s">
        <v>13</v>
      </c>
      <c r="G576" s="9">
        <v>43287</v>
      </c>
    </row>
    <row r="577" spans="1:8">
      <c r="A577" s="52" t="s">
        <v>311</v>
      </c>
      <c r="B577" s="33" t="s">
        <v>85</v>
      </c>
      <c r="C577" s="78">
        <v>1705000</v>
      </c>
      <c r="D577" s="78">
        <v>1550000</v>
      </c>
      <c r="E577" s="78">
        <v>155000</v>
      </c>
      <c r="F577" s="54" t="s">
        <v>13</v>
      </c>
      <c r="G577" s="30" t="s">
        <v>524</v>
      </c>
    </row>
    <row r="578" spans="1:8">
      <c r="A578" s="52" t="s">
        <v>311</v>
      </c>
      <c r="B578" s="33" t="s">
        <v>285</v>
      </c>
      <c r="C578" s="78">
        <v>621500</v>
      </c>
      <c r="D578" s="78">
        <v>565000</v>
      </c>
      <c r="E578" s="78">
        <v>56500</v>
      </c>
      <c r="F578" s="54" t="s">
        <v>13</v>
      </c>
      <c r="G578" s="9">
        <v>43294</v>
      </c>
    </row>
    <row r="579" spans="1:8">
      <c r="A579" s="52" t="s">
        <v>311</v>
      </c>
      <c r="B579" s="33" t="s">
        <v>86</v>
      </c>
      <c r="C579" s="78">
        <v>418000</v>
      </c>
      <c r="D579" s="78">
        <v>380000</v>
      </c>
      <c r="E579" s="78">
        <v>38000</v>
      </c>
      <c r="F579" s="54" t="s">
        <v>13</v>
      </c>
      <c r="G579" s="9">
        <v>43291</v>
      </c>
    </row>
    <row r="580" spans="1:8">
      <c r="A580" s="52" t="s">
        <v>311</v>
      </c>
      <c r="B580" s="33" t="s">
        <v>12</v>
      </c>
      <c r="C580" s="78">
        <v>1012000</v>
      </c>
      <c r="D580" s="78">
        <v>920000</v>
      </c>
      <c r="E580" s="78">
        <v>92000</v>
      </c>
      <c r="F580" s="54" t="s">
        <v>13</v>
      </c>
      <c r="G580" s="9">
        <v>43332</v>
      </c>
    </row>
    <row r="581" spans="1:8">
      <c r="A581" s="52" t="s">
        <v>311</v>
      </c>
      <c r="B581" s="33" t="s">
        <v>1</v>
      </c>
      <c r="C581" s="78">
        <v>154000</v>
      </c>
      <c r="D581" s="78">
        <v>140000</v>
      </c>
      <c r="E581" s="78">
        <v>14000</v>
      </c>
      <c r="F581" s="54" t="s">
        <v>303</v>
      </c>
      <c r="G581" s="9">
        <v>43293</v>
      </c>
    </row>
    <row r="582" spans="1:8">
      <c r="A582" s="52" t="s">
        <v>311</v>
      </c>
      <c r="B582" s="33" t="s">
        <v>2</v>
      </c>
      <c r="C582" s="78">
        <v>5544000</v>
      </c>
      <c r="D582" s="78">
        <v>5040000</v>
      </c>
      <c r="E582" s="78">
        <v>504000</v>
      </c>
      <c r="F582" s="54" t="s">
        <v>165</v>
      </c>
      <c r="G582" s="9">
        <v>43291</v>
      </c>
      <c r="H582" s="17" t="s">
        <v>517</v>
      </c>
    </row>
    <row r="583" spans="1:8">
      <c r="A583" s="52" t="s">
        <v>311</v>
      </c>
      <c r="B583" s="33" t="s">
        <v>2</v>
      </c>
      <c r="C583" s="78">
        <v>12870000</v>
      </c>
      <c r="D583" s="78">
        <v>11700000</v>
      </c>
      <c r="E583" s="78">
        <v>1170000</v>
      </c>
      <c r="F583" s="54" t="s">
        <v>255</v>
      </c>
      <c r="G583" s="9">
        <v>43291</v>
      </c>
      <c r="H583" s="17" t="s">
        <v>517</v>
      </c>
    </row>
    <row r="584" spans="1:8">
      <c r="A584" s="52" t="s">
        <v>311</v>
      </c>
      <c r="B584" s="33" t="s">
        <v>2</v>
      </c>
      <c r="C584" s="78">
        <v>2711280</v>
      </c>
      <c r="D584" s="78">
        <v>2464800</v>
      </c>
      <c r="E584" s="78">
        <v>246480</v>
      </c>
      <c r="F584" s="54" t="s">
        <v>233</v>
      </c>
      <c r="G584" s="9">
        <v>43291</v>
      </c>
      <c r="H584" s="17" t="s">
        <v>517</v>
      </c>
    </row>
    <row r="585" spans="1:8">
      <c r="A585" s="52" t="s">
        <v>311</v>
      </c>
      <c r="B585" s="33" t="s">
        <v>2</v>
      </c>
      <c r="C585" s="78">
        <v>2508000</v>
      </c>
      <c r="D585" s="78">
        <v>2280000</v>
      </c>
      <c r="E585" s="78">
        <v>228000</v>
      </c>
      <c r="F585" s="54" t="s">
        <v>290</v>
      </c>
      <c r="G585" s="9">
        <v>43291</v>
      </c>
      <c r="H585" s="17" t="s">
        <v>517</v>
      </c>
    </row>
    <row r="586" spans="1:8">
      <c r="A586" s="52" t="s">
        <v>311</v>
      </c>
      <c r="B586" s="33" t="s">
        <v>2</v>
      </c>
      <c r="C586" s="78">
        <v>792000</v>
      </c>
      <c r="D586" s="78">
        <v>720000</v>
      </c>
      <c r="E586" s="78">
        <v>72000</v>
      </c>
      <c r="F586" s="54" t="s">
        <v>265</v>
      </c>
      <c r="G586" s="9">
        <v>43291</v>
      </c>
      <c r="H586" s="17" t="s">
        <v>517</v>
      </c>
    </row>
    <row r="587" spans="1:8">
      <c r="A587" s="52" t="s">
        <v>311</v>
      </c>
      <c r="B587" s="33" t="s">
        <v>2</v>
      </c>
      <c r="C587" s="78">
        <v>282700</v>
      </c>
      <c r="D587" s="78">
        <v>257000</v>
      </c>
      <c r="E587" s="78">
        <v>25700</v>
      </c>
      <c r="F587" s="54" t="s">
        <v>254</v>
      </c>
      <c r="G587" s="9">
        <v>43291</v>
      </c>
    </row>
    <row r="588" spans="1:8">
      <c r="A588" s="52" t="s">
        <v>311</v>
      </c>
      <c r="B588" s="33" t="s">
        <v>2</v>
      </c>
      <c r="C588" s="78">
        <v>4913700</v>
      </c>
      <c r="D588" s="78">
        <v>4467000</v>
      </c>
      <c r="E588" s="78">
        <v>446700</v>
      </c>
      <c r="F588" s="54" t="s">
        <v>306</v>
      </c>
      <c r="G588" s="9">
        <v>43291</v>
      </c>
    </row>
    <row r="589" spans="1:8">
      <c r="A589" s="52" t="s">
        <v>311</v>
      </c>
      <c r="B589" s="33" t="s">
        <v>2</v>
      </c>
      <c r="C589" s="78">
        <v>198000</v>
      </c>
      <c r="D589" s="78">
        <v>180000</v>
      </c>
      <c r="E589" s="78">
        <v>18000</v>
      </c>
      <c r="F589" s="54" t="s">
        <v>245</v>
      </c>
      <c r="G589" s="9">
        <v>43291</v>
      </c>
    </row>
    <row r="590" spans="1:8">
      <c r="A590" s="52" t="s">
        <v>311</v>
      </c>
      <c r="B590" s="33" t="s">
        <v>2</v>
      </c>
      <c r="C590" s="78">
        <v>2046000</v>
      </c>
      <c r="D590" s="78">
        <v>1860000</v>
      </c>
      <c r="E590" s="78">
        <v>186000</v>
      </c>
      <c r="F590" s="54" t="s">
        <v>298</v>
      </c>
      <c r="G590" s="9">
        <v>43291</v>
      </c>
    </row>
    <row r="591" spans="1:8">
      <c r="A591" s="52" t="s">
        <v>311</v>
      </c>
      <c r="B591" s="33" t="s">
        <v>2</v>
      </c>
      <c r="C591" s="78">
        <v>8162000</v>
      </c>
      <c r="D591" s="78">
        <v>7420000</v>
      </c>
      <c r="E591" s="78">
        <v>742000</v>
      </c>
      <c r="F591" s="54" t="s">
        <v>280</v>
      </c>
      <c r="G591" s="9">
        <v>43291</v>
      </c>
    </row>
    <row r="592" spans="1:8">
      <c r="A592" s="52" t="s">
        <v>311</v>
      </c>
      <c r="B592" s="33" t="s">
        <v>15</v>
      </c>
      <c r="C592" s="78">
        <v>99000</v>
      </c>
      <c r="D592" s="78">
        <v>90000</v>
      </c>
      <c r="E592" s="78">
        <v>9000</v>
      </c>
      <c r="F592" s="54" t="s">
        <v>312</v>
      </c>
      <c r="G592" s="9">
        <v>43312</v>
      </c>
    </row>
    <row r="593" spans="1:19">
      <c r="A593" s="52" t="s">
        <v>311</v>
      </c>
      <c r="B593" s="33" t="s">
        <v>15</v>
      </c>
      <c r="C593" s="78">
        <v>2112000</v>
      </c>
      <c r="D593" s="78">
        <v>1920000</v>
      </c>
      <c r="E593" s="78">
        <v>192000</v>
      </c>
      <c r="F593" s="54" t="s">
        <v>313</v>
      </c>
      <c r="G593" s="9">
        <v>43312</v>
      </c>
    </row>
    <row r="594" spans="1:19">
      <c r="A594" s="52" t="s">
        <v>311</v>
      </c>
      <c r="B594" s="33" t="s">
        <v>15</v>
      </c>
      <c r="C594" s="78">
        <v>6930000</v>
      </c>
      <c r="D594" s="78">
        <v>6300000</v>
      </c>
      <c r="E594" s="78">
        <v>630000</v>
      </c>
      <c r="F594" s="54" t="s">
        <v>305</v>
      </c>
      <c r="G594" s="9">
        <v>43312</v>
      </c>
    </row>
    <row r="595" spans="1:19">
      <c r="A595" s="52" t="s">
        <v>311</v>
      </c>
      <c r="B595" s="33" t="s">
        <v>15</v>
      </c>
      <c r="C595" s="78">
        <v>10395000</v>
      </c>
      <c r="D595" s="78">
        <v>9450000</v>
      </c>
      <c r="E595" s="78">
        <v>945000</v>
      </c>
      <c r="F595" s="54" t="s">
        <v>261</v>
      </c>
      <c r="G595" s="9">
        <v>43312</v>
      </c>
    </row>
    <row r="596" spans="1:19">
      <c r="A596" s="55" t="s">
        <v>311</v>
      </c>
      <c r="B596" s="30" t="s">
        <v>15</v>
      </c>
      <c r="C596" s="80">
        <v>3344000</v>
      </c>
      <c r="D596" s="80">
        <v>3040000</v>
      </c>
      <c r="E596" s="80">
        <v>304000</v>
      </c>
      <c r="F596" s="31" t="s">
        <v>262</v>
      </c>
      <c r="G596" s="81" t="s">
        <v>496</v>
      </c>
    </row>
    <row r="597" spans="1:19">
      <c r="A597" s="52" t="s">
        <v>311</v>
      </c>
      <c r="B597" s="33" t="s">
        <v>15</v>
      </c>
      <c r="C597" s="78">
        <v>4158000</v>
      </c>
      <c r="D597" s="78">
        <v>3780000</v>
      </c>
      <c r="E597" s="78">
        <v>378000</v>
      </c>
      <c r="F597" s="54" t="s">
        <v>67</v>
      </c>
      <c r="G597" s="9">
        <v>43312</v>
      </c>
    </row>
    <row r="598" spans="1:19">
      <c r="A598" s="52" t="s">
        <v>311</v>
      </c>
      <c r="B598" s="33" t="s">
        <v>15</v>
      </c>
      <c r="C598" s="78">
        <v>9504000</v>
      </c>
      <c r="D598" s="78">
        <v>8640000</v>
      </c>
      <c r="E598" s="78">
        <v>864000</v>
      </c>
      <c r="F598" s="54" t="s">
        <v>78</v>
      </c>
      <c r="G598" s="9">
        <v>43312</v>
      </c>
    </row>
    <row r="599" spans="1:19">
      <c r="A599" s="52">
        <v>43281</v>
      </c>
      <c r="B599" s="33" t="s">
        <v>63</v>
      </c>
      <c r="C599" s="78">
        <v>2640000</v>
      </c>
      <c r="D599" s="78">
        <v>2400000</v>
      </c>
      <c r="E599" s="78">
        <v>240000</v>
      </c>
      <c r="F599" s="54" t="s">
        <v>13</v>
      </c>
      <c r="G599" s="9">
        <v>43284</v>
      </c>
    </row>
    <row r="600" spans="1:19">
      <c r="A600" s="52">
        <v>43281</v>
      </c>
      <c r="B600" s="33" t="s">
        <v>59</v>
      </c>
      <c r="C600" s="78">
        <v>4466000</v>
      </c>
      <c r="D600" s="78">
        <v>4060000</v>
      </c>
      <c r="E600" s="78">
        <v>406000</v>
      </c>
      <c r="F600" s="54" t="s">
        <v>142</v>
      </c>
      <c r="G600" s="9">
        <v>43297</v>
      </c>
    </row>
    <row r="601" spans="1:19">
      <c r="A601" s="52">
        <v>43281</v>
      </c>
      <c r="B601" s="33" t="s">
        <v>296</v>
      </c>
      <c r="C601" s="78">
        <v>3113000</v>
      </c>
      <c r="D601" s="78">
        <v>2830000</v>
      </c>
      <c r="E601" s="78">
        <v>283000</v>
      </c>
      <c r="F601" s="54" t="s">
        <v>13</v>
      </c>
      <c r="G601" s="9">
        <v>43286</v>
      </c>
    </row>
    <row r="602" spans="1:19">
      <c r="A602" s="52">
        <v>43281</v>
      </c>
      <c r="B602" s="33" t="s">
        <v>59</v>
      </c>
      <c r="C602" s="78">
        <v>7199500</v>
      </c>
      <c r="D602" s="78">
        <v>6545000</v>
      </c>
      <c r="E602" s="78">
        <v>654500</v>
      </c>
      <c r="F602" s="54" t="s">
        <v>522</v>
      </c>
      <c r="G602" s="9">
        <v>43283</v>
      </c>
      <c r="H602" s="17" t="s">
        <v>517</v>
      </c>
      <c r="I602" s="308" t="s">
        <v>526</v>
      </c>
      <c r="J602" s="309"/>
      <c r="K602" s="310"/>
    </row>
    <row r="603" spans="1:19">
      <c r="A603" s="52">
        <v>43281</v>
      </c>
      <c r="B603" s="33" t="s">
        <v>59</v>
      </c>
      <c r="C603" s="78">
        <v>1870000</v>
      </c>
      <c r="D603" s="78">
        <v>1700000</v>
      </c>
      <c r="E603" s="78">
        <v>170000</v>
      </c>
      <c r="F603" s="54" t="s">
        <v>523</v>
      </c>
      <c r="G603" s="9">
        <v>43283</v>
      </c>
      <c r="I603" s="18" t="s">
        <v>487</v>
      </c>
      <c r="J603" s="36" t="s">
        <v>488</v>
      </c>
      <c r="K603" s="36" t="s">
        <v>494</v>
      </c>
    </row>
    <row r="604" spans="1:19">
      <c r="A604" s="52">
        <v>43281</v>
      </c>
      <c r="B604" s="33" t="s">
        <v>59</v>
      </c>
      <c r="C604" s="78">
        <v>3586000</v>
      </c>
      <c r="D604" s="78">
        <v>3260000</v>
      </c>
      <c r="E604" s="78">
        <v>326000</v>
      </c>
      <c r="F604" s="54" t="s">
        <v>184</v>
      </c>
      <c r="G604" s="9">
        <v>43283</v>
      </c>
      <c r="H604" s="51"/>
      <c r="I604" s="18">
        <f>SUM(C550:C604)</f>
        <v>171456340</v>
      </c>
      <c r="J604" s="19">
        <f>SUM(D550:D604)</f>
        <v>155869400</v>
      </c>
      <c r="K604" s="19">
        <f>SUM(E550:E604)</f>
        <v>15586940</v>
      </c>
      <c r="L604" s="42"/>
      <c r="M604" s="42"/>
      <c r="N604" s="42"/>
      <c r="O604" s="42"/>
      <c r="P604" s="42"/>
      <c r="Q604" s="42"/>
      <c r="R604" s="42"/>
      <c r="S604" s="42"/>
    </row>
    <row r="605" spans="1:19">
      <c r="A605" s="57" t="s">
        <v>314</v>
      </c>
      <c r="B605" s="58" t="s">
        <v>2</v>
      </c>
      <c r="C605" s="79">
        <v>9130000</v>
      </c>
      <c r="D605" s="79">
        <v>8300000</v>
      </c>
      <c r="E605" s="79">
        <v>830000</v>
      </c>
      <c r="F605" s="60" t="s">
        <v>255</v>
      </c>
      <c r="G605" s="84">
        <v>43311</v>
      </c>
      <c r="H605" s="17" t="s">
        <v>517</v>
      </c>
      <c r="J605" s="64"/>
      <c r="K605" s="64"/>
    </row>
    <row r="606" spans="1:19">
      <c r="A606" s="52" t="s">
        <v>314</v>
      </c>
      <c r="B606" s="33" t="s">
        <v>2</v>
      </c>
      <c r="C606" s="78">
        <v>1452000</v>
      </c>
      <c r="D606" s="78">
        <v>1320000</v>
      </c>
      <c r="E606" s="78">
        <v>132000</v>
      </c>
      <c r="F606" s="54" t="s">
        <v>265</v>
      </c>
      <c r="G606" s="65">
        <v>43311</v>
      </c>
      <c r="H606" s="17" t="s">
        <v>517</v>
      </c>
      <c r="J606" s="64"/>
      <c r="K606" s="64"/>
    </row>
    <row r="607" spans="1:19">
      <c r="A607" s="52" t="s">
        <v>314</v>
      </c>
      <c r="B607" s="33" t="s">
        <v>2</v>
      </c>
      <c r="C607" s="78">
        <v>521400</v>
      </c>
      <c r="D607" s="78">
        <v>474000</v>
      </c>
      <c r="E607" s="78">
        <v>47400</v>
      </c>
      <c r="F607" s="54" t="s">
        <v>233</v>
      </c>
      <c r="G607" s="65">
        <v>43311</v>
      </c>
      <c r="H607" s="17" t="s">
        <v>517</v>
      </c>
      <c r="J607" s="64"/>
      <c r="K607" s="64"/>
    </row>
    <row r="608" spans="1:19">
      <c r="A608" s="52" t="s">
        <v>314</v>
      </c>
      <c r="B608" s="33" t="s">
        <v>2</v>
      </c>
      <c r="C608" s="78">
        <v>6435000</v>
      </c>
      <c r="D608" s="78">
        <v>5850000</v>
      </c>
      <c r="E608" s="78">
        <v>585000</v>
      </c>
      <c r="F608" s="54" t="s">
        <v>280</v>
      </c>
      <c r="G608" s="65">
        <v>43311</v>
      </c>
      <c r="H608" s="17" t="s">
        <v>517</v>
      </c>
      <c r="J608" s="64"/>
      <c r="K608" s="64"/>
    </row>
    <row r="609" spans="1:11">
      <c r="A609" s="52" t="s">
        <v>314</v>
      </c>
      <c r="B609" s="33" t="s">
        <v>2</v>
      </c>
      <c r="C609" s="78">
        <v>2926000</v>
      </c>
      <c r="D609" s="78">
        <v>2660000</v>
      </c>
      <c r="E609" s="78">
        <v>266000</v>
      </c>
      <c r="F609" s="54" t="s">
        <v>316</v>
      </c>
      <c r="G609" s="65">
        <v>43311</v>
      </c>
      <c r="H609" s="17" t="s">
        <v>517</v>
      </c>
      <c r="J609" s="64"/>
      <c r="K609" s="64"/>
    </row>
    <row r="610" spans="1:11">
      <c r="A610" s="52" t="s">
        <v>314</v>
      </c>
      <c r="B610" s="33" t="s">
        <v>2</v>
      </c>
      <c r="C610" s="78">
        <v>6285400</v>
      </c>
      <c r="D610" s="78">
        <v>5714000</v>
      </c>
      <c r="E610" s="78">
        <v>571400</v>
      </c>
      <c r="F610" s="54" t="s">
        <v>313</v>
      </c>
      <c r="G610" s="65">
        <v>43311</v>
      </c>
      <c r="J610" s="64"/>
      <c r="K610" s="64"/>
    </row>
    <row r="611" spans="1:11">
      <c r="A611" s="52" t="s">
        <v>314</v>
      </c>
      <c r="B611" s="33" t="s">
        <v>2</v>
      </c>
      <c r="C611" s="78">
        <v>988900</v>
      </c>
      <c r="D611" s="78">
        <v>899000</v>
      </c>
      <c r="E611" s="78">
        <v>89900</v>
      </c>
      <c r="F611" s="54" t="s">
        <v>254</v>
      </c>
      <c r="G611" s="65">
        <v>43311</v>
      </c>
      <c r="J611" s="64"/>
      <c r="K611" s="64"/>
    </row>
    <row r="612" spans="1:11">
      <c r="A612" s="52" t="s">
        <v>314</v>
      </c>
      <c r="B612" s="33" t="s">
        <v>2</v>
      </c>
      <c r="C612" s="78">
        <v>4257000</v>
      </c>
      <c r="D612" s="78">
        <v>3870000</v>
      </c>
      <c r="E612" s="78">
        <v>387000</v>
      </c>
      <c r="F612" s="54" t="s">
        <v>306</v>
      </c>
      <c r="G612" s="65">
        <v>43311</v>
      </c>
      <c r="J612" s="64"/>
      <c r="K612" s="64"/>
    </row>
    <row r="613" spans="1:11">
      <c r="A613" s="52" t="s">
        <v>314</v>
      </c>
      <c r="B613" s="33" t="s">
        <v>2</v>
      </c>
      <c r="C613" s="78">
        <v>480700</v>
      </c>
      <c r="D613" s="78">
        <v>437000</v>
      </c>
      <c r="E613" s="78">
        <v>43700</v>
      </c>
      <c r="F613" s="54" t="s">
        <v>245</v>
      </c>
      <c r="G613" s="65">
        <v>43311</v>
      </c>
      <c r="J613" s="14"/>
    </row>
    <row r="614" spans="1:11">
      <c r="A614" s="52" t="s">
        <v>314</v>
      </c>
      <c r="B614" s="33" t="s">
        <v>2</v>
      </c>
      <c r="C614" s="78">
        <v>1590600</v>
      </c>
      <c r="D614" s="78">
        <v>1446000</v>
      </c>
      <c r="E614" s="78">
        <v>144600</v>
      </c>
      <c r="F614" s="54" t="s">
        <v>233</v>
      </c>
      <c r="G614" s="65">
        <v>43311</v>
      </c>
      <c r="J614" s="14"/>
    </row>
    <row r="615" spans="1:11">
      <c r="A615" s="52" t="s">
        <v>314</v>
      </c>
      <c r="B615" s="33" t="s">
        <v>2</v>
      </c>
      <c r="C615" s="78">
        <v>6264500</v>
      </c>
      <c r="D615" s="78">
        <v>5695000</v>
      </c>
      <c r="E615" s="78">
        <v>569500</v>
      </c>
      <c r="F615" s="54" t="s">
        <v>280</v>
      </c>
      <c r="G615" s="65">
        <v>43311</v>
      </c>
      <c r="J615" s="14"/>
    </row>
    <row r="616" spans="1:11">
      <c r="A616" s="52" t="s">
        <v>314</v>
      </c>
      <c r="B616" s="33" t="s">
        <v>59</v>
      </c>
      <c r="C616" s="78">
        <v>5357000</v>
      </c>
      <c r="D616" s="78">
        <v>4870000</v>
      </c>
      <c r="E616" s="78">
        <v>487000</v>
      </c>
      <c r="F616" s="54" t="s">
        <v>527</v>
      </c>
      <c r="G616" s="65">
        <v>43312</v>
      </c>
      <c r="J616" s="14"/>
      <c r="K616" s="85"/>
    </row>
    <row r="617" spans="1:11">
      <c r="A617" s="52" t="s">
        <v>314</v>
      </c>
      <c r="B617" s="33" t="s">
        <v>59</v>
      </c>
      <c r="C617" s="78">
        <v>5348200</v>
      </c>
      <c r="D617" s="78">
        <v>4862000</v>
      </c>
      <c r="E617" s="78">
        <v>486200</v>
      </c>
      <c r="F617" s="54" t="s">
        <v>62</v>
      </c>
      <c r="G617" s="65">
        <v>43312</v>
      </c>
      <c r="H617" s="17" t="s">
        <v>517</v>
      </c>
      <c r="J617" s="14"/>
      <c r="K617" s="7"/>
    </row>
    <row r="618" spans="1:11">
      <c r="A618" s="52" t="s">
        <v>314</v>
      </c>
      <c r="B618" s="33" t="s">
        <v>59</v>
      </c>
      <c r="C618" s="78">
        <v>2288000</v>
      </c>
      <c r="D618" s="78">
        <v>2080000</v>
      </c>
      <c r="E618" s="78">
        <v>208000</v>
      </c>
      <c r="F618" s="54" t="s">
        <v>184</v>
      </c>
      <c r="G618" s="65">
        <v>43312</v>
      </c>
      <c r="J618" s="14"/>
      <c r="K618" s="7"/>
    </row>
    <row r="619" spans="1:11">
      <c r="A619" s="52" t="s">
        <v>314</v>
      </c>
      <c r="B619" s="33" t="s">
        <v>59</v>
      </c>
      <c r="C619" s="78">
        <v>3267000</v>
      </c>
      <c r="D619" s="78">
        <v>2970000</v>
      </c>
      <c r="E619" s="78">
        <v>297000</v>
      </c>
      <c r="F619" s="54" t="s">
        <v>315</v>
      </c>
      <c r="G619" s="65">
        <v>43312</v>
      </c>
      <c r="J619" s="14"/>
      <c r="K619" s="7"/>
    </row>
    <row r="620" spans="1:11">
      <c r="A620" s="52" t="s">
        <v>317</v>
      </c>
      <c r="B620" s="33" t="s">
        <v>63</v>
      </c>
      <c r="C620" s="78">
        <v>3267000</v>
      </c>
      <c r="D620" s="78">
        <v>2970000</v>
      </c>
      <c r="E620" s="78">
        <v>297000</v>
      </c>
      <c r="F620" s="54" t="s">
        <v>13</v>
      </c>
      <c r="G620" s="9">
        <v>43314</v>
      </c>
      <c r="J620" s="14"/>
      <c r="K620" s="7"/>
    </row>
    <row r="621" spans="1:11">
      <c r="A621" s="52" t="s">
        <v>317</v>
      </c>
      <c r="B621" s="33" t="s">
        <v>59</v>
      </c>
      <c r="C621" s="78">
        <v>561000</v>
      </c>
      <c r="D621" s="78">
        <v>510000</v>
      </c>
      <c r="E621" s="78">
        <v>51000</v>
      </c>
      <c r="F621" s="54" t="s">
        <v>185</v>
      </c>
      <c r="G621" s="9">
        <v>43318</v>
      </c>
      <c r="J621" s="14"/>
      <c r="K621" s="7"/>
    </row>
    <row r="622" spans="1:11">
      <c r="A622" s="52" t="s">
        <v>317</v>
      </c>
      <c r="B622" s="33" t="s">
        <v>59</v>
      </c>
      <c r="C622" s="78">
        <v>3564000</v>
      </c>
      <c r="D622" s="78">
        <v>3240000</v>
      </c>
      <c r="E622" s="78">
        <v>324000</v>
      </c>
      <c r="F622" s="54" t="s">
        <v>315</v>
      </c>
      <c r="G622" s="9">
        <v>43318</v>
      </c>
      <c r="J622" s="14"/>
      <c r="K622" s="7"/>
    </row>
    <row r="623" spans="1:11">
      <c r="A623" s="52" t="s">
        <v>317</v>
      </c>
      <c r="B623" s="33" t="s">
        <v>59</v>
      </c>
      <c r="C623" s="78">
        <v>2365000</v>
      </c>
      <c r="D623" s="78">
        <v>2150000</v>
      </c>
      <c r="E623" s="78">
        <v>215000</v>
      </c>
      <c r="F623" s="54" t="s">
        <v>184</v>
      </c>
      <c r="G623" s="9">
        <v>43318</v>
      </c>
      <c r="J623" s="14"/>
      <c r="K623" s="7"/>
    </row>
    <row r="624" spans="1:11">
      <c r="A624" s="52" t="s">
        <v>317</v>
      </c>
      <c r="B624" s="33" t="s">
        <v>318</v>
      </c>
      <c r="C624" s="78">
        <v>3356793</v>
      </c>
      <c r="D624" s="78">
        <v>3051630</v>
      </c>
      <c r="E624" s="78">
        <v>305163</v>
      </c>
      <c r="F624" s="54" t="s">
        <v>13</v>
      </c>
      <c r="G624" s="9">
        <v>43320</v>
      </c>
      <c r="J624" s="14"/>
      <c r="K624" s="7"/>
    </row>
    <row r="625" spans="1:11">
      <c r="A625" s="55" t="s">
        <v>317</v>
      </c>
      <c r="B625" s="30" t="s">
        <v>296</v>
      </c>
      <c r="C625" s="80">
        <v>-3356793</v>
      </c>
      <c r="D625" s="80">
        <v>-3051630</v>
      </c>
      <c r="E625" s="80">
        <v>-305163</v>
      </c>
      <c r="F625" s="31" t="s">
        <v>13</v>
      </c>
      <c r="G625" s="81" t="s">
        <v>496</v>
      </c>
      <c r="J625" s="14"/>
      <c r="K625" s="7"/>
    </row>
    <row r="626" spans="1:11">
      <c r="A626" s="52" t="s">
        <v>317</v>
      </c>
      <c r="B626" s="33" t="s">
        <v>155</v>
      </c>
      <c r="C626" s="78">
        <v>1386000</v>
      </c>
      <c r="D626" s="78">
        <v>1260000</v>
      </c>
      <c r="E626" s="78">
        <v>126000</v>
      </c>
      <c r="F626" s="54" t="s">
        <v>13</v>
      </c>
      <c r="G626" s="9">
        <v>43333</v>
      </c>
      <c r="J626" s="14"/>
      <c r="K626" s="7"/>
    </row>
    <row r="627" spans="1:11">
      <c r="A627" s="55" t="s">
        <v>317</v>
      </c>
      <c r="B627" s="30" t="s">
        <v>296</v>
      </c>
      <c r="C627" s="80">
        <v>3356793</v>
      </c>
      <c r="D627" s="80">
        <v>3051630</v>
      </c>
      <c r="E627" s="80">
        <v>305163</v>
      </c>
      <c r="F627" s="31" t="s">
        <v>13</v>
      </c>
      <c r="G627" s="81" t="s">
        <v>496</v>
      </c>
      <c r="J627" s="14"/>
      <c r="K627" s="7"/>
    </row>
    <row r="628" spans="1:11">
      <c r="A628" s="52" t="s">
        <v>317</v>
      </c>
      <c r="B628" s="33" t="s">
        <v>2</v>
      </c>
      <c r="C628" s="78">
        <v>50846400</v>
      </c>
      <c r="D628" s="78">
        <v>46224000</v>
      </c>
      <c r="E628" s="78">
        <v>4622400</v>
      </c>
      <c r="F628" s="54" t="s">
        <v>313</v>
      </c>
      <c r="G628" s="65">
        <v>43322</v>
      </c>
      <c r="J628" s="14"/>
      <c r="K628" s="7"/>
    </row>
    <row r="629" spans="1:11">
      <c r="A629" s="55" t="s">
        <v>317</v>
      </c>
      <c r="B629" s="30" t="s">
        <v>2</v>
      </c>
      <c r="C629" s="80">
        <v>-51176400</v>
      </c>
      <c r="D629" s="80">
        <v>-46524000</v>
      </c>
      <c r="E629" s="80">
        <v>-4652400</v>
      </c>
      <c r="F629" s="31" t="s">
        <v>313</v>
      </c>
      <c r="G629" s="81" t="s">
        <v>496</v>
      </c>
      <c r="J629" s="14"/>
    </row>
    <row r="630" spans="1:11">
      <c r="A630" s="52" t="s">
        <v>317</v>
      </c>
      <c r="B630" s="33" t="s">
        <v>59</v>
      </c>
      <c r="C630" s="78">
        <v>9031000</v>
      </c>
      <c r="D630" s="78">
        <v>8210000</v>
      </c>
      <c r="E630" s="78">
        <v>821000</v>
      </c>
      <c r="F630" s="54" t="s">
        <v>238</v>
      </c>
      <c r="G630" s="65">
        <v>43322</v>
      </c>
      <c r="H630" s="17" t="s">
        <v>517</v>
      </c>
      <c r="J630" s="14"/>
    </row>
    <row r="631" spans="1:11">
      <c r="A631" s="52" t="s">
        <v>317</v>
      </c>
      <c r="B631" s="33" t="s">
        <v>59</v>
      </c>
      <c r="C631" s="78">
        <v>209000</v>
      </c>
      <c r="D631" s="78">
        <v>190000</v>
      </c>
      <c r="E631" s="78">
        <v>19000</v>
      </c>
      <c r="F631" s="54" t="s">
        <v>320</v>
      </c>
      <c r="G631" s="86">
        <v>43343</v>
      </c>
      <c r="J631" s="14"/>
    </row>
    <row r="632" spans="1:11">
      <c r="A632" s="52" t="s">
        <v>317</v>
      </c>
      <c r="B632" s="33" t="s">
        <v>2</v>
      </c>
      <c r="C632" s="78">
        <v>8360000</v>
      </c>
      <c r="D632" s="78">
        <v>7600000</v>
      </c>
      <c r="E632" s="78">
        <v>760000</v>
      </c>
      <c r="F632" s="54" t="s">
        <v>255</v>
      </c>
      <c r="G632" s="65">
        <v>43322</v>
      </c>
      <c r="H632" s="17" t="s">
        <v>517</v>
      </c>
      <c r="J632" s="14"/>
    </row>
    <row r="633" spans="1:11">
      <c r="A633" s="52" t="s">
        <v>317</v>
      </c>
      <c r="B633" s="33" t="s">
        <v>2</v>
      </c>
      <c r="C633" s="78">
        <v>660000</v>
      </c>
      <c r="D633" s="78">
        <v>600000</v>
      </c>
      <c r="E633" s="78">
        <v>60000</v>
      </c>
      <c r="F633" s="54" t="s">
        <v>265</v>
      </c>
      <c r="G633" s="65">
        <v>43322</v>
      </c>
      <c r="H633" s="17" t="s">
        <v>517</v>
      </c>
      <c r="J633" s="14"/>
    </row>
    <row r="634" spans="1:11">
      <c r="A634" s="52" t="s">
        <v>317</v>
      </c>
      <c r="B634" s="33" t="s">
        <v>2</v>
      </c>
      <c r="C634" s="78">
        <v>6831000</v>
      </c>
      <c r="D634" s="78">
        <v>6210000</v>
      </c>
      <c r="E634" s="78">
        <v>621000</v>
      </c>
      <c r="F634" s="54" t="s">
        <v>280</v>
      </c>
      <c r="G634" s="65">
        <v>43322</v>
      </c>
      <c r="H634" s="17" t="s">
        <v>517</v>
      </c>
      <c r="J634" s="14"/>
    </row>
    <row r="635" spans="1:11">
      <c r="A635" s="52" t="s">
        <v>317</v>
      </c>
      <c r="B635" s="33" t="s">
        <v>2</v>
      </c>
      <c r="C635" s="78">
        <v>9922000</v>
      </c>
      <c r="D635" s="78">
        <v>9020000</v>
      </c>
      <c r="E635" s="78">
        <v>902000</v>
      </c>
      <c r="F635" s="54" t="s">
        <v>313</v>
      </c>
      <c r="G635" s="65">
        <v>43322</v>
      </c>
      <c r="H635" s="17" t="s">
        <v>517</v>
      </c>
      <c r="J635" s="14"/>
    </row>
    <row r="636" spans="1:11">
      <c r="A636" s="52" t="s">
        <v>317</v>
      </c>
      <c r="B636" s="33" t="s">
        <v>2</v>
      </c>
      <c r="C636" s="78">
        <v>2299000</v>
      </c>
      <c r="D636" s="78">
        <v>2090000</v>
      </c>
      <c r="E636" s="78">
        <v>209000</v>
      </c>
      <c r="F636" s="54" t="s">
        <v>299</v>
      </c>
      <c r="G636" s="65">
        <v>43322</v>
      </c>
      <c r="H636" s="17" t="s">
        <v>517</v>
      </c>
      <c r="J636" s="14"/>
    </row>
    <row r="637" spans="1:11">
      <c r="A637" s="52" t="s">
        <v>317</v>
      </c>
      <c r="B637" s="33" t="s">
        <v>2</v>
      </c>
      <c r="C637" s="78">
        <v>1751200</v>
      </c>
      <c r="D637" s="78">
        <v>1592000</v>
      </c>
      <c r="E637" s="78">
        <v>159200</v>
      </c>
      <c r="F637" s="54" t="s">
        <v>255</v>
      </c>
      <c r="G637" s="65">
        <v>43322</v>
      </c>
      <c r="J637" s="14"/>
    </row>
    <row r="638" spans="1:11">
      <c r="A638" s="55" t="s">
        <v>317</v>
      </c>
      <c r="B638" s="30" t="s">
        <v>2</v>
      </c>
      <c r="C638" s="80">
        <v>51176400</v>
      </c>
      <c r="D638" s="80">
        <v>46524000</v>
      </c>
      <c r="E638" s="80">
        <v>4652400</v>
      </c>
      <c r="F638" s="31" t="s">
        <v>313</v>
      </c>
      <c r="G638" s="81" t="s">
        <v>496</v>
      </c>
      <c r="J638" s="14"/>
    </row>
    <row r="639" spans="1:11">
      <c r="A639" s="52" t="s">
        <v>317</v>
      </c>
      <c r="B639" s="33" t="s">
        <v>2</v>
      </c>
      <c r="C639" s="78">
        <v>946000</v>
      </c>
      <c r="D639" s="78">
        <v>860000</v>
      </c>
      <c r="E639" s="78">
        <v>86000</v>
      </c>
      <c r="F639" s="54" t="s">
        <v>254</v>
      </c>
      <c r="G639" s="86">
        <v>43322</v>
      </c>
      <c r="J639" s="14"/>
    </row>
    <row r="640" spans="1:11">
      <c r="A640" s="52" t="s">
        <v>317</v>
      </c>
      <c r="B640" s="33" t="s">
        <v>2</v>
      </c>
      <c r="C640" s="78">
        <v>4455000</v>
      </c>
      <c r="D640" s="78">
        <v>4050000</v>
      </c>
      <c r="E640" s="78">
        <v>405000</v>
      </c>
      <c r="F640" s="54" t="s">
        <v>306</v>
      </c>
      <c r="G640" s="86">
        <v>43322</v>
      </c>
      <c r="J640" s="14"/>
    </row>
    <row r="641" spans="1:19">
      <c r="A641" s="52" t="s">
        <v>317</v>
      </c>
      <c r="B641" s="33" t="s">
        <v>2</v>
      </c>
      <c r="C641" s="78">
        <v>297000</v>
      </c>
      <c r="D641" s="78">
        <v>270000</v>
      </c>
      <c r="E641" s="78">
        <v>27000</v>
      </c>
      <c r="F641" s="54" t="s">
        <v>245</v>
      </c>
      <c r="G641" s="86">
        <v>43322</v>
      </c>
      <c r="J641" s="14"/>
    </row>
    <row r="642" spans="1:19">
      <c r="A642" s="52" t="s">
        <v>317</v>
      </c>
      <c r="B642" s="33" t="s">
        <v>2</v>
      </c>
      <c r="C642" s="78">
        <v>6176940</v>
      </c>
      <c r="D642" s="78">
        <v>5615400</v>
      </c>
      <c r="E642" s="78">
        <v>561540</v>
      </c>
      <c r="F642" s="54" t="s">
        <v>233</v>
      </c>
      <c r="G642" s="86">
        <v>43322</v>
      </c>
      <c r="J642" s="14"/>
    </row>
    <row r="643" spans="1:19">
      <c r="A643" s="52" t="s">
        <v>317</v>
      </c>
      <c r="B643" s="33" t="s">
        <v>2</v>
      </c>
      <c r="C643" s="78">
        <v>5098500</v>
      </c>
      <c r="D643" s="78">
        <v>4635000</v>
      </c>
      <c r="E643" s="78">
        <v>463500</v>
      </c>
      <c r="F643" s="54" t="s">
        <v>280</v>
      </c>
      <c r="G643" s="86">
        <v>43322</v>
      </c>
      <c r="J643" s="14"/>
    </row>
    <row r="644" spans="1:19">
      <c r="A644" s="52" t="s">
        <v>317</v>
      </c>
      <c r="B644" s="33" t="s">
        <v>12</v>
      </c>
      <c r="C644" s="78">
        <v>704000</v>
      </c>
      <c r="D644" s="78">
        <v>640000</v>
      </c>
      <c r="E644" s="78">
        <v>64000</v>
      </c>
      <c r="F644" s="54" t="s">
        <v>13</v>
      </c>
      <c r="G644" s="86">
        <v>43332</v>
      </c>
      <c r="J644" s="14"/>
    </row>
    <row r="645" spans="1:19">
      <c r="A645" s="52" t="s">
        <v>317</v>
      </c>
      <c r="B645" s="33" t="s">
        <v>59</v>
      </c>
      <c r="C645" s="78">
        <v>9682200</v>
      </c>
      <c r="D645" s="78">
        <v>8802000</v>
      </c>
      <c r="E645" s="78">
        <v>880200</v>
      </c>
      <c r="F645" s="54" t="s">
        <v>142</v>
      </c>
      <c r="G645" s="86">
        <v>43320</v>
      </c>
      <c r="J645" s="14"/>
    </row>
    <row r="646" spans="1:19">
      <c r="A646" s="87" t="s">
        <v>317</v>
      </c>
      <c r="B646" s="88" t="s">
        <v>15</v>
      </c>
      <c r="C646" s="78">
        <v>924000</v>
      </c>
      <c r="D646" s="78">
        <v>840000</v>
      </c>
      <c r="E646" s="78">
        <v>84000</v>
      </c>
      <c r="F646" s="89" t="s">
        <v>103</v>
      </c>
      <c r="G646" s="86">
        <v>43328</v>
      </c>
      <c r="J646" s="14"/>
    </row>
    <row r="647" spans="1:19">
      <c r="A647" s="87" t="s">
        <v>317</v>
      </c>
      <c r="B647" s="88" t="s">
        <v>15</v>
      </c>
      <c r="C647" s="78">
        <v>8613000</v>
      </c>
      <c r="D647" s="78">
        <v>7830000</v>
      </c>
      <c r="E647" s="78">
        <v>783000</v>
      </c>
      <c r="F647" s="89" t="s">
        <v>305</v>
      </c>
      <c r="G647" s="86">
        <v>43328</v>
      </c>
    </row>
    <row r="648" spans="1:19">
      <c r="A648" s="87" t="s">
        <v>317</v>
      </c>
      <c r="B648" s="88" t="s">
        <v>15</v>
      </c>
      <c r="C648" s="78">
        <v>16731000</v>
      </c>
      <c r="D648" s="78">
        <v>15210000</v>
      </c>
      <c r="E648" s="78">
        <v>1521000</v>
      </c>
      <c r="F648" s="89" t="s">
        <v>261</v>
      </c>
      <c r="G648" s="86">
        <v>43328</v>
      </c>
    </row>
    <row r="649" spans="1:19">
      <c r="A649" s="87" t="s">
        <v>317</v>
      </c>
      <c r="B649" s="88" t="s">
        <v>15</v>
      </c>
      <c r="C649" s="78">
        <v>3146000</v>
      </c>
      <c r="D649" s="78">
        <v>2860000</v>
      </c>
      <c r="E649" s="78">
        <v>286000</v>
      </c>
      <c r="F649" s="89" t="s">
        <v>262</v>
      </c>
      <c r="G649" s="86">
        <v>43328</v>
      </c>
    </row>
    <row r="650" spans="1:19">
      <c r="A650" s="87" t="s">
        <v>317</v>
      </c>
      <c r="B650" s="88" t="s">
        <v>15</v>
      </c>
      <c r="C650" s="78">
        <v>3465000</v>
      </c>
      <c r="D650" s="78">
        <v>3150000</v>
      </c>
      <c r="E650" s="78">
        <v>315000</v>
      </c>
      <c r="F650" s="89" t="s">
        <v>67</v>
      </c>
      <c r="G650" s="86">
        <v>43328</v>
      </c>
    </row>
    <row r="651" spans="1:19">
      <c r="A651" s="87" t="s">
        <v>317</v>
      </c>
      <c r="B651" s="88" t="s">
        <v>15</v>
      </c>
      <c r="C651" s="78">
        <v>10197000</v>
      </c>
      <c r="D651" s="78">
        <v>9270000</v>
      </c>
      <c r="E651" s="78">
        <v>927000</v>
      </c>
      <c r="F651" s="89" t="s">
        <v>78</v>
      </c>
      <c r="G651" s="86">
        <v>43328</v>
      </c>
      <c r="H651" s="31"/>
      <c r="I651" s="308" t="s">
        <v>528</v>
      </c>
      <c r="J651" s="309"/>
      <c r="K651" s="310"/>
      <c r="L651" s="30"/>
      <c r="M651" s="30"/>
      <c r="N651" s="30"/>
      <c r="O651" s="30"/>
      <c r="P651" s="30"/>
      <c r="Q651" s="30"/>
      <c r="R651" s="30"/>
      <c r="S651" s="30"/>
    </row>
    <row r="652" spans="1:19">
      <c r="A652" s="52" t="s">
        <v>317</v>
      </c>
      <c r="B652" s="33" t="s">
        <v>59</v>
      </c>
      <c r="C652" s="78">
        <v>5475250</v>
      </c>
      <c r="D652" s="78">
        <v>4977500</v>
      </c>
      <c r="E652" s="78">
        <v>497750</v>
      </c>
      <c r="F652" s="54" t="s">
        <v>185</v>
      </c>
      <c r="G652" s="65">
        <v>43318</v>
      </c>
      <c r="H652" s="17" t="s">
        <v>517</v>
      </c>
      <c r="I652" s="18" t="s">
        <v>487</v>
      </c>
      <c r="J652" s="36" t="s">
        <v>488</v>
      </c>
      <c r="K652" s="36" t="s">
        <v>494</v>
      </c>
    </row>
    <row r="653" spans="1:19">
      <c r="A653" s="52" t="s">
        <v>317</v>
      </c>
      <c r="B653" s="33" t="s">
        <v>249</v>
      </c>
      <c r="C653" s="78">
        <v>440000</v>
      </c>
      <c r="D653" s="78">
        <v>400000</v>
      </c>
      <c r="E653" s="78">
        <v>40000</v>
      </c>
      <c r="F653" s="54" t="s">
        <v>243</v>
      </c>
      <c r="G653" s="65">
        <v>43318</v>
      </c>
      <c r="H653" s="90"/>
      <c r="I653" s="18">
        <f>SUM(C605:C653)</f>
        <v>237351983</v>
      </c>
      <c r="J653" s="19">
        <f>SUM(D605:D653)</f>
        <v>215774530</v>
      </c>
      <c r="K653" s="19">
        <f>SUM(E605:E653)</f>
        <v>21577453</v>
      </c>
      <c r="L653" s="91"/>
      <c r="M653" s="91"/>
      <c r="N653" s="91"/>
      <c r="O653" s="91"/>
      <c r="P653" s="91"/>
      <c r="Q653" s="91"/>
      <c r="R653" s="91"/>
      <c r="S653" s="91"/>
    </row>
    <row r="654" spans="1:19">
      <c r="A654" s="57" t="s">
        <v>319</v>
      </c>
      <c r="B654" s="58" t="s">
        <v>321</v>
      </c>
      <c r="C654" s="79">
        <v>396000</v>
      </c>
      <c r="D654" s="79">
        <v>360000</v>
      </c>
      <c r="E654" s="79">
        <v>36000</v>
      </c>
      <c r="F654" s="60" t="s">
        <v>13</v>
      </c>
      <c r="G654" s="92">
        <v>43321</v>
      </c>
    </row>
    <row r="655" spans="1:19">
      <c r="A655" s="52" t="s">
        <v>319</v>
      </c>
      <c r="B655" s="33" t="s">
        <v>79</v>
      </c>
      <c r="C655" s="78">
        <v>3960000</v>
      </c>
      <c r="D655" s="78">
        <v>3600000</v>
      </c>
      <c r="E655" s="78">
        <v>360000</v>
      </c>
      <c r="F655" s="54" t="s">
        <v>13</v>
      </c>
      <c r="G655" s="9">
        <v>43347</v>
      </c>
    </row>
    <row r="656" spans="1:19">
      <c r="A656" s="52" t="s">
        <v>322</v>
      </c>
      <c r="B656" s="33" t="s">
        <v>59</v>
      </c>
      <c r="C656" s="78">
        <v>495000</v>
      </c>
      <c r="D656" s="78">
        <v>450000</v>
      </c>
      <c r="E656" s="78">
        <v>45000</v>
      </c>
      <c r="F656" s="54" t="s">
        <v>320</v>
      </c>
      <c r="G656" s="9">
        <v>43360</v>
      </c>
    </row>
    <row r="657" spans="1:9">
      <c r="A657" s="52" t="s">
        <v>322</v>
      </c>
      <c r="B657" s="33" t="s">
        <v>2</v>
      </c>
      <c r="C657" s="78">
        <v>2376000</v>
      </c>
      <c r="D657" s="78">
        <v>2160000</v>
      </c>
      <c r="E657" s="78">
        <v>216000</v>
      </c>
      <c r="F657" s="54" t="s">
        <v>529</v>
      </c>
      <c r="G657" s="9">
        <v>43342</v>
      </c>
      <c r="H657" s="17" t="s">
        <v>517</v>
      </c>
    </row>
    <row r="658" spans="1:9">
      <c r="A658" s="52" t="s">
        <v>322</v>
      </c>
      <c r="B658" s="33" t="s">
        <v>2</v>
      </c>
      <c r="C658" s="78">
        <v>13917200</v>
      </c>
      <c r="D658" s="78">
        <v>12652000</v>
      </c>
      <c r="E658" s="78">
        <v>1265200</v>
      </c>
      <c r="F658" s="54" t="s">
        <v>255</v>
      </c>
      <c r="G658" s="9">
        <v>43342</v>
      </c>
      <c r="H658" s="17" t="s">
        <v>517</v>
      </c>
    </row>
    <row r="659" spans="1:9">
      <c r="A659" s="52" t="s">
        <v>322</v>
      </c>
      <c r="B659" s="33" t="s">
        <v>2</v>
      </c>
      <c r="C659" s="78">
        <v>7029000</v>
      </c>
      <c r="D659" s="78">
        <v>6390000</v>
      </c>
      <c r="E659" s="78">
        <v>639000</v>
      </c>
      <c r="F659" s="54" t="s">
        <v>280</v>
      </c>
      <c r="G659" s="9">
        <v>43342</v>
      </c>
      <c r="H659" s="17" t="s">
        <v>517</v>
      </c>
    </row>
    <row r="660" spans="1:9">
      <c r="A660" s="52" t="s">
        <v>322</v>
      </c>
      <c r="B660" s="33" t="s">
        <v>2</v>
      </c>
      <c r="C660" s="78">
        <v>625680</v>
      </c>
      <c r="D660" s="78">
        <v>568800</v>
      </c>
      <c r="E660" s="78">
        <v>56880</v>
      </c>
      <c r="F660" s="54" t="s">
        <v>233</v>
      </c>
      <c r="G660" s="9">
        <v>43339</v>
      </c>
      <c r="H660" s="17" t="s">
        <v>517</v>
      </c>
    </row>
    <row r="661" spans="1:9">
      <c r="A661" s="52" t="s">
        <v>322</v>
      </c>
      <c r="B661" s="33" t="s">
        <v>2</v>
      </c>
      <c r="C661" s="78">
        <v>5788200</v>
      </c>
      <c r="D661" s="78">
        <v>5262000</v>
      </c>
      <c r="E661" s="78">
        <v>526200</v>
      </c>
      <c r="F661" s="54" t="s">
        <v>255</v>
      </c>
      <c r="G661" s="9">
        <v>43342</v>
      </c>
    </row>
    <row r="662" spans="1:9">
      <c r="A662" s="52" t="s">
        <v>322</v>
      </c>
      <c r="B662" s="33" t="s">
        <v>2</v>
      </c>
      <c r="C662" s="78">
        <v>108988000</v>
      </c>
      <c r="D662" s="78">
        <v>99080000</v>
      </c>
      <c r="E662" s="78">
        <v>9908000</v>
      </c>
      <c r="F662" s="54" t="s">
        <v>313</v>
      </c>
      <c r="G662" s="9">
        <v>43339</v>
      </c>
      <c r="H662" s="17" t="s">
        <v>517</v>
      </c>
      <c r="I662" s="15">
        <v>9020000</v>
      </c>
    </row>
    <row r="663" spans="1:9">
      <c r="A663" s="52" t="s">
        <v>322</v>
      </c>
      <c r="B663" s="33" t="s">
        <v>2</v>
      </c>
      <c r="C663" s="78">
        <v>847000</v>
      </c>
      <c r="D663" s="78">
        <v>770000</v>
      </c>
      <c r="E663" s="78">
        <v>77000</v>
      </c>
      <c r="F663" s="54" t="s">
        <v>254</v>
      </c>
      <c r="G663" s="9">
        <v>43342</v>
      </c>
    </row>
    <row r="664" spans="1:9">
      <c r="A664" s="52" t="s">
        <v>322</v>
      </c>
      <c r="B664" s="33" t="s">
        <v>2</v>
      </c>
      <c r="C664" s="78">
        <v>4257000</v>
      </c>
      <c r="D664" s="78">
        <v>3870000</v>
      </c>
      <c r="E664" s="78">
        <v>387000</v>
      </c>
      <c r="F664" s="54" t="s">
        <v>306</v>
      </c>
      <c r="G664" s="9">
        <v>43342</v>
      </c>
    </row>
    <row r="665" spans="1:9">
      <c r="A665" s="52" t="s">
        <v>322</v>
      </c>
      <c r="B665" s="33" t="s">
        <v>2</v>
      </c>
      <c r="C665" s="78">
        <v>396000</v>
      </c>
      <c r="D665" s="78">
        <v>360000</v>
      </c>
      <c r="E665" s="78">
        <v>36000</v>
      </c>
      <c r="F665" s="54" t="s">
        <v>245</v>
      </c>
      <c r="G665" s="9">
        <v>43342</v>
      </c>
    </row>
    <row r="666" spans="1:9">
      <c r="A666" s="52" t="s">
        <v>322</v>
      </c>
      <c r="B666" s="33" t="s">
        <v>2</v>
      </c>
      <c r="C666" s="78">
        <v>605000</v>
      </c>
      <c r="D666" s="78">
        <v>550000</v>
      </c>
      <c r="E666" s="78">
        <v>55000</v>
      </c>
      <c r="F666" s="54" t="s">
        <v>66</v>
      </c>
      <c r="G666" s="9">
        <v>43342</v>
      </c>
    </row>
    <row r="667" spans="1:9">
      <c r="A667" s="52" t="s">
        <v>322</v>
      </c>
      <c r="B667" s="33" t="s">
        <v>2</v>
      </c>
      <c r="C667" s="78">
        <v>39270000</v>
      </c>
      <c r="D667" s="78">
        <v>35700000</v>
      </c>
      <c r="E667" s="78">
        <v>3570000</v>
      </c>
      <c r="F667" s="54" t="s">
        <v>233</v>
      </c>
      <c r="G667" s="9">
        <v>43339</v>
      </c>
    </row>
    <row r="668" spans="1:9">
      <c r="A668" s="52" t="s">
        <v>322</v>
      </c>
      <c r="B668" s="33" t="s">
        <v>2</v>
      </c>
      <c r="C668" s="78">
        <v>7375500</v>
      </c>
      <c r="D668" s="78">
        <v>6705000</v>
      </c>
      <c r="E668" s="78">
        <v>670500</v>
      </c>
      <c r="F668" s="54" t="s">
        <v>280</v>
      </c>
      <c r="G668" s="9">
        <v>43342</v>
      </c>
    </row>
    <row r="669" spans="1:9">
      <c r="A669" s="52" t="s">
        <v>322</v>
      </c>
      <c r="B669" s="33" t="s">
        <v>2</v>
      </c>
      <c r="C669" s="78">
        <v>3861000</v>
      </c>
      <c r="D669" s="78">
        <v>3510000</v>
      </c>
      <c r="E669" s="78">
        <v>351000</v>
      </c>
      <c r="F669" s="54" t="s">
        <v>316</v>
      </c>
      <c r="G669" s="9">
        <v>43342</v>
      </c>
      <c r="H669" s="17" t="s">
        <v>517</v>
      </c>
      <c r="I669" s="15">
        <v>3420000</v>
      </c>
    </row>
    <row r="670" spans="1:9">
      <c r="A670" s="52" t="s">
        <v>322</v>
      </c>
      <c r="B670" s="33" t="s">
        <v>59</v>
      </c>
      <c r="C670" s="78">
        <v>217800</v>
      </c>
      <c r="D670" s="78">
        <v>198000</v>
      </c>
      <c r="E670" s="78">
        <v>19800</v>
      </c>
      <c r="F670" s="54" t="s">
        <v>184</v>
      </c>
      <c r="G670" s="9">
        <v>43343</v>
      </c>
      <c r="H670" s="17" t="s">
        <v>517</v>
      </c>
    </row>
    <row r="671" spans="1:9">
      <c r="A671" s="52" t="s">
        <v>322</v>
      </c>
      <c r="B671" s="33" t="s">
        <v>59</v>
      </c>
      <c r="C671" s="78">
        <v>3599750</v>
      </c>
      <c r="D671" s="78">
        <v>3272500</v>
      </c>
      <c r="E671" s="78">
        <v>327250</v>
      </c>
      <c r="F671" s="54" t="s">
        <v>522</v>
      </c>
      <c r="G671" s="9">
        <v>43343</v>
      </c>
      <c r="H671" s="17" t="s">
        <v>517</v>
      </c>
    </row>
    <row r="672" spans="1:9">
      <c r="A672" s="52" t="s">
        <v>322</v>
      </c>
      <c r="B672" s="33" t="s">
        <v>59</v>
      </c>
      <c r="C672" s="78">
        <v>18876000</v>
      </c>
      <c r="D672" s="78">
        <v>17160000</v>
      </c>
      <c r="E672" s="78">
        <v>1716000</v>
      </c>
      <c r="F672" s="54" t="s">
        <v>527</v>
      </c>
      <c r="G672" s="9">
        <v>43343</v>
      </c>
    </row>
    <row r="673" spans="1:8">
      <c r="A673" s="52" t="s">
        <v>322</v>
      </c>
      <c r="B673" s="33" t="s">
        <v>59</v>
      </c>
      <c r="C673" s="78">
        <v>3795000</v>
      </c>
      <c r="D673" s="78">
        <v>3450000</v>
      </c>
      <c r="E673" s="78">
        <v>345000</v>
      </c>
      <c r="F673" s="54" t="s">
        <v>315</v>
      </c>
      <c r="G673" s="9">
        <v>43343</v>
      </c>
    </row>
    <row r="674" spans="1:8">
      <c r="A674" s="52" t="s">
        <v>322</v>
      </c>
      <c r="B674" s="33" t="s">
        <v>59</v>
      </c>
      <c r="C674" s="78">
        <v>3707000</v>
      </c>
      <c r="D674" s="78">
        <v>3370000</v>
      </c>
      <c r="E674" s="78">
        <v>337000</v>
      </c>
      <c r="F674" s="54" t="s">
        <v>184</v>
      </c>
      <c r="G674" s="9">
        <v>43343</v>
      </c>
    </row>
    <row r="675" spans="1:8">
      <c r="A675" s="52" t="s">
        <v>322</v>
      </c>
      <c r="B675" s="33" t="s">
        <v>59</v>
      </c>
      <c r="C675" s="78">
        <v>748000</v>
      </c>
      <c r="D675" s="78">
        <v>680000</v>
      </c>
      <c r="E675" s="78">
        <v>68000</v>
      </c>
      <c r="F675" s="54" t="s">
        <v>185</v>
      </c>
      <c r="G675" s="9">
        <v>43343</v>
      </c>
    </row>
    <row r="676" spans="1:8">
      <c r="A676" s="52">
        <v>43337</v>
      </c>
      <c r="B676" s="33" t="s">
        <v>59</v>
      </c>
      <c r="C676" s="78">
        <v>7348000</v>
      </c>
      <c r="D676" s="78">
        <v>6680000</v>
      </c>
      <c r="E676" s="78">
        <v>668000</v>
      </c>
      <c r="F676" s="54" t="s">
        <v>527</v>
      </c>
      <c r="G676" s="9">
        <v>43343</v>
      </c>
    </row>
    <row r="677" spans="1:8">
      <c r="A677" s="52">
        <v>43339</v>
      </c>
      <c r="B677" s="33" t="s">
        <v>59</v>
      </c>
      <c r="C677" s="78">
        <v>4070000</v>
      </c>
      <c r="D677" s="78">
        <v>3700000</v>
      </c>
      <c r="E677" s="78">
        <v>370000</v>
      </c>
      <c r="F677" s="54" t="s">
        <v>184</v>
      </c>
      <c r="G677" s="9">
        <v>43348</v>
      </c>
    </row>
    <row r="678" spans="1:8">
      <c r="A678" s="52">
        <v>43339</v>
      </c>
      <c r="B678" s="33" t="s">
        <v>59</v>
      </c>
      <c r="C678" s="78">
        <v>2178000</v>
      </c>
      <c r="D678" s="78">
        <v>1980000</v>
      </c>
      <c r="E678" s="78">
        <v>198000</v>
      </c>
      <c r="F678" s="54" t="s">
        <v>315</v>
      </c>
      <c r="G678" s="9">
        <v>43348</v>
      </c>
    </row>
    <row r="679" spans="1:8">
      <c r="A679" s="52">
        <v>43343</v>
      </c>
      <c r="B679" s="33" t="s">
        <v>59</v>
      </c>
      <c r="C679" s="78">
        <v>10917830</v>
      </c>
      <c r="D679" s="78">
        <v>9925300</v>
      </c>
      <c r="E679" s="78">
        <v>992530</v>
      </c>
      <c r="F679" s="54" t="s">
        <v>530</v>
      </c>
      <c r="G679" s="65">
        <v>43353</v>
      </c>
      <c r="H679" s="17" t="s">
        <v>517</v>
      </c>
    </row>
    <row r="680" spans="1:8">
      <c r="A680" s="52">
        <v>43343</v>
      </c>
      <c r="B680" s="33" t="s">
        <v>86</v>
      </c>
      <c r="C680" s="78">
        <v>2051500</v>
      </c>
      <c r="D680" s="78">
        <v>1865000</v>
      </c>
      <c r="E680" s="78">
        <v>186500</v>
      </c>
      <c r="F680" s="54" t="s">
        <v>13</v>
      </c>
      <c r="G680" s="9">
        <v>43383</v>
      </c>
    </row>
    <row r="681" spans="1:8">
      <c r="A681" s="52" t="s">
        <v>323</v>
      </c>
      <c r="B681" s="33" t="s">
        <v>2</v>
      </c>
      <c r="C681" s="78">
        <v>11824120</v>
      </c>
      <c r="D681" s="78">
        <v>10749200</v>
      </c>
      <c r="E681" s="78">
        <v>1074920</v>
      </c>
      <c r="F681" s="54" t="s">
        <v>521</v>
      </c>
      <c r="G681" s="65">
        <v>43353</v>
      </c>
      <c r="H681" s="17" t="s">
        <v>517</v>
      </c>
    </row>
    <row r="682" spans="1:8">
      <c r="A682" s="52" t="s">
        <v>323</v>
      </c>
      <c r="B682" s="33" t="s">
        <v>59</v>
      </c>
      <c r="C682" s="78">
        <v>3564000</v>
      </c>
      <c r="D682" s="78">
        <v>3240000</v>
      </c>
      <c r="E682" s="78">
        <v>324000</v>
      </c>
      <c r="F682" s="54" t="s">
        <v>527</v>
      </c>
      <c r="G682" s="9">
        <v>43360</v>
      </c>
    </row>
    <row r="683" spans="1:8">
      <c r="A683" s="52" t="s">
        <v>323</v>
      </c>
      <c r="B683" s="33" t="s">
        <v>330</v>
      </c>
      <c r="C683" s="78">
        <v>874500</v>
      </c>
      <c r="D683" s="78">
        <v>795000</v>
      </c>
      <c r="E683" s="78">
        <v>79500</v>
      </c>
      <c r="F683" s="54" t="s">
        <v>13</v>
      </c>
      <c r="G683" s="9">
        <v>43354</v>
      </c>
    </row>
    <row r="684" spans="1:8">
      <c r="A684" s="52" t="s">
        <v>323</v>
      </c>
      <c r="B684" s="33" t="s">
        <v>63</v>
      </c>
      <c r="C684" s="78">
        <v>3036000</v>
      </c>
      <c r="D684" s="78">
        <v>2760000</v>
      </c>
      <c r="E684" s="78">
        <v>276000</v>
      </c>
      <c r="F684" s="54" t="s">
        <v>13</v>
      </c>
      <c r="G684" s="9">
        <v>43348</v>
      </c>
    </row>
    <row r="685" spans="1:8">
      <c r="A685" s="52" t="s">
        <v>323</v>
      </c>
      <c r="B685" s="33" t="s">
        <v>59</v>
      </c>
      <c r="C685" s="78">
        <v>4253150</v>
      </c>
      <c r="D685" s="78">
        <v>3866500</v>
      </c>
      <c r="E685" s="78">
        <v>386650</v>
      </c>
      <c r="F685" s="54" t="s">
        <v>185</v>
      </c>
      <c r="G685" s="9">
        <v>43348</v>
      </c>
      <c r="H685" s="17" t="s">
        <v>517</v>
      </c>
    </row>
    <row r="686" spans="1:8">
      <c r="A686" s="52" t="s">
        <v>323</v>
      </c>
      <c r="B686" s="33" t="s">
        <v>2</v>
      </c>
      <c r="C686" s="78">
        <v>264000</v>
      </c>
      <c r="D686" s="78">
        <v>240000</v>
      </c>
      <c r="E686" s="78">
        <v>24000</v>
      </c>
      <c r="F686" s="54" t="s">
        <v>328</v>
      </c>
      <c r="G686" s="65">
        <v>43353</v>
      </c>
      <c r="H686" s="17" t="s">
        <v>517</v>
      </c>
    </row>
    <row r="687" spans="1:8">
      <c r="A687" s="52" t="s">
        <v>323</v>
      </c>
      <c r="B687" s="33" t="s">
        <v>2</v>
      </c>
      <c r="C687" s="78">
        <v>7722000</v>
      </c>
      <c r="D687" s="78">
        <v>7020000</v>
      </c>
      <c r="E687" s="78">
        <v>702000</v>
      </c>
      <c r="F687" s="54" t="s">
        <v>280</v>
      </c>
      <c r="G687" s="65">
        <v>43353</v>
      </c>
      <c r="H687" s="17" t="s">
        <v>517</v>
      </c>
    </row>
    <row r="688" spans="1:8">
      <c r="A688" s="52" t="s">
        <v>323</v>
      </c>
      <c r="B688" s="33" t="s">
        <v>2</v>
      </c>
      <c r="C688" s="78">
        <v>1635480</v>
      </c>
      <c r="D688" s="78">
        <v>1486800</v>
      </c>
      <c r="E688" s="78">
        <v>148680</v>
      </c>
      <c r="F688" s="54" t="s">
        <v>298</v>
      </c>
      <c r="G688" s="65">
        <v>43353</v>
      </c>
      <c r="H688" s="17" t="s">
        <v>517</v>
      </c>
    </row>
    <row r="689" spans="1:19">
      <c r="A689" s="52" t="s">
        <v>323</v>
      </c>
      <c r="B689" s="33" t="s">
        <v>2</v>
      </c>
      <c r="C689" s="78">
        <v>2398000</v>
      </c>
      <c r="D689" s="78">
        <v>2180000</v>
      </c>
      <c r="E689" s="78">
        <v>218000</v>
      </c>
      <c r="F689" s="54" t="s">
        <v>316</v>
      </c>
      <c r="G689" s="65">
        <v>43353</v>
      </c>
      <c r="H689" s="17" t="s">
        <v>517</v>
      </c>
      <c r="I689" s="15">
        <v>2090000</v>
      </c>
    </row>
    <row r="690" spans="1:19">
      <c r="A690" s="52" t="s">
        <v>323</v>
      </c>
      <c r="B690" s="33" t="s">
        <v>2</v>
      </c>
      <c r="C690" s="78">
        <v>75845000</v>
      </c>
      <c r="D690" s="78">
        <v>68950000</v>
      </c>
      <c r="E690" s="78">
        <v>6895000</v>
      </c>
      <c r="F690" s="54" t="s">
        <v>313</v>
      </c>
      <c r="G690" s="65">
        <v>43353</v>
      </c>
      <c r="H690" s="17" t="s">
        <v>517</v>
      </c>
      <c r="I690" s="15">
        <v>8140000</v>
      </c>
    </row>
    <row r="691" spans="1:19">
      <c r="A691" s="52" t="s">
        <v>323</v>
      </c>
      <c r="B691" s="33" t="s">
        <v>2</v>
      </c>
      <c r="C691" s="78">
        <v>2230800</v>
      </c>
      <c r="D691" s="78">
        <v>2028000</v>
      </c>
      <c r="E691" s="78">
        <v>202800</v>
      </c>
      <c r="F691" s="54" t="s">
        <v>255</v>
      </c>
      <c r="G691" s="65">
        <v>43353</v>
      </c>
    </row>
    <row r="692" spans="1:19">
      <c r="A692" s="52" t="s">
        <v>323</v>
      </c>
      <c r="B692" s="33" t="s">
        <v>2</v>
      </c>
      <c r="C692" s="78">
        <v>677600</v>
      </c>
      <c r="D692" s="78">
        <v>616000</v>
      </c>
      <c r="E692" s="78">
        <v>61600</v>
      </c>
      <c r="F692" s="54" t="s">
        <v>254</v>
      </c>
      <c r="G692" s="65">
        <v>43353</v>
      </c>
    </row>
    <row r="693" spans="1:19">
      <c r="A693" s="52" t="s">
        <v>323</v>
      </c>
      <c r="B693" s="33" t="s">
        <v>2</v>
      </c>
      <c r="C693" s="78">
        <v>3465000</v>
      </c>
      <c r="D693" s="78">
        <v>3150000</v>
      </c>
      <c r="E693" s="78">
        <v>315000</v>
      </c>
      <c r="F693" s="54" t="s">
        <v>306</v>
      </c>
      <c r="G693" s="65">
        <v>43353</v>
      </c>
    </row>
    <row r="694" spans="1:19">
      <c r="A694" s="52" t="s">
        <v>323</v>
      </c>
      <c r="B694" s="33" t="s">
        <v>2</v>
      </c>
      <c r="C694" s="78">
        <v>495000</v>
      </c>
      <c r="D694" s="78">
        <v>450000</v>
      </c>
      <c r="E694" s="78">
        <v>45000</v>
      </c>
      <c r="F694" s="54" t="s">
        <v>245</v>
      </c>
      <c r="G694" s="65">
        <v>43353</v>
      </c>
    </row>
    <row r="695" spans="1:19">
      <c r="A695" s="52" t="s">
        <v>323</v>
      </c>
      <c r="B695" s="33" t="s">
        <v>2</v>
      </c>
      <c r="C695" s="78">
        <v>302500</v>
      </c>
      <c r="D695" s="78">
        <v>275000</v>
      </c>
      <c r="E695" s="78">
        <v>27500</v>
      </c>
      <c r="F695" s="54" t="s">
        <v>297</v>
      </c>
      <c r="G695" s="65">
        <v>43353</v>
      </c>
    </row>
    <row r="696" spans="1:19">
      <c r="A696" s="52" t="s">
        <v>323</v>
      </c>
      <c r="B696" s="33" t="s">
        <v>2</v>
      </c>
      <c r="C696" s="78">
        <v>9455380</v>
      </c>
      <c r="D696" s="78">
        <v>8595800</v>
      </c>
      <c r="E696" s="78">
        <v>859580</v>
      </c>
      <c r="F696" s="54" t="s">
        <v>298</v>
      </c>
      <c r="G696" s="65">
        <v>43353</v>
      </c>
    </row>
    <row r="697" spans="1:19">
      <c r="A697" s="52" t="s">
        <v>323</v>
      </c>
      <c r="B697" s="33" t="s">
        <v>2</v>
      </c>
      <c r="C697" s="78">
        <v>3701500</v>
      </c>
      <c r="D697" s="78">
        <v>3365000</v>
      </c>
      <c r="E697" s="78">
        <v>336500</v>
      </c>
      <c r="F697" s="54" t="s">
        <v>280</v>
      </c>
      <c r="G697" s="65">
        <v>43353</v>
      </c>
    </row>
    <row r="698" spans="1:19">
      <c r="A698" s="52" t="s">
        <v>323</v>
      </c>
      <c r="B698" s="33" t="s">
        <v>249</v>
      </c>
      <c r="C698" s="78">
        <v>220000</v>
      </c>
      <c r="D698" s="78">
        <v>200000</v>
      </c>
      <c r="E698" s="78">
        <v>20000</v>
      </c>
      <c r="F698" s="54" t="s">
        <v>329</v>
      </c>
      <c r="G698" s="9">
        <v>43354</v>
      </c>
    </row>
    <row r="699" spans="1:19">
      <c r="A699" s="52" t="s">
        <v>323</v>
      </c>
      <c r="B699" s="33" t="s">
        <v>249</v>
      </c>
      <c r="C699" s="78">
        <v>2799500</v>
      </c>
      <c r="D699" s="78">
        <v>2545000</v>
      </c>
      <c r="E699" s="78">
        <v>254500</v>
      </c>
      <c r="F699" s="54" t="s">
        <v>243</v>
      </c>
      <c r="G699" s="9">
        <v>43354</v>
      </c>
      <c r="N699" s="30"/>
      <c r="O699" s="30"/>
      <c r="P699" s="30"/>
      <c r="Q699" s="30"/>
      <c r="R699" s="30"/>
      <c r="S699" s="30"/>
    </row>
    <row r="700" spans="1:19">
      <c r="A700" s="52" t="s">
        <v>323</v>
      </c>
      <c r="B700" s="33" t="s">
        <v>15</v>
      </c>
      <c r="C700" s="78">
        <v>8712000</v>
      </c>
      <c r="D700" s="78">
        <v>7920000</v>
      </c>
      <c r="E700" s="78">
        <v>792000</v>
      </c>
      <c r="F700" s="54" t="s">
        <v>305</v>
      </c>
      <c r="G700" s="9">
        <v>43360</v>
      </c>
    </row>
    <row r="701" spans="1:19">
      <c r="A701" s="55" t="s">
        <v>323</v>
      </c>
      <c r="B701" s="30" t="s">
        <v>15</v>
      </c>
      <c r="C701" s="80">
        <v>-5643000</v>
      </c>
      <c r="D701" s="80">
        <v>-5130000</v>
      </c>
      <c r="E701" s="80">
        <v>-513000</v>
      </c>
      <c r="F701" s="31" t="s">
        <v>305</v>
      </c>
      <c r="G701" s="30" t="s">
        <v>496</v>
      </c>
      <c r="H701" s="31"/>
      <c r="I701" s="73"/>
      <c r="J701" s="74"/>
      <c r="K701" s="30"/>
      <c r="L701" s="30"/>
      <c r="M701" s="30"/>
      <c r="N701" s="30"/>
      <c r="O701" s="30"/>
      <c r="P701" s="30"/>
      <c r="Q701" s="30"/>
      <c r="R701" s="30"/>
      <c r="S701" s="30"/>
    </row>
    <row r="702" spans="1:19">
      <c r="A702" s="52" t="s">
        <v>323</v>
      </c>
      <c r="B702" s="33" t="s">
        <v>15</v>
      </c>
      <c r="C702" s="78">
        <v>11979000</v>
      </c>
      <c r="D702" s="78">
        <v>10890000</v>
      </c>
      <c r="E702" s="78">
        <v>1089000</v>
      </c>
      <c r="F702" s="54" t="s">
        <v>78</v>
      </c>
      <c r="G702" s="9">
        <v>43360</v>
      </c>
    </row>
    <row r="703" spans="1:19">
      <c r="A703" s="55" t="s">
        <v>323</v>
      </c>
      <c r="B703" s="30" t="s">
        <v>15</v>
      </c>
      <c r="C703" s="80">
        <v>-8712000</v>
      </c>
      <c r="D703" s="80">
        <v>-7920000</v>
      </c>
      <c r="E703" s="80">
        <v>-792000</v>
      </c>
      <c r="F703" s="31" t="s">
        <v>78</v>
      </c>
      <c r="G703" s="30" t="s">
        <v>496</v>
      </c>
      <c r="H703" s="31"/>
      <c r="I703" s="73"/>
      <c r="J703" s="74"/>
      <c r="K703" s="30"/>
      <c r="L703" s="30"/>
      <c r="M703" s="30"/>
    </row>
    <row r="704" spans="1:19">
      <c r="A704" s="52" t="s">
        <v>323</v>
      </c>
      <c r="B704" s="33" t="s">
        <v>1</v>
      </c>
      <c r="C704" s="78">
        <v>2376000</v>
      </c>
      <c r="D704" s="78">
        <v>2160000</v>
      </c>
      <c r="E704" s="78">
        <v>216000</v>
      </c>
      <c r="F704" s="54" t="s">
        <v>303</v>
      </c>
      <c r="G704" s="9">
        <v>43356</v>
      </c>
      <c r="N704" s="30"/>
      <c r="O704" s="30"/>
      <c r="P704" s="30"/>
      <c r="Q704" s="30"/>
      <c r="R704" s="30"/>
      <c r="S704" s="30"/>
    </row>
    <row r="705" spans="1:19">
      <c r="A705" s="52" t="s">
        <v>323</v>
      </c>
      <c r="B705" s="33" t="s">
        <v>15</v>
      </c>
      <c r="C705" s="78">
        <v>1716000</v>
      </c>
      <c r="D705" s="78">
        <v>1560000</v>
      </c>
      <c r="E705" s="78">
        <v>156000</v>
      </c>
      <c r="F705" s="54" t="s">
        <v>103</v>
      </c>
      <c r="G705" s="9">
        <v>43360</v>
      </c>
    </row>
    <row r="706" spans="1:19">
      <c r="A706" s="55" t="s">
        <v>323</v>
      </c>
      <c r="B706" s="30" t="s">
        <v>15</v>
      </c>
      <c r="C706" s="80">
        <v>5643000</v>
      </c>
      <c r="D706" s="80">
        <v>5130000</v>
      </c>
      <c r="E706" s="80">
        <v>513000</v>
      </c>
      <c r="F706" s="31" t="s">
        <v>305</v>
      </c>
      <c r="G706" s="30" t="s">
        <v>496</v>
      </c>
      <c r="H706" s="31"/>
      <c r="I706" s="73"/>
      <c r="J706" s="74"/>
      <c r="K706" s="30"/>
      <c r="L706" s="30"/>
      <c r="M706" s="30"/>
    </row>
    <row r="707" spans="1:19">
      <c r="A707" s="52" t="s">
        <v>323</v>
      </c>
      <c r="B707" s="33" t="s">
        <v>15</v>
      </c>
      <c r="C707" s="78">
        <v>16830000</v>
      </c>
      <c r="D707" s="78">
        <v>15300000</v>
      </c>
      <c r="E707" s="78">
        <v>1530000</v>
      </c>
      <c r="F707" s="54" t="s">
        <v>261</v>
      </c>
      <c r="G707" s="9">
        <v>43360</v>
      </c>
    </row>
    <row r="708" spans="1:19">
      <c r="A708" s="52" t="s">
        <v>323</v>
      </c>
      <c r="B708" s="33" t="s">
        <v>15</v>
      </c>
      <c r="C708" s="78">
        <v>1232000</v>
      </c>
      <c r="D708" s="78">
        <v>1120000</v>
      </c>
      <c r="E708" s="78">
        <v>112000</v>
      </c>
      <c r="F708" s="54" t="s">
        <v>262</v>
      </c>
      <c r="G708" s="9">
        <v>43360</v>
      </c>
      <c r="N708" s="30"/>
      <c r="O708" s="30"/>
      <c r="P708" s="30"/>
      <c r="Q708" s="30"/>
      <c r="R708" s="30"/>
      <c r="S708" s="30"/>
    </row>
    <row r="709" spans="1:19">
      <c r="A709" s="52" t="s">
        <v>323</v>
      </c>
      <c r="B709" s="33" t="s">
        <v>15</v>
      </c>
      <c r="C709" s="78">
        <v>6237000</v>
      </c>
      <c r="D709" s="78">
        <v>5670000</v>
      </c>
      <c r="E709" s="78">
        <v>567000</v>
      </c>
      <c r="F709" s="54" t="s">
        <v>67</v>
      </c>
      <c r="G709" s="9">
        <v>43360</v>
      </c>
    </row>
    <row r="710" spans="1:19">
      <c r="A710" s="55" t="s">
        <v>323</v>
      </c>
      <c r="B710" s="30" t="s">
        <v>15</v>
      </c>
      <c r="C710" s="80">
        <v>8712000</v>
      </c>
      <c r="D710" s="80">
        <v>7920000</v>
      </c>
      <c r="E710" s="80">
        <v>792000</v>
      </c>
      <c r="F710" s="31" t="s">
        <v>78</v>
      </c>
      <c r="G710" s="30" t="s">
        <v>496</v>
      </c>
      <c r="H710" s="31"/>
      <c r="I710" s="311" t="s">
        <v>531</v>
      </c>
      <c r="J710" s="312"/>
      <c r="K710" s="313"/>
      <c r="L710" s="30"/>
      <c r="M710" s="30"/>
      <c r="N710" s="42"/>
      <c r="O710" s="42"/>
      <c r="P710" s="42"/>
      <c r="Q710" s="42"/>
      <c r="R710" s="42"/>
      <c r="S710" s="42"/>
    </row>
    <row r="711" spans="1:19">
      <c r="A711" s="52" t="s">
        <v>323</v>
      </c>
      <c r="B711" s="33" t="s">
        <v>155</v>
      </c>
      <c r="C711" s="78">
        <v>1980000</v>
      </c>
      <c r="D711" s="78">
        <v>1800000</v>
      </c>
      <c r="E711" s="78">
        <v>180000</v>
      </c>
      <c r="F711" s="54" t="s">
        <v>13</v>
      </c>
      <c r="G711" s="9">
        <v>43364</v>
      </c>
      <c r="I711" s="18" t="s">
        <v>487</v>
      </c>
      <c r="J711" s="36" t="s">
        <v>488</v>
      </c>
      <c r="K711" s="36" t="s">
        <v>494</v>
      </c>
    </row>
    <row r="712" spans="1:19">
      <c r="A712" s="52" t="s">
        <v>323</v>
      </c>
      <c r="B712" s="33" t="s">
        <v>324</v>
      </c>
      <c r="C712" s="78">
        <v>5434000</v>
      </c>
      <c r="D712" s="78">
        <v>4940000</v>
      </c>
      <c r="E712" s="78">
        <v>494000</v>
      </c>
      <c r="F712" s="54" t="s">
        <v>325</v>
      </c>
      <c r="G712" s="10">
        <v>43357</v>
      </c>
      <c r="H712" s="51"/>
      <c r="I712" s="18">
        <f>SUM(C654:C712)</f>
        <v>448954990</v>
      </c>
      <c r="J712" s="19">
        <f>SUM(D654:D712)</f>
        <v>408140900</v>
      </c>
      <c r="K712" s="19">
        <f>SUM(E654:E712)</f>
        <v>40814090</v>
      </c>
      <c r="L712" s="42"/>
      <c r="M712" s="42"/>
    </row>
    <row r="713" spans="1:19">
      <c r="A713" s="57" t="s">
        <v>327</v>
      </c>
      <c r="B713" s="58" t="s">
        <v>59</v>
      </c>
      <c r="C713" s="79">
        <v>3652000</v>
      </c>
      <c r="D713" s="79">
        <v>3320000</v>
      </c>
      <c r="E713" s="79">
        <v>332000</v>
      </c>
      <c r="F713" s="60" t="s">
        <v>315</v>
      </c>
      <c r="G713" s="9">
        <v>43360</v>
      </c>
    </row>
    <row r="714" spans="1:19">
      <c r="A714" s="52" t="s">
        <v>333</v>
      </c>
      <c r="B714" s="33" t="s">
        <v>59</v>
      </c>
      <c r="C714" s="78">
        <v>5656750</v>
      </c>
      <c r="D714" s="78">
        <v>5142500</v>
      </c>
      <c r="E714" s="78">
        <v>514250</v>
      </c>
      <c r="F714" s="54" t="s">
        <v>522</v>
      </c>
      <c r="G714" s="93">
        <v>43371</v>
      </c>
      <c r="H714" s="17" t="s">
        <v>517</v>
      </c>
    </row>
    <row r="715" spans="1:19">
      <c r="A715" s="52" t="s">
        <v>333</v>
      </c>
      <c r="B715" s="33" t="s">
        <v>59</v>
      </c>
      <c r="C715" s="78">
        <v>4092000</v>
      </c>
      <c r="D715" s="78">
        <v>3720000</v>
      </c>
      <c r="E715" s="78">
        <v>372000</v>
      </c>
      <c r="F715" s="54" t="s">
        <v>315</v>
      </c>
      <c r="G715" s="9">
        <v>43378</v>
      </c>
    </row>
    <row r="716" spans="1:19">
      <c r="A716" s="52" t="s">
        <v>333</v>
      </c>
      <c r="B716" s="33" t="s">
        <v>59</v>
      </c>
      <c r="C716" s="78">
        <v>792000</v>
      </c>
      <c r="D716" s="78">
        <v>720000</v>
      </c>
      <c r="E716" s="78">
        <v>72000</v>
      </c>
      <c r="F716" s="54" t="s">
        <v>184</v>
      </c>
      <c r="G716" s="9">
        <v>43378</v>
      </c>
    </row>
    <row r="717" spans="1:19">
      <c r="A717" s="52" t="s">
        <v>333</v>
      </c>
      <c r="B717" s="33" t="s">
        <v>59</v>
      </c>
      <c r="C717" s="78">
        <v>7563600</v>
      </c>
      <c r="D717" s="78">
        <v>6876000</v>
      </c>
      <c r="E717" s="78">
        <v>687600</v>
      </c>
      <c r="F717" s="54" t="s">
        <v>142</v>
      </c>
      <c r="G717" s="9">
        <v>43374</v>
      </c>
    </row>
    <row r="718" spans="1:19">
      <c r="A718" s="52">
        <v>43358</v>
      </c>
      <c r="B718" s="33" t="s">
        <v>59</v>
      </c>
      <c r="C718" s="78">
        <v>2079000</v>
      </c>
      <c r="D718" s="78">
        <v>1890000</v>
      </c>
      <c r="E718" s="78">
        <v>189000</v>
      </c>
      <c r="F718" s="54" t="s">
        <v>320</v>
      </c>
      <c r="G718" s="9">
        <v>43371</v>
      </c>
    </row>
    <row r="719" spans="1:19">
      <c r="A719" s="55" t="s">
        <v>333</v>
      </c>
      <c r="B719" s="30" t="s">
        <v>59</v>
      </c>
      <c r="C719" s="80">
        <v>-5656750</v>
      </c>
      <c r="D719" s="80">
        <v>-5142500</v>
      </c>
      <c r="E719" s="80">
        <v>-514250</v>
      </c>
      <c r="F719" s="31" t="s">
        <v>185</v>
      </c>
      <c r="G719" s="30" t="s">
        <v>496</v>
      </c>
    </row>
    <row r="720" spans="1:19">
      <c r="A720" s="55" t="s">
        <v>333</v>
      </c>
      <c r="B720" s="30" t="s">
        <v>59</v>
      </c>
      <c r="C720" s="80">
        <v>5656750</v>
      </c>
      <c r="D720" s="80">
        <v>5142500</v>
      </c>
      <c r="E720" s="80">
        <v>514250</v>
      </c>
      <c r="F720" s="31" t="s">
        <v>185</v>
      </c>
      <c r="G720" s="30" t="s">
        <v>496</v>
      </c>
    </row>
    <row r="721" spans="1:7">
      <c r="A721" s="52" t="s">
        <v>331</v>
      </c>
      <c r="B721" s="33" t="s">
        <v>2</v>
      </c>
      <c r="C721" s="78">
        <v>27951000</v>
      </c>
      <c r="D721" s="78">
        <v>25410000</v>
      </c>
      <c r="E721" s="78">
        <v>2541000</v>
      </c>
      <c r="F721" s="54" t="s">
        <v>313</v>
      </c>
      <c r="G721" s="9">
        <v>43363</v>
      </c>
    </row>
    <row r="722" spans="1:7">
      <c r="A722" s="52" t="s">
        <v>331</v>
      </c>
      <c r="B722" s="33" t="s">
        <v>2</v>
      </c>
      <c r="C722" s="78">
        <v>660000</v>
      </c>
      <c r="D722" s="78">
        <v>600000</v>
      </c>
      <c r="E722" s="78">
        <v>60000</v>
      </c>
      <c r="F722" s="54" t="s">
        <v>332</v>
      </c>
      <c r="G722" s="9">
        <v>43363</v>
      </c>
    </row>
    <row r="723" spans="1:7">
      <c r="A723" s="52" t="s">
        <v>331</v>
      </c>
      <c r="B723" s="33" t="s">
        <v>2</v>
      </c>
      <c r="C723" s="78">
        <v>3630000</v>
      </c>
      <c r="D723" s="78">
        <v>3300000</v>
      </c>
      <c r="E723" s="78">
        <v>330000</v>
      </c>
      <c r="F723" s="54" t="s">
        <v>255</v>
      </c>
      <c r="G723" s="9">
        <v>43363</v>
      </c>
    </row>
    <row r="724" spans="1:7">
      <c r="A724" s="52" t="s">
        <v>331</v>
      </c>
      <c r="B724" s="33" t="s">
        <v>2</v>
      </c>
      <c r="C724" s="78">
        <v>677600</v>
      </c>
      <c r="D724" s="78">
        <v>616000</v>
      </c>
      <c r="E724" s="78">
        <v>61600</v>
      </c>
      <c r="F724" s="54" t="s">
        <v>254</v>
      </c>
      <c r="G724" s="9">
        <v>43363</v>
      </c>
    </row>
    <row r="725" spans="1:7">
      <c r="A725" s="52" t="s">
        <v>331</v>
      </c>
      <c r="B725" s="33" t="s">
        <v>2</v>
      </c>
      <c r="C725" s="78">
        <v>3564000</v>
      </c>
      <c r="D725" s="78">
        <v>3240000</v>
      </c>
      <c r="E725" s="78">
        <v>324000</v>
      </c>
      <c r="F725" s="54" t="s">
        <v>306</v>
      </c>
      <c r="G725" s="9">
        <v>43363</v>
      </c>
    </row>
    <row r="726" spans="1:7">
      <c r="A726" s="52" t="s">
        <v>331</v>
      </c>
      <c r="B726" s="33" t="s">
        <v>2</v>
      </c>
      <c r="C726" s="78">
        <v>99000</v>
      </c>
      <c r="D726" s="78">
        <v>90000</v>
      </c>
      <c r="E726" s="78">
        <v>9000</v>
      </c>
      <c r="F726" s="54" t="s">
        <v>245</v>
      </c>
      <c r="G726" s="9">
        <v>43363</v>
      </c>
    </row>
    <row r="727" spans="1:7">
      <c r="A727" s="52" t="s">
        <v>331</v>
      </c>
      <c r="B727" s="33" t="s">
        <v>2</v>
      </c>
      <c r="C727" s="78">
        <v>292600</v>
      </c>
      <c r="D727" s="78">
        <v>266000</v>
      </c>
      <c r="E727" s="78">
        <v>26600</v>
      </c>
      <c r="F727" s="54" t="s">
        <v>66</v>
      </c>
      <c r="G727" s="9">
        <v>43363</v>
      </c>
    </row>
    <row r="728" spans="1:7">
      <c r="A728" s="52" t="s">
        <v>331</v>
      </c>
      <c r="B728" s="33" t="s">
        <v>2</v>
      </c>
      <c r="C728" s="78">
        <v>351120</v>
      </c>
      <c r="D728" s="78">
        <v>319200</v>
      </c>
      <c r="E728" s="78">
        <v>31920</v>
      </c>
      <c r="F728" s="54" t="s">
        <v>233</v>
      </c>
      <c r="G728" s="9">
        <v>43363</v>
      </c>
    </row>
    <row r="729" spans="1:7">
      <c r="A729" s="52" t="s">
        <v>331</v>
      </c>
      <c r="B729" s="33" t="s">
        <v>2</v>
      </c>
      <c r="C729" s="78">
        <v>2964500</v>
      </c>
      <c r="D729" s="78">
        <v>2695000</v>
      </c>
      <c r="E729" s="78">
        <v>269500</v>
      </c>
      <c r="F729" s="54" t="s">
        <v>280</v>
      </c>
      <c r="G729" s="9">
        <v>43363</v>
      </c>
    </row>
    <row r="730" spans="1:7">
      <c r="A730" s="52" t="s">
        <v>334</v>
      </c>
      <c r="B730" s="33" t="s">
        <v>15</v>
      </c>
      <c r="C730" s="78">
        <v>3696000</v>
      </c>
      <c r="D730" s="78">
        <v>3360000</v>
      </c>
      <c r="E730" s="78">
        <v>336000</v>
      </c>
      <c r="F730" s="54" t="s">
        <v>313</v>
      </c>
      <c r="G730" s="9">
        <v>43395</v>
      </c>
    </row>
    <row r="731" spans="1:7">
      <c r="A731" s="52" t="s">
        <v>334</v>
      </c>
      <c r="B731" s="33" t="s">
        <v>15</v>
      </c>
      <c r="C731" s="78">
        <v>5346000</v>
      </c>
      <c r="D731" s="78">
        <v>4860000</v>
      </c>
      <c r="E731" s="78">
        <v>486000</v>
      </c>
      <c r="F731" s="54" t="s">
        <v>69</v>
      </c>
      <c r="G731" s="9">
        <v>43395</v>
      </c>
    </row>
    <row r="732" spans="1:7">
      <c r="A732" s="52" t="s">
        <v>334</v>
      </c>
      <c r="B732" s="33" t="s">
        <v>15</v>
      </c>
      <c r="C732" s="78">
        <v>16703500</v>
      </c>
      <c r="D732" s="78">
        <v>15185000</v>
      </c>
      <c r="E732" s="78">
        <v>1518500</v>
      </c>
      <c r="F732" s="54" t="s">
        <v>189</v>
      </c>
      <c r="G732" s="9">
        <v>43395</v>
      </c>
    </row>
    <row r="733" spans="1:7">
      <c r="A733" s="52" t="s">
        <v>334</v>
      </c>
      <c r="B733" s="33" t="s">
        <v>15</v>
      </c>
      <c r="C733" s="78">
        <v>2640000</v>
      </c>
      <c r="D733" s="78">
        <v>2400000</v>
      </c>
      <c r="E733" s="78">
        <v>240000</v>
      </c>
      <c r="F733" s="54" t="s">
        <v>262</v>
      </c>
      <c r="G733" s="9">
        <v>43395</v>
      </c>
    </row>
    <row r="734" spans="1:7">
      <c r="A734" s="52" t="s">
        <v>334</v>
      </c>
      <c r="B734" s="33" t="s">
        <v>15</v>
      </c>
      <c r="C734" s="78">
        <v>3663000</v>
      </c>
      <c r="D734" s="78">
        <v>3330000</v>
      </c>
      <c r="E734" s="78">
        <v>333000</v>
      </c>
      <c r="F734" s="54" t="s">
        <v>67</v>
      </c>
      <c r="G734" s="9">
        <v>43395</v>
      </c>
    </row>
    <row r="735" spans="1:7">
      <c r="A735" s="52" t="s">
        <v>334</v>
      </c>
      <c r="B735" s="33" t="s">
        <v>15</v>
      </c>
      <c r="C735" s="78">
        <v>11286000</v>
      </c>
      <c r="D735" s="78">
        <v>10260000</v>
      </c>
      <c r="E735" s="78">
        <v>1026000</v>
      </c>
      <c r="F735" s="54" t="s">
        <v>78</v>
      </c>
      <c r="G735" s="9">
        <v>43395</v>
      </c>
    </row>
    <row r="736" spans="1:7">
      <c r="A736" s="52" t="s">
        <v>334</v>
      </c>
      <c r="B736" s="33" t="s">
        <v>150</v>
      </c>
      <c r="C736" s="78">
        <v>484000</v>
      </c>
      <c r="D736" s="78">
        <v>440000</v>
      </c>
      <c r="E736" s="78">
        <v>44000</v>
      </c>
      <c r="F736" s="54" t="s">
        <v>13</v>
      </c>
      <c r="G736" s="9">
        <v>43378</v>
      </c>
    </row>
    <row r="737" spans="1:19">
      <c r="A737" s="52" t="s">
        <v>334</v>
      </c>
      <c r="B737" s="33" t="s">
        <v>82</v>
      </c>
      <c r="C737" s="78">
        <v>1650000</v>
      </c>
      <c r="D737" s="78">
        <v>1500000</v>
      </c>
      <c r="E737" s="78">
        <v>150000</v>
      </c>
      <c r="F737" s="54" t="s">
        <v>13</v>
      </c>
      <c r="G737" s="9">
        <v>43388</v>
      </c>
    </row>
    <row r="738" spans="1:19">
      <c r="A738" s="52">
        <v>43373</v>
      </c>
      <c r="B738" s="33" t="s">
        <v>155</v>
      </c>
      <c r="C738" s="78">
        <v>4752000</v>
      </c>
      <c r="D738" s="78">
        <v>4320000</v>
      </c>
      <c r="E738" s="78">
        <v>432000</v>
      </c>
      <c r="F738" s="54" t="s">
        <v>13</v>
      </c>
      <c r="G738" s="9">
        <v>43403</v>
      </c>
    </row>
    <row r="739" spans="1:19">
      <c r="A739" s="52" t="s">
        <v>334</v>
      </c>
      <c r="B739" s="33" t="s">
        <v>2</v>
      </c>
      <c r="C739" s="78">
        <v>3813700</v>
      </c>
      <c r="D739" s="78">
        <v>3467000</v>
      </c>
      <c r="E739" s="78">
        <v>346700</v>
      </c>
      <c r="F739" s="54" t="s">
        <v>255</v>
      </c>
      <c r="G739" s="9">
        <v>43383</v>
      </c>
    </row>
    <row r="740" spans="1:19">
      <c r="A740" s="52" t="s">
        <v>334</v>
      </c>
      <c r="B740" s="33" t="s">
        <v>2</v>
      </c>
      <c r="C740" s="78">
        <v>33935000</v>
      </c>
      <c r="D740" s="78">
        <v>30850000</v>
      </c>
      <c r="E740" s="78">
        <v>3085000</v>
      </c>
      <c r="F740" s="54" t="s">
        <v>313</v>
      </c>
      <c r="G740" s="9">
        <v>43383</v>
      </c>
    </row>
    <row r="741" spans="1:19">
      <c r="A741" s="52" t="s">
        <v>334</v>
      </c>
      <c r="B741" s="33" t="s">
        <v>2</v>
      </c>
      <c r="C741" s="78">
        <v>338800</v>
      </c>
      <c r="D741" s="78">
        <v>308000</v>
      </c>
      <c r="E741" s="78">
        <v>30800</v>
      </c>
      <c r="F741" s="54" t="s">
        <v>254</v>
      </c>
      <c r="G741" s="9">
        <v>43383</v>
      </c>
    </row>
    <row r="742" spans="1:19">
      <c r="A742" s="52" t="s">
        <v>334</v>
      </c>
      <c r="B742" s="33" t="s">
        <v>2</v>
      </c>
      <c r="C742" s="78">
        <v>4416500</v>
      </c>
      <c r="D742" s="78">
        <v>4015000</v>
      </c>
      <c r="E742" s="78">
        <v>401500</v>
      </c>
      <c r="F742" s="54" t="s">
        <v>306</v>
      </c>
      <c r="G742" s="9">
        <v>43383</v>
      </c>
    </row>
    <row r="743" spans="1:19">
      <c r="A743" s="52" t="s">
        <v>334</v>
      </c>
      <c r="B743" s="33" t="s">
        <v>2</v>
      </c>
      <c r="C743" s="78">
        <v>920700</v>
      </c>
      <c r="D743" s="78">
        <v>837000</v>
      </c>
      <c r="E743" s="78">
        <v>83700</v>
      </c>
      <c r="F743" s="54" t="s">
        <v>66</v>
      </c>
      <c r="G743" s="9">
        <v>43383</v>
      </c>
    </row>
    <row r="744" spans="1:19">
      <c r="A744" s="52" t="s">
        <v>334</v>
      </c>
      <c r="B744" s="33" t="s">
        <v>2</v>
      </c>
      <c r="C744" s="78">
        <v>2067120</v>
      </c>
      <c r="D744" s="78">
        <v>1879200</v>
      </c>
      <c r="E744" s="78">
        <v>187920</v>
      </c>
      <c r="F744" s="54" t="s">
        <v>233</v>
      </c>
      <c r="G744" s="9">
        <v>43383</v>
      </c>
    </row>
    <row r="745" spans="1:19">
      <c r="A745" s="52" t="s">
        <v>334</v>
      </c>
      <c r="B745" s="33" t="s">
        <v>2</v>
      </c>
      <c r="C745" s="78">
        <v>4565000</v>
      </c>
      <c r="D745" s="78">
        <v>4150000</v>
      </c>
      <c r="E745" s="78">
        <v>415000</v>
      </c>
      <c r="F745" s="54" t="s">
        <v>280</v>
      </c>
      <c r="G745" s="9">
        <v>43383</v>
      </c>
      <c r="I745" s="308" t="s">
        <v>532</v>
      </c>
      <c r="J745" s="309"/>
      <c r="K745" s="310"/>
    </row>
    <row r="746" spans="1:19">
      <c r="A746" s="52">
        <v>43373</v>
      </c>
      <c r="B746" s="33" t="s">
        <v>59</v>
      </c>
      <c r="C746" s="78">
        <v>8045400</v>
      </c>
      <c r="D746" s="78">
        <v>7314000</v>
      </c>
      <c r="E746" s="78">
        <v>731400</v>
      </c>
      <c r="F746" s="54" t="s">
        <v>527</v>
      </c>
      <c r="G746" s="9">
        <v>43378</v>
      </c>
      <c r="I746" s="18" t="s">
        <v>487</v>
      </c>
      <c r="J746" s="36" t="s">
        <v>488</v>
      </c>
      <c r="K746" s="36" t="s">
        <v>494</v>
      </c>
    </row>
    <row r="747" spans="1:19">
      <c r="A747" s="47">
        <v>43373</v>
      </c>
      <c r="B747" s="48" t="s">
        <v>59</v>
      </c>
      <c r="C747" s="83">
        <v>2899600</v>
      </c>
      <c r="D747" s="83">
        <v>2636000</v>
      </c>
      <c r="E747" s="83">
        <v>263600</v>
      </c>
      <c r="F747" s="50" t="s">
        <v>320</v>
      </c>
      <c r="G747" s="10">
        <v>43378</v>
      </c>
      <c r="H747" s="51"/>
      <c r="I747" s="18">
        <f>SUM(C713:C747)</f>
        <v>175247490</v>
      </c>
      <c r="J747" s="18">
        <f>SUM(D713:D747)</f>
        <v>159315900</v>
      </c>
      <c r="K747" s="18">
        <f>SUM(E713:E747)</f>
        <v>15931590</v>
      </c>
      <c r="L747" s="42"/>
      <c r="M747" s="42"/>
      <c r="N747" s="42"/>
      <c r="O747" s="42"/>
      <c r="P747" s="42"/>
      <c r="Q747" s="42"/>
      <c r="R747" s="42"/>
      <c r="S747" s="42"/>
    </row>
    <row r="748" spans="1:19">
      <c r="A748" s="52">
        <v>43377</v>
      </c>
      <c r="B748" s="33" t="s">
        <v>70</v>
      </c>
      <c r="C748" s="53">
        <v>748000</v>
      </c>
      <c r="D748" s="53">
        <v>680000</v>
      </c>
      <c r="E748" s="53">
        <v>68000</v>
      </c>
      <c r="F748" s="54" t="s">
        <v>13</v>
      </c>
      <c r="G748" s="9">
        <v>43383</v>
      </c>
    </row>
    <row r="749" spans="1:19">
      <c r="A749" s="52">
        <v>43379</v>
      </c>
      <c r="B749" s="33" t="s">
        <v>155</v>
      </c>
      <c r="C749" s="78">
        <v>2640000</v>
      </c>
      <c r="D749" s="78">
        <v>2400000</v>
      </c>
      <c r="E749" s="78">
        <v>240000</v>
      </c>
      <c r="F749" s="54" t="s">
        <v>533</v>
      </c>
      <c r="G749" s="9">
        <v>43462</v>
      </c>
    </row>
    <row r="750" spans="1:19">
      <c r="A750" s="52">
        <v>43379</v>
      </c>
      <c r="B750" s="33" t="s">
        <v>82</v>
      </c>
      <c r="C750" s="78">
        <v>2200000</v>
      </c>
      <c r="D750" s="78">
        <v>2000000</v>
      </c>
      <c r="E750" s="78">
        <v>200000</v>
      </c>
      <c r="F750" s="54" t="s">
        <v>534</v>
      </c>
      <c r="G750" s="9">
        <v>43451</v>
      </c>
    </row>
    <row r="751" spans="1:19">
      <c r="A751" s="52" t="s">
        <v>336</v>
      </c>
      <c r="B751" s="33" t="s">
        <v>38</v>
      </c>
      <c r="C751" s="78">
        <v>3388000</v>
      </c>
      <c r="D751" s="78">
        <v>3080000</v>
      </c>
      <c r="E751" s="78">
        <v>308000</v>
      </c>
      <c r="F751" s="54" t="s">
        <v>13</v>
      </c>
      <c r="G751" s="9">
        <v>43392</v>
      </c>
    </row>
    <row r="752" spans="1:19">
      <c r="A752" s="52" t="s">
        <v>335</v>
      </c>
      <c r="B752" s="33" t="s">
        <v>2</v>
      </c>
      <c r="C752" s="78">
        <v>3094300</v>
      </c>
      <c r="D752" s="78">
        <v>2813000</v>
      </c>
      <c r="E752" s="78">
        <v>281300</v>
      </c>
      <c r="F752" s="54" t="s">
        <v>255</v>
      </c>
      <c r="G752" s="9">
        <v>43395</v>
      </c>
    </row>
    <row r="753" spans="1:19">
      <c r="A753" s="52" t="s">
        <v>335</v>
      </c>
      <c r="B753" s="33" t="s">
        <v>2</v>
      </c>
      <c r="C753" s="78">
        <v>6688000</v>
      </c>
      <c r="D753" s="78">
        <v>6080000</v>
      </c>
      <c r="E753" s="78">
        <v>608000</v>
      </c>
      <c r="F753" s="54" t="s">
        <v>313</v>
      </c>
      <c r="G753" s="9">
        <v>43395</v>
      </c>
    </row>
    <row r="754" spans="1:19">
      <c r="A754" s="52" t="s">
        <v>335</v>
      </c>
      <c r="B754" s="33" t="s">
        <v>2</v>
      </c>
      <c r="C754" s="78">
        <v>3795000</v>
      </c>
      <c r="D754" s="78">
        <v>3450000</v>
      </c>
      <c r="E754" s="78">
        <v>345000</v>
      </c>
      <c r="F754" s="54" t="s">
        <v>337</v>
      </c>
      <c r="G754" s="9">
        <v>43395</v>
      </c>
    </row>
    <row r="755" spans="1:19">
      <c r="A755" s="52" t="s">
        <v>335</v>
      </c>
      <c r="B755" s="33" t="s">
        <v>2</v>
      </c>
      <c r="C755" s="78">
        <v>423500</v>
      </c>
      <c r="D755" s="78">
        <v>385000</v>
      </c>
      <c r="E755" s="78">
        <v>38500</v>
      </c>
      <c r="F755" s="54" t="s">
        <v>297</v>
      </c>
      <c r="G755" s="9">
        <v>43395</v>
      </c>
    </row>
    <row r="756" spans="1:19">
      <c r="A756" s="52" t="s">
        <v>335</v>
      </c>
      <c r="B756" s="33" t="s">
        <v>2</v>
      </c>
      <c r="C756" s="78">
        <v>7452500</v>
      </c>
      <c r="D756" s="78">
        <v>6775000</v>
      </c>
      <c r="E756" s="78">
        <v>677500</v>
      </c>
      <c r="F756" s="54" t="s">
        <v>280</v>
      </c>
      <c r="G756" s="9">
        <v>43395</v>
      </c>
    </row>
    <row r="757" spans="1:19">
      <c r="A757" s="52" t="s">
        <v>335</v>
      </c>
      <c r="B757" s="33" t="s">
        <v>59</v>
      </c>
      <c r="C757" s="78">
        <v>4523200</v>
      </c>
      <c r="D757" s="78">
        <v>4112000</v>
      </c>
      <c r="E757" s="78">
        <v>411200</v>
      </c>
      <c r="F757" s="54" t="s">
        <v>142</v>
      </c>
      <c r="G757" s="9">
        <v>43404</v>
      </c>
    </row>
    <row r="758" spans="1:19">
      <c r="A758" s="52" t="s">
        <v>335</v>
      </c>
      <c r="B758" s="33" t="s">
        <v>59</v>
      </c>
      <c r="C758" s="78">
        <v>3097600</v>
      </c>
      <c r="D758" s="78">
        <v>2816000</v>
      </c>
      <c r="E758" s="78">
        <v>281600</v>
      </c>
      <c r="F758" s="54" t="s">
        <v>320</v>
      </c>
      <c r="G758" s="9">
        <v>43404</v>
      </c>
    </row>
    <row r="759" spans="1:19">
      <c r="A759" s="52" t="s">
        <v>338</v>
      </c>
      <c r="B759" s="33" t="s">
        <v>15</v>
      </c>
      <c r="C759" s="78">
        <v>2376000</v>
      </c>
      <c r="D759" s="78">
        <v>2160000</v>
      </c>
      <c r="E759" s="78">
        <v>216000</v>
      </c>
      <c r="F759" s="54" t="s">
        <v>313</v>
      </c>
      <c r="G759" s="9">
        <v>43427</v>
      </c>
    </row>
    <row r="760" spans="1:19">
      <c r="A760" s="52" t="s">
        <v>338</v>
      </c>
      <c r="B760" s="33" t="s">
        <v>15</v>
      </c>
      <c r="C760" s="78">
        <v>7722000</v>
      </c>
      <c r="D760" s="78">
        <v>7020000</v>
      </c>
      <c r="E760" s="78">
        <v>702000</v>
      </c>
      <c r="F760" s="54" t="s">
        <v>305</v>
      </c>
      <c r="G760" s="9">
        <v>43427</v>
      </c>
    </row>
    <row r="761" spans="1:19">
      <c r="A761" s="52" t="s">
        <v>338</v>
      </c>
      <c r="B761" s="33" t="s">
        <v>15</v>
      </c>
      <c r="C761" s="78">
        <v>22473000</v>
      </c>
      <c r="D761" s="78">
        <v>20430000</v>
      </c>
      <c r="E761" s="78">
        <v>2043000</v>
      </c>
      <c r="F761" s="54" t="s">
        <v>261</v>
      </c>
      <c r="G761" s="9">
        <v>43427</v>
      </c>
    </row>
    <row r="762" spans="1:19">
      <c r="A762" s="52" t="s">
        <v>338</v>
      </c>
      <c r="B762" s="33" t="s">
        <v>15</v>
      </c>
      <c r="C762" s="78">
        <v>4224000</v>
      </c>
      <c r="D762" s="78">
        <v>3840000</v>
      </c>
      <c r="E762" s="78">
        <v>384000</v>
      </c>
      <c r="F762" s="54" t="s">
        <v>262</v>
      </c>
      <c r="G762" s="9">
        <v>43427</v>
      </c>
    </row>
    <row r="763" spans="1:19">
      <c r="A763" s="52" t="s">
        <v>338</v>
      </c>
      <c r="B763" s="33" t="s">
        <v>15</v>
      </c>
      <c r="C763" s="78">
        <v>5742000</v>
      </c>
      <c r="D763" s="78">
        <v>5220000</v>
      </c>
      <c r="E763" s="78">
        <v>522000</v>
      </c>
      <c r="F763" s="54" t="s">
        <v>67</v>
      </c>
      <c r="G763" s="9">
        <v>43427</v>
      </c>
    </row>
    <row r="764" spans="1:19">
      <c r="A764" s="52" t="s">
        <v>338</v>
      </c>
      <c r="B764" s="33" t="s">
        <v>15</v>
      </c>
      <c r="C764" s="78">
        <v>15444000</v>
      </c>
      <c r="D764" s="78">
        <v>14040000</v>
      </c>
      <c r="E764" s="78">
        <v>1404000</v>
      </c>
      <c r="F764" s="54" t="s">
        <v>78</v>
      </c>
      <c r="G764" s="9">
        <v>43427</v>
      </c>
    </row>
    <row r="765" spans="1:19">
      <c r="A765" s="52" t="s">
        <v>338</v>
      </c>
      <c r="B765" s="33" t="s">
        <v>82</v>
      </c>
      <c r="C765" s="78">
        <v>3300000</v>
      </c>
      <c r="D765" s="78">
        <v>3000000</v>
      </c>
      <c r="E765" s="78">
        <v>300000</v>
      </c>
      <c r="F765" s="54" t="s">
        <v>13</v>
      </c>
      <c r="G765" s="9">
        <v>43419</v>
      </c>
    </row>
    <row r="766" spans="1:19">
      <c r="A766" s="55" t="s">
        <v>338</v>
      </c>
      <c r="B766" s="30" t="s">
        <v>82</v>
      </c>
      <c r="C766" s="80">
        <v>-2926000</v>
      </c>
      <c r="D766" s="80">
        <v>-2660000</v>
      </c>
      <c r="E766" s="80">
        <v>-266000</v>
      </c>
      <c r="F766" s="31" t="s">
        <v>13</v>
      </c>
      <c r="G766" s="81" t="s">
        <v>496</v>
      </c>
      <c r="H766" s="31"/>
      <c r="I766" s="73"/>
      <c r="J766" s="74"/>
      <c r="K766" s="30"/>
      <c r="L766" s="30"/>
      <c r="M766" s="30"/>
      <c r="N766" s="30"/>
      <c r="O766" s="30"/>
      <c r="P766" s="30"/>
      <c r="Q766" s="30"/>
      <c r="R766" s="30"/>
      <c r="S766" s="30"/>
    </row>
    <row r="767" spans="1:19">
      <c r="A767" s="52" t="s">
        <v>338</v>
      </c>
      <c r="B767" s="33" t="s">
        <v>63</v>
      </c>
      <c r="C767" s="78">
        <v>2849000</v>
      </c>
      <c r="D767" s="78">
        <v>2590000</v>
      </c>
      <c r="E767" s="78">
        <v>259000</v>
      </c>
      <c r="F767" s="54" t="s">
        <v>13</v>
      </c>
      <c r="G767" s="9">
        <v>43418</v>
      </c>
    </row>
    <row r="768" spans="1:19">
      <c r="A768" s="55" t="s">
        <v>338</v>
      </c>
      <c r="B768" s="30" t="s">
        <v>63</v>
      </c>
      <c r="C768" s="80">
        <v>-3223000</v>
      </c>
      <c r="D768" s="80">
        <v>-2930000</v>
      </c>
      <c r="E768" s="80">
        <v>-293000</v>
      </c>
      <c r="F768" s="31" t="s">
        <v>13</v>
      </c>
      <c r="G768" s="81" t="s">
        <v>496</v>
      </c>
      <c r="H768" s="31"/>
      <c r="I768" s="73"/>
      <c r="J768" s="74"/>
      <c r="K768" s="30"/>
      <c r="L768" s="30"/>
      <c r="M768" s="30"/>
      <c r="N768" s="30"/>
      <c r="O768" s="30"/>
      <c r="P768" s="30"/>
      <c r="Q768" s="30"/>
      <c r="R768" s="30"/>
      <c r="S768" s="30"/>
    </row>
    <row r="769" spans="1:19">
      <c r="A769" s="52" t="s">
        <v>338</v>
      </c>
      <c r="B769" s="33" t="s">
        <v>1</v>
      </c>
      <c r="C769" s="78">
        <v>6996000</v>
      </c>
      <c r="D769" s="78">
        <v>6360000</v>
      </c>
      <c r="E769" s="78">
        <v>636000</v>
      </c>
      <c r="F769" s="54" t="s">
        <v>535</v>
      </c>
      <c r="G769" s="9">
        <v>43412</v>
      </c>
    </row>
    <row r="770" spans="1:19">
      <c r="A770" s="52" t="s">
        <v>338</v>
      </c>
      <c r="B770" s="33" t="s">
        <v>2</v>
      </c>
      <c r="C770" s="78">
        <v>508200</v>
      </c>
      <c r="D770" s="78">
        <v>462000</v>
      </c>
      <c r="E770" s="78">
        <v>46200</v>
      </c>
      <c r="F770" s="54" t="s">
        <v>254</v>
      </c>
      <c r="G770" s="9">
        <v>43416</v>
      </c>
    </row>
    <row r="771" spans="1:19">
      <c r="A771" s="52" t="s">
        <v>338</v>
      </c>
      <c r="B771" s="33" t="s">
        <v>2</v>
      </c>
      <c r="C771" s="78">
        <v>2840200</v>
      </c>
      <c r="D771" s="78">
        <v>2582000</v>
      </c>
      <c r="E771" s="78">
        <v>258200</v>
      </c>
      <c r="F771" s="54" t="s">
        <v>255</v>
      </c>
      <c r="G771" s="9">
        <v>43416</v>
      </c>
    </row>
    <row r="772" spans="1:19">
      <c r="A772" s="52" t="s">
        <v>338</v>
      </c>
      <c r="B772" s="33" t="s">
        <v>2</v>
      </c>
      <c r="C772" s="78">
        <v>8481000</v>
      </c>
      <c r="D772" s="78">
        <v>7710000</v>
      </c>
      <c r="E772" s="78">
        <v>771000</v>
      </c>
      <c r="F772" s="54" t="s">
        <v>313</v>
      </c>
      <c r="G772" s="9">
        <v>43416</v>
      </c>
    </row>
    <row r="773" spans="1:19">
      <c r="A773" s="52" t="s">
        <v>338</v>
      </c>
      <c r="B773" s="33" t="s">
        <v>2</v>
      </c>
      <c r="C773" s="78">
        <v>4257000</v>
      </c>
      <c r="D773" s="78">
        <v>3870000</v>
      </c>
      <c r="E773" s="78">
        <v>387000</v>
      </c>
      <c r="F773" s="54" t="s">
        <v>306</v>
      </c>
      <c r="G773" s="9">
        <v>43416</v>
      </c>
    </row>
    <row r="774" spans="1:19">
      <c r="A774" s="52" t="s">
        <v>338</v>
      </c>
      <c r="B774" s="33" t="s">
        <v>2</v>
      </c>
      <c r="C774" s="78">
        <v>363000</v>
      </c>
      <c r="D774" s="78">
        <v>330000</v>
      </c>
      <c r="E774" s="78">
        <v>33000</v>
      </c>
      <c r="F774" s="54" t="s">
        <v>66</v>
      </c>
      <c r="G774" s="9">
        <v>43416</v>
      </c>
    </row>
    <row r="775" spans="1:19">
      <c r="A775" s="52" t="s">
        <v>338</v>
      </c>
      <c r="B775" s="33" t="s">
        <v>2</v>
      </c>
      <c r="C775" s="78">
        <v>7471200</v>
      </c>
      <c r="D775" s="78">
        <v>6792000</v>
      </c>
      <c r="E775" s="78">
        <v>679200</v>
      </c>
      <c r="F775" s="54" t="s">
        <v>280</v>
      </c>
      <c r="G775" s="9">
        <v>43416</v>
      </c>
    </row>
    <row r="776" spans="1:19">
      <c r="A776" s="52" t="s">
        <v>338</v>
      </c>
      <c r="B776" s="33" t="s">
        <v>155</v>
      </c>
      <c r="C776" s="78">
        <v>7969500</v>
      </c>
      <c r="D776" s="78">
        <v>7245000</v>
      </c>
      <c r="E776" s="78">
        <v>724500</v>
      </c>
      <c r="F776" s="54" t="s">
        <v>13</v>
      </c>
      <c r="G776" s="9">
        <v>43462</v>
      </c>
    </row>
    <row r="777" spans="1:19">
      <c r="A777" s="55" t="s">
        <v>338</v>
      </c>
      <c r="B777" s="30" t="s">
        <v>82</v>
      </c>
      <c r="C777" s="80">
        <v>2926000</v>
      </c>
      <c r="D777" s="80">
        <v>2660000</v>
      </c>
      <c r="E777" s="80">
        <v>266000</v>
      </c>
      <c r="F777" s="31" t="s">
        <v>13</v>
      </c>
      <c r="G777" s="81" t="s">
        <v>496</v>
      </c>
      <c r="H777" s="31"/>
      <c r="I777" s="73"/>
      <c r="J777" s="74"/>
      <c r="K777" s="30"/>
      <c r="L777" s="30"/>
      <c r="M777" s="30"/>
      <c r="N777" s="30"/>
      <c r="O777" s="30"/>
      <c r="P777" s="30"/>
      <c r="Q777" s="30"/>
      <c r="R777" s="30"/>
      <c r="S777" s="30"/>
    </row>
    <row r="778" spans="1:19">
      <c r="A778" s="52" t="s">
        <v>338</v>
      </c>
      <c r="B778" s="33" t="s">
        <v>285</v>
      </c>
      <c r="C778" s="78">
        <v>583000</v>
      </c>
      <c r="D778" s="78">
        <v>530000</v>
      </c>
      <c r="E778" s="78">
        <v>53000</v>
      </c>
      <c r="F778" s="54" t="s">
        <v>13</v>
      </c>
      <c r="G778" s="9">
        <v>43434</v>
      </c>
    </row>
    <row r="779" spans="1:19">
      <c r="A779" s="52" t="s">
        <v>338</v>
      </c>
      <c r="B779" s="33" t="s">
        <v>70</v>
      </c>
      <c r="C779" s="78">
        <v>1760000</v>
      </c>
      <c r="D779" s="78">
        <v>1600000</v>
      </c>
      <c r="E779" s="78">
        <v>160000</v>
      </c>
      <c r="F779" s="54" t="s">
        <v>13</v>
      </c>
      <c r="G779" s="9">
        <v>43424</v>
      </c>
    </row>
    <row r="780" spans="1:19">
      <c r="A780" s="52" t="s">
        <v>338</v>
      </c>
      <c r="B780" s="33" t="s">
        <v>86</v>
      </c>
      <c r="C780" s="78">
        <v>4488000</v>
      </c>
      <c r="D780" s="78">
        <v>4080000</v>
      </c>
      <c r="E780" s="78">
        <v>408000</v>
      </c>
      <c r="F780" s="54" t="s">
        <v>13</v>
      </c>
      <c r="G780" s="9">
        <v>43445</v>
      </c>
    </row>
    <row r="781" spans="1:19">
      <c r="A781" s="55" t="s">
        <v>338</v>
      </c>
      <c r="B781" s="30" t="s">
        <v>63</v>
      </c>
      <c r="C781" s="80">
        <v>3223000</v>
      </c>
      <c r="D781" s="80">
        <v>2930000</v>
      </c>
      <c r="E781" s="80">
        <v>293000</v>
      </c>
      <c r="F781" s="31" t="s">
        <v>13</v>
      </c>
      <c r="G781" s="81" t="s">
        <v>496</v>
      </c>
      <c r="I781" s="308" t="s">
        <v>536</v>
      </c>
      <c r="J781" s="309"/>
      <c r="K781" s="310"/>
    </row>
    <row r="782" spans="1:19">
      <c r="A782" s="52" t="s">
        <v>338</v>
      </c>
      <c r="B782" s="33" t="s">
        <v>330</v>
      </c>
      <c r="C782" s="78">
        <v>440000</v>
      </c>
      <c r="D782" s="78">
        <v>400000</v>
      </c>
      <c r="E782" s="78">
        <v>40000</v>
      </c>
      <c r="F782" s="54" t="s">
        <v>13</v>
      </c>
      <c r="G782" s="9">
        <v>43434</v>
      </c>
      <c r="I782" s="18" t="s">
        <v>487</v>
      </c>
      <c r="J782" s="36" t="s">
        <v>488</v>
      </c>
      <c r="K782" s="36" t="s">
        <v>494</v>
      </c>
    </row>
    <row r="783" spans="1:19">
      <c r="A783" s="52">
        <v>43404</v>
      </c>
      <c r="B783" s="33" t="s">
        <v>59</v>
      </c>
      <c r="C783" s="78">
        <v>3069000</v>
      </c>
      <c r="D783" s="78">
        <v>2790000</v>
      </c>
      <c r="E783" s="78">
        <v>279000</v>
      </c>
      <c r="F783" s="54" t="s">
        <v>320</v>
      </c>
      <c r="G783" s="9">
        <v>43423</v>
      </c>
      <c r="H783" s="51"/>
      <c r="I783" s="18">
        <f>SUM(C748:C783)</f>
        <v>151406200</v>
      </c>
      <c r="J783" s="18">
        <f>SUM(D748:D783)</f>
        <v>137642000</v>
      </c>
      <c r="K783" s="18">
        <f>SUM(E748:E783)</f>
        <v>13764200</v>
      </c>
      <c r="L783" s="42"/>
      <c r="M783" s="42"/>
      <c r="N783" s="42"/>
      <c r="O783" s="42"/>
      <c r="P783" s="42"/>
      <c r="Q783" s="42"/>
      <c r="R783" s="42"/>
      <c r="S783" s="42"/>
    </row>
    <row r="784" spans="1:19">
      <c r="A784" s="57" t="s">
        <v>343</v>
      </c>
      <c r="B784" s="58" t="s">
        <v>344</v>
      </c>
      <c r="C784" s="79">
        <v>726000</v>
      </c>
      <c r="D784" s="79">
        <v>660000</v>
      </c>
      <c r="E784" s="79">
        <v>66000</v>
      </c>
      <c r="F784" s="60" t="s">
        <v>13</v>
      </c>
      <c r="G784" s="92">
        <v>43434</v>
      </c>
      <c r="J784" s="15"/>
      <c r="K784" s="15"/>
    </row>
    <row r="785" spans="1:11">
      <c r="A785" s="52" t="s">
        <v>339</v>
      </c>
      <c r="B785" s="33" t="s">
        <v>59</v>
      </c>
      <c r="C785" s="78">
        <v>10327350</v>
      </c>
      <c r="D785" s="78">
        <v>9388500</v>
      </c>
      <c r="E785" s="78">
        <v>938850</v>
      </c>
      <c r="F785" s="54" t="s">
        <v>522</v>
      </c>
      <c r="G785" s="9">
        <v>43434</v>
      </c>
      <c r="H785" s="17" t="s">
        <v>517</v>
      </c>
      <c r="J785" s="15"/>
      <c r="K785" s="15"/>
    </row>
    <row r="786" spans="1:11">
      <c r="A786" s="52" t="s">
        <v>339</v>
      </c>
      <c r="B786" s="33" t="s">
        <v>2</v>
      </c>
      <c r="C786" s="78">
        <v>11408980</v>
      </c>
      <c r="D786" s="78">
        <v>10371800</v>
      </c>
      <c r="E786" s="78">
        <v>1037180</v>
      </c>
      <c r="F786" s="54" t="s">
        <v>521</v>
      </c>
      <c r="G786" s="9">
        <v>43434</v>
      </c>
      <c r="H786" s="17" t="s">
        <v>517</v>
      </c>
      <c r="J786" s="15"/>
      <c r="K786" s="15"/>
    </row>
    <row r="787" spans="1:11">
      <c r="A787" s="52" t="s">
        <v>339</v>
      </c>
      <c r="B787" s="33" t="s">
        <v>2</v>
      </c>
      <c r="C787" s="78">
        <v>6336000</v>
      </c>
      <c r="D787" s="78">
        <v>5760000</v>
      </c>
      <c r="E787" s="78">
        <v>576000</v>
      </c>
      <c r="F787" s="54" t="s">
        <v>280</v>
      </c>
      <c r="G787" s="9">
        <v>43427</v>
      </c>
      <c r="H787" s="17" t="s">
        <v>517</v>
      </c>
      <c r="J787" s="15"/>
      <c r="K787" s="15"/>
    </row>
    <row r="788" spans="1:11">
      <c r="A788" s="52" t="s">
        <v>339</v>
      </c>
      <c r="B788" s="33" t="s">
        <v>2</v>
      </c>
      <c r="C788" s="78">
        <v>2612500</v>
      </c>
      <c r="D788" s="78">
        <v>2375000</v>
      </c>
      <c r="E788" s="78">
        <v>237500</v>
      </c>
      <c r="F788" s="54" t="s">
        <v>342</v>
      </c>
      <c r="G788" s="9">
        <v>43427</v>
      </c>
      <c r="H788" s="17" t="s">
        <v>517</v>
      </c>
      <c r="J788" s="15"/>
      <c r="K788" s="15"/>
    </row>
    <row r="789" spans="1:11">
      <c r="A789" s="52" t="s">
        <v>339</v>
      </c>
      <c r="B789" s="33" t="s">
        <v>2</v>
      </c>
      <c r="C789" s="78">
        <v>2711280</v>
      </c>
      <c r="D789" s="78">
        <v>2464800</v>
      </c>
      <c r="E789" s="78">
        <v>246480</v>
      </c>
      <c r="F789" s="54" t="s">
        <v>233</v>
      </c>
      <c r="G789" s="9">
        <v>43427</v>
      </c>
      <c r="H789" s="17" t="s">
        <v>517</v>
      </c>
      <c r="J789" s="15"/>
      <c r="K789" s="15"/>
    </row>
    <row r="790" spans="1:11">
      <c r="A790" s="52" t="s">
        <v>339</v>
      </c>
      <c r="B790" s="33" t="s">
        <v>59</v>
      </c>
      <c r="C790" s="78">
        <v>99000</v>
      </c>
      <c r="D790" s="78">
        <v>90000</v>
      </c>
      <c r="E790" s="78">
        <v>9000</v>
      </c>
      <c r="F790" s="54" t="s">
        <v>320</v>
      </c>
      <c r="G790" s="9">
        <v>43465</v>
      </c>
      <c r="J790" s="15"/>
      <c r="K790" s="15"/>
    </row>
    <row r="791" spans="1:11">
      <c r="A791" s="52" t="s">
        <v>339</v>
      </c>
      <c r="B791" s="33" t="s">
        <v>2</v>
      </c>
      <c r="C791" s="78">
        <v>132000</v>
      </c>
      <c r="D791" s="78">
        <v>120000</v>
      </c>
      <c r="E791" s="78">
        <v>12000</v>
      </c>
      <c r="F791" s="54" t="s">
        <v>341</v>
      </c>
      <c r="G791" s="9">
        <v>43424</v>
      </c>
      <c r="J791" s="15"/>
      <c r="K791" s="15"/>
    </row>
    <row r="792" spans="1:11">
      <c r="A792" s="52" t="s">
        <v>339</v>
      </c>
      <c r="B792" s="33" t="s">
        <v>2</v>
      </c>
      <c r="C792" s="78">
        <v>762300</v>
      </c>
      <c r="D792" s="78">
        <v>693000</v>
      </c>
      <c r="E792" s="78">
        <v>69300</v>
      </c>
      <c r="F792" s="54" t="s">
        <v>254</v>
      </c>
      <c r="G792" s="9">
        <v>43424</v>
      </c>
      <c r="J792" s="15"/>
      <c r="K792" s="15"/>
    </row>
    <row r="793" spans="1:11">
      <c r="A793" s="52" t="s">
        <v>339</v>
      </c>
      <c r="B793" s="33" t="s">
        <v>2</v>
      </c>
      <c r="C793" s="78">
        <v>2952400</v>
      </c>
      <c r="D793" s="78">
        <v>2684000</v>
      </c>
      <c r="E793" s="78">
        <v>268400</v>
      </c>
      <c r="F793" s="54" t="s">
        <v>255</v>
      </c>
      <c r="G793" s="9">
        <v>43424</v>
      </c>
      <c r="J793" s="15"/>
      <c r="K793" s="15"/>
    </row>
    <row r="794" spans="1:11">
      <c r="A794" s="52" t="s">
        <v>339</v>
      </c>
      <c r="B794" s="33" t="s">
        <v>2</v>
      </c>
      <c r="C794" s="78">
        <v>16071000</v>
      </c>
      <c r="D794" s="78">
        <v>14610000</v>
      </c>
      <c r="E794" s="78">
        <v>1461000</v>
      </c>
      <c r="F794" s="54" t="s">
        <v>313</v>
      </c>
      <c r="G794" s="9">
        <v>43424</v>
      </c>
      <c r="J794" s="15"/>
      <c r="K794" s="15"/>
    </row>
    <row r="795" spans="1:11">
      <c r="A795" s="52" t="s">
        <v>339</v>
      </c>
      <c r="B795" s="33" t="s">
        <v>2</v>
      </c>
      <c r="C795" s="78">
        <v>4158000</v>
      </c>
      <c r="D795" s="78">
        <v>3780000</v>
      </c>
      <c r="E795" s="78">
        <v>378000</v>
      </c>
      <c r="F795" s="54" t="s">
        <v>306</v>
      </c>
      <c r="G795" s="9">
        <v>43424</v>
      </c>
      <c r="J795" s="15"/>
      <c r="K795" s="15"/>
    </row>
    <row r="796" spans="1:11">
      <c r="A796" s="52" t="s">
        <v>339</v>
      </c>
      <c r="B796" s="33" t="s">
        <v>2</v>
      </c>
      <c r="C796" s="78">
        <v>665500</v>
      </c>
      <c r="D796" s="78">
        <v>605000</v>
      </c>
      <c r="E796" s="78">
        <v>60500</v>
      </c>
      <c r="F796" s="54" t="s">
        <v>66</v>
      </c>
      <c r="G796" s="9">
        <v>43424</v>
      </c>
      <c r="J796" s="15"/>
      <c r="K796" s="15"/>
    </row>
    <row r="797" spans="1:11">
      <c r="A797" s="52" t="s">
        <v>339</v>
      </c>
      <c r="B797" s="33" t="s">
        <v>2</v>
      </c>
      <c r="C797" s="78">
        <v>6600000</v>
      </c>
      <c r="D797" s="78">
        <v>6000000</v>
      </c>
      <c r="E797" s="78">
        <v>600000</v>
      </c>
      <c r="F797" s="54" t="s">
        <v>280</v>
      </c>
      <c r="G797" s="9">
        <v>43424</v>
      </c>
      <c r="J797" s="15"/>
      <c r="K797" s="15"/>
    </row>
    <row r="798" spans="1:11">
      <c r="A798" s="52" t="s">
        <v>339</v>
      </c>
      <c r="B798" s="33" t="s">
        <v>59</v>
      </c>
      <c r="C798" s="78">
        <v>13274910</v>
      </c>
      <c r="D798" s="78">
        <v>12068100</v>
      </c>
      <c r="E798" s="78">
        <v>1206810</v>
      </c>
      <c r="F798" s="54" t="s">
        <v>238</v>
      </c>
      <c r="G798" s="9">
        <v>43423</v>
      </c>
      <c r="H798" s="94" t="s">
        <v>517</v>
      </c>
      <c r="J798" s="15"/>
      <c r="K798" s="15"/>
    </row>
    <row r="799" spans="1:11">
      <c r="A799" s="52" t="s">
        <v>339</v>
      </c>
      <c r="B799" s="33" t="s">
        <v>59</v>
      </c>
      <c r="C799" s="78">
        <v>4774000</v>
      </c>
      <c r="D799" s="78">
        <v>4340000</v>
      </c>
      <c r="E799" s="78">
        <v>434000</v>
      </c>
      <c r="F799" s="54" t="s">
        <v>315</v>
      </c>
      <c r="G799" s="9">
        <v>43423</v>
      </c>
      <c r="H799" s="94" t="s">
        <v>517</v>
      </c>
    </row>
    <row r="800" spans="1:11">
      <c r="A800" s="52" t="s">
        <v>339</v>
      </c>
      <c r="B800" s="33" t="s">
        <v>59</v>
      </c>
      <c r="C800" s="78">
        <v>5896000</v>
      </c>
      <c r="D800" s="78">
        <v>5360000</v>
      </c>
      <c r="E800" s="78">
        <v>536000</v>
      </c>
      <c r="F800" s="54" t="s">
        <v>184</v>
      </c>
      <c r="G800" s="9">
        <v>43423</v>
      </c>
      <c r="H800" s="94" t="s">
        <v>517</v>
      </c>
      <c r="I800" s="14"/>
      <c r="J800" s="14"/>
    </row>
    <row r="801" spans="1:10">
      <c r="A801" s="52" t="s">
        <v>339</v>
      </c>
      <c r="B801" s="33" t="s">
        <v>59</v>
      </c>
      <c r="C801" s="78">
        <v>1837000</v>
      </c>
      <c r="D801" s="78">
        <v>1670000</v>
      </c>
      <c r="E801" s="78">
        <v>167000</v>
      </c>
      <c r="F801" s="54" t="s">
        <v>340</v>
      </c>
      <c r="G801" s="9">
        <v>43423</v>
      </c>
      <c r="I801" s="14"/>
      <c r="J801" s="14"/>
    </row>
    <row r="802" spans="1:10">
      <c r="A802" s="52" t="s">
        <v>345</v>
      </c>
      <c r="B802" s="33" t="s">
        <v>2</v>
      </c>
      <c r="C802" s="78">
        <v>8301700</v>
      </c>
      <c r="D802" s="78">
        <v>7547000</v>
      </c>
      <c r="E802" s="78">
        <v>754700</v>
      </c>
      <c r="F802" s="54" t="s">
        <v>521</v>
      </c>
      <c r="G802" s="9">
        <v>43444</v>
      </c>
      <c r="H802" s="94" t="s">
        <v>517</v>
      </c>
      <c r="I802" s="14"/>
      <c r="J802" s="14"/>
    </row>
    <row r="803" spans="1:10">
      <c r="A803" s="52" t="s">
        <v>345</v>
      </c>
      <c r="B803" s="33" t="s">
        <v>15</v>
      </c>
      <c r="C803" s="78">
        <v>9702000</v>
      </c>
      <c r="D803" s="78">
        <v>8820000</v>
      </c>
      <c r="E803" s="78">
        <v>882000</v>
      </c>
      <c r="F803" s="54" t="s">
        <v>305</v>
      </c>
      <c r="G803" s="9">
        <v>43462</v>
      </c>
      <c r="I803" s="14"/>
      <c r="J803" s="14"/>
    </row>
    <row r="804" spans="1:10">
      <c r="A804" s="52" t="s">
        <v>345</v>
      </c>
      <c r="B804" s="33" t="s">
        <v>15</v>
      </c>
      <c r="C804" s="78">
        <v>21879000</v>
      </c>
      <c r="D804" s="78">
        <v>19890000</v>
      </c>
      <c r="E804" s="78">
        <v>1989000</v>
      </c>
      <c r="F804" s="54" t="s">
        <v>261</v>
      </c>
      <c r="G804" s="9">
        <v>43462</v>
      </c>
      <c r="I804" s="14"/>
      <c r="J804" s="14"/>
    </row>
    <row r="805" spans="1:10">
      <c r="A805" s="52" t="s">
        <v>345</v>
      </c>
      <c r="B805" s="33" t="s">
        <v>15</v>
      </c>
      <c r="C805" s="78">
        <v>5016000</v>
      </c>
      <c r="D805" s="78">
        <v>4560000</v>
      </c>
      <c r="E805" s="78">
        <v>456000</v>
      </c>
      <c r="F805" s="54" t="s">
        <v>262</v>
      </c>
      <c r="G805" s="9">
        <v>43462</v>
      </c>
      <c r="I805" s="14"/>
      <c r="J805" s="14"/>
    </row>
    <row r="806" spans="1:10">
      <c r="A806" s="52" t="s">
        <v>345</v>
      </c>
      <c r="B806" s="33" t="s">
        <v>15</v>
      </c>
      <c r="C806" s="78">
        <v>6534000</v>
      </c>
      <c r="D806" s="78">
        <v>5940000</v>
      </c>
      <c r="E806" s="78">
        <v>594000</v>
      </c>
      <c r="F806" s="54" t="s">
        <v>67</v>
      </c>
      <c r="G806" s="9">
        <v>43462</v>
      </c>
      <c r="I806" s="14"/>
      <c r="J806" s="14"/>
    </row>
    <row r="807" spans="1:10">
      <c r="A807" s="52" t="s">
        <v>345</v>
      </c>
      <c r="B807" s="33" t="s">
        <v>15</v>
      </c>
      <c r="C807" s="78">
        <v>14652000</v>
      </c>
      <c r="D807" s="78">
        <v>13320000</v>
      </c>
      <c r="E807" s="78">
        <v>1332000</v>
      </c>
      <c r="F807" s="54" t="s">
        <v>78</v>
      </c>
      <c r="G807" s="9">
        <v>43462</v>
      </c>
      <c r="I807" s="14"/>
      <c r="J807" s="14"/>
    </row>
    <row r="808" spans="1:10">
      <c r="A808" s="52" t="s">
        <v>345</v>
      </c>
      <c r="B808" s="33" t="s">
        <v>285</v>
      </c>
      <c r="C808" s="78">
        <v>319000</v>
      </c>
      <c r="D808" s="78">
        <v>290000</v>
      </c>
      <c r="E808" s="78">
        <v>29000</v>
      </c>
      <c r="F808" s="54" t="s">
        <v>13</v>
      </c>
      <c r="G808" s="9">
        <v>43483</v>
      </c>
      <c r="I808" s="14"/>
      <c r="J808" s="14"/>
    </row>
    <row r="809" spans="1:10">
      <c r="A809" s="52" t="s">
        <v>345</v>
      </c>
      <c r="B809" s="33" t="s">
        <v>82</v>
      </c>
      <c r="C809" s="78">
        <v>2233000</v>
      </c>
      <c r="D809" s="78">
        <v>2030000</v>
      </c>
      <c r="E809" s="78">
        <v>203000</v>
      </c>
      <c r="F809" s="54" t="s">
        <v>13</v>
      </c>
      <c r="G809" s="9">
        <v>43451</v>
      </c>
      <c r="I809" s="14"/>
      <c r="J809" s="14"/>
    </row>
    <row r="810" spans="1:10">
      <c r="A810" s="52" t="s">
        <v>345</v>
      </c>
      <c r="B810" s="33" t="s">
        <v>321</v>
      </c>
      <c r="C810" s="78">
        <v>869000</v>
      </c>
      <c r="D810" s="78">
        <v>790000</v>
      </c>
      <c r="E810" s="78">
        <v>79000</v>
      </c>
      <c r="F810" s="54" t="s">
        <v>13</v>
      </c>
      <c r="G810" s="9">
        <v>43445</v>
      </c>
      <c r="I810" s="14"/>
      <c r="J810" s="14"/>
    </row>
    <row r="811" spans="1:10">
      <c r="A811" s="52" t="s">
        <v>345</v>
      </c>
      <c r="B811" s="33" t="s">
        <v>86</v>
      </c>
      <c r="C811" s="78">
        <v>1584000</v>
      </c>
      <c r="D811" s="78">
        <v>1440000</v>
      </c>
      <c r="E811" s="78">
        <v>144000</v>
      </c>
      <c r="F811" s="54" t="s">
        <v>13</v>
      </c>
      <c r="G811" s="9">
        <v>43465</v>
      </c>
      <c r="I811" s="14"/>
      <c r="J811" s="14"/>
    </row>
    <row r="812" spans="1:10">
      <c r="A812" s="52" t="s">
        <v>345</v>
      </c>
      <c r="B812" s="33" t="s">
        <v>12</v>
      </c>
      <c r="C812" s="78">
        <v>2673000</v>
      </c>
      <c r="D812" s="78">
        <v>2430000</v>
      </c>
      <c r="E812" s="78">
        <v>243000</v>
      </c>
      <c r="F812" s="54" t="s">
        <v>13</v>
      </c>
      <c r="G812" s="9">
        <v>43580</v>
      </c>
      <c r="I812" s="14"/>
      <c r="J812" s="14"/>
    </row>
    <row r="813" spans="1:10">
      <c r="A813" s="52" t="s">
        <v>345</v>
      </c>
      <c r="B813" s="33" t="s">
        <v>79</v>
      </c>
      <c r="C813" s="78">
        <v>7392000</v>
      </c>
      <c r="D813" s="78">
        <v>6720000</v>
      </c>
      <c r="E813" s="78">
        <v>672000</v>
      </c>
      <c r="F813" s="54" t="s">
        <v>13</v>
      </c>
      <c r="G813" s="9">
        <v>43467</v>
      </c>
      <c r="I813" s="14"/>
      <c r="J813" s="14"/>
    </row>
    <row r="814" spans="1:10">
      <c r="A814" s="52" t="s">
        <v>345</v>
      </c>
      <c r="B814" s="33" t="s">
        <v>2</v>
      </c>
      <c r="C814" s="78">
        <v>3030500</v>
      </c>
      <c r="D814" s="78">
        <v>2755000</v>
      </c>
      <c r="E814" s="78">
        <v>275500</v>
      </c>
      <c r="F814" s="54" t="s">
        <v>316</v>
      </c>
      <c r="G814" s="9">
        <v>43444</v>
      </c>
      <c r="H814" s="94" t="s">
        <v>517</v>
      </c>
    </row>
    <row r="815" spans="1:10">
      <c r="A815" s="52" t="s">
        <v>345</v>
      </c>
      <c r="B815" s="33" t="s">
        <v>2</v>
      </c>
      <c r="C815" s="78">
        <v>6534000</v>
      </c>
      <c r="D815" s="78">
        <v>5940000</v>
      </c>
      <c r="E815" s="78">
        <v>594000</v>
      </c>
      <c r="F815" s="54" t="s">
        <v>280</v>
      </c>
      <c r="G815" s="9">
        <v>43444</v>
      </c>
      <c r="H815" s="94" t="s">
        <v>517</v>
      </c>
    </row>
    <row r="816" spans="1:10">
      <c r="A816" s="52" t="s">
        <v>345</v>
      </c>
      <c r="B816" s="33" t="s">
        <v>2</v>
      </c>
      <c r="C816" s="78">
        <v>3441240</v>
      </c>
      <c r="D816" s="78">
        <v>3128400</v>
      </c>
      <c r="E816" s="78">
        <v>312840</v>
      </c>
      <c r="F816" s="54" t="s">
        <v>298</v>
      </c>
      <c r="G816" s="9">
        <v>43444</v>
      </c>
      <c r="H816" s="94" t="s">
        <v>517</v>
      </c>
    </row>
    <row r="817" spans="1:19">
      <c r="A817" s="52" t="s">
        <v>345</v>
      </c>
      <c r="B817" s="33" t="s">
        <v>2</v>
      </c>
      <c r="C817" s="78">
        <v>484000</v>
      </c>
      <c r="D817" s="78">
        <v>440000</v>
      </c>
      <c r="E817" s="78">
        <v>44000</v>
      </c>
      <c r="F817" s="54" t="s">
        <v>346</v>
      </c>
      <c r="G817" s="9">
        <v>43444</v>
      </c>
      <c r="H817" s="94" t="s">
        <v>517</v>
      </c>
    </row>
    <row r="818" spans="1:19">
      <c r="A818" s="52" t="s">
        <v>345</v>
      </c>
      <c r="B818" s="33" t="s">
        <v>1</v>
      </c>
      <c r="C818" s="78">
        <v>10714000</v>
      </c>
      <c r="D818" s="78">
        <v>9740000</v>
      </c>
      <c r="E818" s="78">
        <v>974000</v>
      </c>
      <c r="F818" s="54" t="s">
        <v>13</v>
      </c>
      <c r="G818" s="9">
        <v>43447</v>
      </c>
    </row>
    <row r="819" spans="1:19">
      <c r="A819" s="52" t="s">
        <v>345</v>
      </c>
      <c r="B819" s="33" t="s">
        <v>63</v>
      </c>
      <c r="C819" s="78">
        <v>935000</v>
      </c>
      <c r="D819" s="78">
        <v>850000</v>
      </c>
      <c r="E819" s="78">
        <v>85000</v>
      </c>
      <c r="F819" s="54" t="s">
        <v>13</v>
      </c>
      <c r="G819" s="9">
        <v>43440</v>
      </c>
    </row>
    <row r="820" spans="1:19">
      <c r="A820" s="52" t="s">
        <v>345</v>
      </c>
      <c r="B820" s="33" t="s">
        <v>2</v>
      </c>
      <c r="C820" s="78">
        <v>508200</v>
      </c>
      <c r="D820" s="78">
        <v>462000</v>
      </c>
      <c r="E820" s="78">
        <v>46200</v>
      </c>
      <c r="F820" s="54" t="s">
        <v>316</v>
      </c>
      <c r="G820" s="9">
        <v>43444</v>
      </c>
    </row>
    <row r="821" spans="1:19">
      <c r="A821" s="52" t="s">
        <v>345</v>
      </c>
      <c r="B821" s="33" t="s">
        <v>2</v>
      </c>
      <c r="C821" s="78">
        <v>396000</v>
      </c>
      <c r="D821" s="78">
        <v>360000</v>
      </c>
      <c r="E821" s="78">
        <v>36000</v>
      </c>
      <c r="F821" s="54" t="s">
        <v>245</v>
      </c>
      <c r="G821" s="9">
        <v>43444</v>
      </c>
    </row>
    <row r="822" spans="1:19">
      <c r="A822" s="52" t="s">
        <v>345</v>
      </c>
      <c r="B822" s="33" t="s">
        <v>2</v>
      </c>
      <c r="C822" s="78">
        <v>423500</v>
      </c>
      <c r="D822" s="78">
        <v>385000</v>
      </c>
      <c r="E822" s="78">
        <v>38500</v>
      </c>
      <c r="F822" s="54" t="s">
        <v>254</v>
      </c>
      <c r="G822" s="9">
        <v>43444</v>
      </c>
    </row>
    <row r="823" spans="1:19">
      <c r="A823" s="52" t="s">
        <v>345</v>
      </c>
      <c r="B823" s="33" t="s">
        <v>2</v>
      </c>
      <c r="C823" s="78">
        <v>3051400</v>
      </c>
      <c r="D823" s="78">
        <v>2774000</v>
      </c>
      <c r="E823" s="78">
        <v>277400</v>
      </c>
      <c r="F823" s="54" t="s">
        <v>255</v>
      </c>
      <c r="G823" s="9">
        <v>43444</v>
      </c>
    </row>
    <row r="824" spans="1:19">
      <c r="A824" s="52" t="s">
        <v>345</v>
      </c>
      <c r="B824" s="33" t="s">
        <v>2</v>
      </c>
      <c r="C824" s="78">
        <v>20537000</v>
      </c>
      <c r="D824" s="78">
        <v>18670000</v>
      </c>
      <c r="E824" s="78">
        <v>1867000</v>
      </c>
      <c r="F824" s="54" t="s">
        <v>313</v>
      </c>
      <c r="G824" s="9">
        <v>43444</v>
      </c>
    </row>
    <row r="825" spans="1:19">
      <c r="A825" s="52" t="s">
        <v>345</v>
      </c>
      <c r="B825" s="33" t="s">
        <v>2</v>
      </c>
      <c r="C825" s="78">
        <v>4356000</v>
      </c>
      <c r="D825" s="78">
        <v>3960000</v>
      </c>
      <c r="E825" s="78">
        <v>396000</v>
      </c>
      <c r="F825" s="54" t="s">
        <v>337</v>
      </c>
      <c r="G825" s="9">
        <v>43444</v>
      </c>
    </row>
    <row r="826" spans="1:19">
      <c r="A826" s="52" t="s">
        <v>345</v>
      </c>
      <c r="B826" s="33" t="s">
        <v>2</v>
      </c>
      <c r="C826" s="78">
        <v>924000</v>
      </c>
      <c r="D826" s="78">
        <v>840000</v>
      </c>
      <c r="E826" s="78">
        <v>84000</v>
      </c>
      <c r="F826" s="54" t="s">
        <v>297</v>
      </c>
      <c r="G826" s="9">
        <v>43444</v>
      </c>
    </row>
    <row r="827" spans="1:19">
      <c r="A827" s="52" t="s">
        <v>345</v>
      </c>
      <c r="B827" s="33" t="s">
        <v>2</v>
      </c>
      <c r="C827" s="78">
        <v>4620000</v>
      </c>
      <c r="D827" s="78">
        <v>4200000</v>
      </c>
      <c r="E827" s="78">
        <v>420000</v>
      </c>
      <c r="F827" s="54" t="s">
        <v>280</v>
      </c>
      <c r="G827" s="9">
        <v>43444</v>
      </c>
    </row>
    <row r="828" spans="1:19">
      <c r="A828" s="52" t="s">
        <v>345</v>
      </c>
      <c r="B828" s="33" t="s">
        <v>155</v>
      </c>
      <c r="C828" s="78">
        <v>1969000</v>
      </c>
      <c r="D828" s="78">
        <v>1790000</v>
      </c>
      <c r="E828" s="78">
        <v>179000</v>
      </c>
      <c r="F828" s="54" t="s">
        <v>13</v>
      </c>
      <c r="G828" s="9">
        <v>43482</v>
      </c>
      <c r="I828" s="308" t="s">
        <v>537</v>
      </c>
      <c r="J828" s="309"/>
      <c r="K828" s="310"/>
    </row>
    <row r="829" spans="1:19">
      <c r="A829" s="52" t="s">
        <v>345</v>
      </c>
      <c r="B829" s="33" t="s">
        <v>59</v>
      </c>
      <c r="C829" s="78">
        <v>5588000</v>
      </c>
      <c r="D829" s="78">
        <v>5080000</v>
      </c>
      <c r="E829" s="78">
        <v>508000</v>
      </c>
      <c r="F829" s="54" t="s">
        <v>184</v>
      </c>
      <c r="G829" s="9">
        <v>43448</v>
      </c>
      <c r="H829" s="17" t="s">
        <v>538</v>
      </c>
      <c r="I829" s="66" t="s">
        <v>487</v>
      </c>
      <c r="J829" s="63" t="s">
        <v>488</v>
      </c>
      <c r="K829" s="67" t="s">
        <v>494</v>
      </c>
    </row>
    <row r="830" spans="1:19">
      <c r="A830" s="52" t="s">
        <v>345</v>
      </c>
      <c r="B830" s="33" t="s">
        <v>59</v>
      </c>
      <c r="C830" s="78">
        <v>1870000</v>
      </c>
      <c r="D830" s="78">
        <v>1700000</v>
      </c>
      <c r="E830" s="78">
        <v>170000</v>
      </c>
      <c r="F830" s="54" t="s">
        <v>315</v>
      </c>
      <c r="G830" s="10">
        <v>43448</v>
      </c>
      <c r="H830" s="51"/>
      <c r="I830" s="95">
        <f>SUM(C784:C830)</f>
        <v>241880760</v>
      </c>
      <c r="J830" s="18">
        <f>SUM(D784:D830)</f>
        <v>219891600</v>
      </c>
      <c r="K830" s="96">
        <f>SUM(E784:E830)</f>
        <v>21989160</v>
      </c>
      <c r="L830" s="42"/>
      <c r="M830" s="42"/>
      <c r="N830" s="42"/>
      <c r="O830" s="42"/>
      <c r="P830" s="42"/>
      <c r="Q830" s="42"/>
      <c r="R830" s="42"/>
      <c r="S830" s="42"/>
    </row>
    <row r="831" spans="1:19">
      <c r="A831" s="57" t="s">
        <v>347</v>
      </c>
      <c r="B831" s="58" t="s">
        <v>59</v>
      </c>
      <c r="C831" s="79">
        <v>9680000</v>
      </c>
      <c r="D831" s="79">
        <v>8800000</v>
      </c>
      <c r="E831" s="79">
        <v>880000</v>
      </c>
      <c r="F831" s="60" t="s">
        <v>185</v>
      </c>
      <c r="G831" s="9">
        <v>43448</v>
      </c>
      <c r="H831" s="17" t="s">
        <v>517</v>
      </c>
      <c r="I831" s="14"/>
      <c r="J831" s="14"/>
    </row>
    <row r="832" spans="1:19">
      <c r="A832" s="52" t="s">
        <v>348</v>
      </c>
      <c r="B832" s="33" t="s">
        <v>59</v>
      </c>
      <c r="C832" s="78">
        <v>14046890</v>
      </c>
      <c r="D832" s="78">
        <v>12769900</v>
      </c>
      <c r="E832" s="78">
        <v>1276990</v>
      </c>
      <c r="F832" s="54" t="s">
        <v>238</v>
      </c>
      <c r="G832" s="9">
        <v>43451</v>
      </c>
      <c r="H832" s="17" t="s">
        <v>517</v>
      </c>
    </row>
    <row r="833" spans="1:8">
      <c r="A833" s="52" t="s">
        <v>349</v>
      </c>
      <c r="B833" s="33" t="s">
        <v>2</v>
      </c>
      <c r="C833" s="78">
        <v>7443260</v>
      </c>
      <c r="D833" s="78">
        <v>6766600</v>
      </c>
      <c r="E833" s="78">
        <v>676660</v>
      </c>
      <c r="F833" s="54" t="s">
        <v>255</v>
      </c>
      <c r="G833" s="9">
        <v>43475</v>
      </c>
      <c r="H833" s="17" t="s">
        <v>517</v>
      </c>
    </row>
    <row r="834" spans="1:8">
      <c r="A834" s="52" t="s">
        <v>349</v>
      </c>
      <c r="B834" s="33" t="s">
        <v>2</v>
      </c>
      <c r="C834" s="78">
        <v>7128000</v>
      </c>
      <c r="D834" s="78">
        <v>6480000</v>
      </c>
      <c r="E834" s="78">
        <v>648000</v>
      </c>
      <c r="F834" s="54" t="s">
        <v>280</v>
      </c>
      <c r="G834" s="9">
        <v>43462</v>
      </c>
      <c r="H834" s="17" t="s">
        <v>517</v>
      </c>
    </row>
    <row r="835" spans="1:8">
      <c r="A835" s="52" t="s">
        <v>349</v>
      </c>
      <c r="B835" s="33" t="s">
        <v>2</v>
      </c>
      <c r="C835" s="78">
        <v>3232680</v>
      </c>
      <c r="D835" s="78">
        <v>2938800</v>
      </c>
      <c r="E835" s="78">
        <v>293880</v>
      </c>
      <c r="F835" s="54" t="s">
        <v>298</v>
      </c>
      <c r="G835" s="9">
        <v>43462</v>
      </c>
      <c r="H835" s="17" t="s">
        <v>517</v>
      </c>
    </row>
    <row r="836" spans="1:8">
      <c r="A836" s="52" t="s">
        <v>349</v>
      </c>
      <c r="B836" s="33" t="s">
        <v>2</v>
      </c>
      <c r="C836" s="78">
        <v>570240</v>
      </c>
      <c r="D836" s="78">
        <v>518400</v>
      </c>
      <c r="E836" s="78">
        <v>51840</v>
      </c>
      <c r="F836" s="54" t="s">
        <v>233</v>
      </c>
      <c r="G836" s="9">
        <v>43454</v>
      </c>
    </row>
    <row r="837" spans="1:8">
      <c r="A837" s="52" t="s">
        <v>349</v>
      </c>
      <c r="B837" s="33" t="s">
        <v>2</v>
      </c>
      <c r="C837" s="78">
        <v>1089000</v>
      </c>
      <c r="D837" s="78">
        <v>990000</v>
      </c>
      <c r="E837" s="78">
        <v>99000</v>
      </c>
      <c r="F837" s="54" t="s">
        <v>245</v>
      </c>
      <c r="G837" s="9">
        <v>43454</v>
      </c>
    </row>
    <row r="838" spans="1:8">
      <c r="A838" s="52" t="s">
        <v>349</v>
      </c>
      <c r="B838" s="33" t="s">
        <v>2</v>
      </c>
      <c r="C838" s="78">
        <v>169400</v>
      </c>
      <c r="D838" s="78">
        <v>154000</v>
      </c>
      <c r="E838" s="78">
        <v>15400</v>
      </c>
      <c r="F838" s="54" t="s">
        <v>254</v>
      </c>
      <c r="G838" s="9">
        <v>43454</v>
      </c>
    </row>
    <row r="839" spans="1:8">
      <c r="A839" s="52" t="s">
        <v>349</v>
      </c>
      <c r="B839" s="33" t="s">
        <v>2</v>
      </c>
      <c r="C839" s="78">
        <v>2429900</v>
      </c>
      <c r="D839" s="78">
        <v>2209000</v>
      </c>
      <c r="E839" s="78">
        <v>220900</v>
      </c>
      <c r="F839" s="54" t="s">
        <v>255</v>
      </c>
      <c r="G839" s="9">
        <v>43454</v>
      </c>
    </row>
    <row r="840" spans="1:8">
      <c r="A840" s="52" t="s">
        <v>349</v>
      </c>
      <c r="B840" s="33" t="s">
        <v>2</v>
      </c>
      <c r="C840" s="78">
        <v>1210000</v>
      </c>
      <c r="D840" s="78">
        <v>1100000</v>
      </c>
      <c r="E840" s="78">
        <v>110000</v>
      </c>
      <c r="F840" s="54" t="s">
        <v>346</v>
      </c>
      <c r="G840" s="9">
        <v>43454</v>
      </c>
    </row>
    <row r="841" spans="1:8">
      <c r="A841" s="52" t="s">
        <v>349</v>
      </c>
      <c r="B841" s="33" t="s">
        <v>2</v>
      </c>
      <c r="C841" s="78">
        <v>28842000</v>
      </c>
      <c r="D841" s="78">
        <v>26220000</v>
      </c>
      <c r="E841" s="78">
        <v>2622000</v>
      </c>
      <c r="F841" s="54" t="s">
        <v>313</v>
      </c>
      <c r="G841" s="9">
        <v>43454</v>
      </c>
      <c r="H841" s="17" t="s">
        <v>539</v>
      </c>
    </row>
    <row r="842" spans="1:8">
      <c r="A842" s="52" t="s">
        <v>349</v>
      </c>
      <c r="B842" s="33" t="s">
        <v>2</v>
      </c>
      <c r="C842" s="78">
        <v>5247000</v>
      </c>
      <c r="D842" s="78">
        <v>4770000</v>
      </c>
      <c r="E842" s="78">
        <v>477000</v>
      </c>
      <c r="F842" s="54" t="s">
        <v>306</v>
      </c>
      <c r="G842" s="9">
        <v>43454</v>
      </c>
    </row>
    <row r="843" spans="1:8">
      <c r="A843" s="52" t="s">
        <v>349</v>
      </c>
      <c r="B843" s="33" t="s">
        <v>2</v>
      </c>
      <c r="C843" s="78">
        <v>363000</v>
      </c>
      <c r="D843" s="78">
        <v>330000</v>
      </c>
      <c r="E843" s="78">
        <v>33000</v>
      </c>
      <c r="F843" s="54" t="s">
        <v>66</v>
      </c>
      <c r="G843" s="9">
        <v>43454</v>
      </c>
    </row>
    <row r="844" spans="1:8">
      <c r="A844" s="52" t="s">
        <v>349</v>
      </c>
      <c r="B844" s="33" t="s">
        <v>2</v>
      </c>
      <c r="C844" s="78">
        <v>3195500</v>
      </c>
      <c r="D844" s="78">
        <v>2905000</v>
      </c>
      <c r="E844" s="78">
        <v>290500</v>
      </c>
      <c r="F844" s="54" t="s">
        <v>280</v>
      </c>
      <c r="G844" s="9">
        <v>43454</v>
      </c>
    </row>
    <row r="845" spans="1:8">
      <c r="A845" s="52" t="s">
        <v>349</v>
      </c>
      <c r="B845" s="33" t="s">
        <v>59</v>
      </c>
      <c r="C845" s="78">
        <v>2722500</v>
      </c>
      <c r="D845" s="78">
        <v>2475000</v>
      </c>
      <c r="E845" s="78">
        <v>247500</v>
      </c>
      <c r="F845" s="54" t="s">
        <v>315</v>
      </c>
      <c r="G845" s="9">
        <v>43465</v>
      </c>
      <c r="H845" s="17" t="s">
        <v>517</v>
      </c>
    </row>
    <row r="846" spans="1:8">
      <c r="A846" s="52" t="s">
        <v>349</v>
      </c>
      <c r="B846" s="33" t="s">
        <v>59</v>
      </c>
      <c r="C846" s="78">
        <v>6077500</v>
      </c>
      <c r="D846" s="78">
        <v>5525000</v>
      </c>
      <c r="E846" s="78">
        <v>552500</v>
      </c>
      <c r="F846" s="54" t="s">
        <v>184</v>
      </c>
      <c r="G846" s="9">
        <v>43465</v>
      </c>
      <c r="H846" s="17" t="s">
        <v>517</v>
      </c>
    </row>
    <row r="847" spans="1:8">
      <c r="A847" s="52">
        <v>43449</v>
      </c>
      <c r="B847" s="33" t="s">
        <v>59</v>
      </c>
      <c r="C847" s="78">
        <v>8742250</v>
      </c>
      <c r="D847" s="78">
        <v>7947500</v>
      </c>
      <c r="E847" s="78">
        <v>794750</v>
      </c>
      <c r="F847" s="54" t="s">
        <v>185</v>
      </c>
      <c r="G847" s="9">
        <v>43465</v>
      </c>
      <c r="H847" s="17" t="s">
        <v>517</v>
      </c>
    </row>
    <row r="848" spans="1:8">
      <c r="A848" s="52" t="s">
        <v>350</v>
      </c>
      <c r="B848" s="33" t="s">
        <v>295</v>
      </c>
      <c r="C848" s="78">
        <v>858000</v>
      </c>
      <c r="D848" s="78">
        <v>780000</v>
      </c>
      <c r="E848" s="78">
        <v>78000</v>
      </c>
      <c r="F848" s="54" t="s">
        <v>13</v>
      </c>
      <c r="G848" s="9">
        <v>43459</v>
      </c>
    </row>
    <row r="849" spans="1:19">
      <c r="A849" s="52">
        <v>43461</v>
      </c>
      <c r="B849" s="33" t="s">
        <v>38</v>
      </c>
      <c r="C849" s="78">
        <v>3960000</v>
      </c>
      <c r="D849" s="78">
        <v>3600000</v>
      </c>
      <c r="E849" s="78">
        <v>360000</v>
      </c>
      <c r="F849" s="54" t="s">
        <v>13</v>
      </c>
      <c r="G849" s="9">
        <v>43461</v>
      </c>
    </row>
    <row r="850" spans="1:19">
      <c r="A850" s="52" t="s">
        <v>351</v>
      </c>
      <c r="B850" s="33" t="s">
        <v>2</v>
      </c>
      <c r="C850" s="78">
        <v>8778000</v>
      </c>
      <c r="D850" s="78">
        <v>7980000</v>
      </c>
      <c r="E850" s="78">
        <v>798000</v>
      </c>
      <c r="F850" s="54" t="s">
        <v>316</v>
      </c>
      <c r="G850" s="9">
        <v>43475</v>
      </c>
      <c r="H850" s="17" t="s">
        <v>517</v>
      </c>
    </row>
    <row r="851" spans="1:19">
      <c r="A851" s="55" t="s">
        <v>351</v>
      </c>
      <c r="B851" s="30" t="s">
        <v>2</v>
      </c>
      <c r="C851" s="80">
        <v>-9927500</v>
      </c>
      <c r="D851" s="80">
        <v>-9025000</v>
      </c>
      <c r="E851" s="80">
        <v>-902500</v>
      </c>
      <c r="F851" s="31" t="s">
        <v>316</v>
      </c>
      <c r="G851" s="30" t="s">
        <v>496</v>
      </c>
    </row>
    <row r="852" spans="1:19">
      <c r="A852" s="52" t="s">
        <v>351</v>
      </c>
      <c r="B852" s="33" t="s">
        <v>63</v>
      </c>
      <c r="C852" s="78">
        <v>2376000</v>
      </c>
      <c r="D852" s="78">
        <v>2160000</v>
      </c>
      <c r="E852" s="78">
        <v>216000</v>
      </c>
      <c r="F852" s="54" t="s">
        <v>13</v>
      </c>
      <c r="G852" s="9">
        <v>43472</v>
      </c>
    </row>
    <row r="853" spans="1:19">
      <c r="A853" s="55" t="s">
        <v>351</v>
      </c>
      <c r="B853" s="30" t="s">
        <v>63</v>
      </c>
      <c r="C853" s="80">
        <v>-2805000</v>
      </c>
      <c r="D853" s="80">
        <v>-2550000</v>
      </c>
      <c r="E853" s="80">
        <v>-255000</v>
      </c>
      <c r="F853" s="31" t="s">
        <v>13</v>
      </c>
      <c r="G853" s="30" t="s">
        <v>496</v>
      </c>
      <c r="H853" s="31"/>
      <c r="I853" s="73"/>
      <c r="J853" s="74"/>
      <c r="K853" s="30"/>
      <c r="L853" s="30"/>
      <c r="M853" s="30"/>
      <c r="N853" s="30"/>
      <c r="O853" s="30"/>
      <c r="P853" s="30"/>
      <c r="Q853" s="30"/>
      <c r="R853" s="30"/>
      <c r="S853" s="30"/>
    </row>
    <row r="854" spans="1:19">
      <c r="A854" s="52" t="s">
        <v>351</v>
      </c>
      <c r="B854" s="33" t="s">
        <v>70</v>
      </c>
      <c r="C854" s="78">
        <v>1650000</v>
      </c>
      <c r="D854" s="78">
        <v>1500000</v>
      </c>
      <c r="E854" s="78">
        <v>150000</v>
      </c>
      <c r="F854" s="54" t="s">
        <v>13</v>
      </c>
      <c r="G854" s="9">
        <v>43480</v>
      </c>
    </row>
    <row r="855" spans="1:19">
      <c r="A855" s="55" t="s">
        <v>351</v>
      </c>
      <c r="B855" s="30" t="s">
        <v>70</v>
      </c>
      <c r="C855" s="80">
        <v>-1221000</v>
      </c>
      <c r="D855" s="80">
        <v>-1110000</v>
      </c>
      <c r="E855" s="80">
        <v>-111000</v>
      </c>
      <c r="F855" s="31" t="s">
        <v>13</v>
      </c>
      <c r="G855" s="30" t="s">
        <v>496</v>
      </c>
      <c r="H855" s="31"/>
      <c r="I855" s="73"/>
      <c r="J855" s="74"/>
      <c r="K855" s="30"/>
      <c r="L855" s="30"/>
      <c r="M855" s="30"/>
      <c r="N855" s="30"/>
      <c r="O855" s="30"/>
      <c r="P855" s="30"/>
      <c r="Q855" s="30"/>
      <c r="R855" s="30"/>
      <c r="S855" s="30"/>
    </row>
    <row r="856" spans="1:19">
      <c r="A856" s="52" t="s">
        <v>351</v>
      </c>
      <c r="B856" s="33" t="s">
        <v>155</v>
      </c>
      <c r="C856" s="78">
        <v>4834500</v>
      </c>
      <c r="D856" s="78">
        <v>4395000</v>
      </c>
      <c r="E856" s="78">
        <v>439500</v>
      </c>
      <c r="F856" s="54" t="s">
        <v>13</v>
      </c>
      <c r="G856" s="9">
        <v>43490</v>
      </c>
    </row>
    <row r="857" spans="1:19">
      <c r="A857" s="52" t="s">
        <v>351</v>
      </c>
      <c r="B857" s="33" t="s">
        <v>285</v>
      </c>
      <c r="C857" s="78">
        <v>1155000</v>
      </c>
      <c r="D857" s="78">
        <v>1050000</v>
      </c>
      <c r="E857" s="78">
        <v>105000</v>
      </c>
      <c r="F857" s="54" t="s">
        <v>13</v>
      </c>
      <c r="G857" s="9">
        <v>43476</v>
      </c>
    </row>
    <row r="858" spans="1:19">
      <c r="A858" s="52" t="s">
        <v>351</v>
      </c>
      <c r="B858" s="33" t="s">
        <v>82</v>
      </c>
      <c r="C858" s="78">
        <v>3982000</v>
      </c>
      <c r="D858" s="78">
        <v>3620000</v>
      </c>
      <c r="E858" s="78">
        <v>362000</v>
      </c>
      <c r="F858" s="54" t="s">
        <v>13</v>
      </c>
      <c r="G858" s="9">
        <v>43480</v>
      </c>
    </row>
    <row r="859" spans="1:19">
      <c r="A859" s="55" t="s">
        <v>351</v>
      </c>
      <c r="B859" s="30" t="s">
        <v>70</v>
      </c>
      <c r="C859" s="80">
        <v>1221000</v>
      </c>
      <c r="D859" s="80">
        <v>1110000</v>
      </c>
      <c r="E859" s="80">
        <v>111000</v>
      </c>
      <c r="F859" s="31" t="s">
        <v>13</v>
      </c>
      <c r="G859" s="30" t="s">
        <v>496</v>
      </c>
      <c r="H859" s="31"/>
      <c r="I859" s="73"/>
      <c r="J859" s="74"/>
      <c r="K859" s="30"/>
      <c r="L859" s="30"/>
      <c r="M859" s="30"/>
      <c r="N859" s="30"/>
      <c r="O859" s="30"/>
      <c r="P859" s="30"/>
      <c r="Q859" s="30"/>
      <c r="R859" s="30"/>
      <c r="S859" s="30"/>
    </row>
    <row r="860" spans="1:19">
      <c r="A860" s="52" t="s">
        <v>351</v>
      </c>
      <c r="B860" s="33" t="s">
        <v>353</v>
      </c>
      <c r="C860" s="78">
        <v>1221000</v>
      </c>
      <c r="D860" s="78">
        <v>1110000</v>
      </c>
      <c r="E860" s="78">
        <v>111000</v>
      </c>
      <c r="F860" s="54" t="s">
        <v>13</v>
      </c>
      <c r="G860" s="9">
        <v>43493</v>
      </c>
    </row>
    <row r="861" spans="1:19">
      <c r="A861" s="55" t="s">
        <v>351</v>
      </c>
      <c r="B861" s="30" t="s">
        <v>63</v>
      </c>
      <c r="C861" s="80">
        <v>2805000</v>
      </c>
      <c r="D861" s="80">
        <v>2550000</v>
      </c>
      <c r="E861" s="80">
        <v>255000</v>
      </c>
      <c r="F861" s="31" t="s">
        <v>13</v>
      </c>
      <c r="G861" s="30" t="s">
        <v>496</v>
      </c>
      <c r="H861" s="31"/>
      <c r="I861" s="73"/>
      <c r="J861" s="74"/>
      <c r="K861" s="30"/>
      <c r="L861" s="30"/>
      <c r="M861" s="30"/>
      <c r="N861" s="30"/>
      <c r="O861" s="30"/>
      <c r="P861" s="30"/>
      <c r="Q861" s="30"/>
      <c r="R861" s="30"/>
      <c r="S861" s="30"/>
    </row>
    <row r="862" spans="1:19">
      <c r="A862" s="52" t="s">
        <v>351</v>
      </c>
      <c r="B862" s="33" t="s">
        <v>330</v>
      </c>
      <c r="C862" s="78">
        <v>1100000</v>
      </c>
      <c r="D862" s="78">
        <v>1000000</v>
      </c>
      <c r="E862" s="78">
        <v>100000</v>
      </c>
      <c r="F862" s="54" t="s">
        <v>13</v>
      </c>
      <c r="G862" s="9">
        <v>43473</v>
      </c>
    </row>
    <row r="863" spans="1:19">
      <c r="A863" s="52" t="s">
        <v>351</v>
      </c>
      <c r="B863" s="33" t="s">
        <v>79</v>
      </c>
      <c r="C863" s="78">
        <v>616000</v>
      </c>
      <c r="D863" s="78">
        <v>560000</v>
      </c>
      <c r="E863" s="78">
        <v>56000</v>
      </c>
      <c r="F863" s="54" t="s">
        <v>13</v>
      </c>
      <c r="G863" s="9">
        <v>43528</v>
      </c>
    </row>
    <row r="864" spans="1:19">
      <c r="A864" s="52" t="s">
        <v>351</v>
      </c>
      <c r="B864" s="33" t="s">
        <v>15</v>
      </c>
      <c r="C864" s="78">
        <v>7029000</v>
      </c>
      <c r="D864" s="78">
        <v>6390000</v>
      </c>
      <c r="E864" s="78">
        <v>639000</v>
      </c>
      <c r="F864" s="54" t="s">
        <v>305</v>
      </c>
      <c r="G864" s="9">
        <v>43490</v>
      </c>
    </row>
    <row r="865" spans="1:8">
      <c r="A865" s="52" t="s">
        <v>351</v>
      </c>
      <c r="B865" s="33" t="s">
        <v>15</v>
      </c>
      <c r="C865" s="78">
        <v>21186000</v>
      </c>
      <c r="D865" s="78">
        <v>19260000</v>
      </c>
      <c r="E865" s="78">
        <v>1926000</v>
      </c>
      <c r="F865" s="54" t="s">
        <v>261</v>
      </c>
      <c r="G865" s="9">
        <v>43490</v>
      </c>
    </row>
    <row r="866" spans="1:8">
      <c r="A866" s="52" t="s">
        <v>351</v>
      </c>
      <c r="B866" s="33" t="s">
        <v>15</v>
      </c>
      <c r="C866" s="78">
        <v>3960000</v>
      </c>
      <c r="D866" s="78">
        <v>3600000</v>
      </c>
      <c r="E866" s="78">
        <v>360000</v>
      </c>
      <c r="F866" s="54" t="s">
        <v>262</v>
      </c>
      <c r="G866" s="9">
        <v>43490</v>
      </c>
    </row>
    <row r="867" spans="1:8">
      <c r="A867" s="52" t="s">
        <v>351</v>
      </c>
      <c r="B867" s="33" t="s">
        <v>15</v>
      </c>
      <c r="C867" s="78">
        <v>6237000</v>
      </c>
      <c r="D867" s="78">
        <v>5670000</v>
      </c>
      <c r="E867" s="78">
        <v>567000</v>
      </c>
      <c r="F867" s="54" t="s">
        <v>67</v>
      </c>
      <c r="G867" s="9">
        <v>43490</v>
      </c>
    </row>
    <row r="868" spans="1:8">
      <c r="A868" s="52" t="s">
        <v>351</v>
      </c>
      <c r="B868" s="33" t="s">
        <v>15</v>
      </c>
      <c r="C868" s="78">
        <v>10296000</v>
      </c>
      <c r="D868" s="78">
        <v>9360000</v>
      </c>
      <c r="E868" s="78">
        <v>936000</v>
      </c>
      <c r="F868" s="54" t="s">
        <v>78</v>
      </c>
      <c r="G868" s="9">
        <v>43490</v>
      </c>
    </row>
    <row r="869" spans="1:8">
      <c r="A869" s="52" t="s">
        <v>351</v>
      </c>
      <c r="B869" s="33" t="s">
        <v>91</v>
      </c>
      <c r="C869" s="78">
        <v>3195500</v>
      </c>
      <c r="D869" s="78">
        <v>2905000</v>
      </c>
      <c r="E869" s="78">
        <v>290500</v>
      </c>
      <c r="F869" s="54" t="s">
        <v>13</v>
      </c>
      <c r="G869" s="9">
        <v>43469</v>
      </c>
    </row>
    <row r="870" spans="1:8">
      <c r="A870" s="52">
        <v>43465</v>
      </c>
      <c r="B870" s="33" t="s">
        <v>1</v>
      </c>
      <c r="C870" s="78">
        <v>12551000</v>
      </c>
      <c r="D870" s="78">
        <v>11410000</v>
      </c>
      <c r="E870" s="78">
        <v>1141000</v>
      </c>
      <c r="F870" s="54" t="s">
        <v>13</v>
      </c>
      <c r="G870" s="9">
        <v>43475</v>
      </c>
    </row>
    <row r="871" spans="1:8">
      <c r="A871" s="52">
        <v>43465</v>
      </c>
      <c r="B871" s="33" t="s">
        <v>2</v>
      </c>
      <c r="C871" s="78">
        <v>6633000</v>
      </c>
      <c r="D871" s="78">
        <v>6030000</v>
      </c>
      <c r="E871" s="78">
        <v>603000</v>
      </c>
      <c r="F871" s="54" t="s">
        <v>540</v>
      </c>
      <c r="G871" s="9">
        <v>43475</v>
      </c>
      <c r="H871" s="17" t="s">
        <v>517</v>
      </c>
    </row>
    <row r="872" spans="1:8">
      <c r="A872" s="52" t="s">
        <v>351</v>
      </c>
      <c r="B872" s="33" t="s">
        <v>2</v>
      </c>
      <c r="C872" s="78">
        <v>4692600</v>
      </c>
      <c r="D872" s="78">
        <v>4266000</v>
      </c>
      <c r="E872" s="78">
        <v>426600</v>
      </c>
      <c r="F872" s="54" t="s">
        <v>233</v>
      </c>
      <c r="G872" s="9">
        <v>43475</v>
      </c>
      <c r="H872" s="17" t="s">
        <v>517</v>
      </c>
    </row>
    <row r="873" spans="1:8">
      <c r="A873" s="52" t="s">
        <v>351</v>
      </c>
      <c r="B873" s="33" t="s">
        <v>2</v>
      </c>
      <c r="C873" s="78">
        <v>15087380</v>
      </c>
      <c r="D873" s="78">
        <v>13715800</v>
      </c>
      <c r="E873" s="78">
        <v>1371580</v>
      </c>
      <c r="F873" s="54" t="s">
        <v>255</v>
      </c>
      <c r="G873" s="9">
        <v>43475</v>
      </c>
      <c r="H873" s="17" t="s">
        <v>517</v>
      </c>
    </row>
    <row r="874" spans="1:8">
      <c r="A874" s="52" t="s">
        <v>351</v>
      </c>
      <c r="B874" s="33" t="s">
        <v>2</v>
      </c>
      <c r="C874" s="78">
        <v>9927500</v>
      </c>
      <c r="D874" s="78">
        <v>9025000</v>
      </c>
      <c r="E874" s="78">
        <v>902500</v>
      </c>
      <c r="F874" s="54" t="s">
        <v>316</v>
      </c>
      <c r="G874" s="30" t="s">
        <v>496</v>
      </c>
    </row>
    <row r="875" spans="1:8">
      <c r="A875" s="52" t="s">
        <v>351</v>
      </c>
      <c r="B875" s="33" t="s">
        <v>2</v>
      </c>
      <c r="C875" s="78">
        <v>2851200</v>
      </c>
      <c r="D875" s="78">
        <v>2592000</v>
      </c>
      <c r="E875" s="78">
        <v>259200</v>
      </c>
      <c r="F875" s="54" t="s">
        <v>233</v>
      </c>
      <c r="G875" s="9">
        <v>43475</v>
      </c>
    </row>
    <row r="876" spans="1:8">
      <c r="A876" s="52" t="s">
        <v>351</v>
      </c>
      <c r="B876" s="33" t="s">
        <v>2</v>
      </c>
      <c r="C876" s="78">
        <v>1287000</v>
      </c>
      <c r="D876" s="78">
        <v>1170000</v>
      </c>
      <c r="E876" s="78">
        <v>117000</v>
      </c>
      <c r="F876" s="54" t="s">
        <v>245</v>
      </c>
      <c r="G876" s="9">
        <v>43475</v>
      </c>
    </row>
    <row r="877" spans="1:8">
      <c r="A877" s="52" t="s">
        <v>351</v>
      </c>
      <c r="B877" s="33" t="s">
        <v>2</v>
      </c>
      <c r="C877" s="78">
        <v>4222900</v>
      </c>
      <c r="D877" s="78">
        <v>3839000</v>
      </c>
      <c r="E877" s="78">
        <v>383900</v>
      </c>
      <c r="F877" s="54" t="s">
        <v>255</v>
      </c>
      <c r="G877" s="9">
        <v>43475</v>
      </c>
    </row>
    <row r="878" spans="1:8">
      <c r="A878" s="52" t="s">
        <v>351</v>
      </c>
      <c r="B878" s="33" t="s">
        <v>2</v>
      </c>
      <c r="C878" s="78">
        <v>1210000</v>
      </c>
      <c r="D878" s="78">
        <v>1100000</v>
      </c>
      <c r="E878" s="78">
        <v>110000</v>
      </c>
      <c r="F878" s="54" t="s">
        <v>346</v>
      </c>
      <c r="G878" s="9">
        <v>43475</v>
      </c>
    </row>
    <row r="879" spans="1:8">
      <c r="A879" s="52" t="s">
        <v>351</v>
      </c>
      <c r="B879" s="33" t="s">
        <v>2</v>
      </c>
      <c r="C879" s="78">
        <v>54274000</v>
      </c>
      <c r="D879" s="78">
        <v>49340000</v>
      </c>
      <c r="E879" s="78">
        <v>4934000</v>
      </c>
      <c r="F879" s="54" t="s">
        <v>313</v>
      </c>
      <c r="G879" s="9">
        <v>43475</v>
      </c>
      <c r="H879" s="17" t="s">
        <v>541</v>
      </c>
    </row>
    <row r="880" spans="1:8">
      <c r="A880" s="52" t="s">
        <v>351</v>
      </c>
      <c r="B880" s="33" t="s">
        <v>2</v>
      </c>
      <c r="C880" s="78">
        <v>5478000</v>
      </c>
      <c r="D880" s="78">
        <v>4980000</v>
      </c>
      <c r="E880" s="78">
        <v>498000</v>
      </c>
      <c r="F880" s="54" t="s">
        <v>306</v>
      </c>
      <c r="G880" s="9">
        <v>43475</v>
      </c>
    </row>
    <row r="881" spans="1:19">
      <c r="A881" s="52" t="s">
        <v>351</v>
      </c>
      <c r="B881" s="33" t="s">
        <v>2</v>
      </c>
      <c r="C881" s="78">
        <v>2689500</v>
      </c>
      <c r="D881" s="78">
        <v>2445000</v>
      </c>
      <c r="E881" s="78">
        <v>244500</v>
      </c>
      <c r="F881" s="54" t="s">
        <v>66</v>
      </c>
      <c r="G881" s="9">
        <v>43475</v>
      </c>
    </row>
    <row r="882" spans="1:19">
      <c r="A882" s="52" t="s">
        <v>351</v>
      </c>
      <c r="B882" s="33" t="s">
        <v>2</v>
      </c>
      <c r="C882" s="78">
        <v>4757500</v>
      </c>
      <c r="D882" s="78">
        <v>4325000</v>
      </c>
      <c r="E882" s="78">
        <v>432500</v>
      </c>
      <c r="F882" s="54" t="s">
        <v>280</v>
      </c>
      <c r="G882" s="9">
        <v>43475</v>
      </c>
      <c r="I882" s="14"/>
      <c r="J882" s="14"/>
    </row>
    <row r="883" spans="1:19">
      <c r="A883" s="52" t="s">
        <v>351</v>
      </c>
      <c r="B883" s="33" t="s">
        <v>59</v>
      </c>
      <c r="C883" s="78">
        <v>3641000</v>
      </c>
      <c r="D883" s="78">
        <v>3310000</v>
      </c>
      <c r="E883" s="78">
        <v>331000</v>
      </c>
      <c r="F883" s="54" t="s">
        <v>184</v>
      </c>
      <c r="G883" s="9">
        <v>43480</v>
      </c>
      <c r="H883" s="17" t="s">
        <v>542</v>
      </c>
      <c r="I883" s="308" t="s">
        <v>543</v>
      </c>
      <c r="J883" s="309"/>
      <c r="K883" s="310"/>
    </row>
    <row r="884" spans="1:19">
      <c r="A884" s="52" t="s">
        <v>351</v>
      </c>
      <c r="B884" s="33" t="s">
        <v>59</v>
      </c>
      <c r="C884" s="78">
        <v>3553000</v>
      </c>
      <c r="D884" s="78">
        <v>3230000</v>
      </c>
      <c r="E884" s="78">
        <v>323000</v>
      </c>
      <c r="F884" s="54" t="s">
        <v>315</v>
      </c>
      <c r="G884" s="9">
        <v>43480</v>
      </c>
      <c r="H884" s="17" t="s">
        <v>517</v>
      </c>
      <c r="I884" s="18" t="s">
        <v>487</v>
      </c>
      <c r="J884" s="36" t="s">
        <v>488</v>
      </c>
      <c r="K884" s="36" t="s">
        <v>494</v>
      </c>
    </row>
    <row r="885" spans="1:19">
      <c r="A885" s="52" t="s">
        <v>351</v>
      </c>
      <c r="B885" s="33" t="s">
        <v>352</v>
      </c>
      <c r="C885" s="78">
        <v>286000</v>
      </c>
      <c r="D885" s="78">
        <v>260000</v>
      </c>
      <c r="E885" s="78">
        <v>26000</v>
      </c>
      <c r="F885" s="54" t="s">
        <v>13</v>
      </c>
      <c r="G885" s="10">
        <v>43470</v>
      </c>
      <c r="H885" s="51"/>
      <c r="I885" s="18">
        <f>SUM(C831:C885)</f>
        <v>307837200</v>
      </c>
      <c r="J885" s="18">
        <f>SUM(D831:D885)</f>
        <v>279852000</v>
      </c>
      <c r="K885" s="18">
        <f>SUM(E831:E885)</f>
        <v>27985200</v>
      </c>
      <c r="L885" s="42"/>
      <c r="M885" s="42"/>
      <c r="N885" s="42"/>
      <c r="O885" s="42"/>
      <c r="P885" s="42"/>
      <c r="Q885" s="42"/>
      <c r="R885" s="42"/>
      <c r="S885" s="42"/>
    </row>
    <row r="886" spans="1:19">
      <c r="A886" s="57" t="s">
        <v>354</v>
      </c>
      <c r="B886" s="58" t="s">
        <v>59</v>
      </c>
      <c r="C886" s="79">
        <v>11121000</v>
      </c>
      <c r="D886" s="79">
        <v>10110000</v>
      </c>
      <c r="E886" s="79">
        <v>1011000</v>
      </c>
      <c r="F886" s="60" t="s">
        <v>185</v>
      </c>
      <c r="G886" s="9">
        <v>43487</v>
      </c>
      <c r="H886" s="17" t="s">
        <v>517</v>
      </c>
    </row>
    <row r="887" spans="1:19">
      <c r="A887" s="52" t="s">
        <v>355</v>
      </c>
      <c r="B887" s="33" t="s">
        <v>0</v>
      </c>
      <c r="C887" s="78">
        <v>9319200</v>
      </c>
      <c r="D887" s="78">
        <v>8472000</v>
      </c>
      <c r="E887" s="78">
        <v>847200</v>
      </c>
      <c r="F887" s="54" t="s">
        <v>185</v>
      </c>
      <c r="G887" s="9">
        <v>43496</v>
      </c>
      <c r="H887" s="17" t="s">
        <v>517</v>
      </c>
    </row>
    <row r="888" spans="1:19">
      <c r="A888" s="52" t="s">
        <v>355</v>
      </c>
      <c r="B888" s="33" t="s">
        <v>2</v>
      </c>
      <c r="C888" s="78">
        <v>12193060</v>
      </c>
      <c r="D888" s="78">
        <v>11084600</v>
      </c>
      <c r="E888" s="78">
        <v>1108460</v>
      </c>
      <c r="F888" s="54" t="s">
        <v>255</v>
      </c>
      <c r="G888" s="9">
        <v>43496</v>
      </c>
      <c r="H888" s="17" t="s">
        <v>517</v>
      </c>
    </row>
    <row r="889" spans="1:19">
      <c r="A889" s="52" t="s">
        <v>355</v>
      </c>
      <c r="B889" s="33" t="s">
        <v>2</v>
      </c>
      <c r="C889" s="78">
        <v>2425500</v>
      </c>
      <c r="D889" s="78">
        <v>2205000</v>
      </c>
      <c r="E889" s="78">
        <v>220500</v>
      </c>
      <c r="F889" s="54" t="s">
        <v>316</v>
      </c>
      <c r="G889" s="9">
        <v>43496</v>
      </c>
      <c r="H889" s="17" t="s">
        <v>517</v>
      </c>
    </row>
    <row r="890" spans="1:19">
      <c r="A890" s="52" t="s">
        <v>355</v>
      </c>
      <c r="B890" s="33" t="s">
        <v>2</v>
      </c>
      <c r="C890" s="78">
        <v>3349500</v>
      </c>
      <c r="D890" s="78">
        <v>3045000</v>
      </c>
      <c r="E890" s="78">
        <v>304500</v>
      </c>
      <c r="F890" s="54" t="s">
        <v>233</v>
      </c>
      <c r="G890" s="9">
        <v>43493</v>
      </c>
      <c r="H890" s="17" t="s">
        <v>517</v>
      </c>
    </row>
    <row r="891" spans="1:19">
      <c r="A891" s="52" t="s">
        <v>355</v>
      </c>
      <c r="B891" s="33" t="s">
        <v>2</v>
      </c>
      <c r="C891" s="78">
        <v>6380330</v>
      </c>
      <c r="D891" s="78">
        <v>5800300</v>
      </c>
      <c r="E891" s="78">
        <v>580030</v>
      </c>
      <c r="F891" s="54" t="s">
        <v>280</v>
      </c>
      <c r="G891" s="9">
        <v>43496</v>
      </c>
      <c r="H891" s="17" t="s">
        <v>517</v>
      </c>
    </row>
    <row r="892" spans="1:19">
      <c r="A892" s="52" t="s">
        <v>355</v>
      </c>
      <c r="B892" s="33" t="s">
        <v>2</v>
      </c>
      <c r="C892" s="78">
        <v>847000</v>
      </c>
      <c r="D892" s="78">
        <v>770000</v>
      </c>
      <c r="E892" s="78">
        <v>77000</v>
      </c>
      <c r="F892" s="54" t="s">
        <v>346</v>
      </c>
      <c r="G892" s="9">
        <v>43496</v>
      </c>
      <c r="H892" s="17" t="s">
        <v>517</v>
      </c>
    </row>
    <row r="893" spans="1:19">
      <c r="A893" s="52" t="s">
        <v>355</v>
      </c>
      <c r="B893" s="33" t="s">
        <v>2</v>
      </c>
      <c r="C893" s="78">
        <v>4598000</v>
      </c>
      <c r="D893" s="78">
        <v>4180000</v>
      </c>
      <c r="E893" s="78">
        <v>418000</v>
      </c>
      <c r="F893" s="54" t="s">
        <v>313</v>
      </c>
      <c r="G893" s="9">
        <v>43495</v>
      </c>
      <c r="H893" s="17" t="s">
        <v>517</v>
      </c>
    </row>
    <row r="894" spans="1:19">
      <c r="A894" s="52" t="s">
        <v>355</v>
      </c>
      <c r="B894" s="33" t="s">
        <v>2</v>
      </c>
      <c r="C894" s="78">
        <v>5924600</v>
      </c>
      <c r="D894" s="78">
        <v>5386000</v>
      </c>
      <c r="E894" s="78">
        <v>538600</v>
      </c>
      <c r="F894" s="54" t="s">
        <v>245</v>
      </c>
      <c r="G894" s="9">
        <v>43496</v>
      </c>
      <c r="J894" s="14"/>
    </row>
    <row r="895" spans="1:19">
      <c r="A895" s="52" t="s">
        <v>355</v>
      </c>
      <c r="B895" s="33" t="s">
        <v>2</v>
      </c>
      <c r="C895" s="78">
        <v>91300</v>
      </c>
      <c r="D895" s="78">
        <v>83000</v>
      </c>
      <c r="E895" s="78">
        <v>8300</v>
      </c>
      <c r="F895" s="54" t="s">
        <v>254</v>
      </c>
      <c r="G895" s="9">
        <v>43496</v>
      </c>
      <c r="J895" s="14"/>
    </row>
    <row r="896" spans="1:19">
      <c r="A896" s="52" t="s">
        <v>355</v>
      </c>
      <c r="B896" s="33" t="s">
        <v>2</v>
      </c>
      <c r="C896" s="78">
        <v>3426500</v>
      </c>
      <c r="D896" s="78">
        <v>3115000</v>
      </c>
      <c r="E896" s="78">
        <v>311500</v>
      </c>
      <c r="F896" s="54" t="s">
        <v>255</v>
      </c>
      <c r="G896" s="9">
        <v>43496</v>
      </c>
      <c r="J896" s="14"/>
    </row>
    <row r="897" spans="1:11">
      <c r="A897" s="52" t="s">
        <v>355</v>
      </c>
      <c r="B897" s="33" t="s">
        <v>2</v>
      </c>
      <c r="C897" s="78">
        <v>2420000</v>
      </c>
      <c r="D897" s="78">
        <v>2200000</v>
      </c>
      <c r="E897" s="78">
        <v>220000</v>
      </c>
      <c r="F897" s="54" t="s">
        <v>346</v>
      </c>
      <c r="G897" s="9">
        <v>43496</v>
      </c>
      <c r="J897" s="14"/>
    </row>
    <row r="898" spans="1:11">
      <c r="A898" s="52" t="s">
        <v>355</v>
      </c>
      <c r="B898" s="33" t="s">
        <v>2</v>
      </c>
      <c r="C898" s="78">
        <v>32103500</v>
      </c>
      <c r="D898" s="78">
        <v>29185000</v>
      </c>
      <c r="E898" s="78">
        <v>2918500</v>
      </c>
      <c r="F898" s="54" t="s">
        <v>313</v>
      </c>
      <c r="G898" s="9">
        <v>43496</v>
      </c>
    </row>
    <row r="899" spans="1:11">
      <c r="A899" s="52" t="s">
        <v>355</v>
      </c>
      <c r="B899" s="33" t="s">
        <v>2</v>
      </c>
      <c r="C899" s="78">
        <v>8046500</v>
      </c>
      <c r="D899" s="78">
        <v>7315000</v>
      </c>
      <c r="E899" s="78">
        <v>731500</v>
      </c>
      <c r="F899" s="54" t="s">
        <v>306</v>
      </c>
      <c r="G899" s="9">
        <v>43496</v>
      </c>
    </row>
    <row r="900" spans="1:11">
      <c r="A900" s="52" t="s">
        <v>355</v>
      </c>
      <c r="B900" s="33" t="s">
        <v>2</v>
      </c>
      <c r="C900" s="78">
        <v>5708560</v>
      </c>
      <c r="D900" s="78">
        <v>5189600</v>
      </c>
      <c r="E900" s="78">
        <v>518960</v>
      </c>
      <c r="F900" s="54" t="s">
        <v>233</v>
      </c>
      <c r="G900" s="9">
        <v>43493</v>
      </c>
    </row>
    <row r="901" spans="1:11">
      <c r="A901" s="52" t="s">
        <v>355</v>
      </c>
      <c r="B901" s="33" t="s">
        <v>2</v>
      </c>
      <c r="C901" s="78">
        <v>3201000</v>
      </c>
      <c r="D901" s="78">
        <v>2910000</v>
      </c>
      <c r="E901" s="78">
        <v>291000</v>
      </c>
      <c r="F901" s="54" t="s">
        <v>280</v>
      </c>
      <c r="G901" s="9">
        <v>43496</v>
      </c>
    </row>
    <row r="902" spans="1:11">
      <c r="A902" s="52" t="s">
        <v>355</v>
      </c>
      <c r="B902" s="33" t="s">
        <v>59</v>
      </c>
      <c r="C902" s="78">
        <v>4262500</v>
      </c>
      <c r="D902" s="78">
        <v>3875000</v>
      </c>
      <c r="E902" s="78">
        <v>387500</v>
      </c>
      <c r="F902" s="54" t="s">
        <v>315</v>
      </c>
      <c r="G902" s="9">
        <v>43496</v>
      </c>
      <c r="H902" s="17" t="s">
        <v>517</v>
      </c>
    </row>
    <row r="903" spans="1:11">
      <c r="A903" s="52" t="s">
        <v>355</v>
      </c>
      <c r="B903" s="33" t="s">
        <v>59</v>
      </c>
      <c r="C903" s="78">
        <v>5643000</v>
      </c>
      <c r="D903" s="78">
        <v>5130000</v>
      </c>
      <c r="E903" s="78">
        <v>513000</v>
      </c>
      <c r="F903" s="54" t="s">
        <v>184</v>
      </c>
      <c r="G903" s="9">
        <v>43496</v>
      </c>
      <c r="H903" s="97" t="s">
        <v>544</v>
      </c>
    </row>
    <row r="904" spans="1:11">
      <c r="A904" s="52" t="s">
        <v>356</v>
      </c>
      <c r="B904" s="33" t="s">
        <v>2</v>
      </c>
      <c r="C904" s="78">
        <v>1320000</v>
      </c>
      <c r="D904" s="78">
        <v>1200000</v>
      </c>
      <c r="E904" s="78">
        <v>120000</v>
      </c>
      <c r="F904" s="54" t="s">
        <v>233</v>
      </c>
      <c r="G904" s="9">
        <v>43507</v>
      </c>
    </row>
    <row r="905" spans="1:11">
      <c r="A905" s="52" t="s">
        <v>357</v>
      </c>
      <c r="B905" s="33" t="s">
        <v>0</v>
      </c>
      <c r="C905" s="78">
        <v>1430000</v>
      </c>
      <c r="D905" s="78">
        <v>1300000</v>
      </c>
      <c r="E905" s="78">
        <v>130000</v>
      </c>
      <c r="F905" s="54" t="s">
        <v>315</v>
      </c>
      <c r="G905" s="9">
        <v>43496</v>
      </c>
      <c r="H905" s="17" t="s">
        <v>517</v>
      </c>
    </row>
    <row r="906" spans="1:11">
      <c r="A906" s="52" t="s">
        <v>357</v>
      </c>
      <c r="B906" s="33" t="s">
        <v>0</v>
      </c>
      <c r="C906" s="78">
        <v>4070000</v>
      </c>
      <c r="D906" s="78">
        <v>3700000</v>
      </c>
      <c r="E906" s="78">
        <v>370000</v>
      </c>
      <c r="F906" s="54" t="s">
        <v>184</v>
      </c>
      <c r="G906" s="9">
        <v>43496</v>
      </c>
      <c r="H906" s="17" t="s">
        <v>517</v>
      </c>
      <c r="J906" s="6"/>
      <c r="K906" s="7"/>
    </row>
    <row r="907" spans="1:11">
      <c r="A907" s="52" t="s">
        <v>358</v>
      </c>
      <c r="B907" s="33" t="s">
        <v>360</v>
      </c>
      <c r="C907" s="78">
        <v>198000</v>
      </c>
      <c r="D907" s="78">
        <v>180000</v>
      </c>
      <c r="E907" s="78">
        <v>18000</v>
      </c>
      <c r="F907" s="54" t="s">
        <v>66</v>
      </c>
      <c r="G907" s="9">
        <v>43511</v>
      </c>
      <c r="J907" s="6"/>
      <c r="K907" s="7"/>
    </row>
    <row r="908" spans="1:11">
      <c r="A908" s="52" t="s">
        <v>358</v>
      </c>
      <c r="B908" s="33" t="s">
        <v>285</v>
      </c>
      <c r="C908" s="78">
        <v>418000</v>
      </c>
      <c r="D908" s="78">
        <v>380000</v>
      </c>
      <c r="E908" s="78">
        <v>38000</v>
      </c>
      <c r="F908" s="54" t="s">
        <v>13</v>
      </c>
      <c r="G908" s="9">
        <v>43504</v>
      </c>
      <c r="J908" s="6"/>
      <c r="K908" s="7"/>
    </row>
    <row r="909" spans="1:11">
      <c r="A909" s="52" t="s">
        <v>358</v>
      </c>
      <c r="B909" s="33" t="s">
        <v>82</v>
      </c>
      <c r="C909" s="78">
        <v>770000</v>
      </c>
      <c r="D909" s="78">
        <v>700000</v>
      </c>
      <c r="E909" s="78">
        <v>70000</v>
      </c>
      <c r="F909" s="54" t="s">
        <v>13</v>
      </c>
      <c r="G909" s="9">
        <v>43511</v>
      </c>
      <c r="J909" s="6"/>
      <c r="K909" s="7"/>
    </row>
    <row r="910" spans="1:11">
      <c r="A910" s="52" t="s">
        <v>358</v>
      </c>
      <c r="B910" s="33" t="s">
        <v>321</v>
      </c>
      <c r="C910" s="78">
        <v>1023000</v>
      </c>
      <c r="D910" s="78">
        <v>930000</v>
      </c>
      <c r="E910" s="78">
        <v>93000</v>
      </c>
      <c r="F910" s="54" t="s">
        <v>13</v>
      </c>
      <c r="G910" s="9">
        <v>43507</v>
      </c>
      <c r="J910" s="6"/>
      <c r="K910" s="7"/>
    </row>
    <row r="911" spans="1:11">
      <c r="A911" s="52" t="s">
        <v>358</v>
      </c>
      <c r="B911" s="33" t="s">
        <v>353</v>
      </c>
      <c r="C911" s="78">
        <v>14025000</v>
      </c>
      <c r="D911" s="78">
        <v>12750000</v>
      </c>
      <c r="E911" s="78">
        <v>1275000</v>
      </c>
      <c r="F911" s="54" t="s">
        <v>13</v>
      </c>
      <c r="G911" s="30" t="s">
        <v>524</v>
      </c>
      <c r="J911" s="6"/>
      <c r="K911" s="7"/>
    </row>
    <row r="912" spans="1:11">
      <c r="A912" s="52" t="s">
        <v>358</v>
      </c>
      <c r="B912" s="33" t="s">
        <v>86</v>
      </c>
      <c r="C912" s="78">
        <v>1232000</v>
      </c>
      <c r="D912" s="78">
        <v>1120000</v>
      </c>
      <c r="E912" s="78">
        <v>112000</v>
      </c>
      <c r="F912" s="54" t="s">
        <v>13</v>
      </c>
      <c r="G912" s="9">
        <v>43536</v>
      </c>
      <c r="J912" s="6"/>
      <c r="K912" s="7"/>
    </row>
    <row r="913" spans="1:11">
      <c r="A913" s="52" t="s">
        <v>358</v>
      </c>
      <c r="B913" s="33" t="s">
        <v>15</v>
      </c>
      <c r="C913" s="78">
        <v>8360000</v>
      </c>
      <c r="D913" s="78">
        <v>7600000</v>
      </c>
      <c r="E913" s="78">
        <v>760000</v>
      </c>
      <c r="F913" s="54" t="s">
        <v>305</v>
      </c>
      <c r="G913" s="9">
        <v>43521</v>
      </c>
      <c r="J913" s="6"/>
      <c r="K913" s="7"/>
    </row>
    <row r="914" spans="1:11">
      <c r="A914" s="52" t="s">
        <v>358</v>
      </c>
      <c r="B914" s="33" t="s">
        <v>15</v>
      </c>
      <c r="C914" s="78">
        <v>24750000</v>
      </c>
      <c r="D914" s="78">
        <v>22500000</v>
      </c>
      <c r="E914" s="78">
        <v>2250000</v>
      </c>
      <c r="F914" s="54" t="s">
        <v>261</v>
      </c>
      <c r="G914" s="9">
        <v>43521</v>
      </c>
      <c r="J914" s="6"/>
      <c r="K914" s="7"/>
    </row>
    <row r="915" spans="1:11">
      <c r="A915" s="52" t="s">
        <v>358</v>
      </c>
      <c r="B915" s="33" t="s">
        <v>15</v>
      </c>
      <c r="C915" s="78">
        <v>6270000</v>
      </c>
      <c r="D915" s="78">
        <v>5700000</v>
      </c>
      <c r="E915" s="78">
        <v>570000</v>
      </c>
      <c r="F915" s="54" t="s">
        <v>262</v>
      </c>
      <c r="G915" s="9">
        <v>43521</v>
      </c>
      <c r="J915" s="6"/>
      <c r="K915" s="7"/>
    </row>
    <row r="916" spans="1:11">
      <c r="A916" s="52" t="s">
        <v>358</v>
      </c>
      <c r="B916" s="33" t="s">
        <v>15</v>
      </c>
      <c r="C916" s="78">
        <v>5390000</v>
      </c>
      <c r="D916" s="78">
        <v>4900000</v>
      </c>
      <c r="E916" s="78">
        <v>490000</v>
      </c>
      <c r="F916" s="54" t="s">
        <v>67</v>
      </c>
      <c r="G916" s="9">
        <v>43521</v>
      </c>
      <c r="J916" s="6"/>
      <c r="K916" s="7"/>
    </row>
    <row r="917" spans="1:11">
      <c r="A917" s="52" t="s">
        <v>358</v>
      </c>
      <c r="B917" s="33" t="s">
        <v>15</v>
      </c>
      <c r="C917" s="78">
        <v>660000</v>
      </c>
      <c r="D917" s="78">
        <v>600000</v>
      </c>
      <c r="E917" s="78">
        <v>60000</v>
      </c>
      <c r="F917" s="54" t="s">
        <v>78</v>
      </c>
      <c r="G917" s="9">
        <v>43521</v>
      </c>
      <c r="J917" s="6"/>
      <c r="K917" s="7"/>
    </row>
    <row r="918" spans="1:11">
      <c r="A918" s="52" t="s">
        <v>358</v>
      </c>
      <c r="B918" s="33" t="s">
        <v>155</v>
      </c>
      <c r="C918" s="78">
        <v>1298000</v>
      </c>
      <c r="D918" s="78">
        <v>1180000</v>
      </c>
      <c r="E918" s="78">
        <v>118000</v>
      </c>
      <c r="F918" s="54" t="s">
        <v>13</v>
      </c>
      <c r="G918" s="9">
        <v>43524</v>
      </c>
      <c r="J918" s="6"/>
      <c r="K918" s="7"/>
    </row>
    <row r="919" spans="1:11">
      <c r="A919" s="52" t="s">
        <v>358</v>
      </c>
      <c r="B919" s="33" t="s">
        <v>2</v>
      </c>
      <c r="C919" s="78">
        <v>7064750</v>
      </c>
      <c r="D919" s="78">
        <v>6422500</v>
      </c>
      <c r="E919" s="78">
        <v>642250</v>
      </c>
      <c r="F919" s="54" t="s">
        <v>280</v>
      </c>
      <c r="G919" s="9">
        <v>43507</v>
      </c>
      <c r="H919" s="17" t="s">
        <v>517</v>
      </c>
      <c r="J919" s="6"/>
      <c r="K919" s="7"/>
    </row>
    <row r="920" spans="1:11">
      <c r="A920" s="52" t="s">
        <v>358</v>
      </c>
      <c r="B920" s="33" t="s">
        <v>2</v>
      </c>
      <c r="C920" s="78">
        <v>1963500</v>
      </c>
      <c r="D920" s="78">
        <v>1785000</v>
      </c>
      <c r="E920" s="78">
        <v>178500</v>
      </c>
      <c r="F920" s="54" t="s">
        <v>316</v>
      </c>
      <c r="G920" s="9">
        <v>43507</v>
      </c>
      <c r="H920" s="17" t="s">
        <v>517</v>
      </c>
    </row>
    <row r="921" spans="1:11">
      <c r="A921" s="52" t="s">
        <v>358</v>
      </c>
      <c r="B921" s="33" t="s">
        <v>2</v>
      </c>
      <c r="C921" s="78">
        <v>7034280</v>
      </c>
      <c r="D921" s="78">
        <v>6394800</v>
      </c>
      <c r="E921" s="78">
        <v>639480</v>
      </c>
      <c r="F921" s="54" t="s">
        <v>255</v>
      </c>
      <c r="G921" s="9">
        <v>43507</v>
      </c>
      <c r="H921" s="17" t="s">
        <v>517</v>
      </c>
    </row>
    <row r="922" spans="1:11">
      <c r="A922" s="52" t="s">
        <v>358</v>
      </c>
      <c r="B922" s="33" t="s">
        <v>2</v>
      </c>
      <c r="C922" s="78">
        <v>5428500</v>
      </c>
      <c r="D922" s="78">
        <v>4935000</v>
      </c>
      <c r="E922" s="78">
        <v>493500</v>
      </c>
      <c r="F922" s="54" t="s">
        <v>233</v>
      </c>
      <c r="G922" s="9">
        <v>43507</v>
      </c>
      <c r="H922" s="17" t="s">
        <v>517</v>
      </c>
    </row>
    <row r="923" spans="1:11">
      <c r="A923" s="52" t="s">
        <v>358</v>
      </c>
      <c r="B923" s="33" t="s">
        <v>2</v>
      </c>
      <c r="C923" s="78">
        <v>1331000</v>
      </c>
      <c r="D923" s="78">
        <v>1210000</v>
      </c>
      <c r="E923" s="78">
        <v>121000</v>
      </c>
      <c r="F923" s="54" t="s">
        <v>346</v>
      </c>
      <c r="G923" s="9">
        <v>43507</v>
      </c>
      <c r="H923" s="17" t="s">
        <v>517</v>
      </c>
    </row>
    <row r="924" spans="1:11">
      <c r="A924" s="52" t="s">
        <v>358</v>
      </c>
      <c r="B924" s="33" t="s">
        <v>2</v>
      </c>
      <c r="C924" s="78">
        <v>4865300</v>
      </c>
      <c r="D924" s="78">
        <v>4423000</v>
      </c>
      <c r="E924" s="78">
        <v>442300</v>
      </c>
      <c r="F924" s="54" t="s">
        <v>245</v>
      </c>
      <c r="G924" s="9">
        <v>43507</v>
      </c>
    </row>
    <row r="925" spans="1:11">
      <c r="A925" s="52" t="s">
        <v>358</v>
      </c>
      <c r="B925" s="33" t="s">
        <v>2</v>
      </c>
      <c r="C925" s="78">
        <v>2585000</v>
      </c>
      <c r="D925" s="78">
        <v>2350000</v>
      </c>
      <c r="E925" s="78">
        <v>235000</v>
      </c>
      <c r="F925" s="54" t="s">
        <v>255</v>
      </c>
      <c r="G925" s="9">
        <v>43507</v>
      </c>
    </row>
    <row r="926" spans="1:11">
      <c r="A926" s="52" t="s">
        <v>358</v>
      </c>
      <c r="B926" s="33" t="s">
        <v>2</v>
      </c>
      <c r="C926" s="78">
        <v>2541000</v>
      </c>
      <c r="D926" s="78">
        <v>2310000</v>
      </c>
      <c r="E926" s="78">
        <v>231000</v>
      </c>
      <c r="F926" s="54" t="s">
        <v>346</v>
      </c>
      <c r="G926" s="9">
        <v>43507</v>
      </c>
    </row>
    <row r="927" spans="1:11">
      <c r="A927" s="52" t="s">
        <v>358</v>
      </c>
      <c r="B927" s="33" t="s">
        <v>2</v>
      </c>
      <c r="C927" s="78">
        <v>10912000</v>
      </c>
      <c r="D927" s="78">
        <v>9920000</v>
      </c>
      <c r="E927" s="78">
        <v>992000</v>
      </c>
      <c r="F927" s="54" t="s">
        <v>313</v>
      </c>
      <c r="G927" s="9">
        <v>43507</v>
      </c>
    </row>
    <row r="928" spans="1:11">
      <c r="A928" s="52" t="s">
        <v>358</v>
      </c>
      <c r="B928" s="33" t="s">
        <v>2</v>
      </c>
      <c r="C928" s="78">
        <v>8569000</v>
      </c>
      <c r="D928" s="78">
        <v>7790000</v>
      </c>
      <c r="E928" s="78">
        <v>779000</v>
      </c>
      <c r="F928" s="54" t="s">
        <v>306</v>
      </c>
      <c r="G928" s="9">
        <v>43507</v>
      </c>
    </row>
    <row r="929" spans="1:19">
      <c r="A929" s="52" t="s">
        <v>358</v>
      </c>
      <c r="B929" s="33" t="s">
        <v>2</v>
      </c>
      <c r="C929" s="78">
        <v>3183620</v>
      </c>
      <c r="D929" s="78">
        <v>2894200</v>
      </c>
      <c r="E929" s="78">
        <v>289420</v>
      </c>
      <c r="F929" s="54" t="s">
        <v>233</v>
      </c>
      <c r="G929" s="9">
        <v>43507</v>
      </c>
      <c r="I929" s="308" t="s">
        <v>545</v>
      </c>
      <c r="J929" s="309"/>
      <c r="K929" s="310"/>
    </row>
    <row r="930" spans="1:19">
      <c r="A930" s="52" t="s">
        <v>358</v>
      </c>
      <c r="B930" s="33" t="s">
        <v>2</v>
      </c>
      <c r="C930" s="78">
        <v>1958000</v>
      </c>
      <c r="D930" s="78">
        <v>1780000</v>
      </c>
      <c r="E930" s="78">
        <v>178000</v>
      </c>
      <c r="F930" s="54" t="s">
        <v>280</v>
      </c>
      <c r="G930" s="9">
        <v>43507</v>
      </c>
      <c r="I930" s="18" t="s">
        <v>487</v>
      </c>
      <c r="J930" s="36" t="s">
        <v>488</v>
      </c>
      <c r="K930" s="36" t="s">
        <v>494</v>
      </c>
    </row>
    <row r="931" spans="1:19">
      <c r="A931" s="52" t="s">
        <v>358</v>
      </c>
      <c r="B931" s="33" t="s">
        <v>63</v>
      </c>
      <c r="C931" s="78">
        <v>616000</v>
      </c>
      <c r="D931" s="78">
        <v>560000</v>
      </c>
      <c r="E931" s="78">
        <v>56000</v>
      </c>
      <c r="F931" s="54" t="s">
        <v>13</v>
      </c>
      <c r="G931" s="10">
        <v>43497</v>
      </c>
      <c r="H931" s="51"/>
      <c r="I931" s="18">
        <f>SUM(C886:C931)</f>
        <v>250327000</v>
      </c>
      <c r="J931" s="18">
        <f>SUM(D886:D931)</f>
        <v>227570000</v>
      </c>
      <c r="K931" s="18">
        <f>SUM(E886:E931)</f>
        <v>22757000</v>
      </c>
      <c r="L931" s="42"/>
      <c r="M931" s="42"/>
      <c r="N931" s="42"/>
      <c r="O931" s="42"/>
      <c r="P931" s="42"/>
      <c r="Q931" s="42"/>
      <c r="R931" s="42"/>
      <c r="S931" s="42"/>
    </row>
    <row r="932" spans="1:19">
      <c r="A932" s="57" t="s">
        <v>359</v>
      </c>
      <c r="B932" s="58" t="s">
        <v>0</v>
      </c>
      <c r="C932" s="79">
        <v>1463000</v>
      </c>
      <c r="D932" s="79">
        <v>1330000</v>
      </c>
      <c r="E932" s="79">
        <v>133000</v>
      </c>
      <c r="F932" s="60" t="s">
        <v>184</v>
      </c>
      <c r="G932" s="9">
        <v>43539</v>
      </c>
    </row>
    <row r="933" spans="1:19">
      <c r="A933" s="52" t="s">
        <v>361</v>
      </c>
      <c r="B933" s="33" t="s">
        <v>2</v>
      </c>
      <c r="C933" s="78">
        <v>12433058</v>
      </c>
      <c r="D933" s="78">
        <v>11302780</v>
      </c>
      <c r="E933" s="78">
        <v>1130278</v>
      </c>
      <c r="F933" s="54" t="s">
        <v>255</v>
      </c>
      <c r="G933" s="9">
        <v>43524</v>
      </c>
      <c r="H933" s="17" t="s">
        <v>517</v>
      </c>
    </row>
    <row r="934" spans="1:19">
      <c r="A934" s="52" t="s">
        <v>361</v>
      </c>
      <c r="B934" s="33" t="s">
        <v>2</v>
      </c>
      <c r="C934" s="78">
        <v>2425500</v>
      </c>
      <c r="D934" s="78">
        <v>2205000</v>
      </c>
      <c r="E934" s="78">
        <v>220500</v>
      </c>
      <c r="F934" s="54" t="s">
        <v>316</v>
      </c>
      <c r="G934" s="9">
        <v>43524</v>
      </c>
      <c r="H934" s="17" t="s">
        <v>517</v>
      </c>
    </row>
    <row r="935" spans="1:19">
      <c r="A935" s="52" t="s">
        <v>361</v>
      </c>
      <c r="B935" s="33" t="s">
        <v>2</v>
      </c>
      <c r="C935" s="78">
        <v>6676010</v>
      </c>
      <c r="D935" s="78">
        <v>6069100</v>
      </c>
      <c r="E935" s="78">
        <v>606910</v>
      </c>
      <c r="F935" s="54" t="s">
        <v>280</v>
      </c>
      <c r="G935" s="9">
        <v>43524</v>
      </c>
      <c r="H935" s="17" t="s">
        <v>517</v>
      </c>
    </row>
    <row r="936" spans="1:19">
      <c r="A936" s="52" t="s">
        <v>361</v>
      </c>
      <c r="B936" s="33" t="s">
        <v>2</v>
      </c>
      <c r="C936" s="78">
        <v>3811500</v>
      </c>
      <c r="D936" s="78">
        <v>3465000</v>
      </c>
      <c r="E936" s="78">
        <v>346500</v>
      </c>
      <c r="F936" s="54" t="s">
        <v>233</v>
      </c>
      <c r="G936" s="9">
        <v>43524</v>
      </c>
      <c r="H936" s="17" t="s">
        <v>517</v>
      </c>
    </row>
    <row r="937" spans="1:19">
      <c r="A937" s="52" t="s">
        <v>361</v>
      </c>
      <c r="B937" s="33" t="s">
        <v>362</v>
      </c>
      <c r="C937" s="78">
        <v>1760000</v>
      </c>
      <c r="D937" s="78">
        <v>1600000</v>
      </c>
      <c r="E937" s="78">
        <v>160000</v>
      </c>
      <c r="F937" s="54" t="s">
        <v>363</v>
      </c>
      <c r="G937" s="9">
        <v>43523</v>
      </c>
    </row>
    <row r="938" spans="1:19">
      <c r="A938" s="52" t="s">
        <v>364</v>
      </c>
      <c r="B938" s="33" t="s">
        <v>155</v>
      </c>
      <c r="C938" s="78">
        <v>1463000</v>
      </c>
      <c r="D938" s="78">
        <v>1330000</v>
      </c>
      <c r="E938" s="78">
        <v>133000</v>
      </c>
      <c r="F938" s="54" t="s">
        <v>13</v>
      </c>
      <c r="G938" s="65">
        <v>43556</v>
      </c>
    </row>
    <row r="939" spans="1:19">
      <c r="A939" s="52" t="s">
        <v>364</v>
      </c>
      <c r="B939" s="33" t="s">
        <v>82</v>
      </c>
      <c r="C939" s="78">
        <v>198000</v>
      </c>
      <c r="D939" s="78">
        <v>180000</v>
      </c>
      <c r="E939" s="78">
        <v>18000</v>
      </c>
      <c r="F939" s="54" t="s">
        <v>13</v>
      </c>
      <c r="G939" s="65">
        <v>43539</v>
      </c>
    </row>
    <row r="940" spans="1:19">
      <c r="A940" s="52" t="s">
        <v>364</v>
      </c>
      <c r="B940" s="33" t="s">
        <v>353</v>
      </c>
      <c r="C940" s="78">
        <v>709500</v>
      </c>
      <c r="D940" s="78">
        <v>645000</v>
      </c>
      <c r="E940" s="78">
        <v>64500</v>
      </c>
      <c r="F940" s="54" t="s">
        <v>13</v>
      </c>
      <c r="G940" s="30" t="s">
        <v>524</v>
      </c>
    </row>
    <row r="941" spans="1:19">
      <c r="A941" s="52" t="s">
        <v>364</v>
      </c>
      <c r="B941" s="33" t="s">
        <v>63</v>
      </c>
      <c r="C941" s="78">
        <v>1056000</v>
      </c>
      <c r="D941" s="78">
        <v>960000</v>
      </c>
      <c r="E941" s="78">
        <v>96000</v>
      </c>
      <c r="F941" s="54" t="s">
        <v>13</v>
      </c>
      <c r="G941" s="65">
        <v>43532</v>
      </c>
    </row>
    <row r="942" spans="1:19">
      <c r="A942" s="52" t="s">
        <v>364</v>
      </c>
      <c r="B942" s="33" t="s">
        <v>79</v>
      </c>
      <c r="C942" s="78">
        <v>2354000</v>
      </c>
      <c r="D942" s="78">
        <v>2140000</v>
      </c>
      <c r="E942" s="78">
        <v>214000</v>
      </c>
      <c r="F942" s="54" t="s">
        <v>13</v>
      </c>
      <c r="G942" s="65" t="s">
        <v>546</v>
      </c>
    </row>
    <row r="943" spans="1:19">
      <c r="A943" s="52" t="s">
        <v>364</v>
      </c>
      <c r="B943" s="33" t="s">
        <v>365</v>
      </c>
      <c r="C943" s="78">
        <v>1375000</v>
      </c>
      <c r="D943" s="78">
        <v>1250000</v>
      </c>
      <c r="E943" s="78">
        <v>125000</v>
      </c>
      <c r="F943" s="54" t="s">
        <v>238</v>
      </c>
      <c r="G943" s="65">
        <v>43595</v>
      </c>
    </row>
    <row r="944" spans="1:19">
      <c r="A944" s="52" t="s">
        <v>364</v>
      </c>
      <c r="B944" s="33" t="s">
        <v>360</v>
      </c>
      <c r="C944" s="78">
        <v>343200</v>
      </c>
      <c r="D944" s="78">
        <v>312000</v>
      </c>
      <c r="E944" s="78">
        <v>31200</v>
      </c>
      <c r="F944" s="54" t="s">
        <v>66</v>
      </c>
      <c r="G944" s="65">
        <v>43539</v>
      </c>
    </row>
    <row r="945" spans="1:19">
      <c r="A945" s="52" t="s">
        <v>364</v>
      </c>
      <c r="B945" s="33" t="s">
        <v>15</v>
      </c>
      <c r="C945" s="78">
        <v>6490000</v>
      </c>
      <c r="D945" s="78">
        <v>5900000</v>
      </c>
      <c r="E945" s="78">
        <v>590000</v>
      </c>
      <c r="F945" s="54" t="s">
        <v>305</v>
      </c>
      <c r="G945" s="65">
        <v>43556</v>
      </c>
    </row>
    <row r="946" spans="1:19">
      <c r="A946" s="52" t="s">
        <v>364</v>
      </c>
      <c r="B946" s="33" t="s">
        <v>15</v>
      </c>
      <c r="C946" s="78">
        <v>19250000</v>
      </c>
      <c r="D946" s="78">
        <v>17500000</v>
      </c>
      <c r="E946" s="78">
        <v>1750000</v>
      </c>
      <c r="F946" s="54" t="s">
        <v>261</v>
      </c>
      <c r="G946" s="65">
        <v>43556</v>
      </c>
    </row>
    <row r="947" spans="1:19">
      <c r="A947" s="52" t="s">
        <v>364</v>
      </c>
      <c r="B947" s="33" t="s">
        <v>15</v>
      </c>
      <c r="C947" s="78">
        <v>660000</v>
      </c>
      <c r="D947" s="78">
        <v>600000</v>
      </c>
      <c r="E947" s="78">
        <v>60000</v>
      </c>
      <c r="F947" s="54" t="s">
        <v>262</v>
      </c>
      <c r="G947" s="65">
        <v>43556</v>
      </c>
    </row>
    <row r="948" spans="1:19">
      <c r="A948" s="52" t="s">
        <v>364</v>
      </c>
      <c r="B948" s="33" t="s">
        <v>15</v>
      </c>
      <c r="C948" s="78">
        <v>2640000</v>
      </c>
      <c r="D948" s="78">
        <v>2400000</v>
      </c>
      <c r="E948" s="78">
        <v>240000</v>
      </c>
      <c r="F948" s="54" t="s">
        <v>67</v>
      </c>
      <c r="G948" s="65">
        <v>43556</v>
      </c>
    </row>
    <row r="949" spans="1:19">
      <c r="A949" s="52" t="s">
        <v>364</v>
      </c>
      <c r="B949" s="33" t="s">
        <v>2</v>
      </c>
      <c r="C949" s="78">
        <v>8379668</v>
      </c>
      <c r="D949" s="78">
        <v>7617880</v>
      </c>
      <c r="E949" s="78">
        <v>761788</v>
      </c>
      <c r="F949" s="54" t="s">
        <v>255</v>
      </c>
      <c r="G949" s="9">
        <v>43535</v>
      </c>
      <c r="H949" s="17" t="s">
        <v>517</v>
      </c>
    </row>
    <row r="950" spans="1:19">
      <c r="A950" s="52" t="s">
        <v>364</v>
      </c>
      <c r="B950" s="33" t="s">
        <v>2</v>
      </c>
      <c r="C950" s="78">
        <v>1501500</v>
      </c>
      <c r="D950" s="78">
        <v>1365000</v>
      </c>
      <c r="E950" s="78">
        <v>136500</v>
      </c>
      <c r="F950" s="54" t="s">
        <v>316</v>
      </c>
      <c r="G950" s="9">
        <v>43535</v>
      </c>
      <c r="H950" s="17" t="s">
        <v>517</v>
      </c>
    </row>
    <row r="951" spans="1:19">
      <c r="A951" s="52" t="s">
        <v>364</v>
      </c>
      <c r="B951" s="33" t="s">
        <v>2</v>
      </c>
      <c r="C951" s="78">
        <v>2656500</v>
      </c>
      <c r="D951" s="78">
        <v>2415000</v>
      </c>
      <c r="E951" s="78">
        <v>241500</v>
      </c>
      <c r="F951" s="54" t="s">
        <v>233</v>
      </c>
      <c r="G951" s="9">
        <v>43535</v>
      </c>
      <c r="H951" s="17" t="s">
        <v>517</v>
      </c>
      <c r="I951" s="308" t="s">
        <v>518</v>
      </c>
      <c r="J951" s="309"/>
      <c r="K951" s="310"/>
    </row>
    <row r="952" spans="1:19">
      <c r="A952" s="52" t="s">
        <v>364</v>
      </c>
      <c r="B952" s="33" t="s">
        <v>2</v>
      </c>
      <c r="C952" s="78">
        <v>6327640</v>
      </c>
      <c r="D952" s="78">
        <v>5752400</v>
      </c>
      <c r="E952" s="78">
        <v>575240</v>
      </c>
      <c r="F952" s="54" t="s">
        <v>280</v>
      </c>
      <c r="G952" s="9">
        <v>43535</v>
      </c>
      <c r="H952" s="17" t="s">
        <v>517</v>
      </c>
      <c r="I952" s="18" t="s">
        <v>487</v>
      </c>
      <c r="J952" s="36" t="s">
        <v>488</v>
      </c>
      <c r="K952" s="36" t="s">
        <v>494</v>
      </c>
    </row>
    <row r="953" spans="1:19">
      <c r="A953" s="52" t="s">
        <v>364</v>
      </c>
      <c r="B953" s="33" t="s">
        <v>38</v>
      </c>
      <c r="C953" s="78">
        <v>3520000</v>
      </c>
      <c r="D953" s="78">
        <v>3200000</v>
      </c>
      <c r="E953" s="78">
        <v>320000</v>
      </c>
      <c r="F953" s="54" t="s">
        <v>13</v>
      </c>
      <c r="G953" s="9">
        <v>43528</v>
      </c>
      <c r="I953" s="62">
        <f>SUM(C932:C953)</f>
        <v>87493076</v>
      </c>
      <c r="J953" s="62">
        <f>SUM(D932:D953)</f>
        <v>79539160</v>
      </c>
      <c r="K953" s="62">
        <f>SUM(E932:E953)</f>
        <v>7953916</v>
      </c>
    </row>
    <row r="954" spans="1:19">
      <c r="A954" s="57" t="s">
        <v>366</v>
      </c>
      <c r="B954" s="58" t="s">
        <v>2</v>
      </c>
      <c r="C954" s="79">
        <v>5933840</v>
      </c>
      <c r="D954" s="79">
        <v>5394400</v>
      </c>
      <c r="E954" s="79">
        <v>539440</v>
      </c>
      <c r="F954" s="60" t="s">
        <v>255</v>
      </c>
      <c r="G954" s="84">
        <v>43553</v>
      </c>
      <c r="H954" s="60" t="s">
        <v>517</v>
      </c>
      <c r="I954" s="98"/>
      <c r="J954" s="98"/>
      <c r="K954" s="98"/>
      <c r="L954" s="99"/>
      <c r="M954" s="99"/>
      <c r="N954" s="99"/>
      <c r="O954" s="99"/>
      <c r="P954" s="99"/>
      <c r="Q954" s="99"/>
      <c r="R954" s="99"/>
      <c r="S954" s="99"/>
    </row>
    <row r="955" spans="1:19">
      <c r="A955" s="52" t="s">
        <v>366</v>
      </c>
      <c r="B955" s="33" t="s">
        <v>2</v>
      </c>
      <c r="C955" s="78">
        <v>2194500</v>
      </c>
      <c r="D955" s="78">
        <v>1995000</v>
      </c>
      <c r="E955" s="78">
        <v>199500</v>
      </c>
      <c r="F955" s="54" t="s">
        <v>316</v>
      </c>
      <c r="G955" s="65">
        <v>43544</v>
      </c>
      <c r="H955" s="54" t="s">
        <v>517</v>
      </c>
      <c r="J955" s="15"/>
      <c r="K955" s="15"/>
    </row>
    <row r="956" spans="1:19">
      <c r="A956" s="55" t="s">
        <v>366</v>
      </c>
      <c r="B956" s="30" t="s">
        <v>2</v>
      </c>
      <c r="C956" s="80">
        <v>-2403500</v>
      </c>
      <c r="D956" s="80">
        <v>-2185000</v>
      </c>
      <c r="E956" s="80">
        <v>-218500</v>
      </c>
      <c r="F956" s="31" t="s">
        <v>316</v>
      </c>
      <c r="G956" s="30" t="s">
        <v>496</v>
      </c>
      <c r="H956" s="31"/>
      <c r="I956" s="73"/>
      <c r="J956" s="74"/>
      <c r="K956" s="30"/>
      <c r="L956" s="30"/>
      <c r="M956" s="30"/>
      <c r="N956" s="30"/>
      <c r="O956" s="30"/>
      <c r="P956" s="30"/>
      <c r="Q956" s="30"/>
      <c r="R956" s="30"/>
      <c r="S956" s="30"/>
    </row>
    <row r="957" spans="1:19">
      <c r="A957" s="52" t="s">
        <v>366</v>
      </c>
      <c r="B957" s="33" t="s">
        <v>2</v>
      </c>
      <c r="C957" s="78">
        <v>6925820</v>
      </c>
      <c r="D957" s="78">
        <v>6296200</v>
      </c>
      <c r="E957" s="78">
        <v>629620</v>
      </c>
      <c r="F957" s="54" t="s">
        <v>280</v>
      </c>
      <c r="G957" s="65">
        <v>43553</v>
      </c>
      <c r="H957" s="54" t="s">
        <v>517</v>
      </c>
    </row>
    <row r="958" spans="1:19">
      <c r="A958" s="52" t="s">
        <v>366</v>
      </c>
      <c r="B958" s="33" t="s">
        <v>2</v>
      </c>
      <c r="C958" s="78">
        <v>1732500</v>
      </c>
      <c r="D958" s="78">
        <v>1575000</v>
      </c>
      <c r="E958" s="78">
        <v>157500</v>
      </c>
      <c r="F958" s="54" t="s">
        <v>298</v>
      </c>
      <c r="G958" s="65">
        <v>43544</v>
      </c>
      <c r="H958" s="54" t="s">
        <v>517</v>
      </c>
    </row>
    <row r="959" spans="1:19">
      <c r="A959" s="55" t="s">
        <v>366</v>
      </c>
      <c r="B959" s="30" t="s">
        <v>2</v>
      </c>
      <c r="C959" s="80">
        <v>2403500</v>
      </c>
      <c r="D959" s="80">
        <v>2185000</v>
      </c>
      <c r="E959" s="80">
        <v>218500</v>
      </c>
      <c r="F959" s="31" t="s">
        <v>316</v>
      </c>
      <c r="G959" s="30" t="s">
        <v>496</v>
      </c>
      <c r="H959" s="31"/>
      <c r="I959" s="73"/>
      <c r="J959" s="74"/>
      <c r="K959" s="30"/>
      <c r="L959" s="30"/>
      <c r="M959" s="30"/>
      <c r="N959" s="30"/>
      <c r="O959" s="30"/>
      <c r="P959" s="30"/>
      <c r="Q959" s="30"/>
      <c r="R959" s="30"/>
      <c r="S959" s="30"/>
    </row>
    <row r="960" spans="1:19">
      <c r="A960" s="52" t="s">
        <v>366</v>
      </c>
      <c r="B960" s="33" t="s">
        <v>2</v>
      </c>
      <c r="C960" s="78">
        <v>1210000</v>
      </c>
      <c r="D960" s="78">
        <v>1100000</v>
      </c>
      <c r="E960" s="78">
        <v>110000</v>
      </c>
      <c r="F960" s="54" t="s">
        <v>346</v>
      </c>
      <c r="G960" s="65">
        <v>43544</v>
      </c>
      <c r="H960" s="17" t="s">
        <v>517</v>
      </c>
    </row>
    <row r="961" spans="1:8">
      <c r="A961" s="52" t="s">
        <v>366</v>
      </c>
      <c r="B961" s="33" t="s">
        <v>2</v>
      </c>
      <c r="C961" s="78">
        <v>209000</v>
      </c>
      <c r="D961" s="78">
        <v>190000</v>
      </c>
      <c r="E961" s="78">
        <v>19000</v>
      </c>
      <c r="F961" s="54" t="s">
        <v>316</v>
      </c>
      <c r="G961" s="65">
        <v>43544</v>
      </c>
    </row>
    <row r="962" spans="1:8">
      <c r="A962" s="52" t="s">
        <v>366</v>
      </c>
      <c r="B962" s="33" t="s">
        <v>2</v>
      </c>
      <c r="C962" s="78">
        <v>847000</v>
      </c>
      <c r="D962" s="78">
        <v>770000</v>
      </c>
      <c r="E962" s="78">
        <v>77000</v>
      </c>
      <c r="F962" s="54" t="s">
        <v>245</v>
      </c>
      <c r="G962" s="65">
        <v>43544</v>
      </c>
    </row>
    <row r="963" spans="1:8">
      <c r="A963" s="52" t="s">
        <v>366</v>
      </c>
      <c r="B963" s="33" t="s">
        <v>2</v>
      </c>
      <c r="C963" s="78">
        <v>1688500</v>
      </c>
      <c r="D963" s="78">
        <v>1535000</v>
      </c>
      <c r="E963" s="78">
        <v>153500</v>
      </c>
      <c r="F963" s="54" t="s">
        <v>255</v>
      </c>
      <c r="G963" s="65">
        <v>43553</v>
      </c>
    </row>
    <row r="964" spans="1:8">
      <c r="A964" s="52" t="s">
        <v>366</v>
      </c>
      <c r="B964" s="33" t="s">
        <v>2</v>
      </c>
      <c r="C964" s="78">
        <v>2783000</v>
      </c>
      <c r="D964" s="78">
        <v>2530000</v>
      </c>
      <c r="E964" s="78">
        <v>253000</v>
      </c>
      <c r="F964" s="54" t="s">
        <v>346</v>
      </c>
      <c r="G964" s="65">
        <v>43544</v>
      </c>
    </row>
    <row r="965" spans="1:8">
      <c r="A965" s="52" t="s">
        <v>366</v>
      </c>
      <c r="B965" s="33" t="s">
        <v>2</v>
      </c>
      <c r="C965" s="78">
        <v>20509500</v>
      </c>
      <c r="D965" s="78">
        <v>18645000</v>
      </c>
      <c r="E965" s="78">
        <v>1864500</v>
      </c>
      <c r="F965" s="54" t="s">
        <v>313</v>
      </c>
      <c r="G965" s="65">
        <v>43544</v>
      </c>
    </row>
    <row r="966" spans="1:8">
      <c r="A966" s="52" t="s">
        <v>366</v>
      </c>
      <c r="B966" s="33" t="s">
        <v>2</v>
      </c>
      <c r="C966" s="78">
        <v>7524000</v>
      </c>
      <c r="D966" s="78">
        <v>6840000</v>
      </c>
      <c r="E966" s="78">
        <v>684000</v>
      </c>
      <c r="F966" s="54" t="s">
        <v>337</v>
      </c>
      <c r="G966" s="65">
        <v>43544</v>
      </c>
    </row>
    <row r="967" spans="1:8">
      <c r="A967" s="52" t="s">
        <v>366</v>
      </c>
      <c r="B967" s="33" t="s">
        <v>2</v>
      </c>
      <c r="C967" s="78">
        <v>3789500</v>
      </c>
      <c r="D967" s="78">
        <v>3445000</v>
      </c>
      <c r="E967" s="78">
        <v>344500</v>
      </c>
      <c r="F967" s="54" t="s">
        <v>280</v>
      </c>
      <c r="G967" s="65">
        <v>43544</v>
      </c>
    </row>
    <row r="968" spans="1:8">
      <c r="A968" s="52" t="s">
        <v>367</v>
      </c>
      <c r="B968" s="33" t="s">
        <v>0</v>
      </c>
      <c r="C968" s="78">
        <v>209000</v>
      </c>
      <c r="D968" s="78">
        <v>190000</v>
      </c>
      <c r="E968" s="78">
        <v>19000</v>
      </c>
      <c r="F968" s="54" t="s">
        <v>184</v>
      </c>
      <c r="G968" s="9">
        <v>43570</v>
      </c>
    </row>
    <row r="969" spans="1:8">
      <c r="A969" s="52" t="s">
        <v>368</v>
      </c>
      <c r="B969" s="33" t="s">
        <v>2</v>
      </c>
      <c r="C969" s="78">
        <v>4389000</v>
      </c>
      <c r="D969" s="78">
        <v>3990000</v>
      </c>
      <c r="E969" s="78">
        <v>399000</v>
      </c>
      <c r="F969" s="54" t="s">
        <v>255</v>
      </c>
      <c r="G969" s="65">
        <v>43565</v>
      </c>
      <c r="H969" s="17" t="s">
        <v>517</v>
      </c>
    </row>
    <row r="970" spans="1:8">
      <c r="A970" s="52" t="s">
        <v>368</v>
      </c>
      <c r="B970" s="33" t="s">
        <v>353</v>
      </c>
      <c r="C970" s="78">
        <v>154000</v>
      </c>
      <c r="D970" s="78">
        <v>140000</v>
      </c>
      <c r="E970" s="78">
        <v>14000</v>
      </c>
      <c r="F970" s="54" t="s">
        <v>13</v>
      </c>
      <c r="G970" s="30" t="s">
        <v>524</v>
      </c>
    </row>
    <row r="971" spans="1:8">
      <c r="A971" s="52" t="s">
        <v>368</v>
      </c>
      <c r="B971" s="33" t="s">
        <v>79</v>
      </c>
      <c r="C971" s="78">
        <v>3333000</v>
      </c>
      <c r="D971" s="78">
        <v>3030000</v>
      </c>
      <c r="E971" s="78">
        <v>303000</v>
      </c>
      <c r="F971" s="54" t="s">
        <v>13</v>
      </c>
      <c r="G971" s="9">
        <v>43587</v>
      </c>
    </row>
    <row r="972" spans="1:8">
      <c r="A972" s="52" t="s">
        <v>368</v>
      </c>
      <c r="B972" s="33" t="s">
        <v>365</v>
      </c>
      <c r="C972" s="78">
        <v>2464000</v>
      </c>
      <c r="D972" s="78">
        <v>2240000</v>
      </c>
      <c r="E972" s="78">
        <v>224000</v>
      </c>
      <c r="F972" s="54" t="s">
        <v>209</v>
      </c>
      <c r="G972" s="9">
        <v>43595</v>
      </c>
    </row>
    <row r="973" spans="1:8">
      <c r="A973" s="52" t="s">
        <v>368</v>
      </c>
      <c r="B973" s="33" t="s">
        <v>360</v>
      </c>
      <c r="C973" s="78">
        <v>2412300</v>
      </c>
      <c r="D973" s="78">
        <v>2193000</v>
      </c>
      <c r="E973" s="78">
        <v>219300</v>
      </c>
      <c r="F973" s="54" t="s">
        <v>66</v>
      </c>
      <c r="G973" s="9">
        <v>43566</v>
      </c>
    </row>
    <row r="974" spans="1:8">
      <c r="A974" s="52" t="s">
        <v>368</v>
      </c>
      <c r="B974" s="33" t="s">
        <v>15</v>
      </c>
      <c r="C974" s="78">
        <v>9900000</v>
      </c>
      <c r="D974" s="78">
        <v>9000000</v>
      </c>
      <c r="E974" s="78">
        <v>900000</v>
      </c>
      <c r="F974" s="54" t="s">
        <v>69</v>
      </c>
      <c r="G974" s="9">
        <v>43580</v>
      </c>
    </row>
    <row r="975" spans="1:8">
      <c r="A975" s="52" t="s">
        <v>368</v>
      </c>
      <c r="B975" s="33" t="s">
        <v>15</v>
      </c>
      <c r="C975" s="78">
        <v>17490000</v>
      </c>
      <c r="D975" s="78">
        <v>15900000</v>
      </c>
      <c r="E975" s="78">
        <v>1590000</v>
      </c>
      <c r="F975" s="54" t="s">
        <v>189</v>
      </c>
      <c r="G975" s="9">
        <v>43580</v>
      </c>
    </row>
    <row r="976" spans="1:8">
      <c r="A976" s="52" t="s">
        <v>368</v>
      </c>
      <c r="B976" s="33" t="s">
        <v>15</v>
      </c>
      <c r="C976" s="78">
        <v>3300000</v>
      </c>
      <c r="D976" s="78">
        <v>3000000</v>
      </c>
      <c r="E976" s="78">
        <v>300000</v>
      </c>
      <c r="F976" s="54" t="s">
        <v>262</v>
      </c>
      <c r="G976" s="9">
        <v>43580</v>
      </c>
    </row>
    <row r="977" spans="1:11">
      <c r="A977" s="52" t="s">
        <v>368</v>
      </c>
      <c r="B977" s="33" t="s">
        <v>2</v>
      </c>
      <c r="C977" s="78">
        <v>6837600</v>
      </c>
      <c r="D977" s="78">
        <v>6216000</v>
      </c>
      <c r="E977" s="78">
        <v>621600</v>
      </c>
      <c r="F977" s="54" t="s">
        <v>280</v>
      </c>
      <c r="G977" s="65">
        <v>43565</v>
      </c>
      <c r="H977" s="17" t="s">
        <v>517</v>
      </c>
    </row>
    <row r="978" spans="1:11">
      <c r="A978" s="52" t="s">
        <v>368</v>
      </c>
      <c r="B978" s="33" t="s">
        <v>2</v>
      </c>
      <c r="C978" s="78">
        <v>1089000</v>
      </c>
      <c r="D978" s="78">
        <v>990000</v>
      </c>
      <c r="E978" s="78">
        <v>99000</v>
      </c>
      <c r="F978" s="54" t="s">
        <v>346</v>
      </c>
      <c r="G978" s="65">
        <v>43565</v>
      </c>
      <c r="H978" s="17" t="s">
        <v>517</v>
      </c>
    </row>
    <row r="979" spans="1:11">
      <c r="A979" s="52" t="s">
        <v>368</v>
      </c>
      <c r="B979" s="33" t="s">
        <v>2</v>
      </c>
      <c r="C979" s="78">
        <v>6883800</v>
      </c>
      <c r="D979" s="78">
        <v>6258000</v>
      </c>
      <c r="E979" s="78">
        <v>625800</v>
      </c>
      <c r="F979" s="54" t="s">
        <v>233</v>
      </c>
      <c r="G979" s="65">
        <v>43565</v>
      </c>
      <c r="H979" s="17" t="s">
        <v>517</v>
      </c>
    </row>
    <row r="980" spans="1:11">
      <c r="A980" s="52" t="s">
        <v>368</v>
      </c>
      <c r="B980" s="33" t="s">
        <v>2</v>
      </c>
      <c r="C980" s="78">
        <v>2772000</v>
      </c>
      <c r="D980" s="78">
        <v>2520000</v>
      </c>
      <c r="E980" s="78">
        <v>252000</v>
      </c>
      <c r="F980" s="54" t="s">
        <v>316</v>
      </c>
      <c r="G980" s="65">
        <v>43565</v>
      </c>
      <c r="H980" s="17" t="s">
        <v>517</v>
      </c>
    </row>
    <row r="981" spans="1:11">
      <c r="A981" s="52" t="s">
        <v>368</v>
      </c>
      <c r="B981" s="33" t="s">
        <v>2</v>
      </c>
      <c r="C981" s="78">
        <v>1925000</v>
      </c>
      <c r="D981" s="78">
        <v>1750000</v>
      </c>
      <c r="E981" s="78">
        <v>175000</v>
      </c>
      <c r="F981" s="54" t="s">
        <v>325</v>
      </c>
      <c r="G981" s="65">
        <v>43565</v>
      </c>
    </row>
    <row r="982" spans="1:11">
      <c r="A982" s="52" t="s">
        <v>368</v>
      </c>
      <c r="B982" s="33" t="s">
        <v>2</v>
      </c>
      <c r="C982" s="78">
        <v>2057000</v>
      </c>
      <c r="D982" s="78">
        <v>1870000</v>
      </c>
      <c r="E982" s="78">
        <v>187000</v>
      </c>
      <c r="F982" s="54" t="s">
        <v>346</v>
      </c>
      <c r="G982" s="65">
        <v>43565</v>
      </c>
    </row>
    <row r="983" spans="1:11">
      <c r="A983" s="52" t="s">
        <v>368</v>
      </c>
      <c r="B983" s="33" t="s">
        <v>2</v>
      </c>
      <c r="C983" s="78">
        <v>11495000</v>
      </c>
      <c r="D983" s="78">
        <v>10450000</v>
      </c>
      <c r="E983" s="78">
        <v>1045000</v>
      </c>
      <c r="F983" s="54" t="s">
        <v>313</v>
      </c>
      <c r="G983" s="65">
        <v>43565</v>
      </c>
    </row>
    <row r="984" spans="1:11">
      <c r="A984" s="52" t="s">
        <v>368</v>
      </c>
      <c r="B984" s="33" t="s">
        <v>2</v>
      </c>
      <c r="C984" s="78">
        <v>660000</v>
      </c>
      <c r="D984" s="78">
        <v>600000</v>
      </c>
      <c r="E984" s="78">
        <v>60000</v>
      </c>
      <c r="F984" s="54" t="s">
        <v>369</v>
      </c>
      <c r="G984" s="65">
        <v>43565</v>
      </c>
    </row>
    <row r="985" spans="1:11">
      <c r="A985" s="52" t="s">
        <v>368</v>
      </c>
      <c r="B985" s="33" t="s">
        <v>2</v>
      </c>
      <c r="C985" s="78">
        <v>730400</v>
      </c>
      <c r="D985" s="78">
        <v>664000</v>
      </c>
      <c r="E985" s="78">
        <v>66400</v>
      </c>
      <c r="F985" s="54" t="s">
        <v>254</v>
      </c>
      <c r="G985" s="65">
        <v>43565</v>
      </c>
    </row>
    <row r="986" spans="1:11">
      <c r="A986" s="52" t="s">
        <v>368</v>
      </c>
      <c r="B986" s="33" t="s">
        <v>2</v>
      </c>
      <c r="C986" s="78">
        <v>627000</v>
      </c>
      <c r="D986" s="78">
        <v>570000</v>
      </c>
      <c r="E986" s="78">
        <v>57000</v>
      </c>
      <c r="F986" s="54" t="s">
        <v>316</v>
      </c>
      <c r="G986" s="65">
        <v>43565</v>
      </c>
    </row>
    <row r="987" spans="1:11">
      <c r="A987" s="52" t="s">
        <v>368</v>
      </c>
      <c r="B987" s="33" t="s">
        <v>2</v>
      </c>
      <c r="C987" s="78">
        <v>1573000</v>
      </c>
      <c r="D987" s="78">
        <v>1430000</v>
      </c>
      <c r="E987" s="78">
        <v>143000</v>
      </c>
      <c r="F987" s="54" t="s">
        <v>245</v>
      </c>
      <c r="G987" s="65">
        <v>43565</v>
      </c>
    </row>
    <row r="988" spans="1:11">
      <c r="A988" s="52" t="s">
        <v>368</v>
      </c>
      <c r="B988" s="33" t="s">
        <v>2</v>
      </c>
      <c r="C988" s="78">
        <v>1358500</v>
      </c>
      <c r="D988" s="78">
        <v>1235000</v>
      </c>
      <c r="E988" s="78">
        <v>123500</v>
      </c>
      <c r="F988" s="54" t="s">
        <v>255</v>
      </c>
      <c r="G988" s="65">
        <v>43565</v>
      </c>
    </row>
    <row r="989" spans="1:11">
      <c r="A989" s="52" t="s">
        <v>368</v>
      </c>
      <c r="B989" s="33" t="s">
        <v>2</v>
      </c>
      <c r="C989" s="78">
        <v>6792500</v>
      </c>
      <c r="D989" s="78">
        <v>6175000</v>
      </c>
      <c r="E989" s="78">
        <v>617500</v>
      </c>
      <c r="F989" s="54" t="s">
        <v>306</v>
      </c>
      <c r="G989" s="65">
        <v>43565</v>
      </c>
    </row>
    <row r="990" spans="1:11">
      <c r="A990" s="52" t="s">
        <v>368</v>
      </c>
      <c r="B990" s="33" t="s">
        <v>2</v>
      </c>
      <c r="C990" s="78">
        <v>5159000</v>
      </c>
      <c r="D990" s="78">
        <v>4690000</v>
      </c>
      <c r="E990" s="78">
        <v>469000</v>
      </c>
      <c r="F990" s="54" t="s">
        <v>280</v>
      </c>
      <c r="G990" s="65">
        <v>43565</v>
      </c>
      <c r="I990" s="308" t="s">
        <v>519</v>
      </c>
      <c r="J990" s="309"/>
      <c r="K990" s="310"/>
    </row>
    <row r="991" spans="1:11">
      <c r="A991" s="52" t="s">
        <v>368</v>
      </c>
      <c r="B991" s="33" t="s">
        <v>155</v>
      </c>
      <c r="C991" s="78">
        <v>3366000</v>
      </c>
      <c r="D991" s="78">
        <v>3060000</v>
      </c>
      <c r="E991" s="78">
        <v>306000</v>
      </c>
      <c r="F991" s="54" t="s">
        <v>13</v>
      </c>
      <c r="G991" s="65">
        <v>43585</v>
      </c>
      <c r="I991" s="18" t="s">
        <v>487</v>
      </c>
      <c r="J991" s="36" t="s">
        <v>488</v>
      </c>
      <c r="K991" s="36" t="s">
        <v>494</v>
      </c>
    </row>
    <row r="992" spans="1:11">
      <c r="A992" s="52" t="s">
        <v>368</v>
      </c>
      <c r="B992" s="33" t="s">
        <v>63</v>
      </c>
      <c r="C992" s="78">
        <v>110000</v>
      </c>
      <c r="D992" s="78">
        <v>100000</v>
      </c>
      <c r="E992" s="78">
        <v>10000</v>
      </c>
      <c r="F992" s="54" t="s">
        <v>13</v>
      </c>
      <c r="G992" s="9">
        <v>43556</v>
      </c>
      <c r="I992" s="62">
        <f>SUM(C954:C992)</f>
        <v>152434260</v>
      </c>
      <c r="J992" s="62">
        <f>SUM(D954:D992)</f>
        <v>138576600</v>
      </c>
      <c r="K992" s="62">
        <f>SUM(E954:E992)</f>
        <v>13857660</v>
      </c>
    </row>
    <row r="993" spans="1:19">
      <c r="A993" s="100" t="s">
        <v>370</v>
      </c>
      <c r="B993" s="101" t="s">
        <v>2</v>
      </c>
      <c r="C993" s="102">
        <v>-968000</v>
      </c>
      <c r="D993" s="102">
        <v>-880000</v>
      </c>
      <c r="E993" s="102">
        <v>-88000</v>
      </c>
      <c r="F993" s="103" t="s">
        <v>346</v>
      </c>
      <c r="G993" s="101" t="s">
        <v>496</v>
      </c>
      <c r="H993" s="103"/>
      <c r="I993" s="104"/>
      <c r="J993" s="104"/>
      <c r="K993" s="104"/>
      <c r="L993" s="101"/>
      <c r="M993" s="101"/>
      <c r="N993" s="101"/>
      <c r="O993" s="101"/>
      <c r="P993" s="101"/>
      <c r="Q993" s="101"/>
      <c r="R993" s="101"/>
      <c r="S993" s="101"/>
    </row>
    <row r="994" spans="1:19">
      <c r="A994" s="55" t="s">
        <v>370</v>
      </c>
      <c r="B994" s="30" t="s">
        <v>2</v>
      </c>
      <c r="C994" s="80">
        <v>-4465560</v>
      </c>
      <c r="D994" s="80">
        <v>-4059600</v>
      </c>
      <c r="E994" s="80">
        <v>-405960</v>
      </c>
      <c r="F994" s="31" t="s">
        <v>280</v>
      </c>
      <c r="G994" s="30" t="s">
        <v>496</v>
      </c>
      <c r="H994" s="31"/>
      <c r="I994" s="73"/>
      <c r="J994" s="73"/>
      <c r="K994" s="73"/>
      <c r="L994" s="30"/>
      <c r="M994" s="30"/>
      <c r="N994" s="30"/>
      <c r="O994" s="30"/>
      <c r="P994" s="30"/>
      <c r="Q994" s="30"/>
      <c r="R994" s="30"/>
      <c r="S994" s="30"/>
    </row>
    <row r="995" spans="1:19">
      <c r="A995" s="55" t="s">
        <v>370</v>
      </c>
      <c r="B995" s="30" t="s">
        <v>2</v>
      </c>
      <c r="C995" s="80">
        <v>-7033994</v>
      </c>
      <c r="D995" s="80">
        <v>-6394540</v>
      </c>
      <c r="E995" s="80">
        <v>-639454</v>
      </c>
      <c r="F995" s="31" t="s">
        <v>255</v>
      </c>
      <c r="G995" s="30" t="s">
        <v>496</v>
      </c>
      <c r="H995" s="31"/>
      <c r="I995" s="73"/>
      <c r="J995" s="73"/>
      <c r="K995" s="73"/>
      <c r="L995" s="30"/>
      <c r="M995" s="30"/>
      <c r="N995" s="30"/>
      <c r="O995" s="30"/>
      <c r="P995" s="30"/>
      <c r="Q995" s="30"/>
      <c r="R995" s="30"/>
      <c r="S995" s="30"/>
    </row>
    <row r="996" spans="1:19">
      <c r="A996" s="55" t="s">
        <v>370</v>
      </c>
      <c r="B996" s="30" t="s">
        <v>2</v>
      </c>
      <c r="C996" s="80">
        <v>7033994</v>
      </c>
      <c r="D996" s="80">
        <v>6394540</v>
      </c>
      <c r="E996" s="80">
        <v>639454</v>
      </c>
      <c r="F996" s="31" t="s">
        <v>255</v>
      </c>
      <c r="G996" s="30" t="s">
        <v>496</v>
      </c>
      <c r="H996" s="31"/>
      <c r="I996" s="73"/>
      <c r="J996" s="73"/>
      <c r="K996" s="73"/>
      <c r="L996" s="30"/>
      <c r="M996" s="30"/>
      <c r="N996" s="30"/>
      <c r="O996" s="30"/>
      <c r="P996" s="30"/>
      <c r="Q996" s="30"/>
      <c r="R996" s="30"/>
      <c r="S996" s="30"/>
    </row>
    <row r="997" spans="1:19">
      <c r="A997" s="55" t="s">
        <v>370</v>
      </c>
      <c r="B997" s="30" t="s">
        <v>2</v>
      </c>
      <c r="C997" s="80">
        <v>4465560</v>
      </c>
      <c r="D997" s="80">
        <v>4059600</v>
      </c>
      <c r="E997" s="80">
        <v>405960</v>
      </c>
      <c r="F997" s="31" t="s">
        <v>280</v>
      </c>
      <c r="G997" s="30" t="s">
        <v>496</v>
      </c>
      <c r="H997" s="31"/>
      <c r="I997" s="73"/>
      <c r="J997" s="73"/>
      <c r="K997" s="73"/>
      <c r="L997" s="30"/>
      <c r="M997" s="30"/>
      <c r="N997" s="30"/>
      <c r="O997" s="30"/>
      <c r="P997" s="30"/>
      <c r="Q997" s="30"/>
      <c r="R997" s="30"/>
      <c r="S997" s="30"/>
    </row>
    <row r="998" spans="1:19">
      <c r="A998" s="55" t="s">
        <v>370</v>
      </c>
      <c r="B998" s="30" t="s">
        <v>2</v>
      </c>
      <c r="C998" s="80">
        <v>-4143810</v>
      </c>
      <c r="D998" s="80">
        <v>-3767100</v>
      </c>
      <c r="E998" s="80">
        <v>-376710</v>
      </c>
      <c r="F998" s="31" t="s">
        <v>280</v>
      </c>
      <c r="G998" s="30" t="s">
        <v>496</v>
      </c>
      <c r="H998" s="31"/>
      <c r="I998" s="73"/>
      <c r="J998" s="73"/>
      <c r="K998" s="73"/>
      <c r="L998" s="30"/>
      <c r="M998" s="30"/>
      <c r="N998" s="30"/>
      <c r="O998" s="30"/>
      <c r="P998" s="30"/>
      <c r="Q998" s="30"/>
      <c r="R998" s="30"/>
      <c r="S998" s="30"/>
    </row>
    <row r="999" spans="1:19">
      <c r="A999" s="55" t="s">
        <v>370</v>
      </c>
      <c r="B999" s="30" t="s">
        <v>2</v>
      </c>
      <c r="C999" s="80">
        <v>4143810</v>
      </c>
      <c r="D999" s="80">
        <v>3767100</v>
      </c>
      <c r="E999" s="80">
        <v>376710</v>
      </c>
      <c r="F999" s="31" t="s">
        <v>280</v>
      </c>
      <c r="G999" s="30" t="s">
        <v>496</v>
      </c>
      <c r="H999" s="31"/>
      <c r="I999" s="73"/>
      <c r="J999" s="73"/>
      <c r="K999" s="73"/>
      <c r="L999" s="30"/>
      <c r="M999" s="30"/>
      <c r="N999" s="30"/>
      <c r="O999" s="30"/>
      <c r="P999" s="30"/>
      <c r="Q999" s="30"/>
      <c r="R999" s="30"/>
      <c r="S999" s="30"/>
    </row>
    <row r="1000" spans="1:19">
      <c r="A1000" s="55" t="s">
        <v>370</v>
      </c>
      <c r="B1000" s="30" t="s">
        <v>2</v>
      </c>
      <c r="C1000" s="80">
        <v>968000</v>
      </c>
      <c r="D1000" s="80">
        <v>880000</v>
      </c>
      <c r="E1000" s="80">
        <v>88000</v>
      </c>
      <c r="F1000" s="31" t="s">
        <v>346</v>
      </c>
      <c r="G1000" s="30" t="s">
        <v>496</v>
      </c>
      <c r="H1000" s="31"/>
      <c r="I1000" s="73"/>
      <c r="J1000" s="73"/>
      <c r="K1000" s="73"/>
      <c r="L1000" s="30"/>
      <c r="M1000" s="30"/>
      <c r="N1000" s="30"/>
      <c r="O1000" s="30"/>
      <c r="P1000" s="30"/>
      <c r="Q1000" s="30"/>
      <c r="R1000" s="30"/>
      <c r="S1000" s="30"/>
    </row>
    <row r="1001" spans="1:19">
      <c r="A1001" s="52" t="s">
        <v>370</v>
      </c>
      <c r="B1001" s="33" t="s">
        <v>2</v>
      </c>
      <c r="C1001" s="78">
        <v>159500</v>
      </c>
      <c r="D1001" s="78">
        <v>145000</v>
      </c>
      <c r="E1001" s="78">
        <v>14500</v>
      </c>
      <c r="F1001" s="54" t="s">
        <v>315</v>
      </c>
      <c r="G1001" s="65">
        <v>43577</v>
      </c>
      <c r="J1001" s="15"/>
      <c r="K1001" s="15"/>
    </row>
    <row r="1002" spans="1:19">
      <c r="A1002" s="52" t="s">
        <v>370</v>
      </c>
      <c r="B1002" s="33" t="s">
        <v>2</v>
      </c>
      <c r="C1002" s="78">
        <v>2420000</v>
      </c>
      <c r="D1002" s="78">
        <v>2200000</v>
      </c>
      <c r="E1002" s="78">
        <v>220000</v>
      </c>
      <c r="F1002" s="54" t="s">
        <v>346</v>
      </c>
      <c r="G1002" s="65">
        <v>43577</v>
      </c>
      <c r="J1002" s="15"/>
      <c r="K1002" s="15"/>
    </row>
    <row r="1003" spans="1:19">
      <c r="A1003" s="52" t="s">
        <v>370</v>
      </c>
      <c r="B1003" s="33" t="s">
        <v>2</v>
      </c>
      <c r="C1003" s="78">
        <v>6770500</v>
      </c>
      <c r="D1003" s="78">
        <v>6155000</v>
      </c>
      <c r="E1003" s="78">
        <v>615500</v>
      </c>
      <c r="F1003" s="54" t="s">
        <v>313</v>
      </c>
      <c r="G1003" s="65">
        <v>43577</v>
      </c>
      <c r="J1003" s="15"/>
      <c r="K1003" s="15"/>
    </row>
    <row r="1004" spans="1:19">
      <c r="A1004" s="52" t="s">
        <v>370</v>
      </c>
      <c r="B1004" s="33" t="s">
        <v>2</v>
      </c>
      <c r="C1004" s="78">
        <v>1271600</v>
      </c>
      <c r="D1004" s="78">
        <v>1156000</v>
      </c>
      <c r="E1004" s="78">
        <v>115600</v>
      </c>
      <c r="F1004" s="54" t="s">
        <v>245</v>
      </c>
      <c r="G1004" s="65">
        <v>43577</v>
      </c>
      <c r="J1004" s="15"/>
      <c r="K1004" s="15"/>
    </row>
    <row r="1005" spans="1:19">
      <c r="A1005" s="52" t="s">
        <v>370</v>
      </c>
      <c r="B1005" s="33" t="s">
        <v>2</v>
      </c>
      <c r="C1005" s="78">
        <v>1980000</v>
      </c>
      <c r="D1005" s="78">
        <v>1800000</v>
      </c>
      <c r="E1005" s="78">
        <v>180000</v>
      </c>
      <c r="F1005" s="54" t="s">
        <v>371</v>
      </c>
      <c r="G1005" s="65">
        <v>43577</v>
      </c>
      <c r="J1005" s="15"/>
      <c r="K1005" s="15"/>
    </row>
    <row r="1006" spans="1:19">
      <c r="A1006" s="52" t="s">
        <v>370</v>
      </c>
      <c r="B1006" s="33" t="s">
        <v>2</v>
      </c>
      <c r="C1006" s="78">
        <v>940500</v>
      </c>
      <c r="D1006" s="78">
        <v>855000</v>
      </c>
      <c r="E1006" s="78">
        <v>85500</v>
      </c>
      <c r="F1006" s="54" t="s">
        <v>316</v>
      </c>
      <c r="G1006" s="65">
        <v>43577</v>
      </c>
      <c r="J1006" s="15"/>
      <c r="K1006" s="15"/>
    </row>
    <row r="1007" spans="1:19">
      <c r="A1007" s="52" t="s">
        <v>370</v>
      </c>
      <c r="B1007" s="33" t="s">
        <v>2</v>
      </c>
      <c r="C1007" s="78">
        <v>273900</v>
      </c>
      <c r="D1007" s="78">
        <v>249000</v>
      </c>
      <c r="E1007" s="78">
        <v>24900</v>
      </c>
      <c r="F1007" s="54" t="s">
        <v>254</v>
      </c>
      <c r="G1007" s="65">
        <v>43577</v>
      </c>
      <c r="J1007" s="15"/>
      <c r="K1007" s="15"/>
    </row>
    <row r="1008" spans="1:19">
      <c r="A1008" s="52" t="s">
        <v>370</v>
      </c>
      <c r="B1008" s="33" t="s">
        <v>2</v>
      </c>
      <c r="C1008" s="78">
        <v>1611500</v>
      </c>
      <c r="D1008" s="78">
        <v>1465000</v>
      </c>
      <c r="E1008" s="78">
        <v>146500</v>
      </c>
      <c r="F1008" s="54" t="s">
        <v>255</v>
      </c>
      <c r="G1008" s="65">
        <v>43577</v>
      </c>
      <c r="J1008" s="15"/>
      <c r="K1008" s="15"/>
    </row>
    <row r="1009" spans="1:11">
      <c r="A1009" s="52" t="s">
        <v>370</v>
      </c>
      <c r="B1009" s="33" t="s">
        <v>2</v>
      </c>
      <c r="C1009" s="78">
        <v>6583500</v>
      </c>
      <c r="D1009" s="78">
        <v>5985000</v>
      </c>
      <c r="E1009" s="78">
        <v>598500</v>
      </c>
      <c r="F1009" s="54" t="s">
        <v>337</v>
      </c>
      <c r="G1009" s="65">
        <v>43577</v>
      </c>
    </row>
    <row r="1010" spans="1:11">
      <c r="A1010" s="52" t="s">
        <v>370</v>
      </c>
      <c r="B1010" s="33" t="s">
        <v>2</v>
      </c>
      <c r="C1010" s="78">
        <v>1976040</v>
      </c>
      <c r="D1010" s="78">
        <v>1796400</v>
      </c>
      <c r="E1010" s="78">
        <v>179640</v>
      </c>
      <c r="F1010" s="54" t="s">
        <v>298</v>
      </c>
      <c r="G1010" s="65">
        <v>43577</v>
      </c>
    </row>
    <row r="1011" spans="1:11">
      <c r="A1011" s="52" t="s">
        <v>370</v>
      </c>
      <c r="B1011" s="33" t="s">
        <v>2</v>
      </c>
      <c r="C1011" s="78">
        <v>2403500</v>
      </c>
      <c r="D1011" s="78">
        <v>2185000</v>
      </c>
      <c r="E1011" s="78">
        <v>218500</v>
      </c>
      <c r="F1011" s="54" t="s">
        <v>280</v>
      </c>
      <c r="G1011" s="65">
        <v>43577</v>
      </c>
    </row>
    <row r="1012" spans="1:11">
      <c r="A1012" s="52" t="s">
        <v>370</v>
      </c>
      <c r="B1012" s="33" t="s">
        <v>344</v>
      </c>
      <c r="C1012" s="78">
        <v>385000</v>
      </c>
      <c r="D1012" s="78">
        <v>350000</v>
      </c>
      <c r="E1012" s="78">
        <v>35000</v>
      </c>
      <c r="F1012" s="54" t="s">
        <v>13</v>
      </c>
      <c r="G1012" s="65">
        <v>43585</v>
      </c>
      <c r="I1012" s="14"/>
      <c r="J1012" s="14"/>
    </row>
    <row r="1013" spans="1:11">
      <c r="A1013" s="52" t="s">
        <v>373</v>
      </c>
      <c r="B1013" s="33" t="s">
        <v>2</v>
      </c>
      <c r="C1013" s="78">
        <v>2799500</v>
      </c>
      <c r="D1013" s="78">
        <v>2545000</v>
      </c>
      <c r="E1013" s="78">
        <v>254500</v>
      </c>
      <c r="F1013" s="54" t="s">
        <v>315</v>
      </c>
      <c r="G1013" s="9">
        <v>43595</v>
      </c>
      <c r="H1013" s="17" t="s">
        <v>517</v>
      </c>
      <c r="I1013" s="14"/>
      <c r="J1013" s="14"/>
    </row>
    <row r="1014" spans="1:11">
      <c r="A1014" s="52" t="s">
        <v>373</v>
      </c>
      <c r="B1014" s="33" t="s">
        <v>2</v>
      </c>
      <c r="C1014" s="78">
        <v>4206455</v>
      </c>
      <c r="D1014" s="78">
        <v>3824050</v>
      </c>
      <c r="E1014" s="78">
        <v>382405</v>
      </c>
      <c r="F1014" s="54" t="s">
        <v>255</v>
      </c>
      <c r="G1014" s="9">
        <v>43595</v>
      </c>
      <c r="H1014" s="17" t="s">
        <v>517</v>
      </c>
      <c r="I1014" s="14"/>
      <c r="J1014" s="14"/>
    </row>
    <row r="1015" spans="1:11">
      <c r="A1015" s="52" t="s">
        <v>373</v>
      </c>
      <c r="B1015" s="33" t="s">
        <v>2</v>
      </c>
      <c r="C1015" s="78">
        <v>847000</v>
      </c>
      <c r="D1015" s="78">
        <v>770000</v>
      </c>
      <c r="E1015" s="78">
        <v>77000</v>
      </c>
      <c r="F1015" s="54" t="s">
        <v>346</v>
      </c>
      <c r="G1015" s="9">
        <v>43595</v>
      </c>
      <c r="H1015" s="17" t="s">
        <v>517</v>
      </c>
      <c r="I1015" s="14"/>
      <c r="J1015" s="14"/>
    </row>
    <row r="1016" spans="1:11">
      <c r="A1016" s="52" t="s">
        <v>373</v>
      </c>
      <c r="B1016" s="33" t="s">
        <v>155</v>
      </c>
      <c r="C1016" s="78">
        <v>1452000</v>
      </c>
      <c r="D1016" s="78">
        <v>1320000</v>
      </c>
      <c r="E1016" s="78">
        <v>132000</v>
      </c>
      <c r="F1016" s="54" t="s">
        <v>13</v>
      </c>
      <c r="G1016" s="9">
        <v>43616</v>
      </c>
      <c r="J1016" s="15"/>
      <c r="K1016" s="15"/>
    </row>
    <row r="1017" spans="1:11">
      <c r="A1017" s="52" t="s">
        <v>373</v>
      </c>
      <c r="B1017" s="33" t="s">
        <v>82</v>
      </c>
      <c r="C1017" s="78">
        <v>704000</v>
      </c>
      <c r="D1017" s="78">
        <v>640000</v>
      </c>
      <c r="E1017" s="78">
        <v>64000</v>
      </c>
      <c r="F1017" s="54" t="s">
        <v>13</v>
      </c>
      <c r="G1017" s="9">
        <v>43600</v>
      </c>
      <c r="J1017" s="15"/>
      <c r="K1017" s="15"/>
    </row>
    <row r="1018" spans="1:11">
      <c r="A1018" s="52" t="s">
        <v>373</v>
      </c>
      <c r="B1018" s="33" t="s">
        <v>70</v>
      </c>
      <c r="C1018" s="78">
        <v>660000</v>
      </c>
      <c r="D1018" s="78">
        <v>600000</v>
      </c>
      <c r="E1018" s="78">
        <v>60000</v>
      </c>
      <c r="F1018" s="54" t="s">
        <v>13</v>
      </c>
      <c r="G1018" s="9">
        <v>43599</v>
      </c>
      <c r="J1018" s="15"/>
      <c r="K1018" s="15"/>
    </row>
    <row r="1019" spans="1:11">
      <c r="A1019" s="52" t="s">
        <v>373</v>
      </c>
      <c r="B1019" s="33" t="s">
        <v>86</v>
      </c>
      <c r="C1019" s="78">
        <v>2376000</v>
      </c>
      <c r="D1019" s="78">
        <v>2160000</v>
      </c>
      <c r="E1019" s="78">
        <v>216000</v>
      </c>
      <c r="F1019" s="54" t="s">
        <v>13</v>
      </c>
      <c r="G1019" s="9">
        <v>43605</v>
      </c>
      <c r="J1019" s="15"/>
      <c r="K1019" s="15"/>
    </row>
    <row r="1020" spans="1:11">
      <c r="A1020" s="52" t="s">
        <v>373</v>
      </c>
      <c r="B1020" s="33" t="s">
        <v>374</v>
      </c>
      <c r="C1020" s="78">
        <v>77000</v>
      </c>
      <c r="D1020" s="78">
        <v>70000</v>
      </c>
      <c r="E1020" s="78">
        <v>7000</v>
      </c>
      <c r="F1020" s="54" t="s">
        <v>13</v>
      </c>
      <c r="G1020" s="9">
        <v>43648</v>
      </c>
      <c r="J1020" s="15"/>
      <c r="K1020" s="15"/>
    </row>
    <row r="1021" spans="1:11">
      <c r="A1021" s="52" t="s">
        <v>373</v>
      </c>
      <c r="B1021" s="33" t="s">
        <v>79</v>
      </c>
      <c r="C1021" s="78">
        <v>1320000</v>
      </c>
      <c r="D1021" s="78">
        <v>1200000</v>
      </c>
      <c r="E1021" s="78">
        <v>120000</v>
      </c>
      <c r="F1021" s="54" t="s">
        <v>13</v>
      </c>
      <c r="G1021" s="9">
        <v>43619</v>
      </c>
      <c r="J1021" s="15"/>
      <c r="K1021" s="15"/>
    </row>
    <row r="1022" spans="1:11">
      <c r="A1022" s="52" t="s">
        <v>373</v>
      </c>
      <c r="B1022" s="33" t="s">
        <v>360</v>
      </c>
      <c r="C1022" s="78">
        <v>2623500</v>
      </c>
      <c r="D1022" s="78">
        <v>2385000</v>
      </c>
      <c r="E1022" s="78">
        <v>238500</v>
      </c>
      <c r="F1022" s="54" t="s">
        <v>66</v>
      </c>
      <c r="G1022" s="9">
        <v>43595</v>
      </c>
      <c r="J1022" s="15"/>
      <c r="K1022" s="15"/>
    </row>
    <row r="1023" spans="1:11">
      <c r="A1023" s="52" t="s">
        <v>373</v>
      </c>
      <c r="B1023" s="33" t="s">
        <v>2</v>
      </c>
      <c r="C1023" s="78">
        <v>478500</v>
      </c>
      <c r="D1023" s="78">
        <v>435000</v>
      </c>
      <c r="E1023" s="78">
        <v>43500</v>
      </c>
      <c r="F1023" s="54" t="s">
        <v>315</v>
      </c>
      <c r="G1023" s="9">
        <v>43595</v>
      </c>
      <c r="J1023" s="15"/>
      <c r="K1023" s="15"/>
    </row>
    <row r="1024" spans="1:11">
      <c r="A1024" s="52" t="s">
        <v>373</v>
      </c>
      <c r="B1024" s="33" t="s">
        <v>2</v>
      </c>
      <c r="C1024" s="78">
        <v>2057000</v>
      </c>
      <c r="D1024" s="78">
        <v>1870000</v>
      </c>
      <c r="E1024" s="78">
        <v>187000</v>
      </c>
      <c r="F1024" s="54" t="s">
        <v>346</v>
      </c>
      <c r="G1024" s="9">
        <v>43595</v>
      </c>
      <c r="J1024" s="15"/>
      <c r="K1024" s="15"/>
    </row>
    <row r="1025" spans="1:19">
      <c r="A1025" s="52" t="s">
        <v>373</v>
      </c>
      <c r="B1025" s="33" t="s">
        <v>2</v>
      </c>
      <c r="C1025" s="78">
        <v>19767000</v>
      </c>
      <c r="D1025" s="78">
        <v>17970000</v>
      </c>
      <c r="E1025" s="78">
        <v>1797000</v>
      </c>
      <c r="F1025" s="54" t="s">
        <v>313</v>
      </c>
      <c r="G1025" s="9">
        <v>43595</v>
      </c>
      <c r="J1025" s="15"/>
      <c r="K1025" s="15"/>
    </row>
    <row r="1026" spans="1:19">
      <c r="A1026" s="52" t="s">
        <v>373</v>
      </c>
      <c r="B1026" s="33" t="s">
        <v>2</v>
      </c>
      <c r="C1026" s="78">
        <v>1331000</v>
      </c>
      <c r="D1026" s="78">
        <v>1210000</v>
      </c>
      <c r="E1026" s="78">
        <v>121000</v>
      </c>
      <c r="F1026" s="54" t="s">
        <v>245</v>
      </c>
      <c r="G1026" s="9">
        <v>43595</v>
      </c>
      <c r="J1026" s="15"/>
      <c r="K1026" s="15"/>
    </row>
    <row r="1027" spans="1:19">
      <c r="A1027" s="52" t="s">
        <v>373</v>
      </c>
      <c r="B1027" s="33" t="s">
        <v>2</v>
      </c>
      <c r="C1027" s="78">
        <v>990000</v>
      </c>
      <c r="D1027" s="78">
        <v>900000</v>
      </c>
      <c r="E1027" s="78">
        <v>90000</v>
      </c>
      <c r="F1027" s="54" t="s">
        <v>375</v>
      </c>
      <c r="G1027" s="9">
        <v>43595</v>
      </c>
      <c r="J1027" s="15"/>
      <c r="K1027" s="15"/>
    </row>
    <row r="1028" spans="1:19">
      <c r="A1028" s="52" t="s">
        <v>373</v>
      </c>
      <c r="B1028" s="33" t="s">
        <v>2</v>
      </c>
      <c r="C1028" s="78">
        <v>104500</v>
      </c>
      <c r="D1028" s="78">
        <v>95000</v>
      </c>
      <c r="E1028" s="78">
        <v>9500</v>
      </c>
      <c r="F1028" s="54" t="s">
        <v>316</v>
      </c>
      <c r="G1028" s="9">
        <v>43595</v>
      </c>
      <c r="J1028" s="15"/>
      <c r="K1028" s="15"/>
    </row>
    <row r="1029" spans="1:19">
      <c r="A1029" s="52" t="s">
        <v>373</v>
      </c>
      <c r="B1029" s="33" t="s">
        <v>2</v>
      </c>
      <c r="C1029" s="78">
        <v>273900</v>
      </c>
      <c r="D1029" s="78">
        <v>249000</v>
      </c>
      <c r="E1029" s="78">
        <v>24900</v>
      </c>
      <c r="F1029" s="54" t="s">
        <v>254</v>
      </c>
      <c r="G1029" s="9">
        <v>43595</v>
      </c>
      <c r="J1029" s="15"/>
      <c r="K1029" s="15"/>
    </row>
    <row r="1030" spans="1:19">
      <c r="A1030" s="52" t="s">
        <v>373</v>
      </c>
      <c r="B1030" s="33" t="s">
        <v>2</v>
      </c>
      <c r="C1030" s="78">
        <v>1413500</v>
      </c>
      <c r="D1030" s="78">
        <v>1285000</v>
      </c>
      <c r="E1030" s="78">
        <v>128500</v>
      </c>
      <c r="F1030" s="54" t="s">
        <v>255</v>
      </c>
      <c r="G1030" s="9">
        <v>43595</v>
      </c>
      <c r="J1030" s="15"/>
      <c r="K1030" s="15"/>
    </row>
    <row r="1031" spans="1:19">
      <c r="A1031" s="52" t="s">
        <v>373</v>
      </c>
      <c r="B1031" s="33" t="s">
        <v>2</v>
      </c>
      <c r="C1031" s="78">
        <v>6721000</v>
      </c>
      <c r="D1031" s="78">
        <v>6110000</v>
      </c>
      <c r="E1031" s="78">
        <v>611000</v>
      </c>
      <c r="F1031" s="54" t="s">
        <v>337</v>
      </c>
      <c r="G1031" s="9">
        <v>43595</v>
      </c>
      <c r="J1031" s="15"/>
      <c r="K1031" s="15"/>
    </row>
    <row r="1032" spans="1:19">
      <c r="A1032" s="52" t="s">
        <v>373</v>
      </c>
      <c r="B1032" s="33" t="s">
        <v>2</v>
      </c>
      <c r="C1032" s="78">
        <v>2964060</v>
      </c>
      <c r="D1032" s="78">
        <v>2694600</v>
      </c>
      <c r="E1032" s="78">
        <v>269460</v>
      </c>
      <c r="F1032" s="54" t="s">
        <v>298</v>
      </c>
      <c r="G1032" s="9">
        <v>43595</v>
      </c>
      <c r="J1032" s="15"/>
      <c r="K1032" s="15"/>
    </row>
    <row r="1033" spans="1:19">
      <c r="A1033" s="52" t="s">
        <v>373</v>
      </c>
      <c r="B1033" s="33" t="s">
        <v>2</v>
      </c>
      <c r="C1033" s="78">
        <v>3569500</v>
      </c>
      <c r="D1033" s="78">
        <v>3245000</v>
      </c>
      <c r="E1033" s="78">
        <v>324500</v>
      </c>
      <c r="F1033" s="54" t="s">
        <v>280</v>
      </c>
      <c r="G1033" s="9">
        <v>43595</v>
      </c>
      <c r="J1033" s="15"/>
      <c r="K1033" s="15"/>
    </row>
    <row r="1034" spans="1:19">
      <c r="A1034" s="52" t="s">
        <v>373</v>
      </c>
      <c r="B1034" s="33" t="s">
        <v>15</v>
      </c>
      <c r="C1034" s="78">
        <v>20020000</v>
      </c>
      <c r="D1034" s="78">
        <v>18200000</v>
      </c>
      <c r="E1034" s="78">
        <v>1820000</v>
      </c>
      <c r="F1034" s="54" t="s">
        <v>261</v>
      </c>
      <c r="G1034" s="9">
        <v>43609</v>
      </c>
      <c r="J1034" s="15"/>
      <c r="K1034" s="15"/>
    </row>
    <row r="1035" spans="1:19">
      <c r="A1035" s="52" t="s">
        <v>373</v>
      </c>
      <c r="B1035" s="33" t="s">
        <v>15</v>
      </c>
      <c r="C1035" s="78">
        <v>10890000</v>
      </c>
      <c r="D1035" s="78">
        <v>9900000</v>
      </c>
      <c r="E1035" s="78">
        <v>990000</v>
      </c>
      <c r="F1035" s="54" t="s">
        <v>305</v>
      </c>
      <c r="G1035" s="9">
        <v>43609</v>
      </c>
      <c r="J1035" s="15"/>
      <c r="K1035" s="15"/>
    </row>
    <row r="1036" spans="1:19">
      <c r="A1036" s="52" t="s">
        <v>373</v>
      </c>
      <c r="B1036" s="33" t="s">
        <v>15</v>
      </c>
      <c r="C1036" s="78">
        <v>7480000</v>
      </c>
      <c r="D1036" s="78">
        <v>6800000</v>
      </c>
      <c r="E1036" s="78">
        <v>680000</v>
      </c>
      <c r="F1036" s="54" t="s">
        <v>262</v>
      </c>
      <c r="G1036" s="9">
        <v>43609</v>
      </c>
      <c r="I1036" s="308" t="s">
        <v>520</v>
      </c>
      <c r="J1036" s="309"/>
      <c r="K1036" s="310"/>
    </row>
    <row r="1037" spans="1:19">
      <c r="A1037" s="52" t="s">
        <v>373</v>
      </c>
      <c r="B1037" s="33" t="s">
        <v>63</v>
      </c>
      <c r="C1037" s="78">
        <v>1056000</v>
      </c>
      <c r="D1037" s="78">
        <v>960000</v>
      </c>
      <c r="E1037" s="78">
        <v>96000</v>
      </c>
      <c r="F1037" s="54" t="s">
        <v>13</v>
      </c>
      <c r="G1037" s="9">
        <v>43588</v>
      </c>
      <c r="I1037" s="18" t="s">
        <v>487</v>
      </c>
      <c r="J1037" s="36" t="s">
        <v>488</v>
      </c>
      <c r="K1037" s="36" t="s">
        <v>494</v>
      </c>
    </row>
    <row r="1038" spans="1:19">
      <c r="A1038" s="52" t="s">
        <v>373</v>
      </c>
      <c r="B1038" s="33" t="s">
        <v>321</v>
      </c>
      <c r="C1038" s="78">
        <v>154000</v>
      </c>
      <c r="D1038" s="78">
        <v>140000</v>
      </c>
      <c r="E1038" s="78">
        <v>14000</v>
      </c>
      <c r="F1038" s="54" t="s">
        <v>13</v>
      </c>
      <c r="G1038" s="9">
        <v>43586</v>
      </c>
      <c r="I1038" s="62">
        <f>SUM(C993:C1038)</f>
        <v>123110955</v>
      </c>
      <c r="J1038" s="62">
        <f>SUM(D993:D1038)</f>
        <v>111919050</v>
      </c>
      <c r="K1038" s="62">
        <f>SUM(E993:E1038)</f>
        <v>11191905</v>
      </c>
    </row>
    <row r="1039" spans="1:19">
      <c r="A1039" s="57" t="s">
        <v>376</v>
      </c>
      <c r="B1039" s="58" t="s">
        <v>15</v>
      </c>
      <c r="C1039" s="79">
        <v>2376000</v>
      </c>
      <c r="D1039" s="79">
        <v>2160000</v>
      </c>
      <c r="E1039" s="79">
        <v>216000</v>
      </c>
      <c r="F1039" s="60" t="s">
        <v>313</v>
      </c>
      <c r="G1039" s="92">
        <v>43609</v>
      </c>
      <c r="H1039" s="105"/>
      <c r="I1039" s="98"/>
      <c r="J1039" s="106"/>
      <c r="K1039" s="99"/>
      <c r="L1039" s="99"/>
      <c r="M1039" s="99"/>
      <c r="N1039" s="99"/>
      <c r="O1039" s="99"/>
      <c r="P1039" s="99"/>
      <c r="Q1039" s="99"/>
      <c r="R1039" s="99"/>
      <c r="S1039" s="99"/>
    </row>
    <row r="1040" spans="1:19">
      <c r="A1040" s="52" t="s">
        <v>377</v>
      </c>
      <c r="B1040" s="33" t="s">
        <v>2</v>
      </c>
      <c r="C1040" s="78">
        <v>1681163</v>
      </c>
      <c r="D1040" s="78">
        <v>1528330</v>
      </c>
      <c r="E1040" s="78">
        <v>152833</v>
      </c>
      <c r="F1040" s="54" t="s">
        <v>255</v>
      </c>
      <c r="G1040" s="9">
        <v>43626</v>
      </c>
      <c r="H1040" s="17" t="s">
        <v>517</v>
      </c>
    </row>
    <row r="1041" spans="1:8">
      <c r="A1041" s="52" t="s">
        <v>377</v>
      </c>
      <c r="B1041" s="33" t="s">
        <v>2</v>
      </c>
      <c r="C1041" s="78">
        <v>968000</v>
      </c>
      <c r="D1041" s="78">
        <v>880000</v>
      </c>
      <c r="E1041" s="78">
        <v>88000</v>
      </c>
      <c r="F1041" s="54" t="s">
        <v>315</v>
      </c>
      <c r="G1041" s="9">
        <v>43615</v>
      </c>
      <c r="H1041" s="17" t="s">
        <v>517</v>
      </c>
    </row>
    <row r="1042" spans="1:8">
      <c r="A1042" s="52" t="s">
        <v>377</v>
      </c>
      <c r="B1042" s="33" t="s">
        <v>2</v>
      </c>
      <c r="C1042" s="78">
        <v>1331000</v>
      </c>
      <c r="D1042" s="78">
        <v>1210000</v>
      </c>
      <c r="E1042" s="78">
        <v>121000</v>
      </c>
      <c r="F1042" s="54" t="s">
        <v>346</v>
      </c>
      <c r="G1042" s="9">
        <v>43615</v>
      </c>
      <c r="H1042" s="17" t="s">
        <v>517</v>
      </c>
    </row>
    <row r="1043" spans="1:8">
      <c r="A1043" s="52" t="s">
        <v>377</v>
      </c>
      <c r="B1043" s="33" t="s">
        <v>2</v>
      </c>
      <c r="C1043" s="78">
        <v>1848000</v>
      </c>
      <c r="D1043" s="78">
        <v>1680000</v>
      </c>
      <c r="E1043" s="78">
        <v>168000</v>
      </c>
      <c r="F1043" s="54" t="s">
        <v>315</v>
      </c>
      <c r="G1043" s="9">
        <v>43615</v>
      </c>
    </row>
    <row r="1044" spans="1:8">
      <c r="A1044" s="52" t="s">
        <v>377</v>
      </c>
      <c r="B1044" s="33" t="s">
        <v>2</v>
      </c>
      <c r="C1044" s="78">
        <v>2904000</v>
      </c>
      <c r="D1044" s="78">
        <v>2640000</v>
      </c>
      <c r="E1044" s="78">
        <v>264000</v>
      </c>
      <c r="F1044" s="54" t="s">
        <v>346</v>
      </c>
      <c r="G1044" s="9">
        <v>43615</v>
      </c>
    </row>
    <row r="1045" spans="1:8">
      <c r="A1045" s="52" t="s">
        <v>377</v>
      </c>
      <c r="B1045" s="33" t="s">
        <v>2</v>
      </c>
      <c r="C1045" s="78">
        <v>31014500</v>
      </c>
      <c r="D1045" s="78">
        <v>28195000</v>
      </c>
      <c r="E1045" s="78">
        <v>2819500</v>
      </c>
      <c r="F1045" s="54" t="s">
        <v>313</v>
      </c>
      <c r="G1045" s="9">
        <v>43615</v>
      </c>
    </row>
    <row r="1046" spans="1:8">
      <c r="A1046" s="52" t="s">
        <v>377</v>
      </c>
      <c r="B1046" s="33" t="s">
        <v>2</v>
      </c>
      <c r="C1046" s="78">
        <v>1573000</v>
      </c>
      <c r="D1046" s="78">
        <v>1430000</v>
      </c>
      <c r="E1046" s="78">
        <v>143000</v>
      </c>
      <c r="F1046" s="54" t="s">
        <v>245</v>
      </c>
      <c r="G1046" s="9">
        <v>43615</v>
      </c>
    </row>
    <row r="1047" spans="1:8">
      <c r="A1047" s="52" t="s">
        <v>377</v>
      </c>
      <c r="B1047" s="33" t="s">
        <v>2</v>
      </c>
      <c r="C1047" s="78">
        <v>792000</v>
      </c>
      <c r="D1047" s="78">
        <v>720000</v>
      </c>
      <c r="E1047" s="78">
        <v>72000</v>
      </c>
      <c r="F1047" s="54" t="s">
        <v>371</v>
      </c>
      <c r="G1047" s="9">
        <v>43615</v>
      </c>
    </row>
    <row r="1048" spans="1:8">
      <c r="A1048" s="52" t="s">
        <v>377</v>
      </c>
      <c r="B1048" s="33" t="s">
        <v>2</v>
      </c>
      <c r="C1048" s="78">
        <v>365200</v>
      </c>
      <c r="D1048" s="78">
        <v>332000</v>
      </c>
      <c r="E1048" s="78">
        <v>33200</v>
      </c>
      <c r="F1048" s="54" t="s">
        <v>254</v>
      </c>
      <c r="G1048" s="9">
        <v>43615</v>
      </c>
    </row>
    <row r="1049" spans="1:8">
      <c r="A1049" s="52" t="s">
        <v>377</v>
      </c>
      <c r="B1049" s="33" t="s">
        <v>2</v>
      </c>
      <c r="C1049" s="78">
        <v>880000</v>
      </c>
      <c r="D1049" s="78">
        <v>800000</v>
      </c>
      <c r="E1049" s="78">
        <v>80000</v>
      </c>
      <c r="F1049" s="54" t="s">
        <v>255</v>
      </c>
      <c r="G1049" s="9">
        <v>43615</v>
      </c>
    </row>
    <row r="1050" spans="1:8">
      <c r="A1050" s="52" t="s">
        <v>377</v>
      </c>
      <c r="B1050" s="33" t="s">
        <v>2</v>
      </c>
      <c r="C1050" s="78">
        <v>627000</v>
      </c>
      <c r="D1050" s="78">
        <v>570000</v>
      </c>
      <c r="E1050" s="78">
        <v>57000</v>
      </c>
      <c r="F1050" s="54" t="s">
        <v>378</v>
      </c>
      <c r="G1050" s="9">
        <v>43615</v>
      </c>
    </row>
    <row r="1051" spans="1:8">
      <c r="A1051" s="52" t="s">
        <v>377</v>
      </c>
      <c r="B1051" s="33" t="s">
        <v>2</v>
      </c>
      <c r="C1051" s="78">
        <v>5538500</v>
      </c>
      <c r="D1051" s="78">
        <v>5035000</v>
      </c>
      <c r="E1051" s="78">
        <v>503500</v>
      </c>
      <c r="F1051" s="54" t="s">
        <v>337</v>
      </c>
      <c r="G1051" s="9">
        <v>43615</v>
      </c>
    </row>
    <row r="1052" spans="1:8">
      <c r="A1052" s="52" t="s">
        <v>377</v>
      </c>
      <c r="B1052" s="33" t="s">
        <v>2</v>
      </c>
      <c r="C1052" s="78">
        <v>2871220</v>
      </c>
      <c r="D1052" s="78">
        <v>2610200</v>
      </c>
      <c r="E1052" s="78">
        <v>261020</v>
      </c>
      <c r="F1052" s="54" t="s">
        <v>298</v>
      </c>
      <c r="G1052" s="9">
        <v>43615</v>
      </c>
    </row>
    <row r="1053" spans="1:8">
      <c r="A1053" s="52" t="s">
        <v>377</v>
      </c>
      <c r="B1053" s="33" t="s">
        <v>2</v>
      </c>
      <c r="C1053" s="78">
        <v>3536500</v>
      </c>
      <c r="D1053" s="78">
        <v>3215000</v>
      </c>
      <c r="E1053" s="78">
        <v>321500</v>
      </c>
      <c r="F1053" s="54" t="s">
        <v>280</v>
      </c>
      <c r="G1053" s="9">
        <v>43615</v>
      </c>
    </row>
    <row r="1054" spans="1:8">
      <c r="A1054" s="52" t="s">
        <v>379</v>
      </c>
      <c r="B1054" s="33" t="s">
        <v>148</v>
      </c>
      <c r="C1054" s="78">
        <v>671000</v>
      </c>
      <c r="D1054" s="78">
        <v>610000</v>
      </c>
      <c r="E1054" s="78">
        <v>61000</v>
      </c>
      <c r="F1054" s="54" t="s">
        <v>13</v>
      </c>
      <c r="G1054" s="9">
        <v>43615</v>
      </c>
    </row>
    <row r="1055" spans="1:8">
      <c r="A1055" s="52" t="s">
        <v>380</v>
      </c>
      <c r="B1055" s="33" t="s">
        <v>82</v>
      </c>
      <c r="C1055" s="78">
        <v>1320000</v>
      </c>
      <c r="D1055" s="78">
        <v>1200000</v>
      </c>
      <c r="E1055" s="78">
        <v>120000</v>
      </c>
      <c r="F1055" s="54" t="s">
        <v>13</v>
      </c>
      <c r="G1055" s="9">
        <v>43633</v>
      </c>
    </row>
    <row r="1056" spans="1:8">
      <c r="A1056" s="52" t="s">
        <v>380</v>
      </c>
      <c r="B1056" s="33" t="s">
        <v>70</v>
      </c>
      <c r="C1056" s="78">
        <v>1331000</v>
      </c>
      <c r="D1056" s="78">
        <v>1210000</v>
      </c>
      <c r="E1056" s="78">
        <v>121000</v>
      </c>
      <c r="F1056" s="54" t="s">
        <v>13</v>
      </c>
      <c r="G1056" s="9">
        <v>43629</v>
      </c>
    </row>
    <row r="1057" spans="1:8">
      <c r="A1057" s="52" t="s">
        <v>380</v>
      </c>
      <c r="B1057" s="33" t="s">
        <v>86</v>
      </c>
      <c r="C1057" s="78">
        <v>2783000</v>
      </c>
      <c r="D1057" s="78">
        <v>2530000</v>
      </c>
      <c r="E1057" s="78">
        <v>253000</v>
      </c>
      <c r="F1057" s="54" t="s">
        <v>13</v>
      </c>
      <c r="G1057" s="9">
        <v>43664</v>
      </c>
    </row>
    <row r="1058" spans="1:8">
      <c r="A1058" s="52" t="s">
        <v>380</v>
      </c>
      <c r="B1058" s="33" t="s">
        <v>360</v>
      </c>
      <c r="C1058" s="78">
        <v>2244000</v>
      </c>
      <c r="D1058" s="78">
        <v>2040000</v>
      </c>
      <c r="E1058" s="78">
        <v>204000</v>
      </c>
      <c r="F1058" s="54" t="s">
        <v>66</v>
      </c>
      <c r="G1058" s="9">
        <v>43627</v>
      </c>
    </row>
    <row r="1059" spans="1:8">
      <c r="A1059" s="52" t="s">
        <v>380</v>
      </c>
      <c r="B1059" s="33" t="s">
        <v>15</v>
      </c>
      <c r="C1059" s="78">
        <v>1584000</v>
      </c>
      <c r="D1059" s="78">
        <v>1440000</v>
      </c>
      <c r="E1059" s="78">
        <v>144000</v>
      </c>
      <c r="F1059" s="54" t="s">
        <v>313</v>
      </c>
      <c r="G1059" s="9">
        <v>43644</v>
      </c>
    </row>
    <row r="1060" spans="1:8">
      <c r="A1060" s="52" t="s">
        <v>380</v>
      </c>
      <c r="B1060" s="33" t="s">
        <v>15</v>
      </c>
      <c r="C1060" s="78">
        <v>19690000</v>
      </c>
      <c r="D1060" s="78">
        <v>17900000</v>
      </c>
      <c r="E1060" s="78">
        <v>1790000</v>
      </c>
      <c r="F1060" s="54" t="s">
        <v>261</v>
      </c>
      <c r="G1060" s="9">
        <v>43644</v>
      </c>
    </row>
    <row r="1061" spans="1:8">
      <c r="A1061" s="52" t="s">
        <v>380</v>
      </c>
      <c r="B1061" s="33" t="s">
        <v>15</v>
      </c>
      <c r="C1061" s="78">
        <v>11220000</v>
      </c>
      <c r="D1061" s="78">
        <v>10200000</v>
      </c>
      <c r="E1061" s="78">
        <v>1020000</v>
      </c>
      <c r="F1061" s="54" t="s">
        <v>305</v>
      </c>
      <c r="G1061" s="9">
        <v>43644</v>
      </c>
    </row>
    <row r="1062" spans="1:8">
      <c r="A1062" s="52" t="s">
        <v>380</v>
      </c>
      <c r="B1062" s="33" t="s">
        <v>15</v>
      </c>
      <c r="C1062" s="78">
        <v>8580000</v>
      </c>
      <c r="D1062" s="78">
        <v>7800000</v>
      </c>
      <c r="E1062" s="78">
        <v>780000</v>
      </c>
      <c r="F1062" s="54" t="s">
        <v>262</v>
      </c>
      <c r="G1062" s="9">
        <v>43644</v>
      </c>
    </row>
    <row r="1063" spans="1:8">
      <c r="A1063" s="52" t="s">
        <v>380</v>
      </c>
      <c r="B1063" s="33" t="s">
        <v>2</v>
      </c>
      <c r="C1063" s="78">
        <v>605000</v>
      </c>
      <c r="D1063" s="78">
        <v>550000</v>
      </c>
      <c r="E1063" s="78">
        <v>55000</v>
      </c>
      <c r="F1063" s="54" t="s">
        <v>346</v>
      </c>
      <c r="G1063" s="9">
        <v>43626</v>
      </c>
      <c r="H1063" s="17" t="s">
        <v>517</v>
      </c>
    </row>
    <row r="1064" spans="1:8">
      <c r="A1064" s="52" t="s">
        <v>380</v>
      </c>
      <c r="B1064" s="33" t="s">
        <v>2</v>
      </c>
      <c r="C1064" s="78">
        <v>2541000</v>
      </c>
      <c r="D1064" s="78">
        <v>2310000</v>
      </c>
      <c r="E1064" s="78">
        <v>231000</v>
      </c>
      <c r="F1064" s="54" t="s">
        <v>346</v>
      </c>
      <c r="G1064" s="9">
        <v>43626</v>
      </c>
    </row>
    <row r="1065" spans="1:8">
      <c r="A1065" s="52" t="s">
        <v>380</v>
      </c>
      <c r="B1065" s="33" t="s">
        <v>2</v>
      </c>
      <c r="C1065" s="78">
        <v>15746500</v>
      </c>
      <c r="D1065" s="78">
        <v>14315000</v>
      </c>
      <c r="E1065" s="78">
        <v>1431500</v>
      </c>
      <c r="F1065" s="54" t="s">
        <v>313</v>
      </c>
      <c r="G1065" s="9">
        <v>43626</v>
      </c>
    </row>
    <row r="1066" spans="1:8">
      <c r="A1066" s="52" t="s">
        <v>380</v>
      </c>
      <c r="B1066" s="33" t="s">
        <v>2</v>
      </c>
      <c r="C1066" s="78">
        <v>2651000</v>
      </c>
      <c r="D1066" s="78">
        <v>2410000</v>
      </c>
      <c r="E1066" s="78">
        <v>241000</v>
      </c>
      <c r="F1066" s="54" t="s">
        <v>381</v>
      </c>
      <c r="G1066" s="9">
        <v>43636</v>
      </c>
    </row>
    <row r="1067" spans="1:8">
      <c r="A1067" s="52" t="s">
        <v>380</v>
      </c>
      <c r="B1067" s="33" t="s">
        <v>2</v>
      </c>
      <c r="C1067" s="78">
        <v>484000</v>
      </c>
      <c r="D1067" s="78">
        <v>440000</v>
      </c>
      <c r="E1067" s="78">
        <v>44000</v>
      </c>
      <c r="F1067" s="54" t="s">
        <v>245</v>
      </c>
      <c r="G1067" s="9">
        <v>43626</v>
      </c>
    </row>
    <row r="1068" spans="1:8">
      <c r="A1068" s="52" t="s">
        <v>380</v>
      </c>
      <c r="B1068" s="33" t="s">
        <v>2</v>
      </c>
      <c r="C1068" s="78">
        <v>990000</v>
      </c>
      <c r="D1068" s="78">
        <v>900000</v>
      </c>
      <c r="E1068" s="78">
        <v>90000</v>
      </c>
      <c r="F1068" s="54" t="s">
        <v>375</v>
      </c>
      <c r="G1068" s="9">
        <v>43626</v>
      </c>
    </row>
    <row r="1069" spans="1:8">
      <c r="A1069" s="52" t="s">
        <v>380</v>
      </c>
      <c r="B1069" s="33" t="s">
        <v>2</v>
      </c>
      <c r="C1069" s="78">
        <v>456500</v>
      </c>
      <c r="D1069" s="78">
        <v>415000</v>
      </c>
      <c r="E1069" s="78">
        <v>41500</v>
      </c>
      <c r="F1069" s="54" t="s">
        <v>254</v>
      </c>
      <c r="G1069" s="9">
        <v>43626</v>
      </c>
    </row>
    <row r="1070" spans="1:8">
      <c r="A1070" s="52" t="s">
        <v>380</v>
      </c>
      <c r="B1070" s="33" t="s">
        <v>2</v>
      </c>
      <c r="C1070" s="78">
        <v>5120500</v>
      </c>
      <c r="D1070" s="78">
        <v>4655000</v>
      </c>
      <c r="E1070" s="78">
        <v>465500</v>
      </c>
      <c r="F1070" s="54" t="s">
        <v>337</v>
      </c>
      <c r="G1070" s="9">
        <v>43626</v>
      </c>
    </row>
    <row r="1071" spans="1:8">
      <c r="A1071" s="52" t="s">
        <v>380</v>
      </c>
      <c r="B1071" s="33" t="s">
        <v>2</v>
      </c>
      <c r="C1071" s="78">
        <v>2415160</v>
      </c>
      <c r="D1071" s="78">
        <v>2195600</v>
      </c>
      <c r="E1071" s="78">
        <v>219560</v>
      </c>
      <c r="F1071" s="54" t="s">
        <v>298</v>
      </c>
      <c r="G1071" s="9">
        <v>43626</v>
      </c>
    </row>
    <row r="1072" spans="1:8">
      <c r="A1072" s="52" t="s">
        <v>380</v>
      </c>
      <c r="B1072" s="33" t="s">
        <v>2</v>
      </c>
      <c r="C1072" s="78">
        <v>2590500</v>
      </c>
      <c r="D1072" s="78">
        <v>2355000</v>
      </c>
      <c r="E1072" s="78">
        <v>235500</v>
      </c>
      <c r="F1072" s="54" t="s">
        <v>280</v>
      </c>
      <c r="G1072" s="9">
        <v>43626</v>
      </c>
    </row>
    <row r="1073" spans="1:19">
      <c r="A1073" s="52" t="s">
        <v>380</v>
      </c>
      <c r="B1073" s="33" t="s">
        <v>155</v>
      </c>
      <c r="C1073" s="78">
        <v>440000</v>
      </c>
      <c r="D1073" s="78">
        <v>400000</v>
      </c>
      <c r="E1073" s="78">
        <v>40000</v>
      </c>
      <c r="F1073" s="54" t="s">
        <v>13</v>
      </c>
      <c r="G1073" s="9">
        <v>43633</v>
      </c>
      <c r="I1073" s="304" t="s">
        <v>525</v>
      </c>
      <c r="J1073" s="304"/>
      <c r="K1073" s="304"/>
    </row>
    <row r="1074" spans="1:19">
      <c r="A1074" s="52" t="s">
        <v>380</v>
      </c>
      <c r="B1074" s="33" t="s">
        <v>79</v>
      </c>
      <c r="C1074" s="78">
        <v>572000</v>
      </c>
      <c r="D1074" s="78">
        <v>520000</v>
      </c>
      <c r="E1074" s="78">
        <v>52000</v>
      </c>
      <c r="F1074" s="54" t="s">
        <v>13</v>
      </c>
      <c r="G1074" s="9">
        <v>43647</v>
      </c>
      <c r="I1074" s="18" t="s">
        <v>487</v>
      </c>
      <c r="J1074" s="36" t="s">
        <v>488</v>
      </c>
      <c r="K1074" s="36" t="s">
        <v>494</v>
      </c>
    </row>
    <row r="1075" spans="1:19">
      <c r="A1075" s="52" t="s">
        <v>380</v>
      </c>
      <c r="B1075" s="33" t="s">
        <v>295</v>
      </c>
      <c r="C1075" s="78">
        <v>396000</v>
      </c>
      <c r="D1075" s="78">
        <v>360000</v>
      </c>
      <c r="E1075" s="78">
        <v>36000</v>
      </c>
      <c r="F1075" s="54" t="s">
        <v>13</v>
      </c>
      <c r="G1075" s="9">
        <v>43621</v>
      </c>
      <c r="I1075" s="62">
        <f>SUM(C1039:C1075)</f>
        <v>142737243</v>
      </c>
      <c r="J1075" s="62">
        <f>SUM(D1039:D1075)</f>
        <v>129761130</v>
      </c>
      <c r="K1075" s="62">
        <f>SUM(E1039:E1075)</f>
        <v>12976113</v>
      </c>
    </row>
    <row r="1076" spans="1:19">
      <c r="A1076" s="57" t="s">
        <v>382</v>
      </c>
      <c r="B1076" s="58" t="s">
        <v>148</v>
      </c>
      <c r="C1076" s="79">
        <v>748000</v>
      </c>
      <c r="D1076" s="79">
        <v>680000</v>
      </c>
      <c r="E1076" s="79">
        <v>68000</v>
      </c>
      <c r="F1076" s="60" t="s">
        <v>13</v>
      </c>
      <c r="G1076" s="92">
        <v>43630</v>
      </c>
      <c r="H1076" s="105"/>
      <c r="I1076" s="98"/>
      <c r="J1076" s="106"/>
      <c r="K1076" s="99"/>
      <c r="L1076" s="99"/>
      <c r="M1076" s="99"/>
      <c r="N1076" s="99"/>
      <c r="O1076" s="99"/>
      <c r="P1076" s="99"/>
      <c r="Q1076" s="99"/>
      <c r="R1076" s="99"/>
      <c r="S1076" s="99"/>
    </row>
    <row r="1077" spans="1:19">
      <c r="A1077" s="52" t="s">
        <v>383</v>
      </c>
      <c r="B1077" s="33" t="s">
        <v>2</v>
      </c>
      <c r="C1077" s="78">
        <v>847000</v>
      </c>
      <c r="D1077" s="78">
        <v>770000</v>
      </c>
      <c r="E1077" s="78">
        <v>77000</v>
      </c>
      <c r="F1077" s="54" t="s">
        <v>346</v>
      </c>
      <c r="G1077" s="9">
        <v>43636</v>
      </c>
      <c r="H1077" s="17" t="s">
        <v>517</v>
      </c>
    </row>
    <row r="1078" spans="1:19">
      <c r="A1078" s="52" t="s">
        <v>383</v>
      </c>
      <c r="B1078" s="33" t="s">
        <v>2</v>
      </c>
      <c r="C1078" s="78">
        <v>1523500</v>
      </c>
      <c r="D1078" s="78">
        <v>1385000</v>
      </c>
      <c r="E1078" s="78">
        <v>138500</v>
      </c>
      <c r="F1078" s="54" t="s">
        <v>315</v>
      </c>
      <c r="G1078" s="9">
        <v>43636</v>
      </c>
    </row>
    <row r="1079" spans="1:19">
      <c r="A1079" s="52" t="s">
        <v>383</v>
      </c>
      <c r="B1079" s="33" t="s">
        <v>2</v>
      </c>
      <c r="C1079" s="78">
        <v>2420000</v>
      </c>
      <c r="D1079" s="78">
        <v>2200000</v>
      </c>
      <c r="E1079" s="78">
        <v>220000</v>
      </c>
      <c r="F1079" s="54" t="s">
        <v>346</v>
      </c>
      <c r="G1079" s="9">
        <v>43636</v>
      </c>
    </row>
    <row r="1080" spans="1:19">
      <c r="A1080" s="52" t="s">
        <v>383</v>
      </c>
      <c r="B1080" s="33" t="s">
        <v>2</v>
      </c>
      <c r="C1080" s="78">
        <v>28187500</v>
      </c>
      <c r="D1080" s="78">
        <v>25625000</v>
      </c>
      <c r="E1080" s="78">
        <v>2562500</v>
      </c>
      <c r="F1080" s="54" t="s">
        <v>313</v>
      </c>
      <c r="G1080" s="9">
        <v>43636</v>
      </c>
    </row>
    <row r="1081" spans="1:19">
      <c r="A1081" s="52" t="s">
        <v>383</v>
      </c>
      <c r="B1081" s="33" t="s">
        <v>2</v>
      </c>
      <c r="C1081" s="78">
        <v>3041500</v>
      </c>
      <c r="D1081" s="78">
        <v>2765000</v>
      </c>
      <c r="E1081" s="78">
        <v>276500</v>
      </c>
      <c r="F1081" s="54" t="s">
        <v>142</v>
      </c>
      <c r="G1081" s="9">
        <v>43636</v>
      </c>
    </row>
    <row r="1082" spans="1:19">
      <c r="A1082" s="52" t="s">
        <v>383</v>
      </c>
      <c r="B1082" s="33" t="s">
        <v>2</v>
      </c>
      <c r="C1082" s="78">
        <v>253000</v>
      </c>
      <c r="D1082" s="78">
        <v>230000</v>
      </c>
      <c r="E1082" s="78">
        <v>23000</v>
      </c>
      <c r="F1082" s="54" t="s">
        <v>381</v>
      </c>
      <c r="G1082" s="9">
        <v>43636</v>
      </c>
    </row>
    <row r="1083" spans="1:19">
      <c r="A1083" s="52" t="s">
        <v>383</v>
      </c>
      <c r="B1083" s="33" t="s">
        <v>2</v>
      </c>
      <c r="C1083" s="78">
        <v>363000</v>
      </c>
      <c r="D1083" s="78">
        <v>330000</v>
      </c>
      <c r="E1083" s="78">
        <v>33000</v>
      </c>
      <c r="F1083" s="54" t="s">
        <v>245</v>
      </c>
      <c r="G1083" s="9">
        <v>43636</v>
      </c>
    </row>
    <row r="1084" spans="1:19">
      <c r="A1084" s="52" t="s">
        <v>383</v>
      </c>
      <c r="B1084" s="33" t="s">
        <v>2</v>
      </c>
      <c r="C1084" s="78">
        <v>1056000</v>
      </c>
      <c r="D1084" s="78">
        <v>960000</v>
      </c>
      <c r="E1084" s="78">
        <v>96000</v>
      </c>
      <c r="F1084" s="54" t="s">
        <v>375</v>
      </c>
      <c r="G1084" s="9">
        <v>43636</v>
      </c>
      <c r="I1084" s="14"/>
      <c r="J1084" s="14"/>
    </row>
    <row r="1085" spans="1:19">
      <c r="A1085" s="52" t="s">
        <v>383</v>
      </c>
      <c r="B1085" s="33" t="s">
        <v>2</v>
      </c>
      <c r="C1085" s="78">
        <v>182600</v>
      </c>
      <c r="D1085" s="78">
        <v>166000</v>
      </c>
      <c r="E1085" s="78">
        <v>16600</v>
      </c>
      <c r="F1085" s="54" t="s">
        <v>254</v>
      </c>
      <c r="G1085" s="9">
        <v>43636</v>
      </c>
      <c r="I1085" s="14"/>
      <c r="J1085" s="14"/>
    </row>
    <row r="1086" spans="1:19">
      <c r="A1086" s="52" t="s">
        <v>383</v>
      </c>
      <c r="B1086" s="33" t="s">
        <v>2</v>
      </c>
      <c r="C1086" s="78">
        <v>5434000</v>
      </c>
      <c r="D1086" s="78">
        <v>4940000</v>
      </c>
      <c r="E1086" s="78">
        <v>494000</v>
      </c>
      <c r="F1086" s="54" t="s">
        <v>337</v>
      </c>
      <c r="G1086" s="9">
        <v>43636</v>
      </c>
    </row>
    <row r="1087" spans="1:19">
      <c r="A1087" s="52" t="s">
        <v>383</v>
      </c>
      <c r="B1087" s="33" t="s">
        <v>2</v>
      </c>
      <c r="C1087" s="78">
        <v>2557720</v>
      </c>
      <c r="D1087" s="78">
        <v>2325200</v>
      </c>
      <c r="E1087" s="78">
        <v>232520</v>
      </c>
      <c r="F1087" s="54" t="s">
        <v>298</v>
      </c>
      <c r="G1087" s="9">
        <v>43636</v>
      </c>
    </row>
    <row r="1088" spans="1:19">
      <c r="A1088" s="52" t="s">
        <v>383</v>
      </c>
      <c r="B1088" s="33" t="s">
        <v>2</v>
      </c>
      <c r="C1088" s="78">
        <v>2915000</v>
      </c>
      <c r="D1088" s="78">
        <v>2650000</v>
      </c>
      <c r="E1088" s="78">
        <v>265000</v>
      </c>
      <c r="F1088" s="54" t="s">
        <v>280</v>
      </c>
      <c r="G1088" s="9">
        <v>43636</v>
      </c>
    </row>
    <row r="1089" spans="1:7">
      <c r="A1089" s="52" t="s">
        <v>384</v>
      </c>
      <c r="B1089" s="33" t="s">
        <v>82</v>
      </c>
      <c r="C1089" s="78">
        <v>1485000</v>
      </c>
      <c r="D1089" s="78">
        <v>1350000</v>
      </c>
      <c r="E1089" s="78">
        <v>135000</v>
      </c>
      <c r="F1089" s="54" t="s">
        <v>13</v>
      </c>
      <c r="G1089" s="9">
        <v>43661</v>
      </c>
    </row>
    <row r="1090" spans="1:7">
      <c r="A1090" s="52" t="s">
        <v>384</v>
      </c>
      <c r="B1090" s="33" t="s">
        <v>86</v>
      </c>
      <c r="C1090" s="78">
        <v>1474000</v>
      </c>
      <c r="D1090" s="78">
        <v>1340000</v>
      </c>
      <c r="E1090" s="78">
        <v>134000</v>
      </c>
      <c r="F1090" s="54" t="s">
        <v>13</v>
      </c>
      <c r="G1090" s="9">
        <v>43679</v>
      </c>
    </row>
    <row r="1091" spans="1:7">
      <c r="A1091" s="52" t="s">
        <v>384</v>
      </c>
      <c r="B1091" s="33" t="s">
        <v>79</v>
      </c>
      <c r="C1091" s="78">
        <v>1694000</v>
      </c>
      <c r="D1091" s="78">
        <v>1540000</v>
      </c>
      <c r="E1091" s="78">
        <v>154000</v>
      </c>
      <c r="F1091" s="54" t="s">
        <v>13</v>
      </c>
      <c r="G1091" s="9">
        <v>43678</v>
      </c>
    </row>
    <row r="1092" spans="1:7">
      <c r="A1092" s="52" t="s">
        <v>384</v>
      </c>
      <c r="B1092" s="33" t="s">
        <v>360</v>
      </c>
      <c r="C1092" s="78">
        <v>2040500</v>
      </c>
      <c r="D1092" s="78">
        <v>1855000</v>
      </c>
      <c r="E1092" s="78">
        <v>185500</v>
      </c>
      <c r="F1092" s="54" t="s">
        <v>66</v>
      </c>
      <c r="G1092" s="9">
        <v>43657</v>
      </c>
    </row>
    <row r="1093" spans="1:7">
      <c r="A1093" s="52" t="s">
        <v>384</v>
      </c>
      <c r="B1093" s="33" t="s">
        <v>15</v>
      </c>
      <c r="C1093" s="78">
        <v>5148000</v>
      </c>
      <c r="D1093" s="78">
        <v>4680000</v>
      </c>
      <c r="E1093" s="78">
        <v>468000</v>
      </c>
      <c r="F1093" s="54" t="s">
        <v>313</v>
      </c>
      <c r="G1093" s="9">
        <v>43672</v>
      </c>
    </row>
    <row r="1094" spans="1:7">
      <c r="A1094" s="52" t="s">
        <v>384</v>
      </c>
      <c r="B1094" s="33" t="s">
        <v>15</v>
      </c>
      <c r="C1094" s="78">
        <v>7700000</v>
      </c>
      <c r="D1094" s="78">
        <v>7000000</v>
      </c>
      <c r="E1094" s="78">
        <v>700000</v>
      </c>
      <c r="F1094" s="54" t="s">
        <v>69</v>
      </c>
      <c r="G1094" s="9">
        <v>43672</v>
      </c>
    </row>
    <row r="1095" spans="1:7">
      <c r="A1095" s="52" t="s">
        <v>384</v>
      </c>
      <c r="B1095" s="33" t="s">
        <v>15</v>
      </c>
      <c r="C1095" s="78">
        <v>7700000</v>
      </c>
      <c r="D1095" s="78">
        <v>7000000</v>
      </c>
      <c r="E1095" s="78">
        <v>700000</v>
      </c>
      <c r="F1095" s="54" t="s">
        <v>262</v>
      </c>
      <c r="G1095" s="9">
        <v>43672</v>
      </c>
    </row>
    <row r="1096" spans="1:7">
      <c r="A1096" s="52" t="s">
        <v>384</v>
      </c>
      <c r="B1096" s="33" t="s">
        <v>385</v>
      </c>
      <c r="C1096" s="78">
        <v>1540000</v>
      </c>
      <c r="D1096" s="78">
        <v>1400000</v>
      </c>
      <c r="E1096" s="78">
        <v>140000</v>
      </c>
      <c r="F1096" s="54" t="s">
        <v>386</v>
      </c>
      <c r="G1096" s="9">
        <v>43656</v>
      </c>
    </row>
    <row r="1097" spans="1:7">
      <c r="A1097" s="52" t="s">
        <v>384</v>
      </c>
      <c r="B1097" s="33" t="s">
        <v>385</v>
      </c>
      <c r="C1097" s="78">
        <v>18370000</v>
      </c>
      <c r="D1097" s="78">
        <v>16700000</v>
      </c>
      <c r="E1097" s="78">
        <v>1670000</v>
      </c>
      <c r="F1097" s="54" t="s">
        <v>387</v>
      </c>
      <c r="G1097" s="9">
        <v>43656</v>
      </c>
    </row>
    <row r="1098" spans="1:7">
      <c r="A1098" s="52" t="s">
        <v>384</v>
      </c>
      <c r="B1098" s="33" t="s">
        <v>2</v>
      </c>
      <c r="C1098" s="78">
        <v>159500</v>
      </c>
      <c r="D1098" s="78">
        <v>145000</v>
      </c>
      <c r="E1098" s="78">
        <v>14500</v>
      </c>
      <c r="F1098" s="54" t="s">
        <v>315</v>
      </c>
      <c r="G1098" s="9">
        <v>43656</v>
      </c>
    </row>
    <row r="1099" spans="1:7">
      <c r="A1099" s="52" t="s">
        <v>384</v>
      </c>
      <c r="B1099" s="33" t="s">
        <v>2</v>
      </c>
      <c r="C1099" s="78">
        <v>1441000</v>
      </c>
      <c r="D1099" s="78">
        <v>1310000</v>
      </c>
      <c r="E1099" s="78">
        <v>131000</v>
      </c>
      <c r="F1099" s="54" t="s">
        <v>346</v>
      </c>
      <c r="G1099" s="9">
        <v>43656</v>
      </c>
    </row>
    <row r="1100" spans="1:7">
      <c r="A1100" s="52" t="s">
        <v>384</v>
      </c>
      <c r="B1100" s="33" t="s">
        <v>2</v>
      </c>
      <c r="C1100" s="78">
        <v>39776000</v>
      </c>
      <c r="D1100" s="78">
        <v>36160000</v>
      </c>
      <c r="E1100" s="78">
        <v>3616000</v>
      </c>
      <c r="F1100" s="54" t="s">
        <v>313</v>
      </c>
      <c r="G1100" s="9">
        <v>43656</v>
      </c>
    </row>
    <row r="1101" spans="1:7">
      <c r="A1101" s="52" t="s">
        <v>384</v>
      </c>
      <c r="B1101" s="33" t="s">
        <v>2</v>
      </c>
      <c r="C1101" s="78">
        <v>4700300</v>
      </c>
      <c r="D1101" s="78">
        <v>4273000</v>
      </c>
      <c r="E1101" s="78">
        <v>427300</v>
      </c>
      <c r="F1101" s="54" t="s">
        <v>142</v>
      </c>
      <c r="G1101" s="9">
        <v>43656</v>
      </c>
    </row>
    <row r="1102" spans="1:7">
      <c r="A1102" s="52" t="s">
        <v>384</v>
      </c>
      <c r="B1102" s="33" t="s">
        <v>2</v>
      </c>
      <c r="C1102" s="78">
        <v>797500</v>
      </c>
      <c r="D1102" s="78">
        <v>725000</v>
      </c>
      <c r="E1102" s="78">
        <v>72500</v>
      </c>
      <c r="F1102" s="54" t="s">
        <v>381</v>
      </c>
      <c r="G1102" s="9">
        <v>43656</v>
      </c>
    </row>
    <row r="1103" spans="1:7">
      <c r="A1103" s="52" t="s">
        <v>384</v>
      </c>
      <c r="B1103" s="33" t="s">
        <v>2</v>
      </c>
      <c r="C1103" s="78">
        <v>121000</v>
      </c>
      <c r="D1103" s="78">
        <v>110000</v>
      </c>
      <c r="E1103" s="78">
        <v>11000</v>
      </c>
      <c r="F1103" s="54" t="s">
        <v>245</v>
      </c>
      <c r="G1103" s="9">
        <v>43656</v>
      </c>
    </row>
    <row r="1104" spans="1:7">
      <c r="A1104" s="52" t="s">
        <v>384</v>
      </c>
      <c r="B1104" s="33" t="s">
        <v>2</v>
      </c>
      <c r="C1104" s="78">
        <v>1254000</v>
      </c>
      <c r="D1104" s="78">
        <v>1140000</v>
      </c>
      <c r="E1104" s="78">
        <v>114000</v>
      </c>
      <c r="F1104" s="54" t="s">
        <v>375</v>
      </c>
      <c r="G1104" s="9">
        <v>43656</v>
      </c>
    </row>
    <row r="1105" spans="1:19">
      <c r="A1105" s="52" t="s">
        <v>384</v>
      </c>
      <c r="B1105" s="33" t="s">
        <v>2</v>
      </c>
      <c r="C1105" s="78">
        <v>182600</v>
      </c>
      <c r="D1105" s="78">
        <v>166000</v>
      </c>
      <c r="E1105" s="78">
        <v>16600</v>
      </c>
      <c r="F1105" s="54" t="s">
        <v>254</v>
      </c>
      <c r="G1105" s="9">
        <v>43656</v>
      </c>
    </row>
    <row r="1106" spans="1:19">
      <c r="A1106" s="52" t="s">
        <v>384</v>
      </c>
      <c r="B1106" s="33" t="s">
        <v>2</v>
      </c>
      <c r="C1106" s="78">
        <v>5538500</v>
      </c>
      <c r="D1106" s="78">
        <v>5035000</v>
      </c>
      <c r="E1106" s="78">
        <v>503500</v>
      </c>
      <c r="F1106" s="54" t="s">
        <v>337</v>
      </c>
      <c r="G1106" s="9">
        <v>43656</v>
      </c>
    </row>
    <row r="1107" spans="1:19">
      <c r="A1107" s="52" t="s">
        <v>384</v>
      </c>
      <c r="B1107" s="33" t="s">
        <v>2</v>
      </c>
      <c r="C1107" s="78">
        <v>439120</v>
      </c>
      <c r="D1107" s="78">
        <v>399200</v>
      </c>
      <c r="E1107" s="78">
        <v>39920</v>
      </c>
      <c r="F1107" s="54" t="s">
        <v>298</v>
      </c>
      <c r="G1107" s="9">
        <v>43656</v>
      </c>
    </row>
    <row r="1108" spans="1:19">
      <c r="A1108" s="52" t="s">
        <v>384</v>
      </c>
      <c r="B1108" s="33" t="s">
        <v>2</v>
      </c>
      <c r="C1108" s="78">
        <v>1688500</v>
      </c>
      <c r="D1108" s="78">
        <v>1535000</v>
      </c>
      <c r="E1108" s="78">
        <v>153500</v>
      </c>
      <c r="F1108" s="54" t="s">
        <v>280</v>
      </c>
      <c r="G1108" s="9">
        <v>43656</v>
      </c>
    </row>
    <row r="1109" spans="1:19">
      <c r="A1109" s="52" t="s">
        <v>384</v>
      </c>
      <c r="B1109" s="33" t="s">
        <v>155</v>
      </c>
      <c r="C1109" s="78">
        <v>231000</v>
      </c>
      <c r="D1109" s="78">
        <v>210000</v>
      </c>
      <c r="E1109" s="78">
        <v>21000</v>
      </c>
      <c r="F1109" s="54" t="s">
        <v>13</v>
      </c>
      <c r="G1109" s="9">
        <v>43668</v>
      </c>
      <c r="I1109" s="304" t="s">
        <v>526</v>
      </c>
      <c r="J1109" s="304"/>
      <c r="K1109" s="304"/>
    </row>
    <row r="1110" spans="1:19">
      <c r="A1110" s="107" t="s">
        <v>384</v>
      </c>
      <c r="B1110" s="108" t="s">
        <v>63</v>
      </c>
      <c r="C1110" s="78">
        <v>1540000</v>
      </c>
      <c r="D1110" s="78">
        <v>1400000</v>
      </c>
      <c r="E1110" s="78">
        <v>140000</v>
      </c>
      <c r="F1110" s="109" t="s">
        <v>13</v>
      </c>
      <c r="G1110" s="9">
        <v>43649</v>
      </c>
      <c r="I1110" s="18" t="s">
        <v>487</v>
      </c>
      <c r="J1110" s="36" t="s">
        <v>488</v>
      </c>
      <c r="K1110" s="36" t="s">
        <v>494</v>
      </c>
    </row>
    <row r="1111" spans="1:19">
      <c r="A1111" s="110" t="s">
        <v>384</v>
      </c>
      <c r="B1111" s="111" t="s">
        <v>148</v>
      </c>
      <c r="C1111" s="78">
        <v>330000</v>
      </c>
      <c r="D1111" s="78">
        <v>300000</v>
      </c>
      <c r="E1111" s="78">
        <v>30000</v>
      </c>
      <c r="F1111" s="112" t="s">
        <v>13</v>
      </c>
      <c r="G1111" s="10">
        <v>43647</v>
      </c>
      <c r="H1111" s="51"/>
      <c r="I1111" s="18">
        <f>SUM(C1076:C1111)</f>
        <v>154879340</v>
      </c>
      <c r="J1111" s="18">
        <f>SUM(D1076:D1111)</f>
        <v>140799400</v>
      </c>
      <c r="K1111" s="18">
        <f>SUM(E1076:E1111)</f>
        <v>14079940</v>
      </c>
      <c r="L1111" s="42"/>
      <c r="M1111" s="42"/>
      <c r="N1111" s="42"/>
      <c r="O1111" s="42"/>
      <c r="P1111" s="42"/>
      <c r="Q1111" s="42"/>
      <c r="R1111" s="42"/>
      <c r="S1111" s="42"/>
    </row>
    <row r="1112" spans="1:19">
      <c r="A1112" s="57" t="s">
        <v>388</v>
      </c>
      <c r="B1112" s="58" t="s">
        <v>2</v>
      </c>
      <c r="C1112" s="79">
        <v>1331000</v>
      </c>
      <c r="D1112" s="79">
        <v>1210000</v>
      </c>
      <c r="E1112" s="79">
        <v>121000</v>
      </c>
      <c r="F1112" s="60" t="s">
        <v>346</v>
      </c>
      <c r="G1112" s="9">
        <v>43668</v>
      </c>
    </row>
    <row r="1113" spans="1:19">
      <c r="A1113" s="52" t="s">
        <v>388</v>
      </c>
      <c r="B1113" s="33" t="s">
        <v>2</v>
      </c>
      <c r="C1113" s="78">
        <v>32917500</v>
      </c>
      <c r="D1113" s="78">
        <v>29925000</v>
      </c>
      <c r="E1113" s="78">
        <v>2992500</v>
      </c>
      <c r="F1113" s="54" t="s">
        <v>313</v>
      </c>
      <c r="G1113" s="9">
        <v>43668</v>
      </c>
    </row>
    <row r="1114" spans="1:19">
      <c r="A1114" s="52" t="s">
        <v>388</v>
      </c>
      <c r="B1114" s="33" t="s">
        <v>2</v>
      </c>
      <c r="C1114" s="78">
        <v>3505700</v>
      </c>
      <c r="D1114" s="78">
        <v>3187000</v>
      </c>
      <c r="E1114" s="78">
        <v>318700</v>
      </c>
      <c r="F1114" s="54" t="s">
        <v>142</v>
      </c>
      <c r="G1114" s="9">
        <v>43668</v>
      </c>
    </row>
    <row r="1115" spans="1:19">
      <c r="A1115" s="52" t="s">
        <v>388</v>
      </c>
      <c r="B1115" s="33" t="s">
        <v>2</v>
      </c>
      <c r="C1115" s="78">
        <v>759000</v>
      </c>
      <c r="D1115" s="78">
        <v>690000</v>
      </c>
      <c r="E1115" s="78">
        <v>69000</v>
      </c>
      <c r="F1115" s="54" t="s">
        <v>381</v>
      </c>
      <c r="G1115" s="9">
        <v>43668</v>
      </c>
    </row>
    <row r="1116" spans="1:19">
      <c r="A1116" s="52" t="s">
        <v>388</v>
      </c>
      <c r="B1116" s="33" t="s">
        <v>2</v>
      </c>
      <c r="C1116" s="78">
        <v>1815000</v>
      </c>
      <c r="D1116" s="78">
        <v>1650000</v>
      </c>
      <c r="E1116" s="78">
        <v>165000</v>
      </c>
      <c r="F1116" s="54" t="s">
        <v>245</v>
      </c>
      <c r="G1116" s="9">
        <v>43668</v>
      </c>
    </row>
    <row r="1117" spans="1:19">
      <c r="A1117" s="52" t="s">
        <v>388</v>
      </c>
      <c r="B1117" s="33" t="s">
        <v>2</v>
      </c>
      <c r="C1117" s="78">
        <v>462000</v>
      </c>
      <c r="D1117" s="78">
        <v>420000</v>
      </c>
      <c r="E1117" s="78">
        <v>42000</v>
      </c>
      <c r="F1117" s="54" t="s">
        <v>375</v>
      </c>
      <c r="G1117" s="9">
        <v>43668</v>
      </c>
    </row>
    <row r="1118" spans="1:19">
      <c r="A1118" s="52" t="s">
        <v>388</v>
      </c>
      <c r="B1118" s="33" t="s">
        <v>2</v>
      </c>
      <c r="C1118" s="78">
        <v>91300</v>
      </c>
      <c r="D1118" s="78">
        <v>83000</v>
      </c>
      <c r="E1118" s="78">
        <v>8300</v>
      </c>
      <c r="F1118" s="54" t="s">
        <v>254</v>
      </c>
      <c r="G1118" s="9">
        <v>43668</v>
      </c>
    </row>
    <row r="1119" spans="1:19">
      <c r="A1119" s="52" t="s">
        <v>388</v>
      </c>
      <c r="B1119" s="33" t="s">
        <v>2</v>
      </c>
      <c r="C1119" s="78">
        <v>5676000</v>
      </c>
      <c r="D1119" s="78">
        <v>5160000</v>
      </c>
      <c r="E1119" s="78">
        <v>516000</v>
      </c>
      <c r="F1119" s="54" t="s">
        <v>337</v>
      </c>
      <c r="G1119" s="9">
        <v>43668</v>
      </c>
    </row>
    <row r="1120" spans="1:19">
      <c r="A1120" s="52" t="s">
        <v>388</v>
      </c>
      <c r="B1120" s="33" t="s">
        <v>2</v>
      </c>
      <c r="C1120" s="78">
        <v>71280</v>
      </c>
      <c r="D1120" s="78">
        <v>64800</v>
      </c>
      <c r="E1120" s="78">
        <v>6480</v>
      </c>
      <c r="F1120" s="54" t="s">
        <v>298</v>
      </c>
      <c r="G1120" s="9">
        <v>43668</v>
      </c>
    </row>
    <row r="1121" spans="1:19">
      <c r="A1121" s="52" t="s">
        <v>388</v>
      </c>
      <c r="B1121" s="33" t="s">
        <v>2</v>
      </c>
      <c r="C1121" s="78">
        <v>1919500</v>
      </c>
      <c r="D1121" s="78">
        <v>1745000</v>
      </c>
      <c r="E1121" s="78">
        <v>174500</v>
      </c>
      <c r="F1121" s="54" t="s">
        <v>280</v>
      </c>
      <c r="G1121" s="9">
        <v>43668</v>
      </c>
    </row>
    <row r="1122" spans="1:19">
      <c r="A1122" s="52" t="s">
        <v>389</v>
      </c>
      <c r="B1122" s="33" t="s">
        <v>40</v>
      </c>
      <c r="C1122" s="78">
        <v>176000</v>
      </c>
      <c r="D1122" s="78">
        <v>160000</v>
      </c>
      <c r="E1122" s="78">
        <v>16000</v>
      </c>
      <c r="F1122" s="54" t="s">
        <v>13</v>
      </c>
      <c r="G1122" s="9">
        <v>43671</v>
      </c>
    </row>
    <row r="1123" spans="1:19">
      <c r="A1123" s="52" t="s">
        <v>390</v>
      </c>
      <c r="B1123" s="33" t="s">
        <v>2</v>
      </c>
      <c r="C1123" s="78">
        <v>1039500</v>
      </c>
      <c r="D1123" s="78">
        <v>945000</v>
      </c>
      <c r="E1123" s="78">
        <v>94500</v>
      </c>
      <c r="F1123" s="54" t="s">
        <v>255</v>
      </c>
      <c r="G1123" s="9">
        <v>43689</v>
      </c>
      <c r="H1123" s="17" t="s">
        <v>517</v>
      </c>
    </row>
    <row r="1124" spans="1:19">
      <c r="A1124" s="52" t="s">
        <v>390</v>
      </c>
      <c r="B1124" s="33" t="s">
        <v>285</v>
      </c>
      <c r="C1124" s="78">
        <v>92400</v>
      </c>
      <c r="D1124" s="78">
        <v>84000</v>
      </c>
      <c r="E1124" s="78">
        <v>8400</v>
      </c>
      <c r="F1124" s="54" t="s">
        <v>13</v>
      </c>
      <c r="G1124" s="9">
        <v>43726</v>
      </c>
    </row>
    <row r="1125" spans="1:19">
      <c r="A1125" s="52" t="s">
        <v>390</v>
      </c>
      <c r="B1125" s="33" t="s">
        <v>82</v>
      </c>
      <c r="C1125" s="78">
        <v>242000</v>
      </c>
      <c r="D1125" s="78">
        <v>220000</v>
      </c>
      <c r="E1125" s="78">
        <v>22000</v>
      </c>
      <c r="F1125" s="54" t="s">
        <v>13</v>
      </c>
      <c r="G1125" s="9">
        <v>43693</v>
      </c>
    </row>
    <row r="1126" spans="1:19">
      <c r="A1126" s="52" t="s">
        <v>390</v>
      </c>
      <c r="B1126" s="33" t="s">
        <v>86</v>
      </c>
      <c r="C1126" s="78">
        <v>759000</v>
      </c>
      <c r="D1126" s="78">
        <v>690000</v>
      </c>
      <c r="E1126" s="78">
        <v>69000</v>
      </c>
      <c r="F1126" s="54" t="s">
        <v>13</v>
      </c>
      <c r="G1126" s="9">
        <v>43726</v>
      </c>
    </row>
    <row r="1127" spans="1:19">
      <c r="A1127" s="52" t="s">
        <v>390</v>
      </c>
      <c r="B1127" s="33" t="s">
        <v>79</v>
      </c>
      <c r="C1127" s="78">
        <v>12463000</v>
      </c>
      <c r="D1127" s="78">
        <v>11330000</v>
      </c>
      <c r="E1127" s="78">
        <v>1133000</v>
      </c>
      <c r="F1127" s="54" t="s">
        <v>13</v>
      </c>
      <c r="G1127" s="9">
        <v>43710</v>
      </c>
    </row>
    <row r="1128" spans="1:19">
      <c r="A1128" s="52" t="s">
        <v>390</v>
      </c>
      <c r="B1128" s="33" t="s">
        <v>360</v>
      </c>
      <c r="C1128" s="78">
        <v>1364000</v>
      </c>
      <c r="D1128" s="78">
        <v>1240000</v>
      </c>
      <c r="E1128" s="78">
        <v>124000</v>
      </c>
      <c r="F1128" s="54" t="s">
        <v>66</v>
      </c>
      <c r="G1128" s="9">
        <v>43689</v>
      </c>
    </row>
    <row r="1129" spans="1:19">
      <c r="A1129" s="55" t="s">
        <v>390</v>
      </c>
      <c r="B1129" s="30" t="s">
        <v>15</v>
      </c>
      <c r="C1129" s="80">
        <v>7788000</v>
      </c>
      <c r="D1129" s="80">
        <v>7080000</v>
      </c>
      <c r="E1129" s="80">
        <v>708000</v>
      </c>
      <c r="F1129" s="31" t="s">
        <v>313</v>
      </c>
      <c r="G1129" s="113" t="s">
        <v>496</v>
      </c>
    </row>
    <row r="1130" spans="1:19">
      <c r="A1130" s="52" t="s">
        <v>390</v>
      </c>
      <c r="B1130" s="33" t="s">
        <v>15</v>
      </c>
      <c r="C1130" s="78">
        <v>11000000</v>
      </c>
      <c r="D1130" s="78">
        <v>10000000</v>
      </c>
      <c r="E1130" s="78">
        <v>1000000</v>
      </c>
      <c r="F1130" s="54" t="s">
        <v>69</v>
      </c>
      <c r="G1130" s="9">
        <v>43700</v>
      </c>
    </row>
    <row r="1131" spans="1:19">
      <c r="A1131" s="52" t="s">
        <v>390</v>
      </c>
      <c r="B1131" s="33" t="s">
        <v>15</v>
      </c>
      <c r="C1131" s="78">
        <v>10560000</v>
      </c>
      <c r="D1131" s="78">
        <v>9600000</v>
      </c>
      <c r="E1131" s="78">
        <v>960000</v>
      </c>
      <c r="F1131" s="54" t="s">
        <v>262</v>
      </c>
      <c r="G1131" s="9">
        <v>43700</v>
      </c>
    </row>
    <row r="1132" spans="1:19">
      <c r="A1132" s="52" t="s">
        <v>390</v>
      </c>
      <c r="B1132" s="33" t="s">
        <v>2</v>
      </c>
      <c r="C1132" s="78">
        <v>4767400</v>
      </c>
      <c r="D1132" s="78">
        <v>4334000</v>
      </c>
      <c r="E1132" s="78">
        <v>433400</v>
      </c>
      <c r="F1132" s="54" t="s">
        <v>142</v>
      </c>
      <c r="G1132" s="9">
        <v>43689</v>
      </c>
    </row>
    <row r="1133" spans="1:19">
      <c r="A1133" s="55" t="s">
        <v>390</v>
      </c>
      <c r="B1133" s="30" t="s">
        <v>2</v>
      </c>
      <c r="C1133" s="80">
        <v>-5042400</v>
      </c>
      <c r="D1133" s="80">
        <v>-4584000</v>
      </c>
      <c r="E1133" s="80">
        <v>-458400</v>
      </c>
      <c r="F1133" s="31" t="s">
        <v>142</v>
      </c>
      <c r="G1133" s="81" t="s">
        <v>496</v>
      </c>
      <c r="H1133" s="31"/>
      <c r="I1133" s="73"/>
      <c r="J1133" s="74"/>
      <c r="K1133" s="30"/>
      <c r="L1133" s="30"/>
      <c r="M1133" s="30"/>
      <c r="N1133" s="30"/>
      <c r="O1133" s="30"/>
      <c r="P1133" s="30"/>
      <c r="Q1133" s="30"/>
      <c r="R1133" s="30"/>
      <c r="S1133" s="30"/>
    </row>
    <row r="1134" spans="1:19">
      <c r="A1134" s="55" t="s">
        <v>390</v>
      </c>
      <c r="B1134" s="30" t="s">
        <v>2</v>
      </c>
      <c r="C1134" s="80">
        <v>5042400</v>
      </c>
      <c r="D1134" s="80">
        <v>4584000</v>
      </c>
      <c r="E1134" s="80">
        <v>458400</v>
      </c>
      <c r="F1134" s="31" t="s">
        <v>142</v>
      </c>
      <c r="G1134" s="81" t="s">
        <v>496</v>
      </c>
      <c r="H1134" s="31"/>
      <c r="I1134" s="73"/>
      <c r="J1134" s="74"/>
      <c r="K1134" s="30"/>
      <c r="L1134" s="30"/>
      <c r="M1134" s="30"/>
      <c r="N1134" s="30"/>
      <c r="O1134" s="30"/>
      <c r="P1134" s="30"/>
      <c r="Q1134" s="30"/>
      <c r="R1134" s="30"/>
      <c r="S1134" s="30"/>
    </row>
    <row r="1135" spans="1:19">
      <c r="A1135" s="55" t="s">
        <v>390</v>
      </c>
      <c r="B1135" s="30" t="s">
        <v>2</v>
      </c>
      <c r="C1135" s="80">
        <v>-4767400</v>
      </c>
      <c r="D1135" s="80">
        <v>-4334000</v>
      </c>
      <c r="E1135" s="80">
        <v>-433400</v>
      </c>
      <c r="F1135" s="31" t="s">
        <v>142</v>
      </c>
      <c r="G1135" s="81" t="s">
        <v>496</v>
      </c>
      <c r="H1135" s="31"/>
      <c r="I1135" s="73"/>
      <c r="J1135" s="74"/>
      <c r="K1135" s="30"/>
      <c r="L1135" s="30"/>
      <c r="M1135" s="30"/>
      <c r="N1135" s="30"/>
      <c r="O1135" s="30"/>
      <c r="P1135" s="30"/>
      <c r="Q1135" s="30"/>
      <c r="R1135" s="30"/>
      <c r="S1135" s="30"/>
    </row>
    <row r="1136" spans="1:19">
      <c r="A1136" s="52" t="s">
        <v>390</v>
      </c>
      <c r="B1136" s="33" t="s">
        <v>2</v>
      </c>
      <c r="C1136" s="78">
        <v>67221440</v>
      </c>
      <c r="D1136" s="78">
        <v>61110400</v>
      </c>
      <c r="E1136" s="78">
        <v>6111040</v>
      </c>
      <c r="F1136" s="54" t="s">
        <v>142</v>
      </c>
      <c r="G1136" s="9">
        <v>43689</v>
      </c>
      <c r="H1136" s="17" t="s">
        <v>517</v>
      </c>
    </row>
    <row r="1137" spans="1:19">
      <c r="A1137" s="55" t="s">
        <v>390</v>
      </c>
      <c r="B1137" s="30" t="s">
        <v>2</v>
      </c>
      <c r="C1137" s="80">
        <v>4767400</v>
      </c>
      <c r="D1137" s="80">
        <v>4334000</v>
      </c>
      <c r="E1137" s="80">
        <v>433400</v>
      </c>
      <c r="F1137" s="31" t="s">
        <v>142</v>
      </c>
      <c r="G1137" s="81" t="s">
        <v>496</v>
      </c>
      <c r="H1137" s="31"/>
      <c r="I1137" s="73"/>
      <c r="J1137" s="74"/>
      <c r="K1137" s="30"/>
      <c r="L1137" s="30"/>
      <c r="M1137" s="30"/>
      <c r="N1137" s="30"/>
      <c r="O1137" s="30"/>
      <c r="P1137" s="30"/>
      <c r="Q1137" s="30"/>
      <c r="R1137" s="30"/>
      <c r="S1137" s="30"/>
    </row>
    <row r="1138" spans="1:19">
      <c r="A1138" s="55" t="s">
        <v>390</v>
      </c>
      <c r="B1138" s="30" t="s">
        <v>2</v>
      </c>
      <c r="C1138" s="80">
        <v>-4035900</v>
      </c>
      <c r="D1138" s="80">
        <v>-3669000</v>
      </c>
      <c r="E1138" s="80">
        <v>-366900</v>
      </c>
      <c r="F1138" s="31" t="s">
        <v>142</v>
      </c>
      <c r="G1138" s="81" t="s">
        <v>496</v>
      </c>
      <c r="H1138" s="31"/>
      <c r="I1138" s="73"/>
      <c r="J1138" s="74"/>
      <c r="K1138" s="30"/>
      <c r="L1138" s="30"/>
      <c r="M1138" s="30"/>
      <c r="N1138" s="30"/>
      <c r="O1138" s="30"/>
      <c r="P1138" s="30"/>
      <c r="Q1138" s="30"/>
      <c r="R1138" s="30"/>
      <c r="S1138" s="30"/>
    </row>
    <row r="1139" spans="1:19">
      <c r="A1139" s="52" t="s">
        <v>390</v>
      </c>
      <c r="B1139" s="33" t="s">
        <v>155</v>
      </c>
      <c r="C1139" s="78">
        <v>737000</v>
      </c>
      <c r="D1139" s="78">
        <v>670000</v>
      </c>
      <c r="E1139" s="78">
        <v>67000</v>
      </c>
      <c r="F1139" s="54" t="s">
        <v>13</v>
      </c>
      <c r="G1139" s="9">
        <v>43693</v>
      </c>
    </row>
    <row r="1140" spans="1:19">
      <c r="A1140" s="52" t="s">
        <v>390</v>
      </c>
      <c r="B1140" s="33" t="s">
        <v>63</v>
      </c>
      <c r="C1140" s="78">
        <v>2387000</v>
      </c>
      <c r="D1140" s="78">
        <v>2170000</v>
      </c>
      <c r="E1140" s="78">
        <v>217000</v>
      </c>
      <c r="F1140" s="54" t="s">
        <v>13</v>
      </c>
      <c r="G1140" s="9">
        <v>43683</v>
      </c>
    </row>
    <row r="1141" spans="1:19">
      <c r="A1141" s="52" t="s">
        <v>390</v>
      </c>
      <c r="B1141" s="33" t="s">
        <v>2</v>
      </c>
      <c r="C1141" s="78">
        <v>577500</v>
      </c>
      <c r="D1141" s="78">
        <v>525000</v>
      </c>
      <c r="E1141" s="78">
        <v>52500</v>
      </c>
      <c r="F1141" s="54" t="s">
        <v>315</v>
      </c>
      <c r="G1141" s="9">
        <v>43689</v>
      </c>
    </row>
    <row r="1142" spans="1:19">
      <c r="A1142" s="52" t="s">
        <v>390</v>
      </c>
      <c r="B1142" s="33" t="s">
        <v>2</v>
      </c>
      <c r="C1142" s="78">
        <v>4114000</v>
      </c>
      <c r="D1142" s="78">
        <v>3740000</v>
      </c>
      <c r="E1142" s="78">
        <v>374000</v>
      </c>
      <c r="F1142" s="54" t="s">
        <v>346</v>
      </c>
      <c r="G1142" s="9">
        <v>43689</v>
      </c>
    </row>
    <row r="1143" spans="1:19">
      <c r="A1143" s="52" t="s">
        <v>390</v>
      </c>
      <c r="B1143" s="33" t="s">
        <v>2</v>
      </c>
      <c r="C1143" s="78">
        <v>24645500</v>
      </c>
      <c r="D1143" s="78">
        <v>22405000</v>
      </c>
      <c r="E1143" s="78">
        <v>2240500</v>
      </c>
      <c r="F1143" s="54" t="s">
        <v>313</v>
      </c>
      <c r="G1143" s="9">
        <v>43689</v>
      </c>
    </row>
    <row r="1144" spans="1:19">
      <c r="A1144" s="55" t="s">
        <v>390</v>
      </c>
      <c r="B1144" s="30" t="s">
        <v>2</v>
      </c>
      <c r="C1144" s="80">
        <v>4035900</v>
      </c>
      <c r="D1144" s="80">
        <v>3669000</v>
      </c>
      <c r="E1144" s="80">
        <v>366900</v>
      </c>
      <c r="F1144" s="31" t="s">
        <v>142</v>
      </c>
      <c r="G1144" s="113" t="s">
        <v>496</v>
      </c>
      <c r="H1144" s="31"/>
      <c r="I1144" s="73"/>
      <c r="J1144" s="74"/>
      <c r="K1144" s="30"/>
      <c r="L1144" s="30"/>
      <c r="M1144" s="30"/>
      <c r="N1144" s="30"/>
      <c r="O1144" s="30"/>
      <c r="P1144" s="30"/>
      <c r="Q1144" s="30"/>
      <c r="R1144" s="30"/>
      <c r="S1144" s="30"/>
    </row>
    <row r="1145" spans="1:19">
      <c r="A1145" s="52" t="s">
        <v>390</v>
      </c>
      <c r="B1145" s="33" t="s">
        <v>2</v>
      </c>
      <c r="C1145" s="78">
        <v>418000</v>
      </c>
      <c r="D1145" s="78">
        <v>380000</v>
      </c>
      <c r="E1145" s="78">
        <v>38000</v>
      </c>
      <c r="F1145" s="54" t="s">
        <v>381</v>
      </c>
      <c r="G1145" s="9">
        <v>43689</v>
      </c>
    </row>
    <row r="1146" spans="1:19">
      <c r="A1146" s="52" t="s">
        <v>390</v>
      </c>
      <c r="B1146" s="33" t="s">
        <v>2</v>
      </c>
      <c r="C1146" s="78">
        <v>2178000</v>
      </c>
      <c r="D1146" s="78">
        <v>1980000</v>
      </c>
      <c r="E1146" s="78">
        <v>198000</v>
      </c>
      <c r="F1146" s="54" t="s">
        <v>245</v>
      </c>
      <c r="G1146" s="9">
        <v>43689</v>
      </c>
    </row>
    <row r="1147" spans="1:19">
      <c r="A1147" s="52" t="s">
        <v>390</v>
      </c>
      <c r="B1147" s="33" t="s">
        <v>2</v>
      </c>
      <c r="C1147" s="78">
        <v>726000</v>
      </c>
      <c r="D1147" s="78">
        <v>660000</v>
      </c>
      <c r="E1147" s="78">
        <v>66000</v>
      </c>
      <c r="F1147" s="54" t="s">
        <v>375</v>
      </c>
      <c r="G1147" s="9">
        <v>43689</v>
      </c>
    </row>
    <row r="1148" spans="1:19">
      <c r="A1148" s="52" t="s">
        <v>390</v>
      </c>
      <c r="B1148" s="33" t="s">
        <v>2</v>
      </c>
      <c r="C1148" s="78">
        <v>365200</v>
      </c>
      <c r="D1148" s="78">
        <v>332000</v>
      </c>
      <c r="E1148" s="78">
        <v>33200</v>
      </c>
      <c r="F1148" s="54" t="s">
        <v>254</v>
      </c>
      <c r="G1148" s="9">
        <v>43689</v>
      </c>
    </row>
    <row r="1149" spans="1:19">
      <c r="A1149" s="52" t="s">
        <v>390</v>
      </c>
      <c r="B1149" s="33" t="s">
        <v>2</v>
      </c>
      <c r="C1149" s="78">
        <v>7315000</v>
      </c>
      <c r="D1149" s="78">
        <v>6650000</v>
      </c>
      <c r="E1149" s="78">
        <v>665000</v>
      </c>
      <c r="F1149" s="54" t="s">
        <v>337</v>
      </c>
      <c r="G1149" s="9">
        <v>43689</v>
      </c>
    </row>
    <row r="1150" spans="1:19">
      <c r="A1150" s="52" t="s">
        <v>390</v>
      </c>
      <c r="B1150" s="33" t="s">
        <v>2</v>
      </c>
      <c r="C1150" s="78">
        <v>6904700</v>
      </c>
      <c r="D1150" s="78">
        <v>6277000</v>
      </c>
      <c r="E1150" s="78">
        <v>627700</v>
      </c>
      <c r="F1150" s="54" t="s">
        <v>298</v>
      </c>
      <c r="G1150" s="9">
        <v>43689</v>
      </c>
    </row>
    <row r="1151" spans="1:19">
      <c r="A1151" s="52" t="s">
        <v>390</v>
      </c>
      <c r="B1151" s="33" t="s">
        <v>2</v>
      </c>
      <c r="C1151" s="78">
        <v>2557500</v>
      </c>
      <c r="D1151" s="78">
        <v>2325000</v>
      </c>
      <c r="E1151" s="78">
        <v>232500</v>
      </c>
      <c r="F1151" s="54" t="s">
        <v>280</v>
      </c>
      <c r="G1151" s="9">
        <v>43689</v>
      </c>
    </row>
    <row r="1152" spans="1:19">
      <c r="A1152" s="52" t="s">
        <v>390</v>
      </c>
      <c r="B1152" s="33" t="s">
        <v>385</v>
      </c>
      <c r="C1152" s="78">
        <v>770000</v>
      </c>
      <c r="D1152" s="78">
        <v>700000</v>
      </c>
      <c r="E1152" s="78">
        <v>70000</v>
      </c>
      <c r="F1152" s="54" t="s">
        <v>386</v>
      </c>
      <c r="G1152" s="9">
        <v>43686</v>
      </c>
      <c r="I1152" s="304" t="s">
        <v>528</v>
      </c>
      <c r="J1152" s="304"/>
      <c r="K1152" s="304"/>
    </row>
    <row r="1153" spans="1:19">
      <c r="A1153" s="52" t="s">
        <v>390</v>
      </c>
      <c r="B1153" s="33" t="s">
        <v>385</v>
      </c>
      <c r="C1153" s="78">
        <v>31130000</v>
      </c>
      <c r="D1153" s="78">
        <v>28300000</v>
      </c>
      <c r="E1153" s="78">
        <v>2830000</v>
      </c>
      <c r="F1153" s="54" t="s">
        <v>387</v>
      </c>
      <c r="G1153" s="9">
        <v>43686</v>
      </c>
      <c r="I1153" s="18" t="s">
        <v>487</v>
      </c>
      <c r="J1153" s="36" t="s">
        <v>488</v>
      </c>
      <c r="K1153" s="36" t="s">
        <v>494</v>
      </c>
    </row>
    <row r="1154" spans="1:19">
      <c r="A1154" s="52" t="s">
        <v>390</v>
      </c>
      <c r="B1154" s="33" t="s">
        <v>148</v>
      </c>
      <c r="C1154" s="78">
        <v>330000</v>
      </c>
      <c r="D1154" s="78">
        <v>300000</v>
      </c>
      <c r="E1154" s="78">
        <v>30000</v>
      </c>
      <c r="F1154" s="54" t="s">
        <v>13</v>
      </c>
      <c r="G1154" s="9">
        <v>43678</v>
      </c>
      <c r="I1154" s="62">
        <f>SUM(C1112:C1154)</f>
        <v>251176420</v>
      </c>
      <c r="J1154" s="62">
        <f>SUM(D1112:D1154)</f>
        <v>228342200</v>
      </c>
      <c r="K1154" s="62">
        <f>SUM(E1112:E1154)</f>
        <v>22834220</v>
      </c>
    </row>
    <row r="1155" spans="1:19">
      <c r="A1155" s="57" t="s">
        <v>392</v>
      </c>
      <c r="B1155" s="58" t="s">
        <v>15</v>
      </c>
      <c r="C1155" s="79">
        <v>4620000</v>
      </c>
      <c r="D1155" s="79">
        <v>4200000</v>
      </c>
      <c r="E1155" s="79">
        <v>420000</v>
      </c>
      <c r="F1155" s="60" t="s">
        <v>313</v>
      </c>
      <c r="G1155" s="92">
        <v>43881</v>
      </c>
      <c r="H1155" s="60" t="s">
        <v>393</v>
      </c>
      <c r="I1155" s="98"/>
      <c r="J1155" s="106"/>
      <c r="K1155" s="99"/>
      <c r="L1155" s="99"/>
      <c r="M1155" s="99"/>
      <c r="N1155" s="99"/>
      <c r="O1155" s="99"/>
      <c r="P1155" s="99"/>
      <c r="Q1155" s="99"/>
      <c r="R1155" s="99"/>
      <c r="S1155" s="99"/>
    </row>
    <row r="1156" spans="1:19">
      <c r="A1156" s="52" t="s">
        <v>392</v>
      </c>
      <c r="B1156" s="33" t="s">
        <v>15</v>
      </c>
      <c r="C1156" s="78">
        <v>3168000</v>
      </c>
      <c r="D1156" s="78">
        <v>2880000</v>
      </c>
      <c r="E1156" s="78">
        <v>288000</v>
      </c>
      <c r="F1156" s="54" t="s">
        <v>313</v>
      </c>
      <c r="G1156" s="9">
        <v>43700</v>
      </c>
      <c r="H1156" s="54" t="s">
        <v>394</v>
      </c>
    </row>
    <row r="1157" spans="1:19">
      <c r="A1157" s="52" t="s">
        <v>391</v>
      </c>
      <c r="B1157" s="33" t="s">
        <v>2</v>
      </c>
      <c r="C1157" s="78">
        <v>1732500</v>
      </c>
      <c r="D1157" s="78">
        <v>1575000</v>
      </c>
      <c r="E1157" s="78">
        <v>157500</v>
      </c>
      <c r="F1157" s="54" t="s">
        <v>255</v>
      </c>
      <c r="G1157" s="9">
        <v>43707</v>
      </c>
      <c r="H1157" s="17" t="s">
        <v>517</v>
      </c>
    </row>
    <row r="1158" spans="1:19">
      <c r="A1158" s="52" t="s">
        <v>391</v>
      </c>
      <c r="B1158" s="33" t="s">
        <v>2</v>
      </c>
      <c r="C1158" s="78">
        <v>242000</v>
      </c>
      <c r="D1158" s="78">
        <v>220000</v>
      </c>
      <c r="E1158" s="78">
        <v>22000</v>
      </c>
      <c r="F1158" s="54" t="s">
        <v>315</v>
      </c>
      <c r="G1158" s="9">
        <v>43697</v>
      </c>
      <c r="H1158" s="17" t="s">
        <v>517</v>
      </c>
      <c r="J1158" s="15"/>
      <c r="K1158" s="7"/>
    </row>
    <row r="1159" spans="1:19">
      <c r="A1159" s="52" t="s">
        <v>391</v>
      </c>
      <c r="B1159" s="33" t="s">
        <v>2</v>
      </c>
      <c r="C1159" s="78">
        <v>2079000</v>
      </c>
      <c r="D1159" s="78">
        <v>1890000</v>
      </c>
      <c r="E1159" s="78">
        <v>189000</v>
      </c>
      <c r="F1159" s="54" t="s">
        <v>255</v>
      </c>
      <c r="G1159" s="9">
        <v>43697</v>
      </c>
      <c r="H1159" s="17" t="s">
        <v>372</v>
      </c>
      <c r="J1159" s="15"/>
      <c r="K1159" s="7"/>
    </row>
    <row r="1160" spans="1:19">
      <c r="A1160" s="52" t="s">
        <v>391</v>
      </c>
      <c r="B1160" s="33" t="s">
        <v>2</v>
      </c>
      <c r="C1160" s="78">
        <v>74306980</v>
      </c>
      <c r="D1160" s="78">
        <v>67551800</v>
      </c>
      <c r="E1160" s="78">
        <v>6755180</v>
      </c>
      <c r="F1160" s="54" t="s">
        <v>142</v>
      </c>
      <c r="G1160" s="9">
        <v>43697</v>
      </c>
      <c r="H1160" s="17" t="s">
        <v>372</v>
      </c>
      <c r="J1160" s="15"/>
      <c r="K1160" s="7"/>
    </row>
    <row r="1161" spans="1:19">
      <c r="A1161" s="52" t="s">
        <v>391</v>
      </c>
      <c r="B1161" s="33" t="s">
        <v>2</v>
      </c>
      <c r="C1161" s="78">
        <v>7211600</v>
      </c>
      <c r="D1161" s="78">
        <v>6556000</v>
      </c>
      <c r="E1161" s="78">
        <v>655600</v>
      </c>
      <c r="F1161" s="54" t="s">
        <v>142</v>
      </c>
      <c r="G1161" s="9">
        <v>43697</v>
      </c>
      <c r="I1161" s="14"/>
      <c r="J1161" s="14"/>
    </row>
    <row r="1162" spans="1:19">
      <c r="A1162" s="52" t="s">
        <v>391</v>
      </c>
      <c r="B1162" s="33" t="s">
        <v>2</v>
      </c>
      <c r="C1162" s="78">
        <v>14520000</v>
      </c>
      <c r="D1162" s="78">
        <v>13200000</v>
      </c>
      <c r="E1162" s="78">
        <v>1320000</v>
      </c>
      <c r="F1162" s="54" t="s">
        <v>315</v>
      </c>
      <c r="G1162" s="9">
        <v>43697</v>
      </c>
      <c r="I1162" s="14"/>
      <c r="J1162" s="14"/>
    </row>
    <row r="1163" spans="1:19">
      <c r="A1163" s="52" t="s">
        <v>391</v>
      </c>
      <c r="B1163" s="33" t="s">
        <v>2</v>
      </c>
      <c r="C1163" s="78">
        <v>1210000</v>
      </c>
      <c r="D1163" s="78">
        <v>1100000</v>
      </c>
      <c r="E1163" s="78">
        <v>110000</v>
      </c>
      <c r="F1163" s="54" t="s">
        <v>346</v>
      </c>
      <c r="G1163" s="9">
        <v>43697</v>
      </c>
      <c r="I1163" s="14"/>
      <c r="J1163" s="14"/>
    </row>
    <row r="1164" spans="1:19">
      <c r="A1164" s="52" t="s">
        <v>391</v>
      </c>
      <c r="B1164" s="33" t="s">
        <v>2</v>
      </c>
      <c r="C1164" s="78">
        <v>58778500</v>
      </c>
      <c r="D1164" s="78">
        <v>53435000</v>
      </c>
      <c r="E1164" s="78">
        <v>5343500</v>
      </c>
      <c r="F1164" s="54" t="s">
        <v>313</v>
      </c>
      <c r="G1164" s="9">
        <v>43697</v>
      </c>
      <c r="I1164" s="14"/>
      <c r="J1164" s="14"/>
    </row>
    <row r="1165" spans="1:19">
      <c r="A1165" s="52" t="s">
        <v>391</v>
      </c>
      <c r="B1165" s="33" t="s">
        <v>2</v>
      </c>
      <c r="C1165" s="78">
        <v>440000</v>
      </c>
      <c r="D1165" s="78">
        <v>400000</v>
      </c>
      <c r="E1165" s="78">
        <v>40000</v>
      </c>
      <c r="F1165" s="54" t="s">
        <v>381</v>
      </c>
      <c r="G1165" s="9">
        <v>43697</v>
      </c>
      <c r="I1165" s="14"/>
      <c r="J1165" s="14"/>
    </row>
    <row r="1166" spans="1:19">
      <c r="A1166" s="52" t="s">
        <v>391</v>
      </c>
      <c r="B1166" s="33" t="s">
        <v>2</v>
      </c>
      <c r="C1166" s="78">
        <v>1694000</v>
      </c>
      <c r="D1166" s="78">
        <v>1540000</v>
      </c>
      <c r="E1166" s="78">
        <v>154000</v>
      </c>
      <c r="F1166" s="54" t="s">
        <v>245</v>
      </c>
      <c r="G1166" s="9">
        <v>43697</v>
      </c>
      <c r="I1166" s="14"/>
      <c r="J1166" s="14"/>
    </row>
    <row r="1167" spans="1:19">
      <c r="A1167" s="52" t="s">
        <v>391</v>
      </c>
      <c r="B1167" s="33" t="s">
        <v>2</v>
      </c>
      <c r="C1167" s="78">
        <v>1452000</v>
      </c>
      <c r="D1167" s="78">
        <v>1320000</v>
      </c>
      <c r="E1167" s="78">
        <v>132000</v>
      </c>
      <c r="F1167" s="54" t="s">
        <v>371</v>
      </c>
      <c r="G1167" s="9">
        <v>43697</v>
      </c>
      <c r="I1167" s="14"/>
      <c r="J1167" s="14"/>
    </row>
    <row r="1168" spans="1:19">
      <c r="A1168" s="52" t="s">
        <v>391</v>
      </c>
      <c r="B1168" s="33" t="s">
        <v>2</v>
      </c>
      <c r="C1168" s="78">
        <v>822800</v>
      </c>
      <c r="D1168" s="78">
        <v>748000</v>
      </c>
      <c r="E1168" s="78">
        <v>74800</v>
      </c>
      <c r="F1168" s="54" t="s">
        <v>255</v>
      </c>
      <c r="G1168" s="9">
        <v>43697</v>
      </c>
    </row>
    <row r="1169" spans="1:19">
      <c r="A1169" s="52" t="s">
        <v>391</v>
      </c>
      <c r="B1169" s="33" t="s">
        <v>2</v>
      </c>
      <c r="C1169" s="78">
        <v>1709400</v>
      </c>
      <c r="D1169" s="78">
        <v>1554000</v>
      </c>
      <c r="E1169" s="78">
        <v>155400</v>
      </c>
      <c r="F1169" s="54" t="s">
        <v>254</v>
      </c>
      <c r="G1169" s="9">
        <v>43697</v>
      </c>
    </row>
    <row r="1170" spans="1:19">
      <c r="A1170" s="52" t="s">
        <v>391</v>
      </c>
      <c r="B1170" s="33" t="s">
        <v>2</v>
      </c>
      <c r="C1170" s="78">
        <v>7210500</v>
      </c>
      <c r="D1170" s="78">
        <v>6555000</v>
      </c>
      <c r="E1170" s="78">
        <v>655500</v>
      </c>
      <c r="F1170" s="54" t="s">
        <v>337</v>
      </c>
      <c r="G1170" s="9">
        <v>43697</v>
      </c>
    </row>
    <row r="1171" spans="1:19">
      <c r="A1171" s="52" t="s">
        <v>391</v>
      </c>
      <c r="B1171" s="33" t="s">
        <v>2</v>
      </c>
      <c r="C1171" s="78">
        <v>16891820</v>
      </c>
      <c r="D1171" s="78">
        <v>15356200</v>
      </c>
      <c r="E1171" s="78">
        <v>1535620</v>
      </c>
      <c r="F1171" s="54" t="s">
        <v>298</v>
      </c>
      <c r="G1171" s="9">
        <v>43697</v>
      </c>
    </row>
    <row r="1172" spans="1:19">
      <c r="A1172" s="52" t="s">
        <v>391</v>
      </c>
      <c r="B1172" s="33" t="s">
        <v>2</v>
      </c>
      <c r="C1172" s="78">
        <v>7573500</v>
      </c>
      <c r="D1172" s="78">
        <v>6885000</v>
      </c>
      <c r="E1172" s="78">
        <v>688500</v>
      </c>
      <c r="F1172" s="54" t="s">
        <v>280</v>
      </c>
      <c r="G1172" s="9">
        <v>43697</v>
      </c>
    </row>
    <row r="1173" spans="1:19">
      <c r="A1173" s="55" t="s">
        <v>395</v>
      </c>
      <c r="B1173" s="30" t="s">
        <v>15</v>
      </c>
      <c r="C1173" s="80">
        <v>-7788000</v>
      </c>
      <c r="D1173" s="80">
        <v>-7080000</v>
      </c>
      <c r="E1173" s="80">
        <v>-708000</v>
      </c>
      <c r="F1173" s="31" t="s">
        <v>313</v>
      </c>
      <c r="G1173" s="113" t="s">
        <v>496</v>
      </c>
    </row>
    <row r="1174" spans="1:19">
      <c r="A1174" s="52" t="s">
        <v>396</v>
      </c>
      <c r="B1174" s="33" t="s">
        <v>385</v>
      </c>
      <c r="C1174" s="78">
        <v>220000</v>
      </c>
      <c r="D1174" s="78">
        <v>200000</v>
      </c>
      <c r="E1174" s="78">
        <v>20000</v>
      </c>
      <c r="F1174" s="54" t="s">
        <v>386</v>
      </c>
      <c r="G1174" s="9">
        <v>43718</v>
      </c>
    </row>
    <row r="1175" spans="1:19">
      <c r="A1175" s="52" t="s">
        <v>396</v>
      </c>
      <c r="B1175" s="33" t="s">
        <v>385</v>
      </c>
      <c r="C1175" s="78">
        <v>25960000</v>
      </c>
      <c r="D1175" s="78">
        <v>23600000</v>
      </c>
      <c r="E1175" s="78">
        <v>2360000</v>
      </c>
      <c r="F1175" s="54" t="s">
        <v>387</v>
      </c>
      <c r="G1175" s="9">
        <v>43718</v>
      </c>
      <c r="H1175" s="31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</row>
    <row r="1176" spans="1:19">
      <c r="A1176" s="52" t="s">
        <v>396</v>
      </c>
      <c r="B1176" s="33" t="s">
        <v>155</v>
      </c>
      <c r="C1176" s="78">
        <v>1144000</v>
      </c>
      <c r="D1176" s="78">
        <v>1040000</v>
      </c>
      <c r="E1176" s="78">
        <v>104000</v>
      </c>
      <c r="F1176" s="54" t="s">
        <v>13</v>
      </c>
      <c r="G1176" s="65">
        <v>43725</v>
      </c>
      <c r="H1176" s="31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</row>
    <row r="1177" spans="1:19">
      <c r="A1177" s="52" t="s">
        <v>396</v>
      </c>
      <c r="B1177" s="33" t="s">
        <v>38</v>
      </c>
      <c r="C1177" s="78">
        <v>539000</v>
      </c>
      <c r="D1177" s="78">
        <v>490000</v>
      </c>
      <c r="E1177" s="78">
        <v>49000</v>
      </c>
      <c r="F1177" s="54" t="s">
        <v>13</v>
      </c>
      <c r="G1177" s="9">
        <v>43709</v>
      </c>
      <c r="I1177" s="14"/>
      <c r="J1177" s="14"/>
    </row>
    <row r="1178" spans="1:19">
      <c r="A1178" s="52" t="s">
        <v>396</v>
      </c>
      <c r="B1178" s="33" t="s">
        <v>2</v>
      </c>
      <c r="C1178" s="78">
        <v>2887500</v>
      </c>
      <c r="D1178" s="78">
        <v>2625000</v>
      </c>
      <c r="E1178" s="78">
        <v>262500</v>
      </c>
      <c r="F1178" s="54" t="s">
        <v>255</v>
      </c>
      <c r="G1178" s="9">
        <v>43728</v>
      </c>
      <c r="H1178" s="17" t="s">
        <v>517</v>
      </c>
    </row>
    <row r="1179" spans="1:19">
      <c r="A1179" s="52" t="s">
        <v>396</v>
      </c>
      <c r="B1179" s="33" t="s">
        <v>2</v>
      </c>
      <c r="C1179" s="78">
        <v>78782550</v>
      </c>
      <c r="D1179" s="78">
        <v>71620500</v>
      </c>
      <c r="E1179" s="78">
        <v>7162050</v>
      </c>
      <c r="F1179" s="54" t="s">
        <v>142</v>
      </c>
      <c r="G1179" s="9">
        <v>43718</v>
      </c>
      <c r="H1179" s="17" t="s">
        <v>517</v>
      </c>
    </row>
    <row r="1180" spans="1:19">
      <c r="A1180" s="52" t="s">
        <v>396</v>
      </c>
      <c r="B1180" s="33" t="s">
        <v>40</v>
      </c>
      <c r="C1180" s="78">
        <v>704000</v>
      </c>
      <c r="D1180" s="78">
        <v>640000</v>
      </c>
      <c r="E1180" s="78">
        <v>64000</v>
      </c>
      <c r="F1180" s="54" t="s">
        <v>13</v>
      </c>
      <c r="G1180" s="65">
        <v>43718</v>
      </c>
    </row>
    <row r="1181" spans="1:19">
      <c r="A1181" s="52" t="s">
        <v>396</v>
      </c>
      <c r="B1181" s="33" t="s">
        <v>352</v>
      </c>
      <c r="C1181" s="78">
        <v>198000</v>
      </c>
      <c r="D1181" s="78">
        <v>180000</v>
      </c>
      <c r="E1181" s="78">
        <v>18000</v>
      </c>
      <c r="F1181" s="54" t="s">
        <v>13</v>
      </c>
      <c r="G1181" s="65">
        <v>43725</v>
      </c>
    </row>
    <row r="1182" spans="1:19">
      <c r="A1182" s="52" t="s">
        <v>396</v>
      </c>
      <c r="B1182" s="33" t="s">
        <v>82</v>
      </c>
      <c r="C1182" s="78">
        <v>1105500</v>
      </c>
      <c r="D1182" s="78">
        <v>1005000</v>
      </c>
      <c r="E1182" s="78">
        <v>100500</v>
      </c>
      <c r="F1182" s="54" t="s">
        <v>13</v>
      </c>
      <c r="G1182" s="65">
        <v>43724</v>
      </c>
    </row>
    <row r="1183" spans="1:19">
      <c r="A1183" s="52" t="s">
        <v>396</v>
      </c>
      <c r="B1183" s="33" t="s">
        <v>70</v>
      </c>
      <c r="C1183" s="78">
        <v>308000</v>
      </c>
      <c r="D1183" s="78">
        <v>280000</v>
      </c>
      <c r="E1183" s="78">
        <v>28000</v>
      </c>
      <c r="F1183" s="54" t="s">
        <v>13</v>
      </c>
      <c r="G1183" s="65">
        <v>43738</v>
      </c>
    </row>
    <row r="1184" spans="1:19">
      <c r="A1184" s="52" t="s">
        <v>396</v>
      </c>
      <c r="B1184" s="33" t="s">
        <v>86</v>
      </c>
      <c r="C1184" s="78">
        <v>8855000</v>
      </c>
      <c r="D1184" s="78">
        <v>8050000</v>
      </c>
      <c r="E1184" s="78">
        <v>805000</v>
      </c>
      <c r="F1184" s="54" t="s">
        <v>13</v>
      </c>
      <c r="G1184" s="65">
        <v>43756</v>
      </c>
    </row>
    <row r="1185" spans="1:10">
      <c r="A1185" s="52" t="s">
        <v>396</v>
      </c>
      <c r="B1185" s="33" t="s">
        <v>79</v>
      </c>
      <c r="C1185" s="78">
        <v>3212000</v>
      </c>
      <c r="D1185" s="78">
        <v>2920000</v>
      </c>
      <c r="E1185" s="78">
        <v>292000</v>
      </c>
      <c r="F1185" s="54" t="s">
        <v>13</v>
      </c>
      <c r="G1185" s="65">
        <v>43739</v>
      </c>
    </row>
    <row r="1186" spans="1:10">
      <c r="A1186" s="52" t="s">
        <v>396</v>
      </c>
      <c r="B1186" s="33" t="s">
        <v>360</v>
      </c>
      <c r="C1186" s="78">
        <v>1622500</v>
      </c>
      <c r="D1186" s="78">
        <v>1475000</v>
      </c>
      <c r="E1186" s="78">
        <v>147500</v>
      </c>
      <c r="F1186" s="54" t="s">
        <v>66</v>
      </c>
      <c r="G1186" s="65">
        <v>43719</v>
      </c>
    </row>
    <row r="1187" spans="1:10">
      <c r="A1187" s="52" t="s">
        <v>396</v>
      </c>
      <c r="B1187" s="33" t="s">
        <v>15</v>
      </c>
      <c r="C1187" s="78">
        <v>968000</v>
      </c>
      <c r="D1187" s="78">
        <v>880000</v>
      </c>
      <c r="E1187" s="78">
        <v>88000</v>
      </c>
      <c r="F1187" s="54" t="s">
        <v>397</v>
      </c>
      <c r="G1187" s="9">
        <v>43769</v>
      </c>
    </row>
    <row r="1188" spans="1:10">
      <c r="A1188" s="52" t="s">
        <v>396</v>
      </c>
      <c r="B1188" s="33" t="s">
        <v>15</v>
      </c>
      <c r="C1188" s="78">
        <v>1595000</v>
      </c>
      <c r="D1188" s="78">
        <v>1450000</v>
      </c>
      <c r="E1188" s="78">
        <v>145000</v>
      </c>
      <c r="F1188" s="54" t="s">
        <v>103</v>
      </c>
      <c r="G1188" s="65">
        <v>43738</v>
      </c>
    </row>
    <row r="1189" spans="1:10">
      <c r="A1189" s="52" t="s">
        <v>396</v>
      </c>
      <c r="B1189" s="33" t="s">
        <v>15</v>
      </c>
      <c r="C1189" s="78">
        <v>9372000</v>
      </c>
      <c r="D1189" s="78">
        <v>8520000</v>
      </c>
      <c r="E1189" s="78">
        <v>852000</v>
      </c>
      <c r="F1189" s="54" t="s">
        <v>313</v>
      </c>
      <c r="G1189" s="65">
        <v>43738</v>
      </c>
    </row>
    <row r="1190" spans="1:10">
      <c r="A1190" s="52" t="s">
        <v>396</v>
      </c>
      <c r="B1190" s="33" t="s">
        <v>15</v>
      </c>
      <c r="C1190" s="78">
        <v>10450000</v>
      </c>
      <c r="D1190" s="78">
        <v>9500000</v>
      </c>
      <c r="E1190" s="78">
        <v>950000</v>
      </c>
      <c r="F1190" s="54" t="s">
        <v>305</v>
      </c>
      <c r="G1190" s="65">
        <v>43738</v>
      </c>
    </row>
    <row r="1191" spans="1:10">
      <c r="A1191" s="52" t="s">
        <v>396</v>
      </c>
      <c r="B1191" s="33" t="s">
        <v>15</v>
      </c>
      <c r="C1191" s="78">
        <v>7370000</v>
      </c>
      <c r="D1191" s="78">
        <v>6700000</v>
      </c>
      <c r="E1191" s="78">
        <v>670000</v>
      </c>
      <c r="F1191" s="54" t="s">
        <v>262</v>
      </c>
      <c r="G1191" s="65">
        <v>43738</v>
      </c>
    </row>
    <row r="1192" spans="1:10">
      <c r="A1192" s="52" t="s">
        <v>396</v>
      </c>
      <c r="B1192" s="33" t="s">
        <v>2</v>
      </c>
      <c r="C1192" s="78">
        <v>6154500</v>
      </c>
      <c r="D1192" s="78">
        <v>5595000</v>
      </c>
      <c r="E1192" s="78">
        <v>559500</v>
      </c>
      <c r="F1192" s="54" t="s">
        <v>315</v>
      </c>
      <c r="G1192" s="65">
        <v>43718</v>
      </c>
      <c r="I1192" s="14"/>
      <c r="J1192" s="14"/>
    </row>
    <row r="1193" spans="1:10">
      <c r="A1193" s="52" t="s">
        <v>396</v>
      </c>
      <c r="B1193" s="33" t="s">
        <v>2</v>
      </c>
      <c r="C1193" s="78">
        <v>1331000</v>
      </c>
      <c r="D1193" s="78">
        <v>1210000</v>
      </c>
      <c r="E1193" s="78">
        <v>121000</v>
      </c>
      <c r="F1193" s="54" t="s">
        <v>346</v>
      </c>
      <c r="G1193" s="65">
        <v>43718</v>
      </c>
      <c r="I1193" s="14"/>
      <c r="J1193" s="14"/>
    </row>
    <row r="1194" spans="1:10">
      <c r="A1194" s="52" t="s">
        <v>396</v>
      </c>
      <c r="B1194" s="33" t="s">
        <v>2</v>
      </c>
      <c r="C1194" s="78">
        <v>69225750</v>
      </c>
      <c r="D1194" s="78">
        <v>62932500</v>
      </c>
      <c r="E1194" s="78">
        <v>6293250</v>
      </c>
      <c r="F1194" s="54" t="s">
        <v>313</v>
      </c>
      <c r="G1194" s="65">
        <v>43718</v>
      </c>
      <c r="I1194" s="14"/>
      <c r="J1194" s="14"/>
    </row>
    <row r="1195" spans="1:10">
      <c r="A1195" s="52" t="s">
        <v>396</v>
      </c>
      <c r="B1195" s="33" t="s">
        <v>2</v>
      </c>
      <c r="C1195" s="78">
        <v>5841000</v>
      </c>
      <c r="D1195" s="78">
        <v>5310000</v>
      </c>
      <c r="E1195" s="78">
        <v>531000</v>
      </c>
      <c r="F1195" s="54" t="s">
        <v>142</v>
      </c>
      <c r="G1195" s="65">
        <v>43718</v>
      </c>
      <c r="I1195" s="14"/>
      <c r="J1195" s="14"/>
    </row>
    <row r="1196" spans="1:10">
      <c r="A1196" s="52" t="s">
        <v>396</v>
      </c>
      <c r="B1196" s="33" t="s">
        <v>2</v>
      </c>
      <c r="C1196" s="78">
        <v>632500</v>
      </c>
      <c r="D1196" s="78">
        <v>575000</v>
      </c>
      <c r="E1196" s="78">
        <v>57500</v>
      </c>
      <c r="F1196" s="54" t="s">
        <v>381</v>
      </c>
      <c r="G1196" s="65">
        <v>43718</v>
      </c>
      <c r="I1196" s="14"/>
      <c r="J1196" s="14"/>
    </row>
    <row r="1197" spans="1:10">
      <c r="A1197" s="52" t="s">
        <v>396</v>
      </c>
      <c r="B1197" s="33" t="s">
        <v>2</v>
      </c>
      <c r="C1197" s="78">
        <v>1452000</v>
      </c>
      <c r="D1197" s="78">
        <v>1320000</v>
      </c>
      <c r="E1197" s="78">
        <v>132000</v>
      </c>
      <c r="F1197" s="54" t="s">
        <v>245</v>
      </c>
      <c r="G1197" s="65">
        <v>43718</v>
      </c>
      <c r="I1197" s="14"/>
      <c r="J1197" s="14"/>
    </row>
    <row r="1198" spans="1:10">
      <c r="A1198" s="52" t="s">
        <v>396</v>
      </c>
      <c r="B1198" s="33" t="s">
        <v>2</v>
      </c>
      <c r="C1198" s="78">
        <v>1386000</v>
      </c>
      <c r="D1198" s="78">
        <v>1260000</v>
      </c>
      <c r="E1198" s="78">
        <v>126000</v>
      </c>
      <c r="F1198" s="54" t="s">
        <v>375</v>
      </c>
      <c r="G1198" s="65">
        <v>43718</v>
      </c>
      <c r="I1198" s="14"/>
      <c r="J1198" s="14"/>
    </row>
    <row r="1199" spans="1:10">
      <c r="A1199" s="52" t="s">
        <v>396</v>
      </c>
      <c r="B1199" s="33" t="s">
        <v>2</v>
      </c>
      <c r="C1199" s="78">
        <v>1045000</v>
      </c>
      <c r="D1199" s="78">
        <v>950000</v>
      </c>
      <c r="E1199" s="78">
        <v>95000</v>
      </c>
      <c r="F1199" s="54" t="s">
        <v>255</v>
      </c>
      <c r="G1199" s="65">
        <v>43718</v>
      </c>
      <c r="I1199" s="14"/>
      <c r="J1199" s="14"/>
    </row>
    <row r="1200" spans="1:10">
      <c r="A1200" s="52" t="s">
        <v>396</v>
      </c>
      <c r="B1200" s="33" t="s">
        <v>2</v>
      </c>
      <c r="C1200" s="78">
        <v>1358500</v>
      </c>
      <c r="D1200" s="78">
        <v>1235000</v>
      </c>
      <c r="E1200" s="78">
        <v>123500</v>
      </c>
      <c r="F1200" s="54" t="s">
        <v>254</v>
      </c>
      <c r="G1200" s="65">
        <v>43718</v>
      </c>
      <c r="I1200" s="14"/>
      <c r="J1200" s="14"/>
    </row>
    <row r="1201" spans="1:19">
      <c r="A1201" s="52" t="s">
        <v>396</v>
      </c>
      <c r="B1201" s="33" t="s">
        <v>2</v>
      </c>
      <c r="C1201" s="78">
        <v>7590000</v>
      </c>
      <c r="D1201" s="78">
        <v>6900000</v>
      </c>
      <c r="E1201" s="78">
        <v>690000</v>
      </c>
      <c r="F1201" s="54" t="s">
        <v>306</v>
      </c>
      <c r="G1201" s="65">
        <v>43718</v>
      </c>
      <c r="I1201" s="14"/>
      <c r="J1201" s="14"/>
    </row>
    <row r="1202" spans="1:19">
      <c r="A1202" s="52" t="s">
        <v>396</v>
      </c>
      <c r="B1202" s="33" t="s">
        <v>2</v>
      </c>
      <c r="C1202" s="78">
        <v>8255500</v>
      </c>
      <c r="D1202" s="78">
        <v>7505000</v>
      </c>
      <c r="E1202" s="78">
        <v>750500</v>
      </c>
      <c r="F1202" s="54" t="s">
        <v>233</v>
      </c>
      <c r="G1202" s="65">
        <v>43718</v>
      </c>
      <c r="I1202" s="304" t="s">
        <v>531</v>
      </c>
      <c r="J1202" s="304"/>
      <c r="K1202" s="304"/>
    </row>
    <row r="1203" spans="1:19">
      <c r="A1203" s="52" t="s">
        <v>396</v>
      </c>
      <c r="B1203" s="33" t="s">
        <v>2</v>
      </c>
      <c r="C1203" s="78">
        <v>4246000</v>
      </c>
      <c r="D1203" s="78">
        <v>3860000</v>
      </c>
      <c r="E1203" s="78">
        <v>386000</v>
      </c>
      <c r="F1203" s="54" t="s">
        <v>280</v>
      </c>
      <c r="G1203" s="65">
        <v>43718</v>
      </c>
      <c r="I1203" s="18" t="s">
        <v>487</v>
      </c>
      <c r="J1203" s="36" t="s">
        <v>488</v>
      </c>
      <c r="K1203" s="36" t="s">
        <v>494</v>
      </c>
    </row>
    <row r="1204" spans="1:19">
      <c r="A1204" s="52" t="s">
        <v>396</v>
      </c>
      <c r="B1204" s="33" t="s">
        <v>63</v>
      </c>
      <c r="C1204" s="78">
        <v>2453000</v>
      </c>
      <c r="D1204" s="78">
        <v>2230000</v>
      </c>
      <c r="E1204" s="78">
        <v>223000</v>
      </c>
      <c r="F1204" s="54" t="s">
        <v>13</v>
      </c>
      <c r="G1204" s="9">
        <v>43712</v>
      </c>
      <c r="I1204" s="62">
        <f>SUM(C1155:C1204)</f>
        <v>464138400</v>
      </c>
      <c r="J1204" s="62">
        <f>SUM(D1155:D1204)</f>
        <v>421944000</v>
      </c>
      <c r="K1204" s="62">
        <f>SUM(E1155:E1204)</f>
        <v>42194400</v>
      </c>
    </row>
    <row r="1205" spans="1:19">
      <c r="A1205" s="57" t="s">
        <v>398</v>
      </c>
      <c r="B1205" s="58" t="s">
        <v>2</v>
      </c>
      <c r="C1205" s="79">
        <v>66077110</v>
      </c>
      <c r="D1205" s="79">
        <v>60070100</v>
      </c>
      <c r="E1205" s="79">
        <v>6007010</v>
      </c>
      <c r="F1205" s="60" t="s">
        <v>142</v>
      </c>
      <c r="G1205" s="92">
        <v>43728</v>
      </c>
      <c r="H1205" s="105" t="s">
        <v>517</v>
      </c>
      <c r="I1205" s="98"/>
      <c r="J1205" s="98"/>
      <c r="K1205" s="98"/>
      <c r="L1205" s="99"/>
      <c r="M1205" s="99"/>
      <c r="N1205" s="99"/>
      <c r="O1205" s="99"/>
      <c r="P1205" s="99"/>
      <c r="Q1205" s="99"/>
      <c r="R1205" s="99"/>
      <c r="S1205" s="99"/>
    </row>
    <row r="1206" spans="1:19">
      <c r="A1206" s="52" t="s">
        <v>398</v>
      </c>
      <c r="B1206" s="33" t="s">
        <v>2</v>
      </c>
      <c r="C1206" s="78">
        <v>1815000</v>
      </c>
      <c r="D1206" s="78">
        <v>1650000</v>
      </c>
      <c r="E1206" s="78">
        <v>165000</v>
      </c>
      <c r="F1206" s="54" t="s">
        <v>346</v>
      </c>
      <c r="G1206" s="9">
        <v>43728</v>
      </c>
      <c r="H1206" s="17" t="s">
        <v>517</v>
      </c>
    </row>
    <row r="1207" spans="1:19">
      <c r="A1207" s="52" t="s">
        <v>398</v>
      </c>
      <c r="B1207" s="33" t="s">
        <v>2</v>
      </c>
      <c r="C1207" s="78">
        <v>1573000</v>
      </c>
      <c r="D1207" s="78">
        <v>1430000</v>
      </c>
      <c r="E1207" s="78">
        <v>143000</v>
      </c>
      <c r="F1207" s="54" t="s">
        <v>315</v>
      </c>
      <c r="G1207" s="9">
        <v>43728</v>
      </c>
    </row>
    <row r="1208" spans="1:19">
      <c r="A1208" s="52" t="s">
        <v>398</v>
      </c>
      <c r="B1208" s="33" t="s">
        <v>2</v>
      </c>
      <c r="C1208" s="78">
        <v>2717000</v>
      </c>
      <c r="D1208" s="78">
        <v>2470000</v>
      </c>
      <c r="E1208" s="78">
        <v>247000</v>
      </c>
      <c r="F1208" s="54" t="s">
        <v>346</v>
      </c>
      <c r="G1208" s="9">
        <v>43728</v>
      </c>
    </row>
    <row r="1209" spans="1:19">
      <c r="A1209" s="52" t="s">
        <v>398</v>
      </c>
      <c r="B1209" s="33" t="s">
        <v>2</v>
      </c>
      <c r="C1209" s="78">
        <v>23001000</v>
      </c>
      <c r="D1209" s="78">
        <v>20910000</v>
      </c>
      <c r="E1209" s="78">
        <v>2091000</v>
      </c>
      <c r="F1209" s="54" t="s">
        <v>313</v>
      </c>
      <c r="G1209" s="9">
        <v>43728</v>
      </c>
    </row>
    <row r="1210" spans="1:19">
      <c r="A1210" s="52" t="s">
        <v>398</v>
      </c>
      <c r="B1210" s="33" t="s">
        <v>2</v>
      </c>
      <c r="C1210" s="78">
        <v>2926000</v>
      </c>
      <c r="D1210" s="78">
        <v>2660000</v>
      </c>
      <c r="E1210" s="78">
        <v>266000</v>
      </c>
      <c r="F1210" s="54" t="s">
        <v>399</v>
      </c>
      <c r="G1210" s="9">
        <v>43728</v>
      </c>
    </row>
    <row r="1211" spans="1:19">
      <c r="A1211" s="52" t="s">
        <v>398</v>
      </c>
      <c r="B1211" s="33" t="s">
        <v>2</v>
      </c>
      <c r="C1211" s="78">
        <v>1303500</v>
      </c>
      <c r="D1211" s="78">
        <v>1185000</v>
      </c>
      <c r="E1211" s="78">
        <v>118500</v>
      </c>
      <c r="F1211" s="54" t="s">
        <v>381</v>
      </c>
      <c r="G1211" s="9">
        <v>43728</v>
      </c>
    </row>
    <row r="1212" spans="1:19">
      <c r="A1212" s="52" t="s">
        <v>398</v>
      </c>
      <c r="B1212" s="33" t="s">
        <v>2</v>
      </c>
      <c r="C1212" s="78">
        <v>2783000</v>
      </c>
      <c r="D1212" s="78">
        <v>2530000</v>
      </c>
      <c r="E1212" s="78">
        <v>253000</v>
      </c>
      <c r="F1212" s="54" t="s">
        <v>245</v>
      </c>
      <c r="G1212" s="9">
        <v>43728</v>
      </c>
    </row>
    <row r="1213" spans="1:19">
      <c r="A1213" s="52" t="s">
        <v>398</v>
      </c>
      <c r="B1213" s="33" t="s">
        <v>2</v>
      </c>
      <c r="C1213" s="78">
        <v>990000</v>
      </c>
      <c r="D1213" s="78">
        <v>900000</v>
      </c>
      <c r="E1213" s="78">
        <v>90000</v>
      </c>
      <c r="F1213" s="54" t="s">
        <v>375</v>
      </c>
      <c r="G1213" s="9">
        <v>43728</v>
      </c>
    </row>
    <row r="1214" spans="1:19">
      <c r="A1214" s="52" t="s">
        <v>398</v>
      </c>
      <c r="B1214" s="33" t="s">
        <v>2</v>
      </c>
      <c r="C1214" s="78">
        <v>1369500</v>
      </c>
      <c r="D1214" s="78">
        <v>1245000</v>
      </c>
      <c r="E1214" s="78">
        <v>124500</v>
      </c>
      <c r="F1214" s="54" t="s">
        <v>255</v>
      </c>
      <c r="G1214" s="9">
        <v>43728</v>
      </c>
    </row>
    <row r="1215" spans="1:19">
      <c r="A1215" s="52" t="s">
        <v>398</v>
      </c>
      <c r="B1215" s="33" t="s">
        <v>2</v>
      </c>
      <c r="C1215" s="78">
        <v>456500</v>
      </c>
      <c r="D1215" s="78">
        <v>415000</v>
      </c>
      <c r="E1215" s="78">
        <v>41500</v>
      </c>
      <c r="F1215" s="54" t="s">
        <v>254</v>
      </c>
      <c r="G1215" s="9">
        <v>43728</v>
      </c>
    </row>
    <row r="1216" spans="1:19">
      <c r="A1216" s="52" t="s">
        <v>398</v>
      </c>
      <c r="B1216" s="33" t="s">
        <v>2</v>
      </c>
      <c r="C1216" s="78">
        <v>7150000</v>
      </c>
      <c r="D1216" s="78">
        <v>6500000</v>
      </c>
      <c r="E1216" s="78">
        <v>650000</v>
      </c>
      <c r="F1216" s="54" t="s">
        <v>306</v>
      </c>
      <c r="G1216" s="9">
        <v>43728</v>
      </c>
    </row>
    <row r="1217" spans="1:10">
      <c r="A1217" s="52" t="s">
        <v>398</v>
      </c>
      <c r="B1217" s="33" t="s">
        <v>2</v>
      </c>
      <c r="C1217" s="78">
        <v>2305380</v>
      </c>
      <c r="D1217" s="78">
        <v>2095800</v>
      </c>
      <c r="E1217" s="78">
        <v>209580</v>
      </c>
      <c r="F1217" s="54" t="s">
        <v>233</v>
      </c>
      <c r="G1217" s="9">
        <v>43728</v>
      </c>
    </row>
    <row r="1218" spans="1:10">
      <c r="A1218" s="52" t="s">
        <v>398</v>
      </c>
      <c r="B1218" s="33" t="s">
        <v>2</v>
      </c>
      <c r="C1218" s="78">
        <v>3454000</v>
      </c>
      <c r="D1218" s="78">
        <v>3140000</v>
      </c>
      <c r="E1218" s="78">
        <v>314000</v>
      </c>
      <c r="F1218" s="54" t="s">
        <v>280</v>
      </c>
      <c r="G1218" s="9">
        <v>43728</v>
      </c>
      <c r="I1218" s="14"/>
      <c r="J1218" s="14"/>
    </row>
    <row r="1219" spans="1:10">
      <c r="A1219" s="52" t="s">
        <v>400</v>
      </c>
      <c r="B1219" s="33" t="s">
        <v>15</v>
      </c>
      <c r="C1219" s="78">
        <v>27588000</v>
      </c>
      <c r="D1219" s="78">
        <v>25080000</v>
      </c>
      <c r="E1219" s="78">
        <v>2508000</v>
      </c>
      <c r="F1219" s="54" t="s">
        <v>401</v>
      </c>
      <c r="G1219" s="9">
        <v>43769</v>
      </c>
    </row>
    <row r="1220" spans="1:10">
      <c r="A1220" s="52" t="s">
        <v>400</v>
      </c>
      <c r="B1220" s="33" t="s">
        <v>15</v>
      </c>
      <c r="C1220" s="78">
        <v>33044000</v>
      </c>
      <c r="D1220" s="78">
        <v>30040000</v>
      </c>
      <c r="E1220" s="78">
        <v>3004000</v>
      </c>
      <c r="F1220" s="54" t="s">
        <v>402</v>
      </c>
      <c r="G1220" s="9">
        <v>43769</v>
      </c>
    </row>
    <row r="1221" spans="1:10">
      <c r="A1221" s="52" t="s">
        <v>400</v>
      </c>
      <c r="B1221" s="33" t="s">
        <v>15</v>
      </c>
      <c r="C1221" s="78">
        <v>5478000</v>
      </c>
      <c r="D1221" s="78">
        <v>4980000</v>
      </c>
      <c r="E1221" s="78">
        <v>498000</v>
      </c>
      <c r="F1221" s="54" t="s">
        <v>403</v>
      </c>
      <c r="G1221" s="9">
        <v>43769</v>
      </c>
    </row>
    <row r="1222" spans="1:10">
      <c r="A1222" s="52" t="s">
        <v>400</v>
      </c>
      <c r="B1222" s="33" t="s">
        <v>15</v>
      </c>
      <c r="C1222" s="78">
        <v>7260000</v>
      </c>
      <c r="D1222" s="78">
        <v>6600000</v>
      </c>
      <c r="E1222" s="78">
        <v>660000</v>
      </c>
      <c r="F1222" s="54" t="s">
        <v>313</v>
      </c>
      <c r="G1222" s="9">
        <v>43769</v>
      </c>
    </row>
    <row r="1223" spans="1:10">
      <c r="A1223" s="52" t="s">
        <v>400</v>
      </c>
      <c r="B1223" s="33" t="s">
        <v>15</v>
      </c>
      <c r="C1223" s="78">
        <v>7810000</v>
      </c>
      <c r="D1223" s="78">
        <v>7100000</v>
      </c>
      <c r="E1223" s="78">
        <v>710000</v>
      </c>
      <c r="F1223" s="54" t="s">
        <v>69</v>
      </c>
      <c r="G1223" s="9">
        <v>43769</v>
      </c>
    </row>
    <row r="1224" spans="1:10">
      <c r="A1224" s="52" t="s">
        <v>400</v>
      </c>
      <c r="B1224" s="33" t="s">
        <v>15</v>
      </c>
      <c r="C1224" s="78">
        <v>3630000</v>
      </c>
      <c r="D1224" s="78">
        <v>3300000</v>
      </c>
      <c r="E1224" s="78">
        <v>330000</v>
      </c>
      <c r="F1224" s="54" t="s">
        <v>262</v>
      </c>
      <c r="G1224" s="9">
        <v>43769</v>
      </c>
    </row>
    <row r="1225" spans="1:10">
      <c r="A1225" s="52" t="s">
        <v>400</v>
      </c>
      <c r="B1225" s="33" t="s">
        <v>295</v>
      </c>
      <c r="C1225" s="78">
        <v>935000</v>
      </c>
      <c r="D1225" s="78">
        <v>850000</v>
      </c>
      <c r="E1225" s="78">
        <v>85000</v>
      </c>
      <c r="F1225" s="54" t="s">
        <v>13</v>
      </c>
      <c r="G1225" s="9">
        <v>43753</v>
      </c>
    </row>
    <row r="1226" spans="1:10">
      <c r="A1226" s="52" t="s">
        <v>400</v>
      </c>
      <c r="B1226" s="33" t="s">
        <v>352</v>
      </c>
      <c r="C1226" s="78">
        <v>451000</v>
      </c>
      <c r="D1226" s="78">
        <v>410000</v>
      </c>
      <c r="E1226" s="78">
        <v>41000</v>
      </c>
      <c r="F1226" s="54" t="s">
        <v>13</v>
      </c>
      <c r="G1226" s="9">
        <v>43795</v>
      </c>
    </row>
    <row r="1227" spans="1:10">
      <c r="A1227" s="52" t="s">
        <v>400</v>
      </c>
      <c r="B1227" s="33" t="s">
        <v>82</v>
      </c>
      <c r="C1227" s="78">
        <v>1815000</v>
      </c>
      <c r="D1227" s="78">
        <v>1650000</v>
      </c>
      <c r="E1227" s="78">
        <v>165000</v>
      </c>
      <c r="F1227" s="54" t="s">
        <v>13</v>
      </c>
      <c r="G1227" s="9">
        <v>43753</v>
      </c>
    </row>
    <row r="1228" spans="1:10">
      <c r="A1228" s="52" t="s">
        <v>400</v>
      </c>
      <c r="B1228" s="33" t="s">
        <v>86</v>
      </c>
      <c r="C1228" s="78">
        <v>4400000</v>
      </c>
      <c r="D1228" s="78">
        <v>4000000</v>
      </c>
      <c r="E1228" s="78">
        <v>400000</v>
      </c>
      <c r="F1228" s="54" t="s">
        <v>13</v>
      </c>
      <c r="G1228" s="9">
        <v>43805</v>
      </c>
    </row>
    <row r="1229" spans="1:10">
      <c r="A1229" s="52" t="s">
        <v>400</v>
      </c>
      <c r="B1229" s="33" t="s">
        <v>63</v>
      </c>
      <c r="C1229" s="78">
        <v>781000</v>
      </c>
      <c r="D1229" s="78">
        <v>710000</v>
      </c>
      <c r="E1229" s="78">
        <v>71000</v>
      </c>
      <c r="F1229" s="54" t="s">
        <v>13</v>
      </c>
      <c r="G1229" s="9">
        <v>43746</v>
      </c>
    </row>
    <row r="1230" spans="1:10">
      <c r="A1230" s="52" t="s">
        <v>400</v>
      </c>
      <c r="B1230" s="33" t="s">
        <v>79</v>
      </c>
      <c r="C1230" s="78">
        <v>968000</v>
      </c>
      <c r="D1230" s="78">
        <v>880000</v>
      </c>
      <c r="E1230" s="78">
        <v>88000</v>
      </c>
      <c r="F1230" s="54" t="s">
        <v>13</v>
      </c>
      <c r="G1230" s="9">
        <v>43770</v>
      </c>
    </row>
    <row r="1231" spans="1:10">
      <c r="A1231" s="52" t="s">
        <v>400</v>
      </c>
      <c r="B1231" s="33" t="s">
        <v>360</v>
      </c>
      <c r="C1231" s="78">
        <v>2288000</v>
      </c>
      <c r="D1231" s="78">
        <v>2080000</v>
      </c>
      <c r="E1231" s="78">
        <v>208000</v>
      </c>
      <c r="F1231" s="54" t="s">
        <v>13</v>
      </c>
      <c r="G1231" s="9">
        <v>43749</v>
      </c>
    </row>
    <row r="1232" spans="1:10">
      <c r="A1232" s="52" t="s">
        <v>400</v>
      </c>
      <c r="B1232" s="33" t="s">
        <v>2</v>
      </c>
      <c r="C1232" s="78">
        <v>968000</v>
      </c>
      <c r="D1232" s="78">
        <v>880000</v>
      </c>
      <c r="E1232" s="78">
        <v>88000</v>
      </c>
      <c r="F1232" s="54" t="s">
        <v>346</v>
      </c>
      <c r="G1232" s="9">
        <v>43748</v>
      </c>
      <c r="H1232" s="17" t="s">
        <v>517</v>
      </c>
    </row>
    <row r="1233" spans="1:19">
      <c r="A1233" s="52" t="s">
        <v>400</v>
      </c>
      <c r="B1233" s="33" t="s">
        <v>2</v>
      </c>
      <c r="C1233" s="78">
        <v>59248200</v>
      </c>
      <c r="D1233" s="78">
        <v>53862000</v>
      </c>
      <c r="E1233" s="78">
        <v>5386200</v>
      </c>
      <c r="F1233" s="54" t="s">
        <v>399</v>
      </c>
      <c r="G1233" s="9">
        <v>43748</v>
      </c>
      <c r="H1233" s="17" t="s">
        <v>517</v>
      </c>
    </row>
    <row r="1234" spans="1:19">
      <c r="A1234" s="52" t="s">
        <v>400</v>
      </c>
      <c r="B1234" s="33" t="s">
        <v>2</v>
      </c>
      <c r="C1234" s="78">
        <v>1892000</v>
      </c>
      <c r="D1234" s="78">
        <v>1720000</v>
      </c>
      <c r="E1234" s="78">
        <v>172000</v>
      </c>
      <c r="F1234" s="54" t="s">
        <v>346</v>
      </c>
      <c r="G1234" s="9">
        <v>43748</v>
      </c>
    </row>
    <row r="1235" spans="1:19">
      <c r="A1235" s="52" t="s">
        <v>400</v>
      </c>
      <c r="B1235" s="33" t="s">
        <v>2</v>
      </c>
      <c r="C1235" s="78">
        <v>13876500</v>
      </c>
      <c r="D1235" s="78">
        <v>12615000</v>
      </c>
      <c r="E1235" s="78">
        <v>1261500</v>
      </c>
      <c r="F1235" s="54" t="s">
        <v>313</v>
      </c>
      <c r="G1235" s="9">
        <v>43748</v>
      </c>
    </row>
    <row r="1236" spans="1:19">
      <c r="A1236" s="52" t="s">
        <v>400</v>
      </c>
      <c r="B1236" s="33" t="s">
        <v>2</v>
      </c>
      <c r="C1236" s="78">
        <v>3542000</v>
      </c>
      <c r="D1236" s="78">
        <v>3220000</v>
      </c>
      <c r="E1236" s="78">
        <v>322000</v>
      </c>
      <c r="F1236" s="54" t="s">
        <v>399</v>
      </c>
      <c r="G1236" s="9">
        <v>43748</v>
      </c>
    </row>
    <row r="1237" spans="1:19">
      <c r="A1237" s="52" t="s">
        <v>400</v>
      </c>
      <c r="B1237" s="33" t="s">
        <v>2</v>
      </c>
      <c r="C1237" s="78">
        <v>231000</v>
      </c>
      <c r="D1237" s="78">
        <v>210000</v>
      </c>
      <c r="E1237" s="78">
        <v>21000</v>
      </c>
      <c r="F1237" s="54" t="s">
        <v>381</v>
      </c>
      <c r="G1237" s="9">
        <v>43748</v>
      </c>
    </row>
    <row r="1238" spans="1:19">
      <c r="A1238" s="52" t="s">
        <v>400</v>
      </c>
      <c r="B1238" s="33" t="s">
        <v>2</v>
      </c>
      <c r="C1238" s="78">
        <v>1815000</v>
      </c>
      <c r="D1238" s="78">
        <v>1650000</v>
      </c>
      <c r="E1238" s="78">
        <v>165000</v>
      </c>
      <c r="F1238" s="54" t="s">
        <v>245</v>
      </c>
      <c r="G1238" s="9">
        <v>43748</v>
      </c>
    </row>
    <row r="1239" spans="1:19">
      <c r="A1239" s="52" t="s">
        <v>400</v>
      </c>
      <c r="B1239" s="33" t="s">
        <v>2</v>
      </c>
      <c r="C1239" s="78">
        <v>924000</v>
      </c>
      <c r="D1239" s="78">
        <v>840000</v>
      </c>
      <c r="E1239" s="78">
        <v>84000</v>
      </c>
      <c r="F1239" s="54" t="s">
        <v>375</v>
      </c>
      <c r="G1239" s="9">
        <v>43748</v>
      </c>
    </row>
    <row r="1240" spans="1:19">
      <c r="A1240" s="52" t="s">
        <v>400</v>
      </c>
      <c r="B1240" s="33" t="s">
        <v>2</v>
      </c>
      <c r="C1240" s="78">
        <v>1186900</v>
      </c>
      <c r="D1240" s="78">
        <v>1079000</v>
      </c>
      <c r="E1240" s="78">
        <v>107900</v>
      </c>
      <c r="F1240" s="54" t="s">
        <v>254</v>
      </c>
      <c r="G1240" s="9">
        <v>43748</v>
      </c>
    </row>
    <row r="1241" spans="1:19">
      <c r="A1241" s="52" t="s">
        <v>400</v>
      </c>
      <c r="B1241" s="33" t="s">
        <v>2</v>
      </c>
      <c r="C1241" s="78">
        <v>4929100</v>
      </c>
      <c r="D1241" s="78">
        <v>4481000</v>
      </c>
      <c r="E1241" s="78">
        <v>448100</v>
      </c>
      <c r="F1241" s="54" t="s">
        <v>306</v>
      </c>
      <c r="G1241" s="9">
        <v>43748</v>
      </c>
    </row>
    <row r="1242" spans="1:19">
      <c r="A1242" s="52" t="s">
        <v>400</v>
      </c>
      <c r="B1242" s="33" t="s">
        <v>2</v>
      </c>
      <c r="C1242" s="78">
        <v>2854280</v>
      </c>
      <c r="D1242" s="78">
        <v>2594800</v>
      </c>
      <c r="E1242" s="78">
        <v>259480</v>
      </c>
      <c r="F1242" s="54" t="s">
        <v>233</v>
      </c>
      <c r="G1242" s="9">
        <v>43748</v>
      </c>
    </row>
    <row r="1243" spans="1:19">
      <c r="A1243" s="52" t="s">
        <v>400</v>
      </c>
      <c r="B1243" s="33" t="s">
        <v>2</v>
      </c>
      <c r="C1243" s="78">
        <v>1243000</v>
      </c>
      <c r="D1243" s="78">
        <v>1130000</v>
      </c>
      <c r="E1243" s="78">
        <v>113000</v>
      </c>
      <c r="F1243" s="54" t="s">
        <v>280</v>
      </c>
      <c r="G1243" s="9">
        <v>43748</v>
      </c>
    </row>
    <row r="1244" spans="1:19">
      <c r="A1244" s="52" t="s">
        <v>400</v>
      </c>
      <c r="B1244" s="33" t="s">
        <v>385</v>
      </c>
      <c r="C1244" s="78">
        <v>770000</v>
      </c>
      <c r="D1244" s="78">
        <v>700000</v>
      </c>
      <c r="E1244" s="78">
        <v>70000</v>
      </c>
      <c r="F1244" s="54" t="s">
        <v>386</v>
      </c>
      <c r="G1244" s="9">
        <v>43748</v>
      </c>
      <c r="I1244" s="304" t="s">
        <v>532</v>
      </c>
      <c r="J1244" s="304"/>
      <c r="K1244" s="304"/>
    </row>
    <row r="1245" spans="1:19">
      <c r="A1245" s="52" t="s">
        <v>400</v>
      </c>
      <c r="B1245" s="33" t="s">
        <v>385</v>
      </c>
      <c r="C1245" s="78">
        <v>28050000</v>
      </c>
      <c r="D1245" s="78">
        <v>25500000</v>
      </c>
      <c r="E1245" s="78">
        <v>2550000</v>
      </c>
      <c r="F1245" s="54" t="s">
        <v>387</v>
      </c>
      <c r="G1245" s="9">
        <v>43748</v>
      </c>
      <c r="I1245" s="18" t="s">
        <v>487</v>
      </c>
      <c r="J1245" s="36" t="s">
        <v>488</v>
      </c>
      <c r="K1245" s="36" t="s">
        <v>494</v>
      </c>
    </row>
    <row r="1246" spans="1:19">
      <c r="A1246" s="52" t="s">
        <v>400</v>
      </c>
      <c r="B1246" s="33" t="s">
        <v>155</v>
      </c>
      <c r="C1246" s="78">
        <v>1485000</v>
      </c>
      <c r="D1246" s="78">
        <v>1350000</v>
      </c>
      <c r="E1246" s="78">
        <v>135000</v>
      </c>
      <c r="F1246" s="54" t="s">
        <v>13</v>
      </c>
      <c r="G1246" s="10">
        <v>43760</v>
      </c>
      <c r="H1246" s="51"/>
      <c r="I1246" s="18">
        <f>SUM(C1205:C1246)</f>
        <v>337383970</v>
      </c>
      <c r="J1246" s="18">
        <f>SUM(D1205:D1246)</f>
        <v>306712700</v>
      </c>
      <c r="K1246" s="18">
        <f>SUM(E1205:E1246)</f>
        <v>30671270</v>
      </c>
      <c r="L1246" s="42"/>
      <c r="M1246" s="42"/>
      <c r="N1246" s="42"/>
      <c r="O1246" s="42"/>
      <c r="P1246" s="42"/>
      <c r="Q1246" s="42"/>
      <c r="R1246" s="42"/>
      <c r="S1246" s="42"/>
    </row>
    <row r="1247" spans="1:19">
      <c r="A1247" s="57" t="s">
        <v>404</v>
      </c>
      <c r="B1247" s="58" t="s">
        <v>2</v>
      </c>
      <c r="C1247" s="79">
        <v>3184500</v>
      </c>
      <c r="D1247" s="79">
        <v>2895000</v>
      </c>
      <c r="E1247" s="79">
        <v>289500</v>
      </c>
      <c r="F1247" s="60" t="s">
        <v>346</v>
      </c>
      <c r="G1247" s="9">
        <v>43759</v>
      </c>
    </row>
    <row r="1248" spans="1:19">
      <c r="A1248" s="52" t="s">
        <v>404</v>
      </c>
      <c r="B1248" s="33" t="s">
        <v>2</v>
      </c>
      <c r="C1248" s="78">
        <v>24123000</v>
      </c>
      <c r="D1248" s="78">
        <v>21930000</v>
      </c>
      <c r="E1248" s="78">
        <v>2193000</v>
      </c>
      <c r="F1248" s="54" t="s">
        <v>313</v>
      </c>
      <c r="G1248" s="9">
        <v>43759</v>
      </c>
    </row>
    <row r="1249" spans="1:19">
      <c r="A1249" s="52" t="s">
        <v>404</v>
      </c>
      <c r="B1249" s="33" t="s">
        <v>2</v>
      </c>
      <c r="C1249" s="78">
        <v>462000</v>
      </c>
      <c r="D1249" s="78">
        <v>420000</v>
      </c>
      <c r="E1249" s="78">
        <v>42000</v>
      </c>
      <c r="F1249" s="54" t="s">
        <v>375</v>
      </c>
      <c r="G1249" s="9">
        <v>43759</v>
      </c>
    </row>
    <row r="1250" spans="1:19">
      <c r="A1250" s="52" t="s">
        <v>404</v>
      </c>
      <c r="B1250" s="33" t="s">
        <v>2</v>
      </c>
      <c r="C1250" s="78">
        <v>3762000</v>
      </c>
      <c r="D1250" s="78">
        <v>3420000</v>
      </c>
      <c r="E1250" s="78">
        <v>342000</v>
      </c>
      <c r="F1250" s="54" t="s">
        <v>142</v>
      </c>
      <c r="G1250" s="9">
        <v>43759</v>
      </c>
    </row>
    <row r="1251" spans="1:19">
      <c r="A1251" s="52" t="s">
        <v>404</v>
      </c>
      <c r="B1251" s="33" t="s">
        <v>2</v>
      </c>
      <c r="C1251" s="78">
        <v>731500</v>
      </c>
      <c r="D1251" s="78">
        <v>665000</v>
      </c>
      <c r="E1251" s="78">
        <v>66500</v>
      </c>
      <c r="F1251" s="54" t="s">
        <v>381</v>
      </c>
      <c r="G1251" s="9">
        <v>43759</v>
      </c>
    </row>
    <row r="1252" spans="1:19">
      <c r="A1252" s="52" t="s">
        <v>404</v>
      </c>
      <c r="B1252" s="33" t="s">
        <v>2</v>
      </c>
      <c r="C1252" s="78">
        <v>3960000</v>
      </c>
      <c r="D1252" s="78">
        <v>3600000</v>
      </c>
      <c r="E1252" s="78">
        <v>360000</v>
      </c>
      <c r="F1252" s="54" t="s">
        <v>245</v>
      </c>
      <c r="G1252" s="9">
        <v>43759</v>
      </c>
    </row>
    <row r="1253" spans="1:19">
      <c r="A1253" s="52" t="s">
        <v>404</v>
      </c>
      <c r="B1253" s="33" t="s">
        <v>2</v>
      </c>
      <c r="C1253" s="78">
        <v>821700</v>
      </c>
      <c r="D1253" s="78">
        <v>747000</v>
      </c>
      <c r="E1253" s="78">
        <v>74700</v>
      </c>
      <c r="F1253" s="54" t="s">
        <v>254</v>
      </c>
      <c r="G1253" s="9">
        <v>43759</v>
      </c>
    </row>
    <row r="1254" spans="1:19">
      <c r="A1254" s="52" t="s">
        <v>404</v>
      </c>
      <c r="B1254" s="33" t="s">
        <v>2</v>
      </c>
      <c r="C1254" s="78">
        <v>6417400</v>
      </c>
      <c r="D1254" s="78">
        <v>5834000</v>
      </c>
      <c r="E1254" s="78">
        <v>583400</v>
      </c>
      <c r="F1254" s="54" t="s">
        <v>306</v>
      </c>
      <c r="G1254" s="9">
        <v>43759</v>
      </c>
    </row>
    <row r="1255" spans="1:19">
      <c r="A1255" s="52" t="s">
        <v>404</v>
      </c>
      <c r="B1255" s="33" t="s">
        <v>2</v>
      </c>
      <c r="C1255" s="78">
        <v>3293400</v>
      </c>
      <c r="D1255" s="78">
        <v>2994000</v>
      </c>
      <c r="E1255" s="78">
        <v>299400</v>
      </c>
      <c r="F1255" s="54" t="s">
        <v>233</v>
      </c>
      <c r="G1255" s="9">
        <v>43759</v>
      </c>
    </row>
    <row r="1256" spans="1:19">
      <c r="A1256" s="52" t="s">
        <v>404</v>
      </c>
      <c r="B1256" s="33" t="s">
        <v>2</v>
      </c>
      <c r="C1256" s="78">
        <v>3679500</v>
      </c>
      <c r="D1256" s="78">
        <v>3345000</v>
      </c>
      <c r="E1256" s="78">
        <v>334500</v>
      </c>
      <c r="F1256" s="54" t="s">
        <v>280</v>
      </c>
      <c r="G1256" s="9">
        <v>43759</v>
      </c>
    </row>
    <row r="1257" spans="1:19">
      <c r="A1257" s="52" t="s">
        <v>405</v>
      </c>
      <c r="B1257" s="33" t="s">
        <v>406</v>
      </c>
      <c r="C1257" s="78">
        <v>1870000</v>
      </c>
      <c r="D1257" s="78">
        <v>1700000</v>
      </c>
      <c r="E1257" s="78">
        <v>170000</v>
      </c>
      <c r="F1257" s="54" t="s">
        <v>13</v>
      </c>
      <c r="G1257" s="9">
        <v>43768</v>
      </c>
    </row>
    <row r="1258" spans="1:19">
      <c r="A1258" s="52" t="s">
        <v>407</v>
      </c>
      <c r="B1258" s="33" t="s">
        <v>82</v>
      </c>
      <c r="C1258" s="78">
        <v>1749000</v>
      </c>
      <c r="D1258" s="78">
        <v>1590000</v>
      </c>
      <c r="E1258" s="78">
        <v>159000</v>
      </c>
      <c r="F1258" s="54" t="s">
        <v>13</v>
      </c>
      <c r="G1258" s="9">
        <v>43784</v>
      </c>
    </row>
    <row r="1259" spans="1:19">
      <c r="A1259" s="52" t="s">
        <v>407</v>
      </c>
      <c r="B1259" s="33" t="s">
        <v>82</v>
      </c>
      <c r="C1259" s="78">
        <v>2508000</v>
      </c>
      <c r="D1259" s="78">
        <v>2280000</v>
      </c>
      <c r="E1259" s="78">
        <v>228000</v>
      </c>
      <c r="F1259" s="54" t="s">
        <v>13</v>
      </c>
      <c r="G1259" s="9">
        <v>43784</v>
      </c>
    </row>
    <row r="1260" spans="1:19">
      <c r="A1260" s="52" t="s">
        <v>407</v>
      </c>
      <c r="B1260" s="33" t="s">
        <v>2</v>
      </c>
      <c r="C1260" s="78">
        <v>330000</v>
      </c>
      <c r="D1260" s="78">
        <v>300000</v>
      </c>
      <c r="E1260" s="78">
        <v>30000</v>
      </c>
      <c r="F1260" s="54" t="s">
        <v>255</v>
      </c>
      <c r="G1260" s="9">
        <v>43780</v>
      </c>
    </row>
    <row r="1261" spans="1:19">
      <c r="A1261" s="55" t="s">
        <v>407</v>
      </c>
      <c r="B1261" s="30" t="s">
        <v>2</v>
      </c>
      <c r="C1261" s="80">
        <v>-313500</v>
      </c>
      <c r="D1261" s="80">
        <v>-285000</v>
      </c>
      <c r="E1261" s="80">
        <v>-28500</v>
      </c>
      <c r="F1261" s="31" t="s">
        <v>255</v>
      </c>
      <c r="G1261" s="30" t="s">
        <v>496</v>
      </c>
      <c r="H1261" s="31"/>
      <c r="I1261" s="73"/>
      <c r="J1261" s="74"/>
      <c r="K1261" s="30"/>
      <c r="L1261" s="30"/>
      <c r="M1261" s="30"/>
      <c r="N1261" s="30"/>
      <c r="O1261" s="30"/>
      <c r="P1261" s="30"/>
      <c r="Q1261" s="30"/>
      <c r="R1261" s="30"/>
      <c r="S1261" s="30"/>
    </row>
    <row r="1262" spans="1:19">
      <c r="A1262" s="52" t="s">
        <v>407</v>
      </c>
      <c r="B1262" s="33" t="s">
        <v>295</v>
      </c>
      <c r="C1262" s="78">
        <v>297000</v>
      </c>
      <c r="D1262" s="78">
        <v>270000</v>
      </c>
      <c r="E1262" s="78">
        <v>27000</v>
      </c>
      <c r="F1262" s="54" t="s">
        <v>13</v>
      </c>
      <c r="G1262" s="9">
        <v>43777</v>
      </c>
    </row>
    <row r="1263" spans="1:19">
      <c r="A1263" s="52" t="s">
        <v>407</v>
      </c>
      <c r="B1263" s="33" t="s">
        <v>70</v>
      </c>
      <c r="C1263" s="78">
        <v>1683000</v>
      </c>
      <c r="D1263" s="78">
        <v>1530000</v>
      </c>
      <c r="E1263" s="78">
        <v>153000</v>
      </c>
      <c r="F1263" s="54" t="s">
        <v>13</v>
      </c>
      <c r="G1263" s="9">
        <v>43780</v>
      </c>
    </row>
    <row r="1264" spans="1:19">
      <c r="A1264" s="52" t="s">
        <v>407</v>
      </c>
      <c r="B1264" s="33" t="s">
        <v>86</v>
      </c>
      <c r="C1264" s="78">
        <v>6561500</v>
      </c>
      <c r="D1264" s="78">
        <v>5965000</v>
      </c>
      <c r="E1264" s="78">
        <v>596500</v>
      </c>
      <c r="F1264" s="54" t="s">
        <v>13</v>
      </c>
      <c r="G1264" s="9">
        <v>43817</v>
      </c>
    </row>
    <row r="1265" spans="1:19">
      <c r="A1265" s="52" t="s">
        <v>407</v>
      </c>
      <c r="B1265" s="33" t="s">
        <v>360</v>
      </c>
      <c r="C1265" s="78">
        <v>3949000</v>
      </c>
      <c r="D1265" s="78">
        <v>3590000</v>
      </c>
      <c r="E1265" s="78">
        <v>359000</v>
      </c>
      <c r="F1265" s="54" t="s">
        <v>66</v>
      </c>
      <c r="G1265" s="9">
        <v>43780</v>
      </c>
    </row>
    <row r="1266" spans="1:19">
      <c r="A1266" s="52" t="s">
        <v>407</v>
      </c>
      <c r="B1266" s="33" t="s">
        <v>15</v>
      </c>
      <c r="C1266" s="78">
        <v>3696000</v>
      </c>
      <c r="D1266" s="78">
        <v>3360000</v>
      </c>
      <c r="E1266" s="78">
        <v>336000</v>
      </c>
      <c r="F1266" s="54" t="s">
        <v>313</v>
      </c>
      <c r="G1266" s="9">
        <v>43794</v>
      </c>
    </row>
    <row r="1267" spans="1:19">
      <c r="A1267" s="52" t="s">
        <v>407</v>
      </c>
      <c r="B1267" s="33" t="s">
        <v>15</v>
      </c>
      <c r="C1267" s="78">
        <v>7920000</v>
      </c>
      <c r="D1267" s="78">
        <v>7200000</v>
      </c>
      <c r="E1267" s="78">
        <v>720000</v>
      </c>
      <c r="F1267" s="54" t="s">
        <v>69</v>
      </c>
      <c r="G1267" s="9">
        <v>43794</v>
      </c>
    </row>
    <row r="1268" spans="1:19">
      <c r="A1268" s="52" t="s">
        <v>407</v>
      </c>
      <c r="B1268" s="33" t="s">
        <v>15</v>
      </c>
      <c r="C1268" s="78">
        <v>5060000</v>
      </c>
      <c r="D1268" s="78">
        <v>4600000</v>
      </c>
      <c r="E1268" s="78">
        <v>460000</v>
      </c>
      <c r="F1268" s="54" t="s">
        <v>262</v>
      </c>
      <c r="G1268" s="9">
        <v>43794</v>
      </c>
    </row>
    <row r="1269" spans="1:19">
      <c r="A1269" s="52" t="s">
        <v>407</v>
      </c>
      <c r="B1269" s="33" t="s">
        <v>385</v>
      </c>
      <c r="C1269" s="78">
        <v>990000</v>
      </c>
      <c r="D1269" s="78">
        <v>900000</v>
      </c>
      <c r="E1269" s="78">
        <v>90000</v>
      </c>
      <c r="F1269" s="54" t="s">
        <v>386</v>
      </c>
      <c r="G1269" s="9">
        <v>43777</v>
      </c>
    </row>
    <row r="1270" spans="1:19">
      <c r="A1270" s="52" t="s">
        <v>407</v>
      </c>
      <c r="B1270" s="33" t="s">
        <v>385</v>
      </c>
      <c r="C1270" s="78">
        <v>28380000</v>
      </c>
      <c r="D1270" s="78">
        <v>25800000</v>
      </c>
      <c r="E1270" s="78">
        <v>2580000</v>
      </c>
      <c r="F1270" s="54" t="s">
        <v>387</v>
      </c>
      <c r="G1270" s="9">
        <v>43777</v>
      </c>
    </row>
    <row r="1271" spans="1:19">
      <c r="A1271" s="52" t="s">
        <v>407</v>
      </c>
      <c r="B1271" s="33" t="s">
        <v>2</v>
      </c>
      <c r="C1271" s="78">
        <v>1903000</v>
      </c>
      <c r="D1271" s="78">
        <v>1730000</v>
      </c>
      <c r="E1271" s="78">
        <v>173000</v>
      </c>
      <c r="F1271" s="54" t="s">
        <v>346</v>
      </c>
      <c r="G1271" s="9">
        <v>43780</v>
      </c>
    </row>
    <row r="1272" spans="1:19">
      <c r="A1272" s="52" t="s">
        <v>407</v>
      </c>
      <c r="B1272" s="33" t="s">
        <v>2</v>
      </c>
      <c r="C1272" s="78">
        <v>18353500</v>
      </c>
      <c r="D1272" s="78">
        <v>16685000</v>
      </c>
      <c r="E1272" s="78">
        <v>1668500</v>
      </c>
      <c r="F1272" s="54" t="s">
        <v>313</v>
      </c>
      <c r="G1272" s="9">
        <v>43780</v>
      </c>
    </row>
    <row r="1273" spans="1:19">
      <c r="A1273" s="52" t="s">
        <v>407</v>
      </c>
      <c r="B1273" s="33" t="s">
        <v>2</v>
      </c>
      <c r="C1273" s="78">
        <v>924000</v>
      </c>
      <c r="D1273" s="78">
        <v>840000</v>
      </c>
      <c r="E1273" s="78">
        <v>84000</v>
      </c>
      <c r="F1273" s="54" t="s">
        <v>375</v>
      </c>
      <c r="G1273" s="9">
        <v>43780</v>
      </c>
    </row>
    <row r="1274" spans="1:19">
      <c r="A1274" s="52" t="s">
        <v>407</v>
      </c>
      <c r="B1274" s="33" t="s">
        <v>2</v>
      </c>
      <c r="C1274" s="78">
        <v>3344000</v>
      </c>
      <c r="D1274" s="78">
        <v>3040000</v>
      </c>
      <c r="E1274" s="78">
        <v>304000</v>
      </c>
      <c r="F1274" s="54" t="s">
        <v>408</v>
      </c>
      <c r="G1274" s="9">
        <v>43780</v>
      </c>
    </row>
    <row r="1275" spans="1:19">
      <c r="A1275" s="52" t="s">
        <v>407</v>
      </c>
      <c r="B1275" s="33" t="s">
        <v>2</v>
      </c>
      <c r="C1275" s="78">
        <v>627000</v>
      </c>
      <c r="D1275" s="78">
        <v>570000</v>
      </c>
      <c r="E1275" s="78">
        <v>57000</v>
      </c>
      <c r="F1275" s="54" t="s">
        <v>381</v>
      </c>
      <c r="G1275" s="9">
        <v>43780</v>
      </c>
    </row>
    <row r="1276" spans="1:19">
      <c r="A1276" s="52" t="s">
        <v>407</v>
      </c>
      <c r="B1276" s="33" t="s">
        <v>2</v>
      </c>
      <c r="C1276" s="78">
        <v>3025000</v>
      </c>
      <c r="D1276" s="78">
        <v>2750000</v>
      </c>
      <c r="E1276" s="78">
        <v>275000</v>
      </c>
      <c r="F1276" s="54" t="s">
        <v>245</v>
      </c>
      <c r="G1276" s="9">
        <v>43780</v>
      </c>
    </row>
    <row r="1277" spans="1:19">
      <c r="A1277" s="52" t="s">
        <v>407</v>
      </c>
      <c r="B1277" s="33" t="s">
        <v>2</v>
      </c>
      <c r="C1277" s="78">
        <v>456500</v>
      </c>
      <c r="D1277" s="78">
        <v>415000</v>
      </c>
      <c r="E1277" s="78">
        <v>41500</v>
      </c>
      <c r="F1277" s="54" t="s">
        <v>254</v>
      </c>
      <c r="G1277" s="9">
        <v>43780</v>
      </c>
    </row>
    <row r="1278" spans="1:19">
      <c r="A1278" s="55" t="s">
        <v>407</v>
      </c>
      <c r="B1278" s="30" t="s">
        <v>2</v>
      </c>
      <c r="C1278" s="80">
        <v>313500</v>
      </c>
      <c r="D1278" s="80">
        <v>285000</v>
      </c>
      <c r="E1278" s="80">
        <v>28500</v>
      </c>
      <c r="F1278" s="31" t="s">
        <v>255</v>
      </c>
      <c r="G1278" s="30" t="s">
        <v>496</v>
      </c>
      <c r="H1278" s="31"/>
      <c r="I1278" s="73"/>
      <c r="J1278" s="74"/>
      <c r="K1278" s="30"/>
      <c r="L1278" s="30"/>
      <c r="M1278" s="30"/>
      <c r="N1278" s="30"/>
      <c r="O1278" s="30"/>
      <c r="P1278" s="30"/>
      <c r="Q1278" s="30"/>
      <c r="R1278" s="30"/>
      <c r="S1278" s="30"/>
    </row>
    <row r="1279" spans="1:19">
      <c r="A1279" s="52" t="s">
        <v>407</v>
      </c>
      <c r="B1279" s="33" t="s">
        <v>2</v>
      </c>
      <c r="C1279" s="78">
        <v>8046500</v>
      </c>
      <c r="D1279" s="78">
        <v>7315000</v>
      </c>
      <c r="E1279" s="78">
        <v>731500</v>
      </c>
      <c r="F1279" s="54" t="s">
        <v>306</v>
      </c>
      <c r="G1279" s="9">
        <v>43780</v>
      </c>
    </row>
    <row r="1280" spans="1:19">
      <c r="A1280" s="52" t="s">
        <v>407</v>
      </c>
      <c r="B1280" s="33" t="s">
        <v>2</v>
      </c>
      <c r="C1280" s="78">
        <v>3403180</v>
      </c>
      <c r="D1280" s="78">
        <v>3093800</v>
      </c>
      <c r="E1280" s="78">
        <v>309380</v>
      </c>
      <c r="F1280" s="54" t="s">
        <v>233</v>
      </c>
      <c r="G1280" s="9">
        <v>43780</v>
      </c>
    </row>
    <row r="1281" spans="1:19">
      <c r="A1281" s="52" t="s">
        <v>407</v>
      </c>
      <c r="B1281" s="33" t="s">
        <v>2</v>
      </c>
      <c r="C1281" s="78">
        <v>1892000</v>
      </c>
      <c r="D1281" s="78">
        <v>1720000</v>
      </c>
      <c r="E1281" s="78">
        <v>172000</v>
      </c>
      <c r="F1281" s="54" t="s">
        <v>280</v>
      </c>
      <c r="G1281" s="9">
        <v>43780</v>
      </c>
      <c r="I1281" s="304" t="s">
        <v>536</v>
      </c>
      <c r="J1281" s="304"/>
      <c r="K1281" s="304"/>
    </row>
    <row r="1282" spans="1:19">
      <c r="A1282" s="52" t="s">
        <v>407</v>
      </c>
      <c r="B1282" s="33" t="s">
        <v>63</v>
      </c>
      <c r="C1282" s="78">
        <v>2288000</v>
      </c>
      <c r="D1282" s="78">
        <v>2080000</v>
      </c>
      <c r="E1282" s="78">
        <v>208000</v>
      </c>
      <c r="F1282" s="54" t="s">
        <v>13</v>
      </c>
      <c r="G1282" s="9">
        <v>43773</v>
      </c>
      <c r="I1282" s="18" t="s">
        <v>487</v>
      </c>
      <c r="J1282" s="36" t="s">
        <v>488</v>
      </c>
      <c r="K1282" s="36" t="s">
        <v>494</v>
      </c>
    </row>
    <row r="1283" spans="1:19">
      <c r="A1283" s="52" t="s">
        <v>407</v>
      </c>
      <c r="B1283" s="33" t="s">
        <v>155</v>
      </c>
      <c r="C1283" s="78">
        <v>2233000</v>
      </c>
      <c r="D1283" s="78">
        <v>2030000</v>
      </c>
      <c r="E1283" s="78">
        <v>203000</v>
      </c>
      <c r="F1283" s="54" t="s">
        <v>13</v>
      </c>
      <c r="G1283" s="9">
        <v>43790</v>
      </c>
      <c r="I1283" s="62">
        <f>SUM(C1247:C1283)</f>
        <v>161924180</v>
      </c>
      <c r="J1283" s="62">
        <f>SUM(D1247:D1283)</f>
        <v>147203800</v>
      </c>
      <c r="K1283" s="62">
        <f>SUM(E1247:E1283)</f>
        <v>14720380</v>
      </c>
    </row>
    <row r="1284" spans="1:19">
      <c r="A1284" s="57" t="s">
        <v>410</v>
      </c>
      <c r="B1284" s="58" t="s">
        <v>413</v>
      </c>
      <c r="C1284" s="79">
        <v>264000</v>
      </c>
      <c r="D1284" s="79">
        <v>240000</v>
      </c>
      <c r="E1284" s="79">
        <v>24000</v>
      </c>
      <c r="F1284" s="60" t="s">
        <v>13</v>
      </c>
      <c r="G1284" s="92">
        <v>43843</v>
      </c>
      <c r="H1284" s="105"/>
      <c r="I1284" s="98"/>
      <c r="J1284" s="106"/>
      <c r="K1284" s="99"/>
      <c r="L1284" s="99"/>
      <c r="M1284" s="99"/>
      <c r="N1284" s="99"/>
      <c r="O1284" s="99"/>
      <c r="P1284" s="99"/>
      <c r="Q1284" s="99"/>
      <c r="R1284" s="99"/>
      <c r="S1284" s="99"/>
    </row>
    <row r="1285" spans="1:19">
      <c r="A1285" s="52" t="s">
        <v>410</v>
      </c>
      <c r="B1285" s="33" t="s">
        <v>411</v>
      </c>
      <c r="C1285" s="78">
        <v>143000</v>
      </c>
      <c r="D1285" s="78">
        <v>130000</v>
      </c>
      <c r="E1285" s="78">
        <v>13000</v>
      </c>
      <c r="F1285" s="54" t="s">
        <v>66</v>
      </c>
      <c r="G1285" s="9">
        <v>43798</v>
      </c>
    </row>
    <row r="1286" spans="1:19">
      <c r="A1286" s="52" t="s">
        <v>410</v>
      </c>
      <c r="B1286" s="33" t="s">
        <v>412</v>
      </c>
      <c r="C1286" s="78">
        <v>396000</v>
      </c>
      <c r="D1286" s="78">
        <v>360000</v>
      </c>
      <c r="E1286" s="78">
        <v>36000</v>
      </c>
      <c r="F1286" s="54" t="s">
        <v>254</v>
      </c>
      <c r="G1286" s="9">
        <v>43788</v>
      </c>
    </row>
    <row r="1287" spans="1:19">
      <c r="A1287" s="52" t="s">
        <v>410</v>
      </c>
      <c r="B1287" s="33" t="s">
        <v>2</v>
      </c>
      <c r="C1287" s="78">
        <v>3987500</v>
      </c>
      <c r="D1287" s="78">
        <v>3625000</v>
      </c>
      <c r="E1287" s="78">
        <v>362500</v>
      </c>
      <c r="F1287" s="54" t="s">
        <v>346</v>
      </c>
      <c r="G1287" s="9">
        <v>43789</v>
      </c>
    </row>
    <row r="1288" spans="1:19">
      <c r="A1288" s="52" t="s">
        <v>410</v>
      </c>
      <c r="B1288" s="33" t="s">
        <v>2</v>
      </c>
      <c r="C1288" s="78">
        <v>28297500</v>
      </c>
      <c r="D1288" s="78">
        <v>25725000</v>
      </c>
      <c r="E1288" s="78">
        <v>2572500</v>
      </c>
      <c r="F1288" s="54" t="s">
        <v>313</v>
      </c>
      <c r="G1288" s="9">
        <v>43789</v>
      </c>
    </row>
    <row r="1289" spans="1:19">
      <c r="A1289" s="52" t="s">
        <v>410</v>
      </c>
      <c r="B1289" s="33" t="s">
        <v>2</v>
      </c>
      <c r="C1289" s="78">
        <v>1056000</v>
      </c>
      <c r="D1289" s="78">
        <v>960000</v>
      </c>
      <c r="E1289" s="78">
        <v>96000</v>
      </c>
      <c r="F1289" s="54" t="s">
        <v>371</v>
      </c>
      <c r="G1289" s="9">
        <v>43789</v>
      </c>
    </row>
    <row r="1290" spans="1:19">
      <c r="A1290" s="52" t="s">
        <v>410</v>
      </c>
      <c r="B1290" s="33" t="s">
        <v>2</v>
      </c>
      <c r="C1290" s="78">
        <v>3553000</v>
      </c>
      <c r="D1290" s="78">
        <v>3230000</v>
      </c>
      <c r="E1290" s="78">
        <v>323000</v>
      </c>
      <c r="F1290" s="54" t="s">
        <v>408</v>
      </c>
      <c r="G1290" s="9">
        <v>43789</v>
      </c>
    </row>
    <row r="1291" spans="1:19">
      <c r="A1291" s="52" t="s">
        <v>410</v>
      </c>
      <c r="B1291" s="33" t="s">
        <v>2</v>
      </c>
      <c r="C1291" s="78">
        <v>209000</v>
      </c>
      <c r="D1291" s="78">
        <v>190000</v>
      </c>
      <c r="E1291" s="78">
        <v>19000</v>
      </c>
      <c r="F1291" s="54" t="s">
        <v>381</v>
      </c>
      <c r="G1291" s="9">
        <v>43789</v>
      </c>
    </row>
    <row r="1292" spans="1:19">
      <c r="A1292" s="52" t="s">
        <v>410</v>
      </c>
      <c r="B1292" s="33" t="s">
        <v>2</v>
      </c>
      <c r="C1292" s="78">
        <v>2783000</v>
      </c>
      <c r="D1292" s="78">
        <v>2530000</v>
      </c>
      <c r="E1292" s="78">
        <v>253000</v>
      </c>
      <c r="F1292" s="54" t="s">
        <v>245</v>
      </c>
      <c r="G1292" s="9">
        <v>43789</v>
      </c>
    </row>
    <row r="1293" spans="1:19">
      <c r="A1293" s="52" t="s">
        <v>410</v>
      </c>
      <c r="B1293" s="33" t="s">
        <v>2</v>
      </c>
      <c r="C1293" s="78">
        <v>273900</v>
      </c>
      <c r="D1293" s="78">
        <v>249000</v>
      </c>
      <c r="E1293" s="78">
        <v>24900</v>
      </c>
      <c r="F1293" s="54" t="s">
        <v>254</v>
      </c>
      <c r="G1293" s="9">
        <v>43789</v>
      </c>
    </row>
    <row r="1294" spans="1:19">
      <c r="A1294" s="52" t="s">
        <v>410</v>
      </c>
      <c r="B1294" s="33" t="s">
        <v>2</v>
      </c>
      <c r="C1294" s="78">
        <v>8151000</v>
      </c>
      <c r="D1294" s="78">
        <v>7410000</v>
      </c>
      <c r="E1294" s="78">
        <v>741000</v>
      </c>
      <c r="F1294" s="54" t="s">
        <v>306</v>
      </c>
      <c r="G1294" s="9">
        <v>43789</v>
      </c>
    </row>
    <row r="1295" spans="1:19">
      <c r="A1295" s="52" t="s">
        <v>410</v>
      </c>
      <c r="B1295" s="33" t="s">
        <v>2</v>
      </c>
      <c r="C1295" s="78">
        <v>2964060</v>
      </c>
      <c r="D1295" s="78">
        <v>2694600</v>
      </c>
      <c r="E1295" s="78">
        <v>269460</v>
      </c>
      <c r="F1295" s="54" t="s">
        <v>233</v>
      </c>
      <c r="G1295" s="9">
        <v>43789</v>
      </c>
    </row>
    <row r="1296" spans="1:19">
      <c r="A1296" s="52" t="s">
        <v>410</v>
      </c>
      <c r="B1296" s="33" t="s">
        <v>2</v>
      </c>
      <c r="C1296" s="78">
        <v>2904000</v>
      </c>
      <c r="D1296" s="78">
        <v>2640000</v>
      </c>
      <c r="E1296" s="78">
        <v>264000</v>
      </c>
      <c r="F1296" s="54" t="s">
        <v>280</v>
      </c>
      <c r="G1296" s="9">
        <v>43789</v>
      </c>
    </row>
    <row r="1297" spans="1:10">
      <c r="A1297" s="52" t="s">
        <v>414</v>
      </c>
      <c r="B1297" s="33" t="s">
        <v>79</v>
      </c>
      <c r="C1297" s="78">
        <v>7557000</v>
      </c>
      <c r="D1297" s="78">
        <v>6870000</v>
      </c>
      <c r="E1297" s="78">
        <v>687000</v>
      </c>
      <c r="F1297" s="54" t="s">
        <v>13</v>
      </c>
      <c r="G1297" s="9">
        <v>43801</v>
      </c>
    </row>
    <row r="1298" spans="1:10">
      <c r="A1298" s="52" t="s">
        <v>415</v>
      </c>
      <c r="B1298" s="33" t="s">
        <v>86</v>
      </c>
      <c r="C1298" s="78">
        <v>3168000</v>
      </c>
      <c r="D1298" s="78">
        <v>2880000</v>
      </c>
      <c r="E1298" s="78">
        <v>288000</v>
      </c>
      <c r="F1298" s="54" t="s">
        <v>13</v>
      </c>
      <c r="G1298" s="9">
        <v>43832</v>
      </c>
      <c r="H1298" s="114"/>
      <c r="I1298" s="16"/>
      <c r="J1298" s="14"/>
    </row>
    <row r="1299" spans="1:10">
      <c r="A1299" s="52" t="s">
        <v>415</v>
      </c>
      <c r="B1299" s="33" t="s">
        <v>63</v>
      </c>
      <c r="C1299" s="78">
        <v>6501000</v>
      </c>
      <c r="D1299" s="78">
        <v>5910000</v>
      </c>
      <c r="E1299" s="78">
        <v>591000</v>
      </c>
      <c r="F1299" s="54" t="s">
        <v>13</v>
      </c>
      <c r="G1299" s="9">
        <v>43816</v>
      </c>
      <c r="H1299" s="114"/>
      <c r="I1299" s="16"/>
      <c r="J1299" s="14"/>
    </row>
    <row r="1300" spans="1:10" ht="14.25" thickBot="1">
      <c r="A1300" s="52" t="s">
        <v>415</v>
      </c>
      <c r="B1300" s="33" t="s">
        <v>360</v>
      </c>
      <c r="C1300" s="78">
        <v>2029500</v>
      </c>
      <c r="D1300" s="78">
        <v>1845000</v>
      </c>
      <c r="E1300" s="78">
        <v>184500</v>
      </c>
      <c r="F1300" s="54" t="s">
        <v>66</v>
      </c>
      <c r="G1300" s="9">
        <v>43812</v>
      </c>
      <c r="H1300" s="114"/>
      <c r="I1300" s="16"/>
      <c r="J1300" s="14"/>
    </row>
    <row r="1301" spans="1:10" ht="14.25" thickBot="1">
      <c r="A1301" s="52" t="s">
        <v>415</v>
      </c>
      <c r="B1301" s="33" t="s">
        <v>412</v>
      </c>
      <c r="C1301" s="78">
        <v>495000</v>
      </c>
      <c r="D1301" s="78">
        <v>450000</v>
      </c>
      <c r="E1301" s="78">
        <v>45000</v>
      </c>
      <c r="F1301" s="54" t="s">
        <v>254</v>
      </c>
      <c r="G1301" s="9">
        <v>43808</v>
      </c>
      <c r="H1301" s="114"/>
      <c r="I1301" s="16"/>
      <c r="J1301" s="115"/>
    </row>
    <row r="1302" spans="1:10" ht="14.25" thickBot="1">
      <c r="A1302" s="52" t="s">
        <v>415</v>
      </c>
      <c r="B1302" s="33" t="s">
        <v>70</v>
      </c>
      <c r="C1302" s="78">
        <v>704000</v>
      </c>
      <c r="D1302" s="78">
        <v>640000</v>
      </c>
      <c r="E1302" s="78">
        <v>64000</v>
      </c>
      <c r="F1302" s="54" t="s">
        <v>13</v>
      </c>
      <c r="G1302" s="9">
        <v>43802</v>
      </c>
      <c r="J1302" s="115"/>
    </row>
    <row r="1303" spans="1:10" ht="14.25" thickBot="1">
      <c r="A1303" s="52" t="s">
        <v>415</v>
      </c>
      <c r="B1303" s="33" t="s">
        <v>155</v>
      </c>
      <c r="C1303" s="78">
        <v>154000</v>
      </c>
      <c r="D1303" s="78">
        <v>140000</v>
      </c>
      <c r="E1303" s="78">
        <v>14000</v>
      </c>
      <c r="F1303" s="54" t="s">
        <v>13</v>
      </c>
      <c r="G1303" s="9">
        <v>43804</v>
      </c>
      <c r="J1303" s="115"/>
    </row>
    <row r="1304" spans="1:10" ht="14.25" thickBot="1">
      <c r="A1304" s="52" t="s">
        <v>415</v>
      </c>
      <c r="B1304" s="33" t="s">
        <v>15</v>
      </c>
      <c r="C1304" s="78">
        <v>4224000</v>
      </c>
      <c r="D1304" s="78">
        <v>3840000</v>
      </c>
      <c r="E1304" s="78">
        <v>384000</v>
      </c>
      <c r="F1304" s="54" t="s">
        <v>313</v>
      </c>
      <c r="G1304" s="9">
        <v>43825</v>
      </c>
      <c r="J1304" s="115"/>
    </row>
    <row r="1305" spans="1:10" ht="14.25" thickBot="1">
      <c r="A1305" s="52" t="s">
        <v>415</v>
      </c>
      <c r="B1305" s="33" t="s">
        <v>15</v>
      </c>
      <c r="C1305" s="78">
        <v>6930000</v>
      </c>
      <c r="D1305" s="78">
        <v>6300000</v>
      </c>
      <c r="E1305" s="78">
        <v>630000</v>
      </c>
      <c r="F1305" s="54" t="s">
        <v>69</v>
      </c>
      <c r="G1305" s="9">
        <v>43825</v>
      </c>
      <c r="J1305" s="115"/>
    </row>
    <row r="1306" spans="1:10" ht="14.25" thickBot="1">
      <c r="A1306" s="52" t="s">
        <v>415</v>
      </c>
      <c r="B1306" s="33" t="s">
        <v>15</v>
      </c>
      <c r="C1306" s="78">
        <v>8140000</v>
      </c>
      <c r="D1306" s="78">
        <v>7400000</v>
      </c>
      <c r="E1306" s="78">
        <v>740000</v>
      </c>
      <c r="F1306" s="54" t="s">
        <v>262</v>
      </c>
      <c r="G1306" s="9">
        <v>43825</v>
      </c>
      <c r="J1306" s="115"/>
    </row>
    <row r="1307" spans="1:10" ht="14.25" thickBot="1">
      <c r="A1307" s="52" t="s">
        <v>415</v>
      </c>
      <c r="B1307" s="33" t="s">
        <v>2</v>
      </c>
      <c r="C1307" s="78">
        <v>5021500</v>
      </c>
      <c r="D1307" s="78">
        <v>4565000</v>
      </c>
      <c r="E1307" s="78">
        <v>456500</v>
      </c>
      <c r="F1307" s="54" t="s">
        <v>346</v>
      </c>
      <c r="G1307" s="9">
        <v>43809</v>
      </c>
      <c r="J1307" s="115"/>
    </row>
    <row r="1308" spans="1:10" ht="14.25" thickBot="1">
      <c r="A1308" s="52" t="s">
        <v>415</v>
      </c>
      <c r="B1308" s="33" t="s">
        <v>2</v>
      </c>
      <c r="C1308" s="78">
        <v>29034500</v>
      </c>
      <c r="D1308" s="78">
        <v>26395000</v>
      </c>
      <c r="E1308" s="78">
        <v>2639500</v>
      </c>
      <c r="F1308" s="54" t="s">
        <v>313</v>
      </c>
      <c r="G1308" s="9">
        <v>43809</v>
      </c>
      <c r="J1308" s="115"/>
    </row>
    <row r="1309" spans="1:10" ht="14.25" thickBot="1">
      <c r="A1309" s="52" t="s">
        <v>415</v>
      </c>
      <c r="B1309" s="33" t="s">
        <v>2</v>
      </c>
      <c r="C1309" s="78">
        <v>1320000</v>
      </c>
      <c r="D1309" s="78">
        <v>1200000</v>
      </c>
      <c r="E1309" s="78">
        <v>120000</v>
      </c>
      <c r="F1309" s="54" t="s">
        <v>375</v>
      </c>
      <c r="G1309" s="9">
        <v>43809</v>
      </c>
      <c r="J1309" s="115"/>
    </row>
    <row r="1310" spans="1:10">
      <c r="A1310" s="52" t="s">
        <v>415</v>
      </c>
      <c r="B1310" s="33" t="s">
        <v>2</v>
      </c>
      <c r="C1310" s="78">
        <v>3657500</v>
      </c>
      <c r="D1310" s="78">
        <v>3325000</v>
      </c>
      <c r="E1310" s="78">
        <v>332500</v>
      </c>
      <c r="F1310" s="54" t="s">
        <v>142</v>
      </c>
      <c r="G1310" s="9">
        <v>43809</v>
      </c>
    </row>
    <row r="1311" spans="1:10">
      <c r="A1311" s="52" t="s">
        <v>415</v>
      </c>
      <c r="B1311" s="33" t="s">
        <v>2</v>
      </c>
      <c r="C1311" s="78">
        <v>2541000</v>
      </c>
      <c r="D1311" s="78">
        <v>2310000</v>
      </c>
      <c r="E1311" s="78">
        <v>231000</v>
      </c>
      <c r="F1311" s="54" t="s">
        <v>245</v>
      </c>
      <c r="G1311" s="9">
        <v>43809</v>
      </c>
    </row>
    <row r="1312" spans="1:10">
      <c r="A1312" s="52" t="s">
        <v>415</v>
      </c>
      <c r="B1312" s="33" t="s">
        <v>2</v>
      </c>
      <c r="C1312" s="78">
        <v>730400</v>
      </c>
      <c r="D1312" s="78">
        <v>664000</v>
      </c>
      <c r="E1312" s="78">
        <v>66400</v>
      </c>
      <c r="F1312" s="54" t="s">
        <v>254</v>
      </c>
      <c r="G1312" s="9">
        <v>43809</v>
      </c>
    </row>
    <row r="1313" spans="1:19">
      <c r="A1313" s="52" t="s">
        <v>415</v>
      </c>
      <c r="B1313" s="33" t="s">
        <v>2</v>
      </c>
      <c r="C1313" s="78">
        <v>9091500</v>
      </c>
      <c r="D1313" s="78">
        <v>8265000</v>
      </c>
      <c r="E1313" s="78">
        <v>826500</v>
      </c>
      <c r="F1313" s="54" t="s">
        <v>306</v>
      </c>
      <c r="G1313" s="9">
        <v>43809</v>
      </c>
    </row>
    <row r="1314" spans="1:19">
      <c r="A1314" s="52" t="s">
        <v>415</v>
      </c>
      <c r="B1314" s="33" t="s">
        <v>2</v>
      </c>
      <c r="C1314" s="78">
        <v>3403180</v>
      </c>
      <c r="D1314" s="78">
        <v>3093800</v>
      </c>
      <c r="E1314" s="78">
        <v>309380</v>
      </c>
      <c r="F1314" s="54" t="s">
        <v>233</v>
      </c>
      <c r="G1314" s="9">
        <v>43809</v>
      </c>
    </row>
    <row r="1315" spans="1:19">
      <c r="A1315" s="52" t="s">
        <v>415</v>
      </c>
      <c r="B1315" s="33" t="s">
        <v>2</v>
      </c>
      <c r="C1315" s="78">
        <v>2876500</v>
      </c>
      <c r="D1315" s="78">
        <v>2615000</v>
      </c>
      <c r="E1315" s="78">
        <v>261500</v>
      </c>
      <c r="F1315" s="54" t="s">
        <v>280</v>
      </c>
      <c r="G1315" s="9">
        <v>43809</v>
      </c>
      <c r="I1315" s="304" t="s">
        <v>537</v>
      </c>
      <c r="J1315" s="304"/>
      <c r="K1315" s="304"/>
    </row>
    <row r="1316" spans="1:19">
      <c r="A1316" s="52" t="s">
        <v>415</v>
      </c>
      <c r="B1316" s="33" t="s">
        <v>385</v>
      </c>
      <c r="C1316" s="78">
        <v>1320000</v>
      </c>
      <c r="D1316" s="78">
        <v>1200000</v>
      </c>
      <c r="E1316" s="78">
        <v>120000</v>
      </c>
      <c r="F1316" s="54" t="s">
        <v>386</v>
      </c>
      <c r="G1316" s="9">
        <v>43809</v>
      </c>
      <c r="I1316" s="18" t="s">
        <v>487</v>
      </c>
      <c r="J1316" s="36" t="s">
        <v>488</v>
      </c>
      <c r="K1316" s="36" t="s">
        <v>494</v>
      </c>
    </row>
    <row r="1317" spans="1:19">
      <c r="A1317" s="52" t="s">
        <v>415</v>
      </c>
      <c r="B1317" s="33" t="s">
        <v>385</v>
      </c>
      <c r="C1317" s="78">
        <v>24200000</v>
      </c>
      <c r="D1317" s="78">
        <v>22000000</v>
      </c>
      <c r="E1317" s="78">
        <v>2200000</v>
      </c>
      <c r="F1317" s="54" t="s">
        <v>387</v>
      </c>
      <c r="G1317" s="10">
        <v>43809</v>
      </c>
      <c r="I1317" s="18">
        <f>SUM(C1284:C1317)</f>
        <v>178080540</v>
      </c>
      <c r="J1317" s="18">
        <f>SUM(D1284:D1317)</f>
        <v>161891400</v>
      </c>
      <c r="K1317" s="18">
        <f>SUM(E1284:E1317)</f>
        <v>16189140</v>
      </c>
      <c r="L1317" s="42"/>
      <c r="M1317" s="42"/>
      <c r="N1317" s="42"/>
      <c r="O1317" s="42"/>
      <c r="P1317" s="42"/>
      <c r="Q1317" s="42"/>
      <c r="R1317" s="42"/>
      <c r="S1317" s="42"/>
    </row>
    <row r="1318" spans="1:19">
      <c r="A1318" s="57" t="s">
        <v>416</v>
      </c>
      <c r="B1318" s="58" t="s">
        <v>362</v>
      </c>
      <c r="C1318" s="79">
        <v>1760000</v>
      </c>
      <c r="D1318" s="79">
        <v>1600000</v>
      </c>
      <c r="E1318" s="79">
        <v>160000</v>
      </c>
      <c r="F1318" s="60" t="s">
        <v>363</v>
      </c>
      <c r="G1318" s="9">
        <v>43818</v>
      </c>
      <c r="H1318" s="60" t="s">
        <v>418</v>
      </c>
    </row>
    <row r="1319" spans="1:19">
      <c r="A1319" s="55" t="s">
        <v>416</v>
      </c>
      <c r="B1319" s="30" t="s">
        <v>362</v>
      </c>
      <c r="C1319" s="80">
        <v>-1760000</v>
      </c>
      <c r="D1319" s="80">
        <v>-1600000</v>
      </c>
      <c r="E1319" s="80">
        <v>-160000</v>
      </c>
      <c r="F1319" s="31" t="s">
        <v>363</v>
      </c>
      <c r="G1319" s="30" t="s">
        <v>547</v>
      </c>
      <c r="H1319" s="54" t="s">
        <v>419</v>
      </c>
    </row>
    <row r="1320" spans="1:19">
      <c r="A1320" s="55" t="s">
        <v>416</v>
      </c>
      <c r="B1320" s="30" t="s">
        <v>362</v>
      </c>
      <c r="C1320" s="80">
        <v>1760000</v>
      </c>
      <c r="D1320" s="80">
        <v>1600000</v>
      </c>
      <c r="E1320" s="80">
        <v>160000</v>
      </c>
      <c r="F1320" s="31" t="s">
        <v>363</v>
      </c>
      <c r="G1320" s="30" t="s">
        <v>548</v>
      </c>
    </row>
    <row r="1321" spans="1:19">
      <c r="A1321" s="52" t="s">
        <v>417</v>
      </c>
      <c r="B1321" s="33" t="s">
        <v>411</v>
      </c>
      <c r="C1321" s="78">
        <v>209000</v>
      </c>
      <c r="D1321" s="78">
        <v>190000</v>
      </c>
      <c r="E1321" s="78">
        <v>19000</v>
      </c>
      <c r="F1321" s="54" t="s">
        <v>13</v>
      </c>
      <c r="G1321" s="9">
        <v>43840</v>
      </c>
    </row>
    <row r="1322" spans="1:19">
      <c r="A1322" s="52" t="s">
        <v>420</v>
      </c>
      <c r="B1322" s="33" t="s">
        <v>2</v>
      </c>
      <c r="C1322" s="78">
        <v>550000</v>
      </c>
      <c r="D1322" s="78">
        <v>500000</v>
      </c>
      <c r="E1322" s="78">
        <v>50000</v>
      </c>
      <c r="F1322" s="54" t="s">
        <v>255</v>
      </c>
      <c r="G1322" s="9">
        <v>43829</v>
      </c>
      <c r="H1322" s="17" t="s">
        <v>517</v>
      </c>
    </row>
    <row r="1323" spans="1:19">
      <c r="A1323" s="52" t="s">
        <v>420</v>
      </c>
      <c r="B1323" s="33" t="s">
        <v>2</v>
      </c>
      <c r="C1323" s="78">
        <v>19360000</v>
      </c>
      <c r="D1323" s="78">
        <v>17600000</v>
      </c>
      <c r="E1323" s="78">
        <v>1760000</v>
      </c>
      <c r="F1323" s="54" t="s">
        <v>421</v>
      </c>
      <c r="G1323" s="9">
        <v>43819</v>
      </c>
    </row>
    <row r="1324" spans="1:19">
      <c r="A1324" s="52" t="s">
        <v>420</v>
      </c>
      <c r="B1324" s="33" t="s">
        <v>2</v>
      </c>
      <c r="C1324" s="78">
        <v>6407500</v>
      </c>
      <c r="D1324" s="78">
        <v>5825000</v>
      </c>
      <c r="E1324" s="78">
        <v>582500</v>
      </c>
      <c r="F1324" s="54" t="s">
        <v>346</v>
      </c>
      <c r="G1324" s="9">
        <v>43819</v>
      </c>
    </row>
    <row r="1325" spans="1:19">
      <c r="A1325" s="52" t="s">
        <v>420</v>
      </c>
      <c r="B1325" s="33" t="s">
        <v>2</v>
      </c>
      <c r="C1325" s="78">
        <v>30211500</v>
      </c>
      <c r="D1325" s="78">
        <v>27465000</v>
      </c>
      <c r="E1325" s="78">
        <v>2746500</v>
      </c>
      <c r="F1325" s="54" t="s">
        <v>313</v>
      </c>
      <c r="G1325" s="9">
        <v>43819</v>
      </c>
    </row>
    <row r="1326" spans="1:19">
      <c r="A1326" s="52" t="s">
        <v>420</v>
      </c>
      <c r="B1326" s="33" t="s">
        <v>2</v>
      </c>
      <c r="C1326" s="78">
        <v>1320000</v>
      </c>
      <c r="D1326" s="78">
        <v>1200000</v>
      </c>
      <c r="E1326" s="78">
        <v>120000</v>
      </c>
      <c r="F1326" s="54" t="s">
        <v>375</v>
      </c>
      <c r="G1326" s="9">
        <v>43819</v>
      </c>
    </row>
    <row r="1327" spans="1:19">
      <c r="A1327" s="52" t="s">
        <v>420</v>
      </c>
      <c r="B1327" s="33" t="s">
        <v>2</v>
      </c>
      <c r="C1327" s="78">
        <v>3712500</v>
      </c>
      <c r="D1327" s="78">
        <v>3375000</v>
      </c>
      <c r="E1327" s="78">
        <v>337500</v>
      </c>
      <c r="F1327" s="54" t="s">
        <v>142</v>
      </c>
      <c r="G1327" s="9">
        <v>43819</v>
      </c>
    </row>
    <row r="1328" spans="1:19">
      <c r="A1328" s="52" t="s">
        <v>420</v>
      </c>
      <c r="B1328" s="33" t="s">
        <v>2</v>
      </c>
      <c r="C1328" s="78">
        <v>66000</v>
      </c>
      <c r="D1328" s="78">
        <v>60000</v>
      </c>
      <c r="E1328" s="78">
        <v>6000</v>
      </c>
      <c r="F1328" s="54" t="s">
        <v>381</v>
      </c>
      <c r="G1328" s="9">
        <v>43819</v>
      </c>
    </row>
    <row r="1329" spans="1:10">
      <c r="A1329" s="52" t="s">
        <v>420</v>
      </c>
      <c r="B1329" s="33" t="s">
        <v>2</v>
      </c>
      <c r="C1329" s="78">
        <v>3388000</v>
      </c>
      <c r="D1329" s="78">
        <v>3080000</v>
      </c>
      <c r="E1329" s="78">
        <v>308000</v>
      </c>
      <c r="F1329" s="54" t="s">
        <v>245</v>
      </c>
      <c r="G1329" s="9">
        <v>43819</v>
      </c>
    </row>
    <row r="1330" spans="1:10">
      <c r="A1330" s="52" t="s">
        <v>420</v>
      </c>
      <c r="B1330" s="33" t="s">
        <v>2</v>
      </c>
      <c r="C1330" s="78">
        <v>365200</v>
      </c>
      <c r="D1330" s="78">
        <v>332000</v>
      </c>
      <c r="E1330" s="78">
        <v>33200</v>
      </c>
      <c r="F1330" s="54" t="s">
        <v>254</v>
      </c>
      <c r="G1330" s="9">
        <v>43819</v>
      </c>
    </row>
    <row r="1331" spans="1:10">
      <c r="A1331" s="52" t="s">
        <v>420</v>
      </c>
      <c r="B1331" s="33" t="s">
        <v>2</v>
      </c>
      <c r="C1331" s="78">
        <v>8882500</v>
      </c>
      <c r="D1331" s="78">
        <v>8075000</v>
      </c>
      <c r="E1331" s="78">
        <v>807500</v>
      </c>
      <c r="F1331" s="54" t="s">
        <v>306</v>
      </c>
      <c r="G1331" s="9">
        <v>43819</v>
      </c>
    </row>
    <row r="1332" spans="1:10">
      <c r="A1332" s="52" t="s">
        <v>420</v>
      </c>
      <c r="B1332" s="33" t="s">
        <v>2</v>
      </c>
      <c r="C1332" s="78">
        <v>2854280</v>
      </c>
      <c r="D1332" s="78">
        <v>2594800</v>
      </c>
      <c r="E1332" s="78">
        <v>259480</v>
      </c>
      <c r="F1332" s="54" t="s">
        <v>233</v>
      </c>
      <c r="G1332" s="9">
        <v>43819</v>
      </c>
    </row>
    <row r="1333" spans="1:10">
      <c r="A1333" s="52" t="s">
        <v>420</v>
      </c>
      <c r="B1333" s="33" t="s">
        <v>2</v>
      </c>
      <c r="C1333" s="78">
        <v>1782000</v>
      </c>
      <c r="D1333" s="78">
        <v>1620000</v>
      </c>
      <c r="E1333" s="78">
        <v>162000</v>
      </c>
      <c r="F1333" s="54" t="s">
        <v>280</v>
      </c>
      <c r="G1333" s="9">
        <v>43819</v>
      </c>
    </row>
    <row r="1334" spans="1:10">
      <c r="A1334" s="52" t="s">
        <v>422</v>
      </c>
      <c r="B1334" s="33" t="s">
        <v>38</v>
      </c>
      <c r="C1334" s="78">
        <v>42900000</v>
      </c>
      <c r="D1334" s="78">
        <v>39000000</v>
      </c>
      <c r="E1334" s="78">
        <v>3900000</v>
      </c>
      <c r="F1334" s="54" t="s">
        <v>13</v>
      </c>
      <c r="G1334" s="9">
        <v>43823</v>
      </c>
    </row>
    <row r="1335" spans="1:10">
      <c r="A1335" s="52" t="s">
        <v>423</v>
      </c>
      <c r="B1335" s="33" t="s">
        <v>295</v>
      </c>
      <c r="C1335" s="78">
        <v>627000</v>
      </c>
      <c r="D1335" s="78">
        <v>570000</v>
      </c>
      <c r="E1335" s="78">
        <v>57000</v>
      </c>
      <c r="F1335" s="54" t="s">
        <v>13</v>
      </c>
      <c r="G1335" s="9">
        <v>43839</v>
      </c>
    </row>
    <row r="1336" spans="1:10">
      <c r="A1336" s="52" t="s">
        <v>423</v>
      </c>
      <c r="B1336" s="33" t="s">
        <v>82</v>
      </c>
      <c r="C1336" s="78">
        <v>2948000</v>
      </c>
      <c r="D1336" s="78">
        <v>2680000</v>
      </c>
      <c r="E1336" s="78">
        <v>268000</v>
      </c>
      <c r="F1336" s="54" t="s">
        <v>13</v>
      </c>
      <c r="G1336" s="9">
        <v>43845</v>
      </c>
    </row>
    <row r="1337" spans="1:10">
      <c r="A1337" s="52" t="s">
        <v>423</v>
      </c>
      <c r="B1337" s="33" t="s">
        <v>86</v>
      </c>
      <c r="C1337" s="78">
        <v>1804000</v>
      </c>
      <c r="D1337" s="78">
        <v>1640000</v>
      </c>
      <c r="E1337" s="78">
        <v>164000</v>
      </c>
      <c r="F1337" s="54" t="s">
        <v>13</v>
      </c>
      <c r="G1337" s="9">
        <v>43865</v>
      </c>
      <c r="I1337" s="16"/>
      <c r="J1337" s="14"/>
    </row>
    <row r="1338" spans="1:10">
      <c r="A1338" s="52" t="s">
        <v>423</v>
      </c>
      <c r="B1338" s="33" t="s">
        <v>63</v>
      </c>
      <c r="C1338" s="78">
        <v>3707000</v>
      </c>
      <c r="D1338" s="78">
        <v>3370000</v>
      </c>
      <c r="E1338" s="78">
        <v>337000</v>
      </c>
      <c r="F1338" s="54" t="s">
        <v>13</v>
      </c>
      <c r="G1338" s="9">
        <v>43850</v>
      </c>
      <c r="I1338" s="16"/>
      <c r="J1338" s="14"/>
    </row>
    <row r="1339" spans="1:10">
      <c r="A1339" s="52" t="s">
        <v>423</v>
      </c>
      <c r="B1339" s="33" t="s">
        <v>360</v>
      </c>
      <c r="C1339" s="78">
        <v>3580500</v>
      </c>
      <c r="D1339" s="78">
        <v>3255000</v>
      </c>
      <c r="E1339" s="78">
        <v>325500</v>
      </c>
      <c r="F1339" s="54" t="s">
        <v>13</v>
      </c>
      <c r="G1339" s="9">
        <v>43840</v>
      </c>
      <c r="I1339" s="16"/>
      <c r="J1339" s="14"/>
    </row>
    <row r="1340" spans="1:10">
      <c r="A1340" s="52" t="s">
        <v>423</v>
      </c>
      <c r="B1340" s="33" t="s">
        <v>412</v>
      </c>
      <c r="C1340" s="78">
        <v>297000</v>
      </c>
      <c r="D1340" s="78">
        <v>270000</v>
      </c>
      <c r="E1340" s="78">
        <v>27000</v>
      </c>
      <c r="F1340" s="54" t="s">
        <v>13</v>
      </c>
      <c r="G1340" s="9">
        <v>43838</v>
      </c>
      <c r="I1340" s="16"/>
      <c r="J1340" s="14"/>
    </row>
    <row r="1341" spans="1:10">
      <c r="A1341" s="52" t="s">
        <v>423</v>
      </c>
      <c r="B1341" s="33" t="s">
        <v>15</v>
      </c>
      <c r="C1341" s="78">
        <v>5544000</v>
      </c>
      <c r="D1341" s="78">
        <v>5040000</v>
      </c>
      <c r="E1341" s="78">
        <v>504000</v>
      </c>
      <c r="F1341" s="54" t="s">
        <v>313</v>
      </c>
      <c r="G1341" s="9">
        <v>43850</v>
      </c>
      <c r="I1341" s="16"/>
      <c r="J1341" s="14"/>
    </row>
    <row r="1342" spans="1:10">
      <c r="A1342" s="52" t="s">
        <v>423</v>
      </c>
      <c r="B1342" s="33" t="s">
        <v>15</v>
      </c>
      <c r="C1342" s="78">
        <v>8580000</v>
      </c>
      <c r="D1342" s="78">
        <v>7800000</v>
      </c>
      <c r="E1342" s="78">
        <v>780000</v>
      </c>
      <c r="F1342" s="54" t="s">
        <v>69</v>
      </c>
      <c r="G1342" s="9">
        <v>43850</v>
      </c>
      <c r="I1342" s="16"/>
      <c r="J1342" s="14"/>
    </row>
    <row r="1343" spans="1:10">
      <c r="A1343" s="52" t="s">
        <v>423</v>
      </c>
      <c r="B1343" s="33" t="s">
        <v>15</v>
      </c>
      <c r="C1343" s="78">
        <v>5390000</v>
      </c>
      <c r="D1343" s="78">
        <v>4900000</v>
      </c>
      <c r="E1343" s="78">
        <v>490000</v>
      </c>
      <c r="F1343" s="54" t="s">
        <v>262</v>
      </c>
      <c r="G1343" s="9">
        <v>43850</v>
      </c>
      <c r="I1343" s="16"/>
      <c r="J1343" s="14"/>
    </row>
    <row r="1344" spans="1:10">
      <c r="A1344" s="52" t="s">
        <v>423</v>
      </c>
      <c r="B1344" s="33" t="s">
        <v>2</v>
      </c>
      <c r="C1344" s="78">
        <v>616000</v>
      </c>
      <c r="D1344" s="78">
        <v>560000</v>
      </c>
      <c r="E1344" s="78">
        <v>56000</v>
      </c>
      <c r="F1344" s="54" t="s">
        <v>424</v>
      </c>
      <c r="G1344" s="9">
        <v>43850</v>
      </c>
      <c r="I1344" s="16"/>
      <c r="J1344" s="14"/>
    </row>
    <row r="1345" spans="1:19">
      <c r="A1345" s="52" t="s">
        <v>423</v>
      </c>
      <c r="B1345" s="33" t="s">
        <v>2</v>
      </c>
      <c r="C1345" s="78">
        <v>11726000</v>
      </c>
      <c r="D1345" s="78">
        <v>10660000</v>
      </c>
      <c r="E1345" s="78">
        <v>1066000</v>
      </c>
      <c r="F1345" s="54" t="s">
        <v>346</v>
      </c>
      <c r="G1345" s="9">
        <v>43840</v>
      </c>
      <c r="I1345" s="16"/>
      <c r="J1345" s="14"/>
    </row>
    <row r="1346" spans="1:19">
      <c r="A1346" s="52" t="s">
        <v>423</v>
      </c>
      <c r="B1346" s="33" t="s">
        <v>2</v>
      </c>
      <c r="C1346" s="78">
        <v>74662500</v>
      </c>
      <c r="D1346" s="78">
        <v>67875000</v>
      </c>
      <c r="E1346" s="78">
        <v>6787500</v>
      </c>
      <c r="F1346" s="54" t="s">
        <v>313</v>
      </c>
      <c r="G1346" s="9">
        <v>43840</v>
      </c>
      <c r="I1346" s="16"/>
      <c r="J1346" s="14"/>
    </row>
    <row r="1347" spans="1:19">
      <c r="A1347" s="52" t="s">
        <v>423</v>
      </c>
      <c r="B1347" s="33" t="s">
        <v>2</v>
      </c>
      <c r="C1347" s="78">
        <v>48686000</v>
      </c>
      <c r="D1347" s="78">
        <v>44260000</v>
      </c>
      <c r="E1347" s="78">
        <v>4426000</v>
      </c>
      <c r="F1347" s="54" t="s">
        <v>421</v>
      </c>
      <c r="G1347" s="9">
        <v>43840</v>
      </c>
      <c r="I1347" s="16"/>
      <c r="J1347" s="14"/>
    </row>
    <row r="1348" spans="1:19">
      <c r="A1348" s="52" t="s">
        <v>423</v>
      </c>
      <c r="B1348" s="33" t="s">
        <v>2</v>
      </c>
      <c r="C1348" s="78">
        <v>1848000</v>
      </c>
      <c r="D1348" s="78">
        <v>1680000</v>
      </c>
      <c r="E1348" s="78">
        <v>168000</v>
      </c>
      <c r="F1348" s="54" t="s">
        <v>375</v>
      </c>
      <c r="G1348" s="9">
        <v>43840</v>
      </c>
    </row>
    <row r="1349" spans="1:19">
      <c r="A1349" s="52" t="s">
        <v>423</v>
      </c>
      <c r="B1349" s="33" t="s">
        <v>2</v>
      </c>
      <c r="C1349" s="78">
        <v>3553000</v>
      </c>
      <c r="D1349" s="78">
        <v>3230000</v>
      </c>
      <c r="E1349" s="78">
        <v>323000</v>
      </c>
      <c r="F1349" s="54" t="s">
        <v>408</v>
      </c>
      <c r="G1349" s="9">
        <v>43840</v>
      </c>
    </row>
    <row r="1350" spans="1:19">
      <c r="A1350" s="52" t="s">
        <v>423</v>
      </c>
      <c r="B1350" s="33" t="s">
        <v>2</v>
      </c>
      <c r="C1350" s="78">
        <v>330000</v>
      </c>
      <c r="D1350" s="78">
        <v>300000</v>
      </c>
      <c r="E1350" s="78">
        <v>30000</v>
      </c>
      <c r="F1350" s="54" t="s">
        <v>381</v>
      </c>
      <c r="G1350" s="9">
        <v>43840</v>
      </c>
    </row>
    <row r="1351" spans="1:19">
      <c r="A1351" s="52" t="s">
        <v>423</v>
      </c>
      <c r="B1351" s="33" t="s">
        <v>2</v>
      </c>
      <c r="C1351" s="78">
        <v>3630000</v>
      </c>
      <c r="D1351" s="78">
        <v>3300000</v>
      </c>
      <c r="E1351" s="78">
        <v>330000</v>
      </c>
      <c r="F1351" s="54" t="s">
        <v>245</v>
      </c>
      <c r="G1351" s="9">
        <v>43840</v>
      </c>
    </row>
    <row r="1352" spans="1:19">
      <c r="A1352" s="52" t="s">
        <v>423</v>
      </c>
      <c r="B1352" s="33" t="s">
        <v>2</v>
      </c>
      <c r="C1352" s="78">
        <v>990000</v>
      </c>
      <c r="D1352" s="78">
        <v>900000</v>
      </c>
      <c r="E1352" s="78">
        <v>90000</v>
      </c>
      <c r="F1352" s="54" t="s">
        <v>255</v>
      </c>
      <c r="G1352" s="9">
        <v>43850</v>
      </c>
    </row>
    <row r="1353" spans="1:19">
      <c r="A1353" s="52" t="s">
        <v>423</v>
      </c>
      <c r="B1353" s="33" t="s">
        <v>2</v>
      </c>
      <c r="C1353" s="78">
        <v>1004300</v>
      </c>
      <c r="D1353" s="78">
        <v>913000</v>
      </c>
      <c r="E1353" s="78">
        <v>91300</v>
      </c>
      <c r="F1353" s="54" t="s">
        <v>254</v>
      </c>
      <c r="G1353" s="9">
        <v>43840</v>
      </c>
    </row>
    <row r="1354" spans="1:19">
      <c r="A1354" s="52" t="s">
        <v>423</v>
      </c>
      <c r="B1354" s="33" t="s">
        <v>2</v>
      </c>
      <c r="C1354" s="78">
        <v>9656900</v>
      </c>
      <c r="D1354" s="78">
        <v>8779000</v>
      </c>
      <c r="E1354" s="78">
        <v>877900</v>
      </c>
      <c r="F1354" s="54" t="s">
        <v>306</v>
      </c>
      <c r="G1354" s="9">
        <v>43840</v>
      </c>
    </row>
    <row r="1355" spans="1:19">
      <c r="A1355" s="52" t="s">
        <v>423</v>
      </c>
      <c r="B1355" s="33" t="s">
        <v>2</v>
      </c>
      <c r="C1355" s="78">
        <v>2634720</v>
      </c>
      <c r="D1355" s="78">
        <v>2395200</v>
      </c>
      <c r="E1355" s="78">
        <v>239520</v>
      </c>
      <c r="F1355" s="54" t="s">
        <v>233</v>
      </c>
      <c r="G1355" s="9">
        <v>43840</v>
      </c>
    </row>
    <row r="1356" spans="1:19">
      <c r="A1356" s="52" t="s">
        <v>423</v>
      </c>
      <c r="B1356" s="33" t="s">
        <v>2</v>
      </c>
      <c r="C1356" s="78">
        <v>3459500</v>
      </c>
      <c r="D1356" s="78">
        <v>3145000</v>
      </c>
      <c r="E1356" s="78">
        <v>314500</v>
      </c>
      <c r="F1356" s="54" t="s">
        <v>280</v>
      </c>
      <c r="G1356" s="9">
        <v>43840</v>
      </c>
      <c r="I1356" s="304" t="s">
        <v>543</v>
      </c>
      <c r="J1356" s="304"/>
      <c r="K1356" s="304"/>
    </row>
    <row r="1357" spans="1:19">
      <c r="A1357" s="52" t="s">
        <v>423</v>
      </c>
      <c r="B1357" s="33" t="s">
        <v>385</v>
      </c>
      <c r="C1357" s="78">
        <v>550000</v>
      </c>
      <c r="D1357" s="78">
        <v>500000</v>
      </c>
      <c r="E1357" s="78">
        <v>50000</v>
      </c>
      <c r="F1357" s="54" t="s">
        <v>386</v>
      </c>
      <c r="G1357" s="9">
        <v>43840</v>
      </c>
      <c r="I1357" s="18" t="s">
        <v>487</v>
      </c>
      <c r="J1357" s="36" t="s">
        <v>488</v>
      </c>
      <c r="K1357" s="36" t="s">
        <v>494</v>
      </c>
    </row>
    <row r="1358" spans="1:19">
      <c r="A1358" s="52" t="s">
        <v>423</v>
      </c>
      <c r="B1358" s="33" t="s">
        <v>385</v>
      </c>
      <c r="C1358" s="78">
        <v>17380000</v>
      </c>
      <c r="D1358" s="78">
        <v>15800000</v>
      </c>
      <c r="E1358" s="78">
        <v>1580000</v>
      </c>
      <c r="F1358" s="54" t="s">
        <v>387</v>
      </c>
      <c r="G1358" s="9">
        <v>43840</v>
      </c>
      <c r="I1358" s="62">
        <f>SUM(C1318:C1358)</f>
        <v>336972900</v>
      </c>
      <c r="J1358" s="62">
        <f>SUM(D1318:D1358)</f>
        <v>306339000</v>
      </c>
      <c r="K1358" s="62">
        <f>SUM(E1318:E1358)</f>
        <v>30633900</v>
      </c>
    </row>
    <row r="1359" spans="1:19">
      <c r="A1359" s="57" t="s">
        <v>425</v>
      </c>
      <c r="B1359" s="58" t="s">
        <v>2</v>
      </c>
      <c r="C1359" s="79">
        <v>17675900</v>
      </c>
      <c r="D1359" s="79">
        <v>16069000</v>
      </c>
      <c r="E1359" s="79">
        <v>1606900</v>
      </c>
      <c r="F1359" s="60" t="s">
        <v>424</v>
      </c>
      <c r="G1359" s="92">
        <v>43860</v>
      </c>
      <c r="H1359" s="105"/>
      <c r="I1359" s="98"/>
      <c r="J1359" s="106"/>
      <c r="K1359" s="99"/>
      <c r="L1359" s="99"/>
      <c r="M1359" s="99"/>
      <c r="N1359" s="99"/>
      <c r="O1359" s="99"/>
      <c r="P1359" s="99"/>
      <c r="Q1359" s="99"/>
      <c r="R1359" s="99"/>
      <c r="S1359" s="99"/>
    </row>
    <row r="1360" spans="1:19">
      <c r="A1360" s="52" t="s">
        <v>425</v>
      </c>
      <c r="B1360" s="33" t="s">
        <v>2</v>
      </c>
      <c r="C1360" s="78">
        <v>20909900</v>
      </c>
      <c r="D1360" s="78">
        <v>19009000</v>
      </c>
      <c r="E1360" s="78">
        <v>1900900</v>
      </c>
      <c r="F1360" s="54" t="s">
        <v>421</v>
      </c>
      <c r="G1360" s="9">
        <v>43850</v>
      </c>
    </row>
    <row r="1361" spans="1:19">
      <c r="A1361" s="55" t="s">
        <v>425</v>
      </c>
      <c r="B1361" s="30" t="s">
        <v>2</v>
      </c>
      <c r="C1361" s="80">
        <v>-20304900</v>
      </c>
      <c r="D1361" s="80">
        <v>-18459000</v>
      </c>
      <c r="E1361" s="80">
        <v>-1845900</v>
      </c>
      <c r="F1361" s="31" t="s">
        <v>421</v>
      </c>
      <c r="G1361" s="30" t="s">
        <v>496</v>
      </c>
      <c r="H1361" s="31"/>
      <c r="I1361" s="73"/>
      <c r="J1361" s="74"/>
      <c r="K1361" s="30"/>
      <c r="L1361" s="30"/>
      <c r="M1361" s="30"/>
      <c r="N1361" s="30"/>
      <c r="O1361" s="30"/>
      <c r="P1361" s="30"/>
      <c r="Q1361" s="30"/>
      <c r="R1361" s="30"/>
      <c r="S1361" s="30"/>
    </row>
    <row r="1362" spans="1:19">
      <c r="A1362" s="52" t="s">
        <v>425</v>
      </c>
      <c r="B1362" s="33" t="s">
        <v>2</v>
      </c>
      <c r="C1362" s="78">
        <v>8963900</v>
      </c>
      <c r="D1362" s="78">
        <v>8149000</v>
      </c>
      <c r="E1362" s="78">
        <v>814900</v>
      </c>
      <c r="F1362" s="54" t="s">
        <v>346</v>
      </c>
      <c r="G1362" s="9">
        <v>43860</v>
      </c>
    </row>
    <row r="1363" spans="1:19">
      <c r="A1363" s="52" t="s">
        <v>425</v>
      </c>
      <c r="B1363" s="33" t="s">
        <v>2</v>
      </c>
      <c r="C1363" s="78">
        <v>50703400</v>
      </c>
      <c r="D1363" s="78">
        <v>46094000</v>
      </c>
      <c r="E1363" s="78">
        <v>4609400</v>
      </c>
      <c r="F1363" s="54" t="s">
        <v>313</v>
      </c>
      <c r="G1363" s="9">
        <v>43850</v>
      </c>
    </row>
    <row r="1364" spans="1:19">
      <c r="A1364" s="55" t="s">
        <v>425</v>
      </c>
      <c r="B1364" s="30" t="s">
        <v>2</v>
      </c>
      <c r="C1364" s="80">
        <v>20304900</v>
      </c>
      <c r="D1364" s="80">
        <v>18459000</v>
      </c>
      <c r="E1364" s="80">
        <v>1845900</v>
      </c>
      <c r="F1364" s="31" t="s">
        <v>421</v>
      </c>
      <c r="G1364" s="30" t="s">
        <v>496</v>
      </c>
    </row>
    <row r="1365" spans="1:19">
      <c r="A1365" s="52" t="s">
        <v>425</v>
      </c>
      <c r="B1365" s="33" t="s">
        <v>2</v>
      </c>
      <c r="C1365" s="78">
        <v>2719200</v>
      </c>
      <c r="D1365" s="78">
        <v>2472000</v>
      </c>
      <c r="E1365" s="78">
        <v>247200</v>
      </c>
      <c r="F1365" s="54" t="s">
        <v>142</v>
      </c>
      <c r="G1365" s="9">
        <v>43850</v>
      </c>
    </row>
    <row r="1366" spans="1:19">
      <c r="A1366" s="52" t="s">
        <v>425</v>
      </c>
      <c r="B1366" s="33" t="s">
        <v>2</v>
      </c>
      <c r="C1366" s="78">
        <v>2742300</v>
      </c>
      <c r="D1366" s="78">
        <v>2493000</v>
      </c>
      <c r="E1366" s="78">
        <v>249300</v>
      </c>
      <c r="F1366" s="54" t="s">
        <v>381</v>
      </c>
      <c r="G1366" s="9">
        <v>43860</v>
      </c>
    </row>
    <row r="1367" spans="1:19">
      <c r="A1367" s="52" t="s">
        <v>425</v>
      </c>
      <c r="B1367" s="33" t="s">
        <v>2</v>
      </c>
      <c r="C1367" s="78">
        <v>5412000</v>
      </c>
      <c r="D1367" s="78">
        <v>4920000</v>
      </c>
      <c r="E1367" s="78">
        <v>492000</v>
      </c>
      <c r="F1367" s="54" t="s">
        <v>245</v>
      </c>
      <c r="G1367" s="9">
        <v>43860</v>
      </c>
    </row>
    <row r="1368" spans="1:19">
      <c r="A1368" s="52" t="s">
        <v>425</v>
      </c>
      <c r="B1368" s="33" t="s">
        <v>2</v>
      </c>
      <c r="C1368" s="78">
        <v>113300</v>
      </c>
      <c r="D1368" s="78">
        <v>103000</v>
      </c>
      <c r="E1368" s="78">
        <v>10300</v>
      </c>
      <c r="F1368" s="54" t="s">
        <v>254</v>
      </c>
      <c r="G1368" s="9">
        <v>43850</v>
      </c>
    </row>
    <row r="1369" spans="1:19">
      <c r="A1369" s="52" t="s">
        <v>425</v>
      </c>
      <c r="B1369" s="33" t="s">
        <v>2</v>
      </c>
      <c r="C1369" s="78">
        <v>12123100</v>
      </c>
      <c r="D1369" s="78">
        <v>11021000</v>
      </c>
      <c r="E1369" s="78">
        <v>1102100</v>
      </c>
      <c r="F1369" s="54" t="s">
        <v>306</v>
      </c>
      <c r="G1369" s="9">
        <v>43850</v>
      </c>
    </row>
    <row r="1370" spans="1:19">
      <c r="A1370" s="52" t="s">
        <v>425</v>
      </c>
      <c r="B1370" s="33" t="s">
        <v>2</v>
      </c>
      <c r="C1370" s="78">
        <v>1185800</v>
      </c>
      <c r="D1370" s="78">
        <v>1078000</v>
      </c>
      <c r="E1370" s="78">
        <v>107800</v>
      </c>
      <c r="F1370" s="54" t="s">
        <v>233</v>
      </c>
      <c r="G1370" s="9">
        <v>43860</v>
      </c>
    </row>
    <row r="1371" spans="1:19">
      <c r="A1371" s="52" t="s">
        <v>426</v>
      </c>
      <c r="B1371" s="33" t="s">
        <v>427</v>
      </c>
      <c r="C1371" s="78">
        <v>792000</v>
      </c>
      <c r="D1371" s="78">
        <v>720000</v>
      </c>
      <c r="E1371" s="78">
        <v>72000</v>
      </c>
      <c r="F1371" s="54" t="s">
        <v>13</v>
      </c>
      <c r="G1371" s="9">
        <v>43850</v>
      </c>
    </row>
    <row r="1372" spans="1:19">
      <c r="A1372" s="52" t="s">
        <v>428</v>
      </c>
      <c r="B1372" s="33" t="s">
        <v>432</v>
      </c>
      <c r="C1372" s="78">
        <v>6968500</v>
      </c>
      <c r="D1372" s="78">
        <v>6335000</v>
      </c>
      <c r="E1372" s="78">
        <v>633500</v>
      </c>
      <c r="F1372" s="54" t="s">
        <v>280</v>
      </c>
      <c r="G1372" s="9">
        <v>43880</v>
      </c>
    </row>
    <row r="1373" spans="1:19">
      <c r="A1373" s="52" t="s">
        <v>428</v>
      </c>
      <c r="B1373" s="33" t="s">
        <v>406</v>
      </c>
      <c r="C1373" s="78">
        <v>88000</v>
      </c>
      <c r="D1373" s="78">
        <v>80000</v>
      </c>
      <c r="E1373" s="78">
        <v>8000</v>
      </c>
      <c r="F1373" s="54" t="s">
        <v>13</v>
      </c>
      <c r="G1373" s="9">
        <v>43919</v>
      </c>
    </row>
    <row r="1374" spans="1:19">
      <c r="A1374" s="52" t="s">
        <v>428</v>
      </c>
      <c r="B1374" s="33" t="s">
        <v>352</v>
      </c>
      <c r="C1374" s="78">
        <v>660000</v>
      </c>
      <c r="D1374" s="78">
        <v>600000</v>
      </c>
      <c r="E1374" s="78">
        <v>60000</v>
      </c>
      <c r="F1374" s="54" t="s">
        <v>13</v>
      </c>
      <c r="G1374" s="14">
        <v>1</v>
      </c>
    </row>
    <row r="1375" spans="1:19">
      <c r="A1375" s="52" t="s">
        <v>428</v>
      </c>
      <c r="B1375" s="33" t="s">
        <v>86</v>
      </c>
      <c r="C1375" s="78">
        <v>5945500</v>
      </c>
      <c r="D1375" s="78">
        <v>5405000</v>
      </c>
      <c r="E1375" s="78">
        <v>540500</v>
      </c>
      <c r="F1375" s="54" t="s">
        <v>13</v>
      </c>
      <c r="G1375" s="9">
        <v>43874</v>
      </c>
    </row>
    <row r="1376" spans="1:19">
      <c r="A1376" s="52" t="s">
        <v>428</v>
      </c>
      <c r="B1376" s="33" t="s">
        <v>63</v>
      </c>
      <c r="C1376" s="78">
        <v>2882000</v>
      </c>
      <c r="D1376" s="78">
        <v>2620000</v>
      </c>
      <c r="E1376" s="78">
        <v>262000</v>
      </c>
      <c r="F1376" s="54" t="s">
        <v>13</v>
      </c>
      <c r="G1376" s="9">
        <v>43873</v>
      </c>
    </row>
    <row r="1377" spans="1:8">
      <c r="A1377" s="52" t="s">
        <v>428</v>
      </c>
      <c r="B1377" s="33" t="s">
        <v>412</v>
      </c>
      <c r="C1377" s="78">
        <v>198000</v>
      </c>
      <c r="D1377" s="78">
        <v>180000</v>
      </c>
      <c r="E1377" s="78">
        <v>18000</v>
      </c>
      <c r="F1377" s="54" t="s">
        <v>254</v>
      </c>
      <c r="G1377" s="9">
        <v>43871</v>
      </c>
    </row>
    <row r="1378" spans="1:8">
      <c r="A1378" s="52" t="s">
        <v>428</v>
      </c>
      <c r="B1378" s="33" t="s">
        <v>431</v>
      </c>
      <c r="C1378" s="78">
        <v>1875500</v>
      </c>
      <c r="D1378" s="78">
        <v>1705000</v>
      </c>
      <c r="E1378" s="78">
        <v>170500</v>
      </c>
      <c r="F1378" s="54" t="s">
        <v>255</v>
      </c>
      <c r="G1378" s="9">
        <v>43875</v>
      </c>
    </row>
    <row r="1379" spans="1:8">
      <c r="A1379" s="52" t="s">
        <v>428</v>
      </c>
      <c r="B1379" s="33" t="s">
        <v>15</v>
      </c>
      <c r="C1379" s="78">
        <v>4224000</v>
      </c>
      <c r="D1379" s="78">
        <v>3840000</v>
      </c>
      <c r="E1379" s="78">
        <v>384000</v>
      </c>
      <c r="F1379" s="54" t="s">
        <v>313</v>
      </c>
      <c r="G1379" s="9">
        <v>43881</v>
      </c>
    </row>
    <row r="1380" spans="1:8">
      <c r="A1380" s="52" t="s">
        <v>428</v>
      </c>
      <c r="B1380" s="33" t="s">
        <v>15</v>
      </c>
      <c r="C1380" s="78">
        <v>13860000</v>
      </c>
      <c r="D1380" s="78">
        <v>12600000</v>
      </c>
      <c r="E1380" s="78">
        <v>1260000</v>
      </c>
      <c r="F1380" s="54" t="s">
        <v>69</v>
      </c>
      <c r="G1380" s="9">
        <v>43881</v>
      </c>
    </row>
    <row r="1381" spans="1:8">
      <c r="A1381" s="52" t="s">
        <v>428</v>
      </c>
      <c r="B1381" s="33" t="s">
        <v>15</v>
      </c>
      <c r="C1381" s="78">
        <v>9355500</v>
      </c>
      <c r="D1381" s="78">
        <v>8505000</v>
      </c>
      <c r="E1381" s="78">
        <v>850500</v>
      </c>
      <c r="F1381" s="54" t="s">
        <v>262</v>
      </c>
      <c r="G1381" s="9">
        <v>43881</v>
      </c>
    </row>
    <row r="1382" spans="1:8">
      <c r="A1382" s="52" t="s">
        <v>428</v>
      </c>
      <c r="B1382" s="33" t="s">
        <v>2</v>
      </c>
      <c r="C1382" s="78">
        <v>40920440</v>
      </c>
      <c r="D1382" s="78">
        <v>37200400</v>
      </c>
      <c r="E1382" s="78">
        <v>3720040</v>
      </c>
      <c r="F1382" s="54" t="s">
        <v>142</v>
      </c>
      <c r="G1382" s="9">
        <v>43871</v>
      </c>
      <c r="H1382" s="17" t="s">
        <v>517</v>
      </c>
    </row>
    <row r="1383" spans="1:8">
      <c r="A1383" s="52" t="s">
        <v>428</v>
      </c>
      <c r="B1383" s="33" t="s">
        <v>2</v>
      </c>
      <c r="C1383" s="78">
        <v>2662000</v>
      </c>
      <c r="D1383" s="78">
        <v>2420000</v>
      </c>
      <c r="E1383" s="78">
        <v>242000</v>
      </c>
      <c r="F1383" s="54" t="s">
        <v>346</v>
      </c>
      <c r="G1383" s="9">
        <v>43871</v>
      </c>
      <c r="H1383" s="17" t="s">
        <v>517</v>
      </c>
    </row>
    <row r="1384" spans="1:8">
      <c r="A1384" s="52" t="s">
        <v>428</v>
      </c>
      <c r="B1384" s="33" t="s">
        <v>2</v>
      </c>
      <c r="C1384" s="78">
        <v>21002300</v>
      </c>
      <c r="D1384" s="78">
        <v>19093000</v>
      </c>
      <c r="E1384" s="78">
        <v>1909300</v>
      </c>
      <c r="F1384" s="54" t="s">
        <v>424</v>
      </c>
      <c r="G1384" s="9">
        <v>43871</v>
      </c>
      <c r="H1384" s="17" t="s">
        <v>517</v>
      </c>
    </row>
    <row r="1385" spans="1:8">
      <c r="A1385" s="52" t="s">
        <v>428</v>
      </c>
      <c r="B1385" s="33" t="s">
        <v>2</v>
      </c>
      <c r="C1385" s="78">
        <v>159500</v>
      </c>
      <c r="D1385" s="78">
        <v>145000</v>
      </c>
      <c r="E1385" s="78">
        <v>14500</v>
      </c>
      <c r="F1385" s="54" t="s">
        <v>315</v>
      </c>
      <c r="G1385" s="9">
        <v>43871</v>
      </c>
    </row>
    <row r="1386" spans="1:8">
      <c r="A1386" s="52" t="s">
        <v>428</v>
      </c>
      <c r="B1386" s="33" t="s">
        <v>2</v>
      </c>
      <c r="C1386" s="78">
        <v>8190600</v>
      </c>
      <c r="D1386" s="78">
        <v>7446000</v>
      </c>
      <c r="E1386" s="78">
        <v>744600</v>
      </c>
      <c r="F1386" s="54" t="s">
        <v>346</v>
      </c>
      <c r="G1386" s="9">
        <v>43871</v>
      </c>
    </row>
    <row r="1387" spans="1:8">
      <c r="A1387" s="52" t="s">
        <v>428</v>
      </c>
      <c r="B1387" s="33" t="s">
        <v>2</v>
      </c>
      <c r="C1387" s="78">
        <v>23569700</v>
      </c>
      <c r="D1387" s="78">
        <v>21427000</v>
      </c>
      <c r="E1387" s="78">
        <v>2142700</v>
      </c>
      <c r="F1387" s="54" t="s">
        <v>313</v>
      </c>
      <c r="G1387" s="9">
        <v>43871</v>
      </c>
    </row>
    <row r="1388" spans="1:8">
      <c r="A1388" s="52" t="s">
        <v>428</v>
      </c>
      <c r="B1388" s="33" t="s">
        <v>2</v>
      </c>
      <c r="C1388" s="78">
        <v>16551700</v>
      </c>
      <c r="D1388" s="78">
        <v>15047000</v>
      </c>
      <c r="E1388" s="78">
        <v>1504700</v>
      </c>
      <c r="F1388" s="54" t="s">
        <v>421</v>
      </c>
      <c r="G1388" s="9">
        <v>43871</v>
      </c>
    </row>
    <row r="1389" spans="1:8">
      <c r="A1389" s="52" t="s">
        <v>428</v>
      </c>
      <c r="B1389" s="33" t="s">
        <v>2</v>
      </c>
      <c r="C1389" s="78">
        <v>20807600</v>
      </c>
      <c r="D1389" s="78">
        <v>18916000</v>
      </c>
      <c r="E1389" s="78">
        <v>1891600</v>
      </c>
      <c r="F1389" s="54" t="s">
        <v>424</v>
      </c>
      <c r="G1389" s="9">
        <v>43871</v>
      </c>
    </row>
    <row r="1390" spans="1:8">
      <c r="A1390" s="52" t="s">
        <v>428</v>
      </c>
      <c r="B1390" s="33" t="s">
        <v>2</v>
      </c>
      <c r="C1390" s="78">
        <v>1812800</v>
      </c>
      <c r="D1390" s="78">
        <v>1648000</v>
      </c>
      <c r="E1390" s="78">
        <v>164800</v>
      </c>
      <c r="F1390" s="54" t="s">
        <v>142</v>
      </c>
      <c r="G1390" s="9">
        <v>43871</v>
      </c>
    </row>
    <row r="1391" spans="1:8">
      <c r="A1391" s="52" t="s">
        <v>428</v>
      </c>
      <c r="B1391" s="33" t="s">
        <v>2</v>
      </c>
      <c r="C1391" s="78">
        <v>258500</v>
      </c>
      <c r="D1391" s="78">
        <v>235000</v>
      </c>
      <c r="E1391" s="78">
        <v>23500</v>
      </c>
      <c r="F1391" s="54" t="s">
        <v>381</v>
      </c>
      <c r="G1391" s="9">
        <v>43871</v>
      </c>
    </row>
    <row r="1392" spans="1:8">
      <c r="A1392" s="52" t="s">
        <v>428</v>
      </c>
      <c r="B1392" s="33" t="s">
        <v>2</v>
      </c>
      <c r="C1392" s="78">
        <v>6468000</v>
      </c>
      <c r="D1392" s="78">
        <v>5880000</v>
      </c>
      <c r="E1392" s="78">
        <v>588000</v>
      </c>
      <c r="F1392" s="54" t="s">
        <v>245</v>
      </c>
      <c r="G1392" s="9">
        <v>43871</v>
      </c>
    </row>
    <row r="1393" spans="1:19">
      <c r="A1393" s="52" t="s">
        <v>428</v>
      </c>
      <c r="B1393" s="33" t="s">
        <v>2</v>
      </c>
      <c r="C1393" s="78">
        <v>12349700</v>
      </c>
      <c r="D1393" s="78">
        <v>11227000</v>
      </c>
      <c r="E1393" s="78">
        <v>1122700</v>
      </c>
      <c r="F1393" s="54" t="s">
        <v>306</v>
      </c>
      <c r="G1393" s="9">
        <v>43871</v>
      </c>
    </row>
    <row r="1394" spans="1:19">
      <c r="A1394" s="52" t="s">
        <v>428</v>
      </c>
      <c r="B1394" s="33" t="s">
        <v>2</v>
      </c>
      <c r="C1394" s="78">
        <v>1422960</v>
      </c>
      <c r="D1394" s="78">
        <v>1293600</v>
      </c>
      <c r="E1394" s="78">
        <v>129360</v>
      </c>
      <c r="F1394" s="54" t="s">
        <v>233</v>
      </c>
      <c r="G1394" s="9">
        <v>43871</v>
      </c>
    </row>
    <row r="1395" spans="1:19">
      <c r="A1395" s="52" t="s">
        <v>428</v>
      </c>
      <c r="B1395" s="33" t="s">
        <v>385</v>
      </c>
      <c r="C1395" s="78">
        <v>233200</v>
      </c>
      <c r="D1395" s="78">
        <v>212000</v>
      </c>
      <c r="E1395" s="78">
        <v>21200</v>
      </c>
      <c r="F1395" s="54" t="s">
        <v>386</v>
      </c>
      <c r="G1395" s="9">
        <v>43871</v>
      </c>
    </row>
    <row r="1396" spans="1:19">
      <c r="A1396" s="52" t="s">
        <v>428</v>
      </c>
      <c r="B1396" s="33" t="s">
        <v>385</v>
      </c>
      <c r="C1396" s="78">
        <v>5713400</v>
      </c>
      <c r="D1396" s="78">
        <v>5194000</v>
      </c>
      <c r="E1396" s="78">
        <v>519400</v>
      </c>
      <c r="F1396" s="54" t="s">
        <v>387</v>
      </c>
      <c r="G1396" s="9">
        <v>43871</v>
      </c>
      <c r="H1396" s="54" t="s">
        <v>430</v>
      </c>
    </row>
    <row r="1397" spans="1:19">
      <c r="A1397" s="52" t="s">
        <v>428</v>
      </c>
      <c r="B1397" s="33" t="s">
        <v>385</v>
      </c>
      <c r="C1397" s="78">
        <v>18772600</v>
      </c>
      <c r="D1397" s="78">
        <v>17066000</v>
      </c>
      <c r="E1397" s="78">
        <v>1706600</v>
      </c>
      <c r="F1397" s="54" t="s">
        <v>549</v>
      </c>
      <c r="G1397" s="9">
        <v>43871</v>
      </c>
      <c r="H1397" s="54" t="s">
        <v>550</v>
      </c>
    </row>
    <row r="1398" spans="1:19">
      <c r="A1398" s="52" t="s">
        <v>428</v>
      </c>
      <c r="B1398" s="33" t="s">
        <v>411</v>
      </c>
      <c r="C1398" s="78">
        <v>145200</v>
      </c>
      <c r="D1398" s="78">
        <v>132000</v>
      </c>
      <c r="E1398" s="78">
        <v>13200</v>
      </c>
      <c r="F1398" s="54" t="s">
        <v>13</v>
      </c>
      <c r="G1398" s="9">
        <v>43871</v>
      </c>
      <c r="I1398" s="304" t="s">
        <v>551</v>
      </c>
      <c r="J1398" s="304"/>
      <c r="K1398" s="304"/>
    </row>
    <row r="1399" spans="1:19">
      <c r="A1399" s="52" t="s">
        <v>428</v>
      </c>
      <c r="B1399" s="33" t="s">
        <v>427</v>
      </c>
      <c r="C1399" s="78">
        <v>209000</v>
      </c>
      <c r="D1399" s="78">
        <v>190000</v>
      </c>
      <c r="E1399" s="78">
        <v>19000</v>
      </c>
      <c r="F1399" s="54" t="s">
        <v>13</v>
      </c>
      <c r="G1399" s="9">
        <v>43865</v>
      </c>
      <c r="I1399" s="18" t="s">
        <v>487</v>
      </c>
      <c r="J1399" s="36" t="s">
        <v>488</v>
      </c>
      <c r="K1399" s="36" t="s">
        <v>494</v>
      </c>
    </row>
    <row r="1400" spans="1:19">
      <c r="A1400" s="52" t="s">
        <v>428</v>
      </c>
      <c r="B1400" s="33" t="s">
        <v>429</v>
      </c>
      <c r="C1400" s="78">
        <v>131896195</v>
      </c>
      <c r="D1400" s="78">
        <v>119905632</v>
      </c>
      <c r="E1400" s="78">
        <v>11990563</v>
      </c>
      <c r="F1400" s="54" t="s">
        <v>13</v>
      </c>
      <c r="G1400" s="10">
        <v>43892</v>
      </c>
      <c r="H1400" s="51"/>
      <c r="I1400" s="18">
        <f>SUM(C1359:C1400)</f>
        <v>482543195</v>
      </c>
      <c r="J1400" s="18">
        <f>SUM(D1359:D1400)</f>
        <v>438675632</v>
      </c>
      <c r="K1400" s="18">
        <f>SUM(E1359:E1400)</f>
        <v>43867563</v>
      </c>
      <c r="L1400" s="42"/>
      <c r="M1400" s="42"/>
      <c r="N1400" s="42"/>
      <c r="O1400" s="42"/>
      <c r="P1400" s="42"/>
      <c r="Q1400" s="42"/>
      <c r="R1400" s="42"/>
      <c r="S1400" s="42"/>
    </row>
    <row r="1401" spans="1:19">
      <c r="A1401" s="57" t="s">
        <v>433</v>
      </c>
      <c r="B1401" s="58" t="s">
        <v>434</v>
      </c>
      <c r="C1401" s="79">
        <v>2059200</v>
      </c>
      <c r="D1401" s="79">
        <v>1872000</v>
      </c>
      <c r="E1401" s="79">
        <v>187200</v>
      </c>
      <c r="F1401" s="60" t="s">
        <v>13</v>
      </c>
      <c r="G1401" s="9">
        <v>43875</v>
      </c>
    </row>
    <row r="1402" spans="1:19">
      <c r="A1402" s="52" t="s">
        <v>435</v>
      </c>
      <c r="B1402" s="33" t="s">
        <v>436</v>
      </c>
      <c r="C1402" s="78">
        <v>339900</v>
      </c>
      <c r="D1402" s="78">
        <v>309000</v>
      </c>
      <c r="E1402" s="78">
        <v>30900</v>
      </c>
      <c r="F1402" s="54" t="s">
        <v>142</v>
      </c>
      <c r="G1402" s="9">
        <v>43921</v>
      </c>
    </row>
    <row r="1403" spans="1:19">
      <c r="A1403" s="52" t="s">
        <v>435</v>
      </c>
      <c r="B1403" s="33" t="s">
        <v>2</v>
      </c>
      <c r="C1403" s="78">
        <v>1089000</v>
      </c>
      <c r="D1403" s="78">
        <v>990000</v>
      </c>
      <c r="E1403" s="78">
        <v>99000</v>
      </c>
      <c r="F1403" s="54" t="s">
        <v>346</v>
      </c>
      <c r="G1403" s="9">
        <v>43881</v>
      </c>
      <c r="H1403" s="17" t="s">
        <v>517</v>
      </c>
    </row>
    <row r="1404" spans="1:19">
      <c r="A1404" s="52" t="s">
        <v>435</v>
      </c>
      <c r="B1404" s="33" t="s">
        <v>2</v>
      </c>
      <c r="C1404" s="78">
        <v>9438000</v>
      </c>
      <c r="D1404" s="78">
        <v>8580000</v>
      </c>
      <c r="E1404" s="78">
        <v>858000</v>
      </c>
      <c r="F1404" s="54" t="s">
        <v>421</v>
      </c>
      <c r="G1404" s="9">
        <v>43881</v>
      </c>
      <c r="H1404" s="17" t="s">
        <v>517</v>
      </c>
    </row>
    <row r="1405" spans="1:19">
      <c r="A1405" s="52" t="s">
        <v>435</v>
      </c>
      <c r="B1405" s="33" t="s">
        <v>2</v>
      </c>
      <c r="C1405" s="78">
        <v>23093400</v>
      </c>
      <c r="D1405" s="78">
        <v>20994000</v>
      </c>
      <c r="E1405" s="78">
        <v>2099400</v>
      </c>
      <c r="F1405" s="54" t="s">
        <v>424</v>
      </c>
      <c r="G1405" s="9">
        <v>43881</v>
      </c>
      <c r="H1405" s="17" t="s">
        <v>517</v>
      </c>
    </row>
    <row r="1406" spans="1:19">
      <c r="A1406" s="52" t="s">
        <v>435</v>
      </c>
      <c r="B1406" s="33" t="s">
        <v>2</v>
      </c>
      <c r="C1406" s="78">
        <v>2406800</v>
      </c>
      <c r="D1406" s="78">
        <v>2188000</v>
      </c>
      <c r="E1406" s="78">
        <v>218800</v>
      </c>
      <c r="F1406" s="54" t="s">
        <v>346</v>
      </c>
      <c r="G1406" s="9">
        <v>43881</v>
      </c>
    </row>
    <row r="1407" spans="1:19">
      <c r="A1407" s="52" t="s">
        <v>435</v>
      </c>
      <c r="B1407" s="33" t="s">
        <v>2</v>
      </c>
      <c r="C1407" s="78">
        <v>745800</v>
      </c>
      <c r="D1407" s="78">
        <v>678000</v>
      </c>
      <c r="E1407" s="78">
        <v>67800</v>
      </c>
      <c r="F1407" s="54" t="s">
        <v>421</v>
      </c>
      <c r="G1407" s="9">
        <v>43881</v>
      </c>
    </row>
    <row r="1408" spans="1:19">
      <c r="A1408" s="52" t="s">
        <v>435</v>
      </c>
      <c r="B1408" s="33" t="s">
        <v>2</v>
      </c>
      <c r="C1408" s="78">
        <v>16518700</v>
      </c>
      <c r="D1408" s="78">
        <v>15017000</v>
      </c>
      <c r="E1408" s="78">
        <v>1501700</v>
      </c>
      <c r="F1408" s="54" t="s">
        <v>424</v>
      </c>
      <c r="G1408" s="9">
        <v>43881</v>
      </c>
    </row>
    <row r="1409" spans="1:19">
      <c r="A1409" s="52" t="s">
        <v>435</v>
      </c>
      <c r="B1409" s="33" t="s">
        <v>2</v>
      </c>
      <c r="C1409" s="78">
        <v>798600</v>
      </c>
      <c r="D1409" s="78">
        <v>726000</v>
      </c>
      <c r="E1409" s="78">
        <v>72600</v>
      </c>
      <c r="F1409" s="54" t="s">
        <v>381</v>
      </c>
      <c r="G1409" s="9">
        <v>43881</v>
      </c>
    </row>
    <row r="1410" spans="1:19">
      <c r="A1410" s="52" t="s">
        <v>435</v>
      </c>
      <c r="B1410" s="33" t="s">
        <v>2</v>
      </c>
      <c r="C1410" s="78">
        <v>4884000</v>
      </c>
      <c r="D1410" s="78">
        <v>4440000</v>
      </c>
      <c r="E1410" s="78">
        <v>444000</v>
      </c>
      <c r="F1410" s="54" t="s">
        <v>245</v>
      </c>
      <c r="G1410" s="9">
        <v>43889</v>
      </c>
    </row>
    <row r="1411" spans="1:19">
      <c r="A1411" s="52" t="s">
        <v>435</v>
      </c>
      <c r="B1411" s="33" t="s">
        <v>2</v>
      </c>
      <c r="C1411" s="78">
        <v>8580000</v>
      </c>
      <c r="D1411" s="78">
        <v>7800000</v>
      </c>
      <c r="E1411" s="78">
        <v>780000</v>
      </c>
      <c r="F1411" s="54" t="s">
        <v>306</v>
      </c>
      <c r="G1411" s="9">
        <v>43889</v>
      </c>
    </row>
    <row r="1412" spans="1:19">
      <c r="A1412" s="52" t="s">
        <v>435</v>
      </c>
      <c r="B1412" s="33" t="s">
        <v>2</v>
      </c>
      <c r="C1412" s="78">
        <v>1185800</v>
      </c>
      <c r="D1412" s="78">
        <v>1078000</v>
      </c>
      <c r="E1412" s="78">
        <v>107800</v>
      </c>
      <c r="F1412" s="54" t="s">
        <v>233</v>
      </c>
      <c r="G1412" s="9">
        <v>43881</v>
      </c>
    </row>
    <row r="1413" spans="1:19">
      <c r="A1413" s="52" t="s">
        <v>437</v>
      </c>
      <c r="B1413" s="33" t="s">
        <v>82</v>
      </c>
      <c r="C1413" s="78">
        <v>396000</v>
      </c>
      <c r="D1413" s="78">
        <v>360000</v>
      </c>
      <c r="E1413" s="78">
        <v>36000</v>
      </c>
      <c r="F1413" s="54" t="s">
        <v>13</v>
      </c>
      <c r="G1413" s="9">
        <v>43906</v>
      </c>
    </row>
    <row r="1414" spans="1:19">
      <c r="A1414" s="52" t="s">
        <v>437</v>
      </c>
      <c r="B1414" s="33" t="s">
        <v>440</v>
      </c>
      <c r="C1414" s="78">
        <v>1584000</v>
      </c>
      <c r="D1414" s="78">
        <v>1440000</v>
      </c>
      <c r="E1414" s="78">
        <v>144000</v>
      </c>
      <c r="F1414" s="54" t="s">
        <v>13</v>
      </c>
      <c r="G1414" s="9">
        <v>43941</v>
      </c>
    </row>
    <row r="1415" spans="1:19">
      <c r="A1415" s="52" t="s">
        <v>437</v>
      </c>
      <c r="B1415" s="33" t="s">
        <v>15</v>
      </c>
      <c r="C1415" s="78">
        <v>528000</v>
      </c>
      <c r="D1415" s="78">
        <v>480000</v>
      </c>
      <c r="E1415" s="78">
        <v>48000</v>
      </c>
      <c r="F1415" s="54" t="s">
        <v>313</v>
      </c>
      <c r="G1415" s="9">
        <v>43910</v>
      </c>
    </row>
    <row r="1416" spans="1:19">
      <c r="A1416" s="52" t="s">
        <v>437</v>
      </c>
      <c r="B1416" s="33" t="s">
        <v>15</v>
      </c>
      <c r="C1416" s="78">
        <v>10626000</v>
      </c>
      <c r="D1416" s="78">
        <v>9660000</v>
      </c>
      <c r="E1416" s="78">
        <v>966000</v>
      </c>
      <c r="F1416" s="54" t="s">
        <v>69</v>
      </c>
      <c r="G1416" s="9">
        <v>43910</v>
      </c>
    </row>
    <row r="1417" spans="1:19">
      <c r="A1417" s="52" t="s">
        <v>437</v>
      </c>
      <c r="B1417" s="33" t="s">
        <v>15</v>
      </c>
      <c r="C1417" s="78">
        <v>11434500</v>
      </c>
      <c r="D1417" s="78">
        <v>10395000</v>
      </c>
      <c r="E1417" s="78">
        <v>1039500</v>
      </c>
      <c r="F1417" s="54" t="s">
        <v>262</v>
      </c>
      <c r="G1417" s="9">
        <v>43910</v>
      </c>
    </row>
    <row r="1418" spans="1:19">
      <c r="A1418" s="52" t="s">
        <v>437</v>
      </c>
      <c r="B1418" s="33" t="s">
        <v>385</v>
      </c>
      <c r="C1418" s="78">
        <v>8162000</v>
      </c>
      <c r="D1418" s="78">
        <v>7420000</v>
      </c>
      <c r="E1418" s="78">
        <v>742000</v>
      </c>
      <c r="F1418" s="54" t="s">
        <v>552</v>
      </c>
      <c r="G1418" s="9">
        <v>43900</v>
      </c>
    </row>
    <row r="1419" spans="1:19">
      <c r="A1419" s="55" t="s">
        <v>437</v>
      </c>
      <c r="B1419" s="30" t="s">
        <v>385</v>
      </c>
      <c r="C1419" s="80">
        <v>-12826000</v>
      </c>
      <c r="D1419" s="80">
        <v>-11660000</v>
      </c>
      <c r="E1419" s="80">
        <v>-1166000</v>
      </c>
      <c r="F1419" s="31" t="s">
        <v>570</v>
      </c>
      <c r="G1419" s="30" t="s">
        <v>496</v>
      </c>
      <c r="H1419" s="31"/>
      <c r="I1419" s="73"/>
      <c r="J1419" s="74"/>
      <c r="K1419" s="30"/>
      <c r="L1419" s="30"/>
      <c r="M1419" s="30"/>
      <c r="N1419" s="30"/>
      <c r="O1419" s="30"/>
      <c r="P1419" s="30"/>
      <c r="Q1419" s="30"/>
      <c r="R1419" s="30"/>
      <c r="S1419" s="30"/>
    </row>
    <row r="1420" spans="1:19">
      <c r="A1420" s="52" t="s">
        <v>437</v>
      </c>
      <c r="B1420" s="33" t="s">
        <v>2</v>
      </c>
      <c r="C1420" s="78">
        <v>1927200</v>
      </c>
      <c r="D1420" s="78">
        <v>1752000</v>
      </c>
      <c r="E1420" s="78">
        <v>175200</v>
      </c>
      <c r="F1420" s="54" t="s">
        <v>346</v>
      </c>
      <c r="G1420" s="9">
        <v>43900</v>
      </c>
    </row>
    <row r="1421" spans="1:19">
      <c r="A1421" s="52" t="s">
        <v>437</v>
      </c>
      <c r="B1421" s="33" t="s">
        <v>2</v>
      </c>
      <c r="C1421" s="78">
        <v>745800</v>
      </c>
      <c r="D1421" s="78">
        <v>678000</v>
      </c>
      <c r="E1421" s="78">
        <v>67800</v>
      </c>
      <c r="F1421" s="54" t="s">
        <v>421</v>
      </c>
      <c r="G1421" s="9">
        <v>43900</v>
      </c>
    </row>
    <row r="1422" spans="1:19">
      <c r="A1422" s="52" t="s">
        <v>437</v>
      </c>
      <c r="B1422" s="33" t="s">
        <v>2</v>
      </c>
      <c r="C1422" s="78">
        <v>12842500</v>
      </c>
      <c r="D1422" s="78">
        <v>11675000</v>
      </c>
      <c r="E1422" s="78">
        <v>1167500</v>
      </c>
      <c r="F1422" s="54" t="s">
        <v>424</v>
      </c>
      <c r="G1422" s="9">
        <v>43900</v>
      </c>
    </row>
    <row r="1423" spans="1:19">
      <c r="A1423" s="52" t="s">
        <v>437</v>
      </c>
      <c r="B1423" s="33" t="s">
        <v>2</v>
      </c>
      <c r="C1423" s="78">
        <v>1522400</v>
      </c>
      <c r="D1423" s="78">
        <v>1384000</v>
      </c>
      <c r="E1423" s="78">
        <v>138400</v>
      </c>
      <c r="F1423" s="54" t="s">
        <v>381</v>
      </c>
      <c r="G1423" s="9">
        <v>43900</v>
      </c>
    </row>
    <row r="1424" spans="1:19">
      <c r="A1424" s="52" t="s">
        <v>437</v>
      </c>
      <c r="B1424" s="33" t="s">
        <v>2</v>
      </c>
      <c r="C1424" s="78">
        <v>4620000</v>
      </c>
      <c r="D1424" s="78">
        <v>4200000</v>
      </c>
      <c r="E1424" s="78">
        <v>420000</v>
      </c>
      <c r="F1424" s="54" t="s">
        <v>245</v>
      </c>
      <c r="G1424" s="9">
        <v>43900</v>
      </c>
    </row>
    <row r="1425" spans="1:19">
      <c r="A1425" s="52" t="s">
        <v>437</v>
      </c>
      <c r="B1425" s="33" t="s">
        <v>2</v>
      </c>
      <c r="C1425" s="78">
        <v>7238000</v>
      </c>
      <c r="D1425" s="78">
        <v>6580000</v>
      </c>
      <c r="E1425" s="78">
        <v>658000</v>
      </c>
      <c r="F1425" s="54" t="s">
        <v>306</v>
      </c>
      <c r="G1425" s="9">
        <v>43900</v>
      </c>
    </row>
    <row r="1426" spans="1:19">
      <c r="A1426" s="52" t="s">
        <v>437</v>
      </c>
      <c r="B1426" s="33" t="s">
        <v>2</v>
      </c>
      <c r="C1426" s="78">
        <v>355740</v>
      </c>
      <c r="D1426" s="78">
        <v>323400</v>
      </c>
      <c r="E1426" s="78">
        <v>32340</v>
      </c>
      <c r="F1426" s="54" t="s">
        <v>233</v>
      </c>
      <c r="G1426" s="9">
        <v>43900</v>
      </c>
    </row>
    <row r="1427" spans="1:19">
      <c r="A1427" s="52" t="s">
        <v>437</v>
      </c>
      <c r="B1427" s="33" t="s">
        <v>385</v>
      </c>
      <c r="C1427" s="78">
        <v>1982200</v>
      </c>
      <c r="D1427" s="78">
        <v>1802000</v>
      </c>
      <c r="E1427" s="78">
        <v>180200</v>
      </c>
      <c r="F1427" s="54" t="s">
        <v>438</v>
      </c>
      <c r="G1427" s="9">
        <v>43900</v>
      </c>
    </row>
    <row r="1428" spans="1:19">
      <c r="A1428" s="52" t="s">
        <v>437</v>
      </c>
      <c r="B1428" s="33" t="s">
        <v>385</v>
      </c>
      <c r="C1428" s="78">
        <v>466400</v>
      </c>
      <c r="D1428" s="78">
        <v>424000</v>
      </c>
      <c r="E1428" s="78">
        <v>42400</v>
      </c>
      <c r="F1428" s="54" t="s">
        <v>386</v>
      </c>
      <c r="G1428" s="9">
        <v>43900</v>
      </c>
    </row>
    <row r="1429" spans="1:19">
      <c r="A1429" s="52" t="s">
        <v>437</v>
      </c>
      <c r="B1429" s="33" t="s">
        <v>385</v>
      </c>
      <c r="C1429" s="78">
        <v>78580700</v>
      </c>
      <c r="D1429" s="78">
        <v>71437000</v>
      </c>
      <c r="E1429" s="78">
        <v>7143700</v>
      </c>
      <c r="F1429" s="54" t="s">
        <v>569</v>
      </c>
      <c r="G1429" s="9">
        <v>43900</v>
      </c>
    </row>
    <row r="1430" spans="1:19">
      <c r="A1430" s="55" t="s">
        <v>437</v>
      </c>
      <c r="B1430" s="30" t="s">
        <v>385</v>
      </c>
      <c r="C1430" s="80">
        <v>12826000</v>
      </c>
      <c r="D1430" s="80">
        <v>11660000</v>
      </c>
      <c r="E1430" s="80">
        <v>1166000</v>
      </c>
      <c r="F1430" s="31" t="s">
        <v>570</v>
      </c>
      <c r="G1430" s="30" t="s">
        <v>496</v>
      </c>
      <c r="H1430" s="31"/>
      <c r="I1430" s="73"/>
      <c r="J1430" s="74"/>
      <c r="K1430" s="30"/>
      <c r="L1430" s="30"/>
      <c r="M1430" s="30"/>
      <c r="N1430" s="30"/>
      <c r="O1430" s="30"/>
      <c r="P1430" s="30"/>
      <c r="Q1430" s="30"/>
      <c r="R1430" s="30"/>
      <c r="S1430" s="30"/>
    </row>
    <row r="1431" spans="1:19">
      <c r="A1431" s="52" t="s">
        <v>437</v>
      </c>
      <c r="B1431" s="33" t="s">
        <v>432</v>
      </c>
      <c r="C1431" s="78">
        <v>1699500</v>
      </c>
      <c r="D1431" s="78">
        <v>1545000</v>
      </c>
      <c r="E1431" s="78">
        <v>154500</v>
      </c>
      <c r="F1431" s="54" t="s">
        <v>244</v>
      </c>
      <c r="G1431" s="9">
        <v>43902</v>
      </c>
    </row>
    <row r="1432" spans="1:19">
      <c r="A1432" s="52" t="s">
        <v>437</v>
      </c>
      <c r="B1432" s="33" t="s">
        <v>432</v>
      </c>
      <c r="C1432" s="78">
        <v>1586200</v>
      </c>
      <c r="D1432" s="78">
        <v>1442000</v>
      </c>
      <c r="E1432" s="78">
        <v>144200</v>
      </c>
      <c r="F1432" s="54" t="s">
        <v>280</v>
      </c>
      <c r="G1432" s="9">
        <v>43902</v>
      </c>
    </row>
    <row r="1433" spans="1:19">
      <c r="A1433" s="55" t="s">
        <v>437</v>
      </c>
      <c r="B1433" s="30" t="s">
        <v>429</v>
      </c>
      <c r="C1433" s="80">
        <v>2878345</v>
      </c>
      <c r="D1433" s="80">
        <v>2616678</v>
      </c>
      <c r="E1433" s="80">
        <v>261667</v>
      </c>
      <c r="F1433" s="31" t="s">
        <v>553</v>
      </c>
      <c r="G1433" s="30" t="s">
        <v>496</v>
      </c>
      <c r="I1433" s="304" t="s">
        <v>518</v>
      </c>
      <c r="J1433" s="304"/>
      <c r="K1433" s="304"/>
    </row>
    <row r="1434" spans="1:19">
      <c r="A1434" s="52" t="s">
        <v>437</v>
      </c>
      <c r="B1434" s="33" t="s">
        <v>429</v>
      </c>
      <c r="C1434" s="78">
        <v>44309223</v>
      </c>
      <c r="D1434" s="78">
        <v>40281112</v>
      </c>
      <c r="E1434" s="78">
        <v>4028111</v>
      </c>
      <c r="F1434" s="54" t="s">
        <v>13</v>
      </c>
      <c r="G1434" s="9">
        <v>43921</v>
      </c>
      <c r="I1434" s="18" t="s">
        <v>487</v>
      </c>
      <c r="J1434" s="36" t="s">
        <v>488</v>
      </c>
      <c r="K1434" s="36" t="s">
        <v>494</v>
      </c>
    </row>
    <row r="1435" spans="1:19">
      <c r="A1435" s="52" t="s">
        <v>437</v>
      </c>
      <c r="B1435" s="33" t="s">
        <v>155</v>
      </c>
      <c r="C1435" s="78">
        <v>308000</v>
      </c>
      <c r="D1435" s="78">
        <v>280000</v>
      </c>
      <c r="E1435" s="78">
        <v>28000</v>
      </c>
      <c r="F1435" s="54" t="s">
        <v>13</v>
      </c>
      <c r="G1435" s="10">
        <v>43921</v>
      </c>
      <c r="H1435" s="51"/>
      <c r="I1435" s="18">
        <f>SUM(C1401:C1435)</f>
        <v>264931908</v>
      </c>
      <c r="J1435" s="18">
        <f>SUM(D1401:D1435)</f>
        <v>240847190</v>
      </c>
      <c r="K1435" s="18">
        <f>SUM(E1401:E1435)</f>
        <v>24084718</v>
      </c>
      <c r="L1435" s="42"/>
      <c r="M1435" s="42"/>
      <c r="N1435" s="42"/>
      <c r="O1435" s="42"/>
      <c r="P1435" s="42"/>
      <c r="Q1435" s="42"/>
      <c r="R1435" s="42"/>
      <c r="S1435" s="42"/>
    </row>
    <row r="1436" spans="1:19">
      <c r="A1436" s="57" t="s">
        <v>439</v>
      </c>
      <c r="B1436" s="58" t="s">
        <v>385</v>
      </c>
      <c r="C1436" s="79">
        <v>4664000</v>
      </c>
      <c r="D1436" s="79">
        <v>4240000</v>
      </c>
      <c r="E1436" s="79">
        <v>424000</v>
      </c>
      <c r="F1436" s="60" t="s">
        <v>387</v>
      </c>
      <c r="G1436" s="9">
        <v>43900</v>
      </c>
    </row>
    <row r="1437" spans="1:19">
      <c r="A1437" s="52" t="s">
        <v>441</v>
      </c>
      <c r="B1437" s="33" t="s">
        <v>2</v>
      </c>
      <c r="C1437" s="78">
        <v>1367300</v>
      </c>
      <c r="D1437" s="78">
        <v>1243000</v>
      </c>
      <c r="E1437" s="78">
        <v>124300</v>
      </c>
      <c r="F1437" s="54" t="s">
        <v>346</v>
      </c>
      <c r="G1437" s="9">
        <v>43910</v>
      </c>
    </row>
    <row r="1438" spans="1:19">
      <c r="A1438" s="52" t="s">
        <v>441</v>
      </c>
      <c r="B1438" s="33" t="s">
        <v>2</v>
      </c>
      <c r="C1438" s="78">
        <v>7168700</v>
      </c>
      <c r="D1438" s="78">
        <v>6517000</v>
      </c>
      <c r="E1438" s="78">
        <v>651700</v>
      </c>
      <c r="F1438" s="54" t="s">
        <v>424</v>
      </c>
      <c r="G1438" s="9">
        <v>43910</v>
      </c>
    </row>
    <row r="1439" spans="1:19">
      <c r="A1439" s="52" t="s">
        <v>441</v>
      </c>
      <c r="B1439" s="33" t="s">
        <v>2</v>
      </c>
      <c r="C1439" s="78">
        <v>909700</v>
      </c>
      <c r="D1439" s="78">
        <v>827000</v>
      </c>
      <c r="E1439" s="78">
        <v>82700</v>
      </c>
      <c r="F1439" s="54" t="s">
        <v>381</v>
      </c>
      <c r="G1439" s="9">
        <v>43920</v>
      </c>
    </row>
    <row r="1440" spans="1:19">
      <c r="A1440" s="52" t="s">
        <v>441</v>
      </c>
      <c r="B1440" s="33" t="s">
        <v>2</v>
      </c>
      <c r="C1440" s="78">
        <v>4620000</v>
      </c>
      <c r="D1440" s="78">
        <v>4200000</v>
      </c>
      <c r="E1440" s="78">
        <v>420000</v>
      </c>
      <c r="F1440" s="54" t="s">
        <v>245</v>
      </c>
      <c r="G1440" s="9">
        <v>43910</v>
      </c>
    </row>
    <row r="1441" spans="1:11">
      <c r="A1441" s="52" t="s">
        <v>441</v>
      </c>
      <c r="B1441" s="33" t="s">
        <v>2</v>
      </c>
      <c r="C1441" s="78">
        <v>4510000</v>
      </c>
      <c r="D1441" s="78">
        <v>4100000</v>
      </c>
      <c r="E1441" s="78">
        <v>410000</v>
      </c>
      <c r="F1441" s="54" t="s">
        <v>306</v>
      </c>
      <c r="G1441" s="9">
        <v>43910</v>
      </c>
    </row>
    <row r="1442" spans="1:11">
      <c r="A1442" s="55" t="s">
        <v>442</v>
      </c>
      <c r="B1442" s="30" t="s">
        <v>429</v>
      </c>
      <c r="C1442" s="80">
        <v>-2878345</v>
      </c>
      <c r="D1442" s="80">
        <v>-2616678</v>
      </c>
      <c r="E1442" s="80">
        <v>-261667</v>
      </c>
      <c r="F1442" s="31" t="s">
        <v>553</v>
      </c>
      <c r="G1442" s="30" t="s">
        <v>496</v>
      </c>
      <c r="H1442" s="17" t="s">
        <v>554</v>
      </c>
    </row>
    <row r="1443" spans="1:11">
      <c r="A1443" s="55" t="s">
        <v>443</v>
      </c>
      <c r="B1443" s="30" t="s">
        <v>15</v>
      </c>
      <c r="C1443" s="80">
        <v>-5318500</v>
      </c>
      <c r="D1443" s="80">
        <v>-4835000</v>
      </c>
      <c r="E1443" s="80">
        <v>-483500</v>
      </c>
      <c r="F1443" s="31" t="s">
        <v>262</v>
      </c>
      <c r="G1443" s="30" t="s">
        <v>496</v>
      </c>
    </row>
    <row r="1444" spans="1:11">
      <c r="A1444" s="52" t="s">
        <v>443</v>
      </c>
      <c r="B1444" s="33" t="s">
        <v>440</v>
      </c>
      <c r="C1444" s="78">
        <v>1199000</v>
      </c>
      <c r="D1444" s="78">
        <v>1090000</v>
      </c>
      <c r="E1444" s="78">
        <v>109000</v>
      </c>
      <c r="F1444" s="54" t="s">
        <v>13</v>
      </c>
      <c r="G1444" s="9">
        <v>43969</v>
      </c>
    </row>
    <row r="1445" spans="1:11">
      <c r="A1445" s="52" t="s">
        <v>443</v>
      </c>
      <c r="B1445" s="33" t="s">
        <v>2</v>
      </c>
      <c r="C1445" s="78">
        <v>1367300</v>
      </c>
      <c r="D1445" s="78">
        <v>1243000</v>
      </c>
      <c r="E1445" s="78">
        <v>124300</v>
      </c>
      <c r="F1445" s="54" t="s">
        <v>346</v>
      </c>
      <c r="G1445" s="9">
        <v>43931</v>
      </c>
    </row>
    <row r="1446" spans="1:11">
      <c r="A1446" s="52" t="s">
        <v>443</v>
      </c>
      <c r="B1446" s="33" t="s">
        <v>2</v>
      </c>
      <c r="C1446" s="78">
        <v>3911600</v>
      </c>
      <c r="D1446" s="78">
        <v>3556000</v>
      </c>
      <c r="E1446" s="78">
        <v>355600</v>
      </c>
      <c r="F1446" s="54" t="s">
        <v>424</v>
      </c>
      <c r="G1446" s="9">
        <v>43931</v>
      </c>
    </row>
    <row r="1447" spans="1:11">
      <c r="A1447" s="52" t="s">
        <v>443</v>
      </c>
      <c r="B1447" s="33" t="s">
        <v>2</v>
      </c>
      <c r="C1447" s="78">
        <v>2610300</v>
      </c>
      <c r="D1447" s="78">
        <v>2373000</v>
      </c>
      <c r="E1447" s="78">
        <v>237300</v>
      </c>
      <c r="F1447" s="54" t="s">
        <v>421</v>
      </c>
      <c r="G1447" s="9">
        <v>43931</v>
      </c>
    </row>
    <row r="1448" spans="1:11">
      <c r="A1448" s="52" t="s">
        <v>443</v>
      </c>
      <c r="B1448" s="33" t="s">
        <v>2</v>
      </c>
      <c r="C1448" s="78">
        <v>952600</v>
      </c>
      <c r="D1448" s="78">
        <v>866000</v>
      </c>
      <c r="E1448" s="78">
        <v>86600</v>
      </c>
      <c r="F1448" s="54" t="s">
        <v>381</v>
      </c>
      <c r="G1448" s="9">
        <v>43931</v>
      </c>
    </row>
    <row r="1449" spans="1:11">
      <c r="A1449" s="52" t="s">
        <v>443</v>
      </c>
      <c r="B1449" s="33" t="s">
        <v>2</v>
      </c>
      <c r="C1449" s="78">
        <v>3828000</v>
      </c>
      <c r="D1449" s="78">
        <v>3480000</v>
      </c>
      <c r="E1449" s="78">
        <v>348000</v>
      </c>
      <c r="F1449" s="54" t="s">
        <v>245</v>
      </c>
      <c r="G1449" s="9">
        <v>43931</v>
      </c>
    </row>
    <row r="1450" spans="1:11">
      <c r="A1450" s="52" t="s">
        <v>443</v>
      </c>
      <c r="B1450" s="33" t="s">
        <v>2</v>
      </c>
      <c r="C1450" s="78">
        <v>2420000</v>
      </c>
      <c r="D1450" s="78">
        <v>2200000</v>
      </c>
      <c r="E1450" s="78">
        <v>220000</v>
      </c>
      <c r="F1450" s="54" t="s">
        <v>306</v>
      </c>
      <c r="G1450" s="9">
        <v>43931</v>
      </c>
    </row>
    <row r="1451" spans="1:11">
      <c r="A1451" s="52" t="s">
        <v>443</v>
      </c>
      <c r="B1451" s="33" t="s">
        <v>385</v>
      </c>
      <c r="C1451" s="78">
        <v>1755600</v>
      </c>
      <c r="D1451" s="78">
        <v>1596000</v>
      </c>
      <c r="E1451" s="78">
        <v>159600</v>
      </c>
      <c r="F1451" s="54" t="s">
        <v>555</v>
      </c>
      <c r="G1451" s="9">
        <v>43931</v>
      </c>
    </row>
    <row r="1452" spans="1:11">
      <c r="A1452" s="52" t="s">
        <v>443</v>
      </c>
      <c r="B1452" s="33" t="s">
        <v>385</v>
      </c>
      <c r="C1452" s="78">
        <v>22294800</v>
      </c>
      <c r="D1452" s="78">
        <v>20268000</v>
      </c>
      <c r="E1452" s="78">
        <v>2026800</v>
      </c>
      <c r="F1452" s="54" t="s">
        <v>556</v>
      </c>
      <c r="G1452" s="9">
        <v>43931</v>
      </c>
    </row>
    <row r="1453" spans="1:11">
      <c r="A1453" s="52" t="s">
        <v>443</v>
      </c>
      <c r="B1453" s="33" t="s">
        <v>385</v>
      </c>
      <c r="C1453" s="78">
        <v>82669400</v>
      </c>
      <c r="D1453" s="78">
        <v>75154000</v>
      </c>
      <c r="E1453" s="78">
        <v>7515400</v>
      </c>
      <c r="F1453" s="54" t="s">
        <v>557</v>
      </c>
      <c r="G1453" s="9">
        <v>43931</v>
      </c>
    </row>
    <row r="1454" spans="1:11">
      <c r="A1454" s="52" t="s">
        <v>443</v>
      </c>
      <c r="B1454" s="33" t="s">
        <v>385</v>
      </c>
      <c r="C1454" s="78">
        <v>10027600</v>
      </c>
      <c r="D1454" s="78">
        <v>9116000</v>
      </c>
      <c r="E1454" s="78">
        <v>911600</v>
      </c>
      <c r="F1454" s="54" t="s">
        <v>558</v>
      </c>
      <c r="G1454" s="9">
        <v>43931</v>
      </c>
    </row>
    <row r="1455" spans="1:11">
      <c r="A1455" s="52" t="s">
        <v>443</v>
      </c>
      <c r="B1455" s="33" t="s">
        <v>15</v>
      </c>
      <c r="C1455" s="78">
        <v>9471000</v>
      </c>
      <c r="D1455" s="78">
        <v>8610000</v>
      </c>
      <c r="E1455" s="78">
        <v>861000</v>
      </c>
      <c r="F1455" s="54" t="s">
        <v>69</v>
      </c>
      <c r="G1455" s="9">
        <v>43941</v>
      </c>
    </row>
    <row r="1456" spans="1:11">
      <c r="A1456" s="55" t="s">
        <v>443</v>
      </c>
      <c r="B1456" s="30" t="s">
        <v>15</v>
      </c>
      <c r="C1456" s="80">
        <v>5318500</v>
      </c>
      <c r="D1456" s="80">
        <v>4835000</v>
      </c>
      <c r="E1456" s="80">
        <v>483500</v>
      </c>
      <c r="F1456" s="31" t="s">
        <v>262</v>
      </c>
      <c r="G1456" s="30" t="s">
        <v>496</v>
      </c>
      <c r="I1456" s="304" t="s">
        <v>519</v>
      </c>
      <c r="J1456" s="304"/>
      <c r="K1456" s="304"/>
    </row>
    <row r="1457" spans="1:19">
      <c r="A1457" s="52" t="s">
        <v>443</v>
      </c>
      <c r="B1457" s="33" t="s">
        <v>429</v>
      </c>
      <c r="C1457" s="78">
        <v>4606563</v>
      </c>
      <c r="D1457" s="78">
        <v>4187785</v>
      </c>
      <c r="E1457" s="78">
        <v>418778</v>
      </c>
      <c r="F1457" s="54" t="s">
        <v>444</v>
      </c>
      <c r="G1457" s="9">
        <v>43950</v>
      </c>
      <c r="I1457" s="18" t="s">
        <v>487</v>
      </c>
      <c r="J1457" s="36" t="s">
        <v>488</v>
      </c>
      <c r="K1457" s="36" t="s">
        <v>494</v>
      </c>
    </row>
    <row r="1458" spans="1:19">
      <c r="A1458" s="47" t="s">
        <v>443</v>
      </c>
      <c r="B1458" s="48" t="s">
        <v>429</v>
      </c>
      <c r="C1458" s="83">
        <v>7193681</v>
      </c>
      <c r="D1458" s="83">
        <v>6539710</v>
      </c>
      <c r="E1458" s="83">
        <v>653971</v>
      </c>
      <c r="F1458" s="50" t="s">
        <v>13</v>
      </c>
      <c r="G1458" s="10">
        <v>43950</v>
      </c>
      <c r="H1458" s="51"/>
      <c r="I1458" s="18">
        <f>SUM(C1436:C1458)</f>
        <v>174668799</v>
      </c>
      <c r="J1458" s="18">
        <f>SUM(D1436:D1458)</f>
        <v>158789817</v>
      </c>
      <c r="K1458" s="18">
        <f>SUM(E1436:E1458)</f>
        <v>15878982</v>
      </c>
      <c r="L1458" s="42"/>
      <c r="M1458" s="42"/>
      <c r="N1458" s="42"/>
      <c r="O1458" s="42"/>
      <c r="P1458" s="42"/>
      <c r="Q1458" s="42"/>
      <c r="R1458" s="42"/>
      <c r="S1458" s="42"/>
    </row>
    <row r="1459" spans="1:19">
      <c r="A1459" s="52" t="s">
        <v>446</v>
      </c>
      <c r="B1459" s="33" t="s">
        <v>2</v>
      </c>
      <c r="C1459" s="78">
        <v>1243000</v>
      </c>
      <c r="D1459" s="78">
        <v>1130000</v>
      </c>
      <c r="E1459" s="78">
        <v>113000</v>
      </c>
      <c r="F1459" s="54" t="s">
        <v>346</v>
      </c>
      <c r="G1459" s="9">
        <v>43941</v>
      </c>
    </row>
    <row r="1460" spans="1:19">
      <c r="A1460" s="52" t="s">
        <v>446</v>
      </c>
      <c r="B1460" s="33" t="s">
        <v>2</v>
      </c>
      <c r="C1460" s="78">
        <v>4669500</v>
      </c>
      <c r="D1460" s="78">
        <v>4245000</v>
      </c>
      <c r="E1460" s="78">
        <v>424500</v>
      </c>
      <c r="F1460" s="54" t="s">
        <v>424</v>
      </c>
      <c r="G1460" s="9">
        <v>43941</v>
      </c>
      <c r="I1460" s="306"/>
      <c r="J1460" s="306"/>
      <c r="K1460" s="306"/>
    </row>
    <row r="1461" spans="1:19">
      <c r="A1461" s="52" t="s">
        <v>446</v>
      </c>
      <c r="B1461" s="33" t="s">
        <v>2</v>
      </c>
      <c r="C1461" s="78">
        <v>1491600</v>
      </c>
      <c r="D1461" s="78">
        <v>1356000</v>
      </c>
      <c r="E1461" s="78">
        <v>135600</v>
      </c>
      <c r="F1461" s="54" t="s">
        <v>421</v>
      </c>
      <c r="G1461" s="9">
        <v>43941</v>
      </c>
      <c r="J1461" s="14"/>
    </row>
    <row r="1462" spans="1:19">
      <c r="A1462" s="52" t="s">
        <v>446</v>
      </c>
      <c r="B1462" s="33" t="s">
        <v>2</v>
      </c>
      <c r="C1462" s="78">
        <v>1274900</v>
      </c>
      <c r="D1462" s="78">
        <v>1159000</v>
      </c>
      <c r="E1462" s="78">
        <v>115900</v>
      </c>
      <c r="F1462" s="54" t="s">
        <v>381</v>
      </c>
      <c r="G1462" s="9">
        <v>43941</v>
      </c>
      <c r="J1462" s="15"/>
      <c r="K1462" s="15"/>
    </row>
    <row r="1463" spans="1:19">
      <c r="A1463" s="52" t="s">
        <v>446</v>
      </c>
      <c r="B1463" s="33" t="s">
        <v>2</v>
      </c>
      <c r="C1463" s="78">
        <v>2640000</v>
      </c>
      <c r="D1463" s="78">
        <v>2400000</v>
      </c>
      <c r="E1463" s="78">
        <v>240000</v>
      </c>
      <c r="F1463" s="54" t="s">
        <v>245</v>
      </c>
      <c r="G1463" s="9">
        <v>43941</v>
      </c>
    </row>
    <row r="1464" spans="1:19">
      <c r="A1464" s="55" t="s">
        <v>445</v>
      </c>
      <c r="B1464" s="30" t="s">
        <v>15</v>
      </c>
      <c r="C1464" s="80">
        <v>5318500</v>
      </c>
      <c r="D1464" s="80">
        <v>4835000</v>
      </c>
      <c r="E1464" s="80">
        <v>483500</v>
      </c>
      <c r="F1464" s="31" t="s">
        <v>262</v>
      </c>
      <c r="G1464" s="30" t="s">
        <v>496</v>
      </c>
      <c r="H1464" s="17" t="s">
        <v>559</v>
      </c>
    </row>
    <row r="1465" spans="1:19">
      <c r="A1465" s="52" t="s">
        <v>445</v>
      </c>
      <c r="B1465" s="33" t="s">
        <v>15</v>
      </c>
      <c r="C1465" s="78">
        <v>5780500</v>
      </c>
      <c r="D1465" s="78">
        <v>5255000</v>
      </c>
      <c r="E1465" s="78">
        <v>525500</v>
      </c>
      <c r="F1465" s="54" t="s">
        <v>262</v>
      </c>
      <c r="G1465" s="9">
        <v>43941</v>
      </c>
    </row>
    <row r="1466" spans="1:19">
      <c r="A1466" s="55" t="s">
        <v>445</v>
      </c>
      <c r="B1466" s="30" t="s">
        <v>15</v>
      </c>
      <c r="C1466" s="80">
        <v>-462000</v>
      </c>
      <c r="D1466" s="80">
        <v>-420000</v>
      </c>
      <c r="E1466" s="80">
        <v>-42000</v>
      </c>
      <c r="F1466" s="31" t="s">
        <v>262</v>
      </c>
      <c r="G1466" s="30" t="s">
        <v>496</v>
      </c>
    </row>
    <row r="1467" spans="1:19">
      <c r="A1467" s="55" t="s">
        <v>445</v>
      </c>
      <c r="B1467" s="30" t="s">
        <v>15</v>
      </c>
      <c r="C1467" s="80">
        <v>-5318500</v>
      </c>
      <c r="D1467" s="80">
        <v>-4835000</v>
      </c>
      <c r="E1467" s="80">
        <v>-483500</v>
      </c>
      <c r="F1467" s="31" t="s">
        <v>262</v>
      </c>
      <c r="G1467" s="30" t="s">
        <v>496</v>
      </c>
    </row>
    <row r="1468" spans="1:19">
      <c r="A1468" s="55" t="s">
        <v>445</v>
      </c>
      <c r="B1468" s="30" t="s">
        <v>15</v>
      </c>
      <c r="C1468" s="80">
        <v>462000</v>
      </c>
      <c r="D1468" s="80">
        <v>420000</v>
      </c>
      <c r="E1468" s="80">
        <v>42000</v>
      </c>
      <c r="F1468" s="31" t="s">
        <v>262</v>
      </c>
      <c r="G1468" s="30" t="s">
        <v>496</v>
      </c>
    </row>
    <row r="1469" spans="1:19">
      <c r="A1469" s="52" t="s">
        <v>450</v>
      </c>
      <c r="B1469" s="33" t="s">
        <v>385</v>
      </c>
      <c r="C1469" s="78">
        <v>16593500</v>
      </c>
      <c r="D1469" s="78">
        <v>15085000</v>
      </c>
      <c r="E1469" s="78">
        <v>1508500</v>
      </c>
      <c r="F1469" s="54" t="s">
        <v>560</v>
      </c>
      <c r="G1469" s="9">
        <v>43962</v>
      </c>
    </row>
    <row r="1470" spans="1:19">
      <c r="A1470" s="52" t="s">
        <v>450</v>
      </c>
      <c r="B1470" s="33" t="s">
        <v>385</v>
      </c>
      <c r="C1470" s="78">
        <v>5016000</v>
      </c>
      <c r="D1470" s="78">
        <v>4560000</v>
      </c>
      <c r="E1470" s="78">
        <v>456000</v>
      </c>
      <c r="F1470" s="54" t="s">
        <v>561</v>
      </c>
      <c r="G1470" s="9">
        <v>43962</v>
      </c>
    </row>
    <row r="1471" spans="1:19">
      <c r="A1471" s="52" t="s">
        <v>450</v>
      </c>
      <c r="B1471" s="33" t="s">
        <v>385</v>
      </c>
      <c r="C1471" s="78">
        <v>8978200</v>
      </c>
      <c r="D1471" s="78">
        <v>8162000</v>
      </c>
      <c r="E1471" s="78">
        <v>816200</v>
      </c>
      <c r="F1471" s="54" t="s">
        <v>558</v>
      </c>
      <c r="G1471" s="9">
        <v>43962</v>
      </c>
    </row>
    <row r="1472" spans="1:19">
      <c r="A1472" s="52" t="s">
        <v>450</v>
      </c>
      <c r="B1472" s="33" t="s">
        <v>385</v>
      </c>
      <c r="C1472" s="78">
        <v>59714600</v>
      </c>
      <c r="D1472" s="78">
        <v>54286000</v>
      </c>
      <c r="E1472" s="78">
        <v>5428600</v>
      </c>
      <c r="F1472" s="54" t="s">
        <v>557</v>
      </c>
      <c r="G1472" s="9">
        <v>43962</v>
      </c>
    </row>
    <row r="1473" spans="1:19">
      <c r="A1473" s="52" t="s">
        <v>450</v>
      </c>
      <c r="B1473" s="33" t="s">
        <v>15</v>
      </c>
      <c r="C1473" s="78">
        <v>660000</v>
      </c>
      <c r="D1473" s="78">
        <v>600000</v>
      </c>
      <c r="E1473" s="78">
        <v>60000</v>
      </c>
      <c r="F1473" s="54" t="s">
        <v>262</v>
      </c>
      <c r="G1473" s="9">
        <v>43976</v>
      </c>
    </row>
    <row r="1474" spans="1:19">
      <c r="A1474" s="52" t="s">
        <v>450</v>
      </c>
      <c r="B1474" s="33" t="s">
        <v>15</v>
      </c>
      <c r="C1474" s="78">
        <v>4158000</v>
      </c>
      <c r="D1474" s="78">
        <v>3780000</v>
      </c>
      <c r="E1474" s="78">
        <v>378000</v>
      </c>
      <c r="F1474" s="54" t="s">
        <v>69</v>
      </c>
      <c r="G1474" s="9">
        <v>43976</v>
      </c>
    </row>
    <row r="1475" spans="1:19">
      <c r="A1475" s="52" t="s">
        <v>450</v>
      </c>
      <c r="B1475" s="33" t="s">
        <v>411</v>
      </c>
      <c r="C1475" s="78">
        <v>209000</v>
      </c>
      <c r="D1475" s="78">
        <v>190000</v>
      </c>
      <c r="E1475" s="78">
        <v>19000</v>
      </c>
      <c r="F1475" s="54" t="s">
        <v>13</v>
      </c>
      <c r="G1475" s="9">
        <v>44022</v>
      </c>
    </row>
    <row r="1476" spans="1:19">
      <c r="A1476" s="52" t="s">
        <v>450</v>
      </c>
      <c r="B1476" s="33" t="s">
        <v>440</v>
      </c>
      <c r="C1476" s="78">
        <v>880000</v>
      </c>
      <c r="D1476" s="78">
        <v>800000</v>
      </c>
      <c r="E1476" s="78">
        <v>80000</v>
      </c>
      <c r="F1476" s="54" t="s">
        <v>13</v>
      </c>
      <c r="G1476" s="9">
        <v>43972</v>
      </c>
    </row>
    <row r="1477" spans="1:19">
      <c r="A1477" s="52" t="s">
        <v>450</v>
      </c>
      <c r="B1477" s="33" t="s">
        <v>432</v>
      </c>
      <c r="C1477" s="78">
        <v>1243000</v>
      </c>
      <c r="D1477" s="78">
        <v>1130000</v>
      </c>
      <c r="E1477" s="78">
        <v>113000</v>
      </c>
      <c r="F1477" s="54" t="s">
        <v>346</v>
      </c>
      <c r="G1477" s="9">
        <v>43964</v>
      </c>
    </row>
    <row r="1478" spans="1:19">
      <c r="A1478" s="52" t="s">
        <v>450</v>
      </c>
      <c r="B1478" s="33" t="s">
        <v>2</v>
      </c>
      <c r="C1478" s="78">
        <v>2640000</v>
      </c>
      <c r="D1478" s="78">
        <v>2400000</v>
      </c>
      <c r="E1478" s="78">
        <v>240000</v>
      </c>
      <c r="F1478" s="54" t="s">
        <v>245</v>
      </c>
      <c r="G1478" s="9">
        <v>43962</v>
      </c>
    </row>
    <row r="1479" spans="1:19">
      <c r="A1479" s="52" t="s">
        <v>450</v>
      </c>
      <c r="B1479" s="33" t="s">
        <v>2</v>
      </c>
      <c r="C1479" s="78">
        <v>1147300</v>
      </c>
      <c r="D1479" s="78">
        <v>1043000</v>
      </c>
      <c r="E1479" s="78">
        <v>104300</v>
      </c>
      <c r="F1479" s="54" t="s">
        <v>381</v>
      </c>
      <c r="G1479" s="9">
        <v>43962</v>
      </c>
    </row>
    <row r="1480" spans="1:19">
      <c r="A1480" s="52" t="s">
        <v>450</v>
      </c>
      <c r="B1480" s="33" t="s">
        <v>2</v>
      </c>
      <c r="C1480" s="78">
        <v>2618000</v>
      </c>
      <c r="D1480" s="78">
        <v>2380000</v>
      </c>
      <c r="E1480" s="78">
        <v>238000</v>
      </c>
      <c r="F1480" s="54" t="s">
        <v>454</v>
      </c>
      <c r="G1480" s="9">
        <v>43962</v>
      </c>
      <c r="I1480" s="304" t="s">
        <v>520</v>
      </c>
      <c r="J1480" s="304"/>
      <c r="K1480" s="304"/>
    </row>
    <row r="1481" spans="1:19">
      <c r="A1481" s="55" t="s">
        <v>450</v>
      </c>
      <c r="B1481" s="30" t="s">
        <v>411</v>
      </c>
      <c r="C1481" s="80">
        <v>209000</v>
      </c>
      <c r="D1481" s="80">
        <v>190000</v>
      </c>
      <c r="E1481" s="80">
        <v>19000</v>
      </c>
      <c r="F1481" s="31" t="s">
        <v>13</v>
      </c>
      <c r="G1481" s="30" t="s">
        <v>496</v>
      </c>
      <c r="H1481" s="31"/>
      <c r="I1481" s="18" t="s">
        <v>487</v>
      </c>
      <c r="J1481" s="36" t="s">
        <v>488</v>
      </c>
      <c r="K1481" s="36" t="s">
        <v>494</v>
      </c>
      <c r="L1481" s="30"/>
      <c r="M1481" s="30"/>
      <c r="N1481" s="30"/>
      <c r="O1481" s="30"/>
      <c r="P1481" s="30"/>
      <c r="Q1481" s="30"/>
      <c r="R1481" s="30"/>
      <c r="S1481" s="30"/>
    </row>
    <row r="1482" spans="1:19">
      <c r="A1482" s="116" t="s">
        <v>450</v>
      </c>
      <c r="B1482" s="91" t="s">
        <v>411</v>
      </c>
      <c r="C1482" s="117">
        <v>-209000</v>
      </c>
      <c r="D1482" s="117">
        <v>-190000</v>
      </c>
      <c r="E1482" s="117">
        <v>-19000</v>
      </c>
      <c r="F1482" s="90" t="s">
        <v>13</v>
      </c>
      <c r="G1482" s="91" t="s">
        <v>496</v>
      </c>
      <c r="H1482" s="90"/>
      <c r="I1482" s="18">
        <f>SUM(C1459:C1482)</f>
        <v>120957100</v>
      </c>
      <c r="J1482" s="18">
        <f>SUM(D1459:D1482)</f>
        <v>109961000</v>
      </c>
      <c r="K1482" s="18">
        <f>SUM(E1459:E1482)</f>
        <v>10996100</v>
      </c>
      <c r="L1482" s="91"/>
      <c r="M1482" s="91"/>
      <c r="N1482" s="91"/>
      <c r="O1482" s="91"/>
      <c r="P1482" s="91"/>
      <c r="Q1482" s="91"/>
      <c r="R1482" s="91"/>
      <c r="S1482" s="91"/>
    </row>
    <row r="1483" spans="1:19">
      <c r="A1483" s="52" t="s">
        <v>451</v>
      </c>
      <c r="B1483" s="33" t="s">
        <v>2</v>
      </c>
      <c r="C1483" s="78">
        <v>3106400</v>
      </c>
      <c r="D1483" s="78">
        <v>2824000</v>
      </c>
      <c r="E1483" s="78">
        <v>282400</v>
      </c>
      <c r="F1483" s="54" t="s">
        <v>424</v>
      </c>
      <c r="G1483" s="9">
        <v>43971</v>
      </c>
    </row>
    <row r="1484" spans="1:19">
      <c r="A1484" s="52" t="s">
        <v>451</v>
      </c>
      <c r="B1484" s="33" t="s">
        <v>2</v>
      </c>
      <c r="C1484" s="78">
        <v>1292500</v>
      </c>
      <c r="D1484" s="78">
        <v>1175000</v>
      </c>
      <c r="E1484" s="78">
        <v>117500</v>
      </c>
      <c r="F1484" s="54" t="s">
        <v>381</v>
      </c>
      <c r="G1484" s="9">
        <v>43971</v>
      </c>
    </row>
    <row r="1485" spans="1:19">
      <c r="A1485" s="52" t="s">
        <v>451</v>
      </c>
      <c r="B1485" s="33" t="s">
        <v>2</v>
      </c>
      <c r="C1485" s="78">
        <v>2772000</v>
      </c>
      <c r="D1485" s="78">
        <v>2520000</v>
      </c>
      <c r="E1485" s="78">
        <v>252000</v>
      </c>
      <c r="F1485" s="54" t="s">
        <v>245</v>
      </c>
      <c r="G1485" s="9">
        <v>43971</v>
      </c>
    </row>
    <row r="1486" spans="1:19">
      <c r="A1486" s="52" t="s">
        <v>451</v>
      </c>
      <c r="B1486" s="33" t="s">
        <v>2</v>
      </c>
      <c r="C1486" s="78">
        <v>2860000</v>
      </c>
      <c r="D1486" s="78">
        <v>2600000</v>
      </c>
      <c r="E1486" s="78">
        <v>260000</v>
      </c>
      <c r="F1486" s="54" t="s">
        <v>306</v>
      </c>
      <c r="G1486" s="9">
        <v>43971</v>
      </c>
    </row>
    <row r="1487" spans="1:19">
      <c r="A1487" s="52" t="s">
        <v>452</v>
      </c>
      <c r="B1487" s="33" t="s">
        <v>15</v>
      </c>
      <c r="C1487" s="78">
        <v>52222500</v>
      </c>
      <c r="D1487" s="78">
        <v>47475000</v>
      </c>
      <c r="E1487" s="78">
        <v>4747500</v>
      </c>
      <c r="F1487" s="54" t="s">
        <v>455</v>
      </c>
      <c r="G1487" s="9">
        <v>44012</v>
      </c>
    </row>
    <row r="1488" spans="1:19">
      <c r="A1488" s="52" t="s">
        <v>453</v>
      </c>
      <c r="B1488" s="33" t="s">
        <v>2</v>
      </c>
      <c r="C1488" s="78">
        <v>3828000</v>
      </c>
      <c r="D1488" s="78">
        <v>3480000</v>
      </c>
      <c r="E1488" s="78">
        <v>348000</v>
      </c>
      <c r="F1488" s="54" t="s">
        <v>245</v>
      </c>
      <c r="G1488" s="9">
        <v>43992</v>
      </c>
    </row>
    <row r="1489" spans="1:19">
      <c r="A1489" s="52" t="s">
        <v>453</v>
      </c>
      <c r="B1489" s="33" t="s">
        <v>2</v>
      </c>
      <c r="C1489" s="78">
        <v>3630000</v>
      </c>
      <c r="D1489" s="78">
        <v>3300000</v>
      </c>
      <c r="E1489" s="78">
        <v>330000</v>
      </c>
      <c r="F1489" s="54" t="s">
        <v>306</v>
      </c>
      <c r="G1489" s="9">
        <v>43992</v>
      </c>
    </row>
    <row r="1490" spans="1:19">
      <c r="A1490" s="52" t="s">
        <v>453</v>
      </c>
      <c r="B1490" s="33" t="s">
        <v>2</v>
      </c>
      <c r="C1490" s="78">
        <v>5211800</v>
      </c>
      <c r="D1490" s="78">
        <v>4738000</v>
      </c>
      <c r="E1490" s="78">
        <v>473800</v>
      </c>
      <c r="F1490" s="54" t="s">
        <v>456</v>
      </c>
      <c r="G1490" s="9">
        <v>44001</v>
      </c>
    </row>
    <row r="1491" spans="1:19">
      <c r="A1491" s="52" t="s">
        <v>453</v>
      </c>
      <c r="B1491" s="33" t="s">
        <v>2</v>
      </c>
      <c r="C1491" s="78">
        <v>2200000</v>
      </c>
      <c r="D1491" s="78">
        <v>2000000</v>
      </c>
      <c r="E1491" s="78">
        <v>200000</v>
      </c>
      <c r="F1491" s="54" t="s">
        <v>424</v>
      </c>
      <c r="G1491" s="9">
        <v>43992</v>
      </c>
    </row>
    <row r="1492" spans="1:19">
      <c r="A1492" s="52" t="s">
        <v>453</v>
      </c>
      <c r="B1492" s="33" t="s">
        <v>2</v>
      </c>
      <c r="C1492" s="78">
        <v>2489300</v>
      </c>
      <c r="D1492" s="78">
        <v>2263000</v>
      </c>
      <c r="E1492" s="78">
        <v>226300</v>
      </c>
      <c r="F1492" s="54" t="s">
        <v>457</v>
      </c>
      <c r="G1492" s="9">
        <v>43994</v>
      </c>
      <c r="H1492" s="17" t="s">
        <v>638</v>
      </c>
    </row>
    <row r="1493" spans="1:19">
      <c r="A1493" s="52" t="s">
        <v>453</v>
      </c>
      <c r="B1493" s="33" t="s">
        <v>2</v>
      </c>
      <c r="C1493" s="78">
        <v>3965500</v>
      </c>
      <c r="D1493" s="78">
        <v>3605000</v>
      </c>
      <c r="E1493" s="78">
        <v>360500</v>
      </c>
      <c r="F1493" s="54" t="s">
        <v>458</v>
      </c>
      <c r="G1493" s="9">
        <v>43994</v>
      </c>
      <c r="H1493" s="17" t="s">
        <v>638</v>
      </c>
    </row>
    <row r="1494" spans="1:19">
      <c r="A1494" s="52" t="s">
        <v>453</v>
      </c>
      <c r="B1494" s="33" t="s">
        <v>15</v>
      </c>
      <c r="C1494" s="78">
        <v>1320000</v>
      </c>
      <c r="D1494" s="78">
        <v>1200000</v>
      </c>
      <c r="E1494" s="78">
        <v>120000</v>
      </c>
      <c r="F1494" s="54" t="s">
        <v>459</v>
      </c>
      <c r="G1494" s="9">
        <v>44004</v>
      </c>
    </row>
    <row r="1495" spans="1:19">
      <c r="A1495" s="52" t="s">
        <v>453</v>
      </c>
      <c r="B1495" s="33" t="s">
        <v>15</v>
      </c>
      <c r="C1495" s="78">
        <v>9009000</v>
      </c>
      <c r="D1495" s="78">
        <v>8190000</v>
      </c>
      <c r="E1495" s="78">
        <v>819000</v>
      </c>
      <c r="F1495" s="54" t="s">
        <v>69</v>
      </c>
      <c r="G1495" s="9">
        <v>44004</v>
      </c>
    </row>
    <row r="1496" spans="1:19">
      <c r="A1496" s="52" t="s">
        <v>453</v>
      </c>
      <c r="B1496" s="33" t="s">
        <v>385</v>
      </c>
      <c r="C1496" s="78">
        <v>24816000</v>
      </c>
      <c r="D1496" s="78">
        <v>22560000</v>
      </c>
      <c r="E1496" s="78">
        <v>2256000</v>
      </c>
      <c r="F1496" s="54" t="s">
        <v>460</v>
      </c>
      <c r="G1496" s="9">
        <v>43992</v>
      </c>
    </row>
    <row r="1497" spans="1:19">
      <c r="A1497" s="55" t="s">
        <v>453</v>
      </c>
      <c r="B1497" s="30" t="s">
        <v>385</v>
      </c>
      <c r="C1497" s="80">
        <v>-32881200</v>
      </c>
      <c r="D1497" s="80">
        <v>-29892000</v>
      </c>
      <c r="E1497" s="80">
        <v>-2989200</v>
      </c>
      <c r="F1497" s="31" t="s">
        <v>461</v>
      </c>
      <c r="G1497" s="30" t="s">
        <v>496</v>
      </c>
      <c r="H1497" s="31"/>
      <c r="I1497" s="73"/>
      <c r="J1497" s="74"/>
      <c r="K1497" s="30"/>
      <c r="L1497" s="30"/>
      <c r="M1497" s="30"/>
      <c r="N1497" s="30"/>
      <c r="O1497" s="30"/>
      <c r="P1497" s="30"/>
      <c r="Q1497" s="30"/>
      <c r="R1497" s="30"/>
      <c r="S1497" s="30"/>
    </row>
    <row r="1498" spans="1:19">
      <c r="A1498" s="52" t="s">
        <v>453</v>
      </c>
      <c r="B1498" s="33" t="s">
        <v>385</v>
      </c>
      <c r="C1498" s="78">
        <v>5434000</v>
      </c>
      <c r="D1498" s="78">
        <v>4940000</v>
      </c>
      <c r="E1498" s="78">
        <v>494000</v>
      </c>
      <c r="F1498" s="54" t="s">
        <v>462</v>
      </c>
      <c r="G1498" s="9">
        <v>43992</v>
      </c>
    </row>
    <row r="1499" spans="1:19">
      <c r="A1499" s="52" t="s">
        <v>453</v>
      </c>
      <c r="B1499" s="33" t="s">
        <v>385</v>
      </c>
      <c r="C1499" s="78">
        <v>11660000</v>
      </c>
      <c r="D1499" s="78">
        <v>10600000</v>
      </c>
      <c r="E1499" s="78">
        <v>1060000</v>
      </c>
      <c r="F1499" s="54" t="s">
        <v>463</v>
      </c>
      <c r="G1499" s="9">
        <v>43992</v>
      </c>
    </row>
    <row r="1500" spans="1:19">
      <c r="A1500" s="52" t="s">
        <v>453</v>
      </c>
      <c r="B1500" s="33" t="s">
        <v>385</v>
      </c>
      <c r="C1500" s="78">
        <v>12243000</v>
      </c>
      <c r="D1500" s="78">
        <v>11130000</v>
      </c>
      <c r="E1500" s="78">
        <v>1113000</v>
      </c>
      <c r="F1500" s="54" t="s">
        <v>461</v>
      </c>
      <c r="G1500" s="9">
        <v>43992</v>
      </c>
      <c r="I1500" s="304" t="s">
        <v>525</v>
      </c>
      <c r="J1500" s="304"/>
      <c r="K1500" s="304"/>
    </row>
    <row r="1501" spans="1:19">
      <c r="A1501" s="55" t="s">
        <v>453</v>
      </c>
      <c r="B1501" s="30" t="s">
        <v>385</v>
      </c>
      <c r="C1501" s="80">
        <v>32881200</v>
      </c>
      <c r="D1501" s="80">
        <v>29892000</v>
      </c>
      <c r="E1501" s="80">
        <v>2989200</v>
      </c>
      <c r="F1501" s="31" t="s">
        <v>461</v>
      </c>
      <c r="G1501" s="30" t="s">
        <v>496</v>
      </c>
      <c r="H1501" s="31"/>
      <c r="I1501" s="18" t="s">
        <v>487</v>
      </c>
      <c r="J1501" s="36" t="s">
        <v>488</v>
      </c>
      <c r="K1501" s="36" t="s">
        <v>494</v>
      </c>
      <c r="L1501" s="30"/>
      <c r="M1501" s="30"/>
      <c r="N1501" s="30"/>
      <c r="O1501" s="30"/>
      <c r="P1501" s="30"/>
      <c r="Q1501" s="30"/>
      <c r="R1501" s="30"/>
      <c r="S1501" s="30"/>
    </row>
    <row r="1502" spans="1:19">
      <c r="A1502" s="47" t="s">
        <v>453</v>
      </c>
      <c r="B1502" s="48" t="s">
        <v>432</v>
      </c>
      <c r="C1502" s="83">
        <v>2610300</v>
      </c>
      <c r="D1502" s="83">
        <v>2373000</v>
      </c>
      <c r="E1502" s="83">
        <v>237300</v>
      </c>
      <c r="F1502" s="50" t="s">
        <v>346</v>
      </c>
      <c r="G1502" s="10">
        <v>44000</v>
      </c>
      <c r="H1502" s="51"/>
      <c r="I1502" s="18">
        <f>SUM(C1483:C1502)</f>
        <v>150670300</v>
      </c>
      <c r="J1502" s="18">
        <f>SUM(D1483:D1502)</f>
        <v>136973000</v>
      </c>
      <c r="K1502" s="18">
        <f>SUM(E1483:E1502)</f>
        <v>13697300</v>
      </c>
      <c r="L1502" s="42"/>
      <c r="M1502" s="42"/>
      <c r="N1502" s="42"/>
      <c r="O1502" s="42"/>
      <c r="P1502" s="42"/>
      <c r="Q1502" s="42"/>
      <c r="R1502" s="42"/>
      <c r="S1502" s="42"/>
    </row>
    <row r="1503" spans="1:19">
      <c r="A1503" s="52" t="s">
        <v>465</v>
      </c>
      <c r="B1503" s="33" t="s">
        <v>2</v>
      </c>
      <c r="C1503" s="46">
        <v>21722800</v>
      </c>
      <c r="D1503" s="46">
        <v>19748000</v>
      </c>
      <c r="E1503" s="46">
        <v>1974800</v>
      </c>
      <c r="F1503" s="17" t="s">
        <v>456</v>
      </c>
      <c r="G1503" s="9">
        <v>44001</v>
      </c>
    </row>
    <row r="1504" spans="1:19">
      <c r="A1504" s="52" t="s">
        <v>465</v>
      </c>
      <c r="B1504" s="33" t="s">
        <v>2</v>
      </c>
      <c r="C1504" s="46">
        <v>3312100</v>
      </c>
      <c r="D1504" s="46">
        <v>3011000</v>
      </c>
      <c r="E1504" s="46">
        <v>301100</v>
      </c>
      <c r="F1504" s="17" t="s">
        <v>424</v>
      </c>
      <c r="G1504" s="9">
        <v>44001</v>
      </c>
    </row>
    <row r="1505" spans="1:7">
      <c r="A1505" s="52" t="s">
        <v>465</v>
      </c>
      <c r="B1505" s="33" t="s">
        <v>2</v>
      </c>
      <c r="C1505" s="46">
        <v>8724100</v>
      </c>
      <c r="D1505" s="46">
        <v>7931000</v>
      </c>
      <c r="E1505" s="46">
        <v>793100</v>
      </c>
      <c r="F1505" s="17" t="s">
        <v>471</v>
      </c>
      <c r="G1505" s="9">
        <v>44001</v>
      </c>
    </row>
    <row r="1506" spans="1:7">
      <c r="A1506" s="52" t="s">
        <v>465</v>
      </c>
      <c r="B1506" s="33" t="s">
        <v>2</v>
      </c>
      <c r="C1506" s="46">
        <v>2163700</v>
      </c>
      <c r="D1506" s="46">
        <v>1967000</v>
      </c>
      <c r="E1506" s="46">
        <v>196700</v>
      </c>
      <c r="F1506" s="17" t="s">
        <v>457</v>
      </c>
      <c r="G1506" s="9">
        <v>44001</v>
      </c>
    </row>
    <row r="1507" spans="1:7">
      <c r="A1507" s="52" t="s">
        <v>465</v>
      </c>
      <c r="B1507" s="33" t="s">
        <v>2</v>
      </c>
      <c r="C1507" s="46">
        <v>3410000</v>
      </c>
      <c r="D1507" s="46">
        <v>3100000</v>
      </c>
      <c r="E1507" s="46">
        <v>310000</v>
      </c>
      <c r="F1507" s="17" t="s">
        <v>306</v>
      </c>
      <c r="G1507" s="9">
        <v>44012</v>
      </c>
    </row>
    <row r="1508" spans="1:7">
      <c r="A1508" s="52" t="s">
        <v>465</v>
      </c>
      <c r="B1508" s="33" t="s">
        <v>2</v>
      </c>
      <c r="C1508" s="46">
        <v>3168000</v>
      </c>
      <c r="D1508" s="46">
        <v>2880000</v>
      </c>
      <c r="E1508" s="46">
        <v>288000</v>
      </c>
      <c r="F1508" s="17" t="s">
        <v>245</v>
      </c>
      <c r="G1508" s="9">
        <v>44001</v>
      </c>
    </row>
    <row r="1509" spans="1:7">
      <c r="A1509" s="52" t="s">
        <v>466</v>
      </c>
      <c r="B1509" s="33" t="s">
        <v>469</v>
      </c>
      <c r="C1509" s="46">
        <v>16359000</v>
      </c>
      <c r="D1509" s="46">
        <v>14871819</v>
      </c>
      <c r="E1509" s="46">
        <v>1487181</v>
      </c>
      <c r="F1509" s="17" t="s">
        <v>472</v>
      </c>
      <c r="G1509" s="9">
        <v>44012</v>
      </c>
    </row>
    <row r="1510" spans="1:7">
      <c r="A1510" s="52" t="s">
        <v>466</v>
      </c>
      <c r="B1510" s="33" t="s">
        <v>470</v>
      </c>
      <c r="C1510" s="46">
        <v>451000</v>
      </c>
      <c r="D1510" s="46">
        <v>410000</v>
      </c>
      <c r="E1510" s="46">
        <v>41000</v>
      </c>
      <c r="F1510" s="17" t="s">
        <v>473</v>
      </c>
      <c r="G1510" s="9">
        <v>44028</v>
      </c>
    </row>
    <row r="1511" spans="1:7">
      <c r="A1511" s="52" t="s">
        <v>466</v>
      </c>
      <c r="B1511" s="33" t="s">
        <v>432</v>
      </c>
      <c r="C1511" s="46">
        <v>2734600</v>
      </c>
      <c r="D1511" s="46">
        <v>2486000</v>
      </c>
      <c r="E1511" s="46">
        <v>248600</v>
      </c>
      <c r="F1511" s="17" t="s">
        <v>346</v>
      </c>
      <c r="G1511" s="9">
        <v>44032</v>
      </c>
    </row>
    <row r="1512" spans="1:7">
      <c r="A1512" s="52" t="s">
        <v>466</v>
      </c>
      <c r="B1512" s="33" t="s">
        <v>79</v>
      </c>
      <c r="C1512" s="46">
        <v>2068000</v>
      </c>
      <c r="D1512" s="46">
        <v>1880000</v>
      </c>
      <c r="E1512" s="46">
        <v>188000</v>
      </c>
      <c r="F1512" s="17" t="s">
        <v>13</v>
      </c>
      <c r="G1512" s="9">
        <v>44013</v>
      </c>
    </row>
    <row r="1513" spans="1:7">
      <c r="A1513" s="52" t="s">
        <v>466</v>
      </c>
      <c r="B1513" s="33" t="s">
        <v>449</v>
      </c>
      <c r="C1513" s="46">
        <v>1705000</v>
      </c>
      <c r="D1513" s="46">
        <v>1550000</v>
      </c>
      <c r="E1513" s="46">
        <v>155000</v>
      </c>
      <c r="F1513" s="17" t="s">
        <v>13</v>
      </c>
      <c r="G1513" s="9">
        <v>44032</v>
      </c>
    </row>
    <row r="1514" spans="1:7">
      <c r="A1514" s="52" t="s">
        <v>466</v>
      </c>
      <c r="B1514" s="33" t="s">
        <v>411</v>
      </c>
      <c r="C1514" s="46">
        <v>990000</v>
      </c>
      <c r="D1514" s="46">
        <v>900000</v>
      </c>
      <c r="E1514" s="46">
        <v>90000</v>
      </c>
      <c r="F1514" s="17" t="s">
        <v>13</v>
      </c>
      <c r="G1514" s="9">
        <v>44036</v>
      </c>
    </row>
    <row r="1515" spans="1:7">
      <c r="A1515" s="52" t="s">
        <v>466</v>
      </c>
      <c r="B1515" s="33" t="s">
        <v>2</v>
      </c>
      <c r="C1515" s="46">
        <v>2772000</v>
      </c>
      <c r="D1515" s="46">
        <v>2520000</v>
      </c>
      <c r="E1515" s="46">
        <v>252000</v>
      </c>
      <c r="F1515" s="17" t="s">
        <v>245</v>
      </c>
      <c r="G1515" s="9">
        <v>44022</v>
      </c>
    </row>
    <row r="1516" spans="1:7">
      <c r="A1516" s="52" t="s">
        <v>466</v>
      </c>
      <c r="B1516" s="33" t="s">
        <v>2</v>
      </c>
      <c r="C1516" s="46">
        <v>8724100</v>
      </c>
      <c r="D1516" s="46">
        <v>7931000</v>
      </c>
      <c r="E1516" s="46">
        <v>793100</v>
      </c>
      <c r="F1516" s="17" t="s">
        <v>562</v>
      </c>
      <c r="G1516" s="9">
        <v>44022</v>
      </c>
    </row>
    <row r="1517" spans="1:7">
      <c r="A1517" s="52" t="s">
        <v>466</v>
      </c>
      <c r="B1517" s="33" t="s">
        <v>2</v>
      </c>
      <c r="C1517" s="46">
        <v>3834600</v>
      </c>
      <c r="D1517" s="46">
        <v>3486000</v>
      </c>
      <c r="E1517" s="46">
        <v>348600</v>
      </c>
      <c r="F1517" s="17" t="s">
        <v>563</v>
      </c>
      <c r="G1517" s="9">
        <v>44022</v>
      </c>
    </row>
    <row r="1518" spans="1:7">
      <c r="A1518" s="52" t="s">
        <v>466</v>
      </c>
      <c r="B1518" s="33" t="s">
        <v>2</v>
      </c>
      <c r="C1518" s="46">
        <v>4620000</v>
      </c>
      <c r="D1518" s="46">
        <v>4200000</v>
      </c>
      <c r="E1518" s="46">
        <v>420000</v>
      </c>
      <c r="F1518" s="17" t="s">
        <v>306</v>
      </c>
      <c r="G1518" s="9">
        <v>44022</v>
      </c>
    </row>
    <row r="1519" spans="1:7">
      <c r="A1519" s="52" t="s">
        <v>466</v>
      </c>
      <c r="B1519" s="33" t="s">
        <v>2</v>
      </c>
      <c r="C1519" s="46">
        <v>15730000</v>
      </c>
      <c r="D1519" s="46">
        <v>14300000</v>
      </c>
      <c r="E1519" s="46">
        <v>1430000</v>
      </c>
      <c r="F1519" s="17" t="s">
        <v>456</v>
      </c>
      <c r="G1519" s="9">
        <v>44022</v>
      </c>
    </row>
    <row r="1520" spans="1:7">
      <c r="A1520" s="52" t="s">
        <v>466</v>
      </c>
      <c r="B1520" s="33" t="s">
        <v>2</v>
      </c>
      <c r="C1520" s="46">
        <v>2819300</v>
      </c>
      <c r="D1520" s="46">
        <v>2563000</v>
      </c>
      <c r="E1520" s="46">
        <v>256300</v>
      </c>
      <c r="F1520" s="17" t="s">
        <v>424</v>
      </c>
      <c r="G1520" s="9">
        <v>44022</v>
      </c>
    </row>
    <row r="1521" spans="1:19">
      <c r="A1521" s="52" t="s">
        <v>466</v>
      </c>
      <c r="B1521" s="33" t="s">
        <v>385</v>
      </c>
      <c r="C1521" s="46">
        <v>18889200</v>
      </c>
      <c r="D1521" s="46">
        <v>17172000</v>
      </c>
      <c r="E1521" s="46">
        <v>1717200</v>
      </c>
      <c r="F1521" s="17" t="s">
        <v>558</v>
      </c>
      <c r="G1521" s="9">
        <v>44022</v>
      </c>
    </row>
    <row r="1522" spans="1:19">
      <c r="A1522" s="52" t="s">
        <v>466</v>
      </c>
      <c r="B1522" s="33" t="s">
        <v>385</v>
      </c>
      <c r="C1522" s="46">
        <v>23584000</v>
      </c>
      <c r="D1522" s="46">
        <v>21440000</v>
      </c>
      <c r="E1522" s="46">
        <v>2144000</v>
      </c>
      <c r="F1522" s="17" t="s">
        <v>564</v>
      </c>
      <c r="G1522" s="9">
        <v>44022</v>
      </c>
    </row>
    <row r="1523" spans="1:19">
      <c r="A1523" s="52" t="s">
        <v>466</v>
      </c>
      <c r="B1523" s="33" t="s">
        <v>385</v>
      </c>
      <c r="C1523" s="46">
        <v>22881925</v>
      </c>
      <c r="D1523" s="46">
        <v>20801750</v>
      </c>
      <c r="E1523" s="46">
        <v>2080175</v>
      </c>
      <c r="F1523" s="17" t="s">
        <v>565</v>
      </c>
      <c r="G1523" s="9">
        <v>44022</v>
      </c>
    </row>
    <row r="1524" spans="1:19">
      <c r="A1524" s="52" t="s">
        <v>466</v>
      </c>
      <c r="B1524" s="33" t="s">
        <v>385</v>
      </c>
      <c r="C1524" s="46">
        <v>5517600</v>
      </c>
      <c r="D1524" s="46">
        <v>5016000</v>
      </c>
      <c r="E1524" s="46">
        <v>501600</v>
      </c>
      <c r="F1524" s="17" t="s">
        <v>566</v>
      </c>
      <c r="G1524" s="9">
        <v>44022</v>
      </c>
      <c r="I1524" s="304" t="s">
        <v>526</v>
      </c>
      <c r="J1524" s="304"/>
      <c r="K1524" s="304"/>
    </row>
    <row r="1525" spans="1:19">
      <c r="A1525" s="52" t="s">
        <v>466</v>
      </c>
      <c r="B1525" s="33" t="s">
        <v>15</v>
      </c>
      <c r="C1525" s="46">
        <v>9009000</v>
      </c>
      <c r="D1525" s="46">
        <v>8190000</v>
      </c>
      <c r="E1525" s="46">
        <v>819000</v>
      </c>
      <c r="F1525" s="17" t="s">
        <v>69</v>
      </c>
      <c r="G1525" s="9">
        <v>44032</v>
      </c>
      <c r="I1525" s="18" t="s">
        <v>487</v>
      </c>
      <c r="J1525" s="36" t="s">
        <v>488</v>
      </c>
      <c r="K1525" s="36" t="s">
        <v>494</v>
      </c>
    </row>
    <row r="1526" spans="1:19">
      <c r="A1526" s="47" t="s">
        <v>466</v>
      </c>
      <c r="B1526" s="48" t="s">
        <v>15</v>
      </c>
      <c r="C1526" s="118">
        <v>3349500</v>
      </c>
      <c r="D1526" s="118">
        <v>3045000</v>
      </c>
      <c r="E1526" s="118">
        <v>304500</v>
      </c>
      <c r="F1526" s="51" t="s">
        <v>262</v>
      </c>
      <c r="G1526" s="10">
        <v>44032</v>
      </c>
      <c r="H1526" s="51"/>
      <c r="I1526" s="18">
        <f>SUM(C1503:C1526)</f>
        <v>188539525</v>
      </c>
      <c r="J1526" s="18">
        <f>SUM(D1503:D1526)</f>
        <v>171399569</v>
      </c>
      <c r="K1526" s="18">
        <f>SUM(E1503:E1526)</f>
        <v>17139956</v>
      </c>
      <c r="L1526" s="42"/>
      <c r="M1526" s="42"/>
      <c r="N1526" s="42"/>
      <c r="O1526" s="42"/>
      <c r="P1526" s="42"/>
      <c r="Q1526" s="42"/>
      <c r="R1526" s="42"/>
      <c r="S1526" s="42"/>
    </row>
    <row r="1527" spans="1:19">
      <c r="A1527" s="52" t="s">
        <v>467</v>
      </c>
      <c r="B1527" s="33" t="s">
        <v>2</v>
      </c>
      <c r="C1527" s="46">
        <v>1980000</v>
      </c>
      <c r="D1527" s="46">
        <v>1800000</v>
      </c>
      <c r="E1527" s="46">
        <v>180000</v>
      </c>
      <c r="F1527" s="17" t="s">
        <v>245</v>
      </c>
      <c r="G1527" s="9">
        <v>44043</v>
      </c>
    </row>
    <row r="1528" spans="1:19">
      <c r="A1528" s="52" t="s">
        <v>467</v>
      </c>
      <c r="B1528" s="33" t="s">
        <v>2</v>
      </c>
      <c r="C1528" s="46">
        <v>8724100</v>
      </c>
      <c r="D1528" s="46">
        <v>7931000</v>
      </c>
      <c r="E1528" s="46">
        <v>793100</v>
      </c>
      <c r="F1528" s="17" t="s">
        <v>471</v>
      </c>
      <c r="G1528" s="9">
        <v>44053</v>
      </c>
    </row>
    <row r="1529" spans="1:19">
      <c r="A1529" s="52" t="s">
        <v>467</v>
      </c>
      <c r="B1529" s="33" t="s">
        <v>2</v>
      </c>
      <c r="C1529" s="46">
        <v>1347500</v>
      </c>
      <c r="D1529" s="46">
        <v>1225000</v>
      </c>
      <c r="E1529" s="46">
        <v>122500</v>
      </c>
      <c r="F1529" s="17" t="s">
        <v>457</v>
      </c>
      <c r="G1529" s="9">
        <v>44053</v>
      </c>
    </row>
    <row r="1530" spans="1:19">
      <c r="A1530" s="52" t="s">
        <v>467</v>
      </c>
      <c r="B1530" s="33" t="s">
        <v>2</v>
      </c>
      <c r="C1530" s="46">
        <v>4620000</v>
      </c>
      <c r="D1530" s="46">
        <v>4200000</v>
      </c>
      <c r="E1530" s="46">
        <v>420000</v>
      </c>
      <c r="F1530" s="17" t="s">
        <v>306</v>
      </c>
      <c r="G1530" s="9">
        <v>44043</v>
      </c>
    </row>
    <row r="1531" spans="1:19">
      <c r="A1531" s="52" t="s">
        <v>467</v>
      </c>
      <c r="B1531" s="33" t="s">
        <v>2</v>
      </c>
      <c r="C1531" s="46">
        <v>3942400</v>
      </c>
      <c r="D1531" s="46">
        <v>3584000</v>
      </c>
      <c r="E1531" s="46">
        <v>358400</v>
      </c>
      <c r="F1531" s="17" t="s">
        <v>424</v>
      </c>
      <c r="G1531" s="9">
        <v>44043</v>
      </c>
    </row>
    <row r="1532" spans="1:19">
      <c r="A1532" s="52" t="s">
        <v>467</v>
      </c>
      <c r="B1532" s="33" t="s">
        <v>2</v>
      </c>
      <c r="C1532" s="46">
        <v>7857300</v>
      </c>
      <c r="D1532" s="46">
        <v>7143000</v>
      </c>
      <c r="E1532" s="46">
        <v>714300</v>
      </c>
      <c r="F1532" s="17" t="s">
        <v>456</v>
      </c>
      <c r="G1532" s="9">
        <v>44043</v>
      </c>
    </row>
    <row r="1533" spans="1:19">
      <c r="A1533" s="52" t="s">
        <v>468</v>
      </c>
      <c r="B1533" s="33" t="s">
        <v>385</v>
      </c>
      <c r="C1533" s="46">
        <v>26576000</v>
      </c>
      <c r="D1533" s="46">
        <v>24160000</v>
      </c>
      <c r="E1533" s="46">
        <v>2416000</v>
      </c>
      <c r="F1533" s="17" t="s">
        <v>564</v>
      </c>
      <c r="G1533" s="9">
        <v>44053</v>
      </c>
    </row>
    <row r="1534" spans="1:19">
      <c r="A1534" s="52" t="s">
        <v>468</v>
      </c>
      <c r="B1534" s="33" t="s">
        <v>385</v>
      </c>
      <c r="C1534" s="46">
        <v>20988000</v>
      </c>
      <c r="D1534" s="46">
        <v>19080000</v>
      </c>
      <c r="E1534" s="46">
        <v>1908000</v>
      </c>
      <c r="F1534" s="17" t="s">
        <v>558</v>
      </c>
      <c r="G1534" s="9">
        <v>44053</v>
      </c>
    </row>
    <row r="1535" spans="1:19">
      <c r="A1535" s="52" t="s">
        <v>468</v>
      </c>
      <c r="B1535" s="33" t="s">
        <v>385</v>
      </c>
      <c r="C1535" s="46">
        <v>30508885</v>
      </c>
      <c r="D1535" s="46">
        <v>27735350</v>
      </c>
      <c r="E1535" s="46">
        <v>2773535</v>
      </c>
      <c r="F1535" s="17" t="s">
        <v>565</v>
      </c>
      <c r="G1535" s="9">
        <v>44053</v>
      </c>
    </row>
    <row r="1536" spans="1:19">
      <c r="A1536" s="52" t="s">
        <v>468</v>
      </c>
      <c r="B1536" s="33" t="s">
        <v>385</v>
      </c>
      <c r="C1536" s="46">
        <v>5517600</v>
      </c>
      <c r="D1536" s="46">
        <v>5016000</v>
      </c>
      <c r="E1536" s="46">
        <v>501600</v>
      </c>
      <c r="F1536" s="17" t="s">
        <v>566</v>
      </c>
      <c r="G1536" s="9">
        <v>44053</v>
      </c>
    </row>
    <row r="1537" spans="1:19">
      <c r="A1537" s="52" t="s">
        <v>468</v>
      </c>
      <c r="B1537" s="33" t="s">
        <v>432</v>
      </c>
      <c r="C1537" s="46">
        <v>290400</v>
      </c>
      <c r="D1537" s="46">
        <v>264000</v>
      </c>
      <c r="E1537" s="46">
        <v>26400</v>
      </c>
      <c r="F1537" s="17" t="s">
        <v>475</v>
      </c>
      <c r="G1537" s="9">
        <v>44062</v>
      </c>
    </row>
    <row r="1538" spans="1:19">
      <c r="A1538" s="52" t="s">
        <v>468</v>
      </c>
      <c r="B1538" s="33" t="s">
        <v>432</v>
      </c>
      <c r="C1538" s="46">
        <v>2105400</v>
      </c>
      <c r="D1538" s="46">
        <v>1914000</v>
      </c>
      <c r="E1538" s="46">
        <v>191400</v>
      </c>
      <c r="F1538" s="17" t="s">
        <v>165</v>
      </c>
      <c r="G1538" s="9">
        <v>44062</v>
      </c>
    </row>
    <row r="1539" spans="1:19">
      <c r="A1539" s="52" t="s">
        <v>468</v>
      </c>
      <c r="B1539" s="33" t="s">
        <v>432</v>
      </c>
      <c r="C1539" s="46">
        <v>871200</v>
      </c>
      <c r="D1539" s="46">
        <v>792000</v>
      </c>
      <c r="E1539" s="46">
        <v>79200</v>
      </c>
      <c r="F1539" s="17" t="s">
        <v>476</v>
      </c>
      <c r="G1539" s="9">
        <v>44062</v>
      </c>
    </row>
    <row r="1540" spans="1:19">
      <c r="A1540" s="52" t="s">
        <v>468</v>
      </c>
      <c r="B1540" s="33" t="s">
        <v>2</v>
      </c>
      <c r="C1540" s="46">
        <v>2904000</v>
      </c>
      <c r="D1540" s="46">
        <v>2640000</v>
      </c>
      <c r="E1540" s="46">
        <v>264000</v>
      </c>
      <c r="F1540" s="17" t="s">
        <v>245</v>
      </c>
      <c r="G1540" s="9">
        <v>44053</v>
      </c>
    </row>
    <row r="1541" spans="1:19">
      <c r="A1541" s="52" t="s">
        <v>468</v>
      </c>
      <c r="B1541" s="33" t="s">
        <v>2</v>
      </c>
      <c r="C1541" s="46">
        <v>3555200</v>
      </c>
      <c r="D1541" s="46">
        <v>3232000</v>
      </c>
      <c r="E1541" s="46">
        <v>323200</v>
      </c>
      <c r="F1541" s="17" t="s">
        <v>477</v>
      </c>
      <c r="G1541" s="9">
        <v>44053</v>
      </c>
    </row>
    <row r="1542" spans="1:19">
      <c r="A1542" s="52" t="s">
        <v>468</v>
      </c>
      <c r="B1542" s="33" t="s">
        <v>2</v>
      </c>
      <c r="C1542" s="46">
        <v>9517200</v>
      </c>
      <c r="D1542" s="46">
        <v>8652000</v>
      </c>
      <c r="E1542" s="46">
        <v>865200</v>
      </c>
      <c r="F1542" s="17" t="s">
        <v>458</v>
      </c>
      <c r="G1542" s="9">
        <v>44053</v>
      </c>
    </row>
    <row r="1543" spans="1:19">
      <c r="A1543" s="52" t="s">
        <v>468</v>
      </c>
      <c r="B1543" s="33" t="s">
        <v>2</v>
      </c>
      <c r="C1543" s="46">
        <v>7071900</v>
      </c>
      <c r="D1543" s="46">
        <v>6429000</v>
      </c>
      <c r="E1543" s="46">
        <v>642900</v>
      </c>
      <c r="F1543" s="17" t="s">
        <v>456</v>
      </c>
      <c r="G1543" s="9">
        <v>44053</v>
      </c>
    </row>
    <row r="1544" spans="1:19">
      <c r="A1544" s="52" t="s">
        <v>468</v>
      </c>
      <c r="B1544" s="33" t="s">
        <v>2</v>
      </c>
      <c r="C1544" s="46">
        <v>5216200</v>
      </c>
      <c r="D1544" s="46">
        <v>4742000</v>
      </c>
      <c r="E1544" s="46">
        <v>474200</v>
      </c>
      <c r="F1544" s="17" t="s">
        <v>424</v>
      </c>
      <c r="G1544" s="9">
        <v>44053</v>
      </c>
    </row>
    <row r="1545" spans="1:19">
      <c r="A1545" s="52" t="s">
        <v>468</v>
      </c>
      <c r="B1545" s="33" t="s">
        <v>2</v>
      </c>
      <c r="C1545" s="46">
        <v>3410000</v>
      </c>
      <c r="D1545" s="46">
        <v>3100000</v>
      </c>
      <c r="E1545" s="46">
        <v>310000</v>
      </c>
      <c r="F1545" s="17" t="s">
        <v>306</v>
      </c>
      <c r="G1545" s="9">
        <v>44053</v>
      </c>
    </row>
    <row r="1546" spans="1:19">
      <c r="A1546" s="52" t="s">
        <v>468</v>
      </c>
      <c r="B1546" s="33" t="s">
        <v>15</v>
      </c>
      <c r="C1546" s="46">
        <v>3118500</v>
      </c>
      <c r="D1546" s="46">
        <v>2835000</v>
      </c>
      <c r="E1546" s="46">
        <v>283500</v>
      </c>
      <c r="F1546" s="17" t="s">
        <v>262</v>
      </c>
      <c r="G1546" s="9">
        <v>44068</v>
      </c>
      <c r="I1546" s="304" t="s">
        <v>528</v>
      </c>
      <c r="J1546" s="304"/>
      <c r="K1546" s="304"/>
    </row>
    <row r="1547" spans="1:19">
      <c r="A1547" s="52" t="s">
        <v>468</v>
      </c>
      <c r="B1547" s="33" t="s">
        <v>15</v>
      </c>
      <c r="C1547" s="46">
        <v>1188000</v>
      </c>
      <c r="D1547" s="46">
        <v>1080000</v>
      </c>
      <c r="E1547" s="46">
        <v>108000</v>
      </c>
      <c r="F1547" s="17" t="s">
        <v>103</v>
      </c>
      <c r="G1547" s="9">
        <v>44068</v>
      </c>
      <c r="I1547" s="18" t="s">
        <v>487</v>
      </c>
      <c r="J1547" s="36" t="s">
        <v>488</v>
      </c>
      <c r="K1547" s="36" t="s">
        <v>494</v>
      </c>
    </row>
    <row r="1548" spans="1:19">
      <c r="A1548" s="47" t="s">
        <v>468</v>
      </c>
      <c r="B1548" s="48" t="s">
        <v>15</v>
      </c>
      <c r="C1548" s="118">
        <v>6121500</v>
      </c>
      <c r="D1548" s="118">
        <v>5565000</v>
      </c>
      <c r="E1548" s="118">
        <v>556500</v>
      </c>
      <c r="F1548" s="51" t="s">
        <v>69</v>
      </c>
      <c r="G1548" s="10">
        <v>44068</v>
      </c>
      <c r="H1548" s="51"/>
      <c r="I1548" s="18">
        <f>SUM(C1527:C1548)</f>
        <v>157431285</v>
      </c>
      <c r="J1548" s="18">
        <f>SUM(D1527:D1548)</f>
        <v>143119350</v>
      </c>
      <c r="K1548" s="18">
        <f>SUM(E1527:E1548)</f>
        <v>14311935</v>
      </c>
      <c r="L1548" s="42"/>
      <c r="M1548" s="42"/>
      <c r="N1548" s="42"/>
      <c r="O1548" s="42"/>
      <c r="P1548" s="42"/>
      <c r="Q1548" s="42"/>
      <c r="R1548" s="42"/>
      <c r="S1548" s="42"/>
    </row>
    <row r="1549" spans="1:19">
      <c r="A1549" s="45" t="s">
        <v>480</v>
      </c>
      <c r="B1549" s="14" t="s">
        <v>432</v>
      </c>
      <c r="C1549" s="46">
        <v>5850900</v>
      </c>
      <c r="D1549" s="46">
        <v>5319000</v>
      </c>
      <c r="E1549" s="46">
        <v>531900</v>
      </c>
      <c r="F1549" s="17" t="s">
        <v>320</v>
      </c>
      <c r="G1549" s="9">
        <v>44083</v>
      </c>
    </row>
    <row r="1550" spans="1:19">
      <c r="A1550" s="45" t="s">
        <v>480</v>
      </c>
      <c r="B1550" s="14" t="s">
        <v>432</v>
      </c>
      <c r="C1550" s="46">
        <v>525800</v>
      </c>
      <c r="D1550" s="46">
        <v>478000</v>
      </c>
      <c r="E1550" s="46">
        <v>47800</v>
      </c>
      <c r="F1550" s="17" t="s">
        <v>571</v>
      </c>
      <c r="G1550" s="9">
        <v>44083</v>
      </c>
    </row>
    <row r="1551" spans="1:19">
      <c r="A1551" s="45" t="s">
        <v>480</v>
      </c>
      <c r="B1551" s="14" t="s">
        <v>432</v>
      </c>
      <c r="C1551" s="46">
        <v>2245100</v>
      </c>
      <c r="D1551" s="46">
        <v>2041000</v>
      </c>
      <c r="E1551" s="46">
        <v>204100</v>
      </c>
      <c r="F1551" s="17" t="s">
        <v>572</v>
      </c>
      <c r="G1551" s="9">
        <v>44083</v>
      </c>
    </row>
    <row r="1552" spans="1:19">
      <c r="A1552" s="45" t="s">
        <v>480</v>
      </c>
      <c r="B1552" s="14" t="s">
        <v>432</v>
      </c>
      <c r="C1552" s="46">
        <v>2227500</v>
      </c>
      <c r="D1552" s="46">
        <v>2025000</v>
      </c>
      <c r="E1552" s="46">
        <v>202500</v>
      </c>
      <c r="F1552" s="17" t="s">
        <v>476</v>
      </c>
      <c r="G1552" s="9">
        <v>44089</v>
      </c>
    </row>
    <row r="1553" spans="1:7">
      <c r="A1553" s="45" t="s">
        <v>480</v>
      </c>
      <c r="B1553" s="14" t="s">
        <v>432</v>
      </c>
      <c r="C1553" s="46">
        <v>11060500</v>
      </c>
      <c r="D1553" s="46">
        <v>10055000</v>
      </c>
      <c r="E1553" s="46">
        <v>1005500</v>
      </c>
      <c r="F1553" s="17" t="s">
        <v>165</v>
      </c>
      <c r="G1553" s="9">
        <v>44089</v>
      </c>
    </row>
    <row r="1554" spans="1:7">
      <c r="A1554" s="45" t="s">
        <v>480</v>
      </c>
      <c r="B1554" s="14" t="s">
        <v>2</v>
      </c>
      <c r="C1554" s="46">
        <v>2420000</v>
      </c>
      <c r="D1554" s="46">
        <v>2200000</v>
      </c>
      <c r="E1554" s="46">
        <v>220000</v>
      </c>
      <c r="F1554" s="17" t="s">
        <v>306</v>
      </c>
      <c r="G1554" s="9">
        <v>44063</v>
      </c>
    </row>
    <row r="1555" spans="1:7">
      <c r="A1555" s="45" t="s">
        <v>480</v>
      </c>
      <c r="B1555" s="14" t="s">
        <v>2</v>
      </c>
      <c r="C1555" s="46">
        <v>3036000</v>
      </c>
      <c r="D1555" s="46">
        <v>2760000</v>
      </c>
      <c r="E1555" s="46">
        <v>276000</v>
      </c>
      <c r="F1555" s="17" t="s">
        <v>245</v>
      </c>
      <c r="G1555" s="9">
        <v>44063</v>
      </c>
    </row>
    <row r="1556" spans="1:7">
      <c r="A1556" s="45" t="s">
        <v>480</v>
      </c>
      <c r="B1556" s="14" t="s">
        <v>2</v>
      </c>
      <c r="C1556" s="46">
        <v>3781800</v>
      </c>
      <c r="D1556" s="46">
        <v>3438000</v>
      </c>
      <c r="E1556" s="46">
        <v>343800</v>
      </c>
      <c r="F1556" s="17" t="s">
        <v>457</v>
      </c>
      <c r="G1556" s="9">
        <v>44063</v>
      </c>
    </row>
    <row r="1557" spans="1:7">
      <c r="A1557" s="45" t="s">
        <v>480</v>
      </c>
      <c r="B1557" s="14" t="s">
        <v>2</v>
      </c>
      <c r="C1557" s="46">
        <v>7911200</v>
      </c>
      <c r="D1557" s="46">
        <v>7192000</v>
      </c>
      <c r="E1557" s="46">
        <v>719200</v>
      </c>
      <c r="F1557" s="17" t="s">
        <v>471</v>
      </c>
      <c r="G1557" s="9">
        <v>44063</v>
      </c>
    </row>
    <row r="1558" spans="1:7">
      <c r="A1558" s="45" t="s">
        <v>480</v>
      </c>
      <c r="B1558" s="14" t="s">
        <v>2</v>
      </c>
      <c r="C1558" s="46">
        <v>7718700</v>
      </c>
      <c r="D1558" s="46">
        <v>7017000</v>
      </c>
      <c r="E1558" s="46">
        <v>701700</v>
      </c>
      <c r="F1558" s="17" t="s">
        <v>456</v>
      </c>
      <c r="G1558" s="9">
        <v>44074</v>
      </c>
    </row>
    <row r="1559" spans="1:7">
      <c r="A1559" s="45" t="s">
        <v>480</v>
      </c>
      <c r="B1559" s="14" t="s">
        <v>2</v>
      </c>
      <c r="C1559" s="46">
        <v>9521600</v>
      </c>
      <c r="D1559" s="46">
        <v>8656000</v>
      </c>
      <c r="E1559" s="46">
        <v>865600</v>
      </c>
      <c r="F1559" s="17" t="s">
        <v>424</v>
      </c>
      <c r="G1559" s="9">
        <v>44063</v>
      </c>
    </row>
    <row r="1560" spans="1:7">
      <c r="A1560" s="45" t="s">
        <v>481</v>
      </c>
      <c r="B1560" s="14" t="s">
        <v>432</v>
      </c>
      <c r="C1560" s="46">
        <v>1395350</v>
      </c>
      <c r="D1560" s="46">
        <v>1268500</v>
      </c>
      <c r="E1560" s="46">
        <v>126850</v>
      </c>
      <c r="F1560" s="17" t="s">
        <v>476</v>
      </c>
      <c r="G1560" s="9">
        <v>44089</v>
      </c>
    </row>
    <row r="1561" spans="1:7">
      <c r="A1561" s="45" t="s">
        <v>481</v>
      </c>
      <c r="B1561" s="14" t="s">
        <v>432</v>
      </c>
      <c r="C1561" s="46">
        <v>5594600</v>
      </c>
      <c r="D1561" s="46">
        <v>5086000</v>
      </c>
      <c r="E1561" s="46">
        <v>508600</v>
      </c>
      <c r="F1561" s="17" t="s">
        <v>165</v>
      </c>
      <c r="G1561" s="9">
        <v>44089</v>
      </c>
    </row>
    <row r="1562" spans="1:7">
      <c r="A1562" s="45" t="s">
        <v>481</v>
      </c>
      <c r="B1562" s="14" t="s">
        <v>432</v>
      </c>
      <c r="C1562" s="46">
        <v>3564396</v>
      </c>
      <c r="D1562" s="46">
        <v>3240360</v>
      </c>
      <c r="E1562" s="46">
        <v>324036</v>
      </c>
      <c r="F1562" s="17" t="s">
        <v>65</v>
      </c>
      <c r="G1562" s="9">
        <v>44092</v>
      </c>
    </row>
    <row r="1563" spans="1:7">
      <c r="A1563" s="45" t="s">
        <v>481</v>
      </c>
      <c r="B1563" s="14" t="s">
        <v>432</v>
      </c>
      <c r="C1563" s="46">
        <v>733150</v>
      </c>
      <c r="D1563" s="46">
        <v>666500</v>
      </c>
      <c r="E1563" s="46">
        <v>66650</v>
      </c>
      <c r="F1563" s="17" t="s">
        <v>572</v>
      </c>
      <c r="G1563" s="9">
        <v>44092</v>
      </c>
    </row>
    <row r="1564" spans="1:7">
      <c r="A1564" s="45" t="s">
        <v>481</v>
      </c>
      <c r="B1564" s="14" t="s">
        <v>385</v>
      </c>
      <c r="C1564" s="46">
        <v>30704300</v>
      </c>
      <c r="D1564" s="46">
        <v>27913000</v>
      </c>
      <c r="E1564" s="46">
        <v>2791300</v>
      </c>
      <c r="F1564" s="17" t="s">
        <v>463</v>
      </c>
      <c r="G1564" s="9">
        <v>44084</v>
      </c>
    </row>
    <row r="1565" spans="1:7">
      <c r="A1565" s="45" t="s">
        <v>481</v>
      </c>
      <c r="B1565" s="14" t="s">
        <v>385</v>
      </c>
      <c r="C1565" s="46">
        <v>5266800</v>
      </c>
      <c r="D1565" s="46">
        <v>4788000</v>
      </c>
      <c r="E1565" s="46">
        <v>478800</v>
      </c>
      <c r="F1565" s="17" t="s">
        <v>462</v>
      </c>
      <c r="G1565" s="9">
        <v>44084</v>
      </c>
    </row>
    <row r="1566" spans="1:7">
      <c r="A1566" s="45" t="s">
        <v>481</v>
      </c>
      <c r="B1566" s="14" t="s">
        <v>385</v>
      </c>
      <c r="C1566" s="46">
        <v>24288000</v>
      </c>
      <c r="D1566" s="46">
        <v>22080000</v>
      </c>
      <c r="E1566" s="46">
        <v>2208000</v>
      </c>
      <c r="F1566" s="17" t="s">
        <v>573</v>
      </c>
      <c r="G1566" s="9">
        <v>44084</v>
      </c>
    </row>
    <row r="1567" spans="1:7">
      <c r="A1567" s="45" t="s">
        <v>481</v>
      </c>
      <c r="B1567" s="14" t="s">
        <v>385</v>
      </c>
      <c r="C1567" s="46">
        <v>23320000</v>
      </c>
      <c r="D1567" s="46">
        <v>21200000</v>
      </c>
      <c r="E1567" s="46">
        <v>2120000</v>
      </c>
      <c r="F1567" s="17" t="s">
        <v>461</v>
      </c>
      <c r="G1567" s="9">
        <v>44084</v>
      </c>
    </row>
    <row r="1568" spans="1:7">
      <c r="A1568" s="45" t="s">
        <v>481</v>
      </c>
      <c r="B1568" s="14" t="s">
        <v>15</v>
      </c>
      <c r="C1568" s="46">
        <v>4042500</v>
      </c>
      <c r="D1568" s="46">
        <v>3675000</v>
      </c>
      <c r="E1568" s="46">
        <v>367500</v>
      </c>
      <c r="F1568" s="17" t="s">
        <v>69</v>
      </c>
      <c r="G1568" s="9">
        <v>44099</v>
      </c>
    </row>
    <row r="1569" spans="1:19">
      <c r="A1569" s="45" t="s">
        <v>481</v>
      </c>
      <c r="B1569" s="14" t="s">
        <v>15</v>
      </c>
      <c r="C1569" s="46">
        <v>2508000</v>
      </c>
      <c r="D1569" s="46">
        <v>2280000</v>
      </c>
      <c r="E1569" s="46">
        <v>228000</v>
      </c>
      <c r="F1569" s="17" t="s">
        <v>103</v>
      </c>
      <c r="G1569" s="9">
        <v>44099</v>
      </c>
    </row>
    <row r="1570" spans="1:19">
      <c r="A1570" s="45" t="s">
        <v>481</v>
      </c>
      <c r="B1570" s="14" t="s">
        <v>82</v>
      </c>
      <c r="C1570" s="46">
        <v>880000</v>
      </c>
      <c r="D1570" s="46">
        <v>800000</v>
      </c>
      <c r="E1570" s="46">
        <v>80000</v>
      </c>
      <c r="F1570" s="17" t="s">
        <v>13</v>
      </c>
      <c r="G1570" s="9">
        <v>44454</v>
      </c>
    </row>
    <row r="1571" spans="1:19">
      <c r="A1571" s="45" t="s">
        <v>481</v>
      </c>
      <c r="B1571" s="14" t="s">
        <v>295</v>
      </c>
      <c r="C1571" s="46">
        <v>550000</v>
      </c>
      <c r="D1571" s="46">
        <v>500000</v>
      </c>
      <c r="E1571" s="46">
        <v>50000</v>
      </c>
      <c r="F1571" s="17" t="s">
        <v>13</v>
      </c>
      <c r="G1571" s="9">
        <v>44445</v>
      </c>
    </row>
    <row r="1572" spans="1:19">
      <c r="A1572" s="45" t="s">
        <v>481</v>
      </c>
      <c r="B1572" s="14" t="s">
        <v>440</v>
      </c>
      <c r="C1572" s="46">
        <v>1870000</v>
      </c>
      <c r="D1572" s="46">
        <v>1700000</v>
      </c>
      <c r="E1572" s="46">
        <v>170000</v>
      </c>
      <c r="F1572" s="17" t="s">
        <v>13</v>
      </c>
      <c r="G1572" s="9">
        <v>44134</v>
      </c>
    </row>
    <row r="1573" spans="1:19">
      <c r="A1573" s="45" t="s">
        <v>481</v>
      </c>
      <c r="B1573" s="14" t="s">
        <v>63</v>
      </c>
      <c r="C1573" s="46">
        <v>385000</v>
      </c>
      <c r="D1573" s="46">
        <v>350000</v>
      </c>
      <c r="E1573" s="46">
        <v>35000</v>
      </c>
      <c r="F1573" s="17" t="s">
        <v>13</v>
      </c>
      <c r="G1573" s="9">
        <v>44443</v>
      </c>
    </row>
    <row r="1574" spans="1:19">
      <c r="A1574" s="45" t="s">
        <v>481</v>
      </c>
      <c r="B1574" s="14" t="s">
        <v>2</v>
      </c>
      <c r="C1574" s="46">
        <v>4317500</v>
      </c>
      <c r="D1574" s="46">
        <v>3925000</v>
      </c>
      <c r="E1574" s="46">
        <v>392500</v>
      </c>
      <c r="F1574" s="17" t="s">
        <v>457</v>
      </c>
      <c r="G1574" s="9">
        <v>44084</v>
      </c>
    </row>
    <row r="1575" spans="1:19">
      <c r="A1575" s="45" t="s">
        <v>481</v>
      </c>
      <c r="B1575" s="14" t="s">
        <v>2</v>
      </c>
      <c r="C1575" s="46">
        <v>9042000</v>
      </c>
      <c r="D1575" s="46">
        <v>8220000</v>
      </c>
      <c r="E1575" s="46">
        <v>822000</v>
      </c>
      <c r="F1575" s="17" t="s">
        <v>458</v>
      </c>
      <c r="G1575" s="9">
        <v>44084</v>
      </c>
    </row>
    <row r="1576" spans="1:19">
      <c r="A1576" s="45" t="s">
        <v>481</v>
      </c>
      <c r="B1576" s="14" t="s">
        <v>2</v>
      </c>
      <c r="C1576" s="46">
        <v>7845200</v>
      </c>
      <c r="D1576" s="46">
        <v>7132000</v>
      </c>
      <c r="E1576" s="46">
        <v>713200</v>
      </c>
      <c r="F1576" s="17" t="s">
        <v>456</v>
      </c>
      <c r="G1576" s="9">
        <v>44084</v>
      </c>
    </row>
    <row r="1577" spans="1:19">
      <c r="A1577" s="45" t="s">
        <v>481</v>
      </c>
      <c r="B1577" s="14" t="s">
        <v>2</v>
      </c>
      <c r="C1577" s="46">
        <v>7162100</v>
      </c>
      <c r="D1577" s="46">
        <v>6511000</v>
      </c>
      <c r="E1577" s="46">
        <v>651100</v>
      </c>
      <c r="F1577" s="17" t="s">
        <v>424</v>
      </c>
      <c r="G1577" s="9">
        <v>44084</v>
      </c>
      <c r="I1577" s="304" t="s">
        <v>578</v>
      </c>
      <c r="J1577" s="304"/>
      <c r="K1577" s="304"/>
    </row>
    <row r="1578" spans="1:19">
      <c r="A1578" s="45" t="s">
        <v>481</v>
      </c>
      <c r="B1578" s="14" t="s">
        <v>2</v>
      </c>
      <c r="C1578" s="46">
        <v>3168000</v>
      </c>
      <c r="D1578" s="46">
        <v>2880000</v>
      </c>
      <c r="E1578" s="46">
        <v>288000</v>
      </c>
      <c r="F1578" s="17" t="s">
        <v>574</v>
      </c>
      <c r="G1578" s="9">
        <v>44084</v>
      </c>
      <c r="I1578" s="18" t="s">
        <v>487</v>
      </c>
      <c r="J1578" s="36" t="s">
        <v>488</v>
      </c>
      <c r="K1578" s="36" t="s">
        <v>494</v>
      </c>
    </row>
    <row r="1579" spans="1:19">
      <c r="A1579" s="119" t="s">
        <v>481</v>
      </c>
      <c r="B1579" s="42" t="s">
        <v>2</v>
      </c>
      <c r="C1579" s="118">
        <v>3410000</v>
      </c>
      <c r="D1579" s="118">
        <v>3100000</v>
      </c>
      <c r="E1579" s="118">
        <v>310000</v>
      </c>
      <c r="F1579" s="51" t="s">
        <v>306</v>
      </c>
      <c r="G1579" s="10">
        <v>44084</v>
      </c>
      <c r="H1579" s="51"/>
      <c r="I1579" s="18">
        <f>SUM(C1549:C1579)</f>
        <v>196345996</v>
      </c>
      <c r="J1579" s="18">
        <f>SUM(D1549:D1579)</f>
        <v>178496360</v>
      </c>
      <c r="K1579" s="18">
        <f>SUM(E1549:E1579)</f>
        <v>17849636</v>
      </c>
      <c r="L1579" s="42"/>
      <c r="M1579" s="42"/>
      <c r="N1579" s="42"/>
      <c r="O1579" s="42"/>
      <c r="P1579" s="42"/>
      <c r="Q1579" s="42"/>
      <c r="R1579" s="42"/>
      <c r="S1579" s="42"/>
    </row>
    <row r="1580" spans="1:19">
      <c r="A1580" s="45" t="s">
        <v>482</v>
      </c>
      <c r="B1580" s="14" t="s">
        <v>2</v>
      </c>
      <c r="C1580" s="46">
        <v>5005000</v>
      </c>
      <c r="D1580" s="46">
        <v>4550000</v>
      </c>
      <c r="E1580" s="46">
        <v>455000</v>
      </c>
      <c r="F1580" s="17" t="s">
        <v>456</v>
      </c>
      <c r="G1580" s="9">
        <v>44095</v>
      </c>
    </row>
    <row r="1581" spans="1:19">
      <c r="A1581" s="45" t="s">
        <v>482</v>
      </c>
      <c r="B1581" s="14" t="s">
        <v>2</v>
      </c>
      <c r="C1581" s="46">
        <v>4563900</v>
      </c>
      <c r="D1581" s="46">
        <v>4149000</v>
      </c>
      <c r="E1581" s="46">
        <v>414900</v>
      </c>
      <c r="F1581" s="17" t="s">
        <v>424</v>
      </c>
      <c r="G1581" s="9">
        <v>44103</v>
      </c>
    </row>
    <row r="1582" spans="1:19">
      <c r="A1582" s="45" t="s">
        <v>482</v>
      </c>
      <c r="B1582" s="14" t="s">
        <v>2</v>
      </c>
      <c r="C1582" s="46">
        <v>3168000</v>
      </c>
      <c r="D1582" s="46">
        <v>2880000</v>
      </c>
      <c r="E1582" s="46">
        <v>288000</v>
      </c>
      <c r="F1582" s="17" t="s">
        <v>245</v>
      </c>
      <c r="G1582" s="9">
        <v>44095</v>
      </c>
    </row>
    <row r="1583" spans="1:19">
      <c r="A1583" s="45" t="s">
        <v>482</v>
      </c>
      <c r="B1583" s="14" t="s">
        <v>2</v>
      </c>
      <c r="C1583" s="46">
        <v>9903300</v>
      </c>
      <c r="D1583" s="46">
        <v>9003000</v>
      </c>
      <c r="E1583" s="46">
        <v>900300</v>
      </c>
      <c r="F1583" s="17" t="s">
        <v>471</v>
      </c>
      <c r="G1583" s="9">
        <v>44095</v>
      </c>
    </row>
    <row r="1584" spans="1:19">
      <c r="A1584" s="45" t="s">
        <v>482</v>
      </c>
      <c r="B1584" s="14" t="s">
        <v>2</v>
      </c>
      <c r="C1584" s="46">
        <v>2547600</v>
      </c>
      <c r="D1584" s="46">
        <v>2316000</v>
      </c>
      <c r="E1584" s="46">
        <v>231600</v>
      </c>
      <c r="F1584" s="17" t="s">
        <v>457</v>
      </c>
      <c r="G1584" s="9">
        <v>44095</v>
      </c>
    </row>
    <row r="1585" spans="1:11">
      <c r="A1585" s="45" t="s">
        <v>483</v>
      </c>
      <c r="B1585" s="14" t="s">
        <v>385</v>
      </c>
      <c r="C1585" s="46">
        <v>22556600</v>
      </c>
      <c r="D1585" s="46">
        <v>20506000</v>
      </c>
      <c r="E1585" s="46">
        <v>2050600</v>
      </c>
      <c r="F1585" s="17" t="s">
        <v>474</v>
      </c>
      <c r="G1585" s="9">
        <v>44116</v>
      </c>
    </row>
    <row r="1586" spans="1:11">
      <c r="A1586" s="45" t="s">
        <v>483</v>
      </c>
      <c r="B1586" s="14" t="s">
        <v>385</v>
      </c>
      <c r="C1586" s="46">
        <v>5266800</v>
      </c>
      <c r="D1586" s="46">
        <v>4788000</v>
      </c>
      <c r="E1586" s="46">
        <v>478800</v>
      </c>
      <c r="F1586" s="17" t="s">
        <v>577</v>
      </c>
      <c r="G1586" s="9">
        <v>44116</v>
      </c>
    </row>
    <row r="1587" spans="1:11">
      <c r="A1587" s="45" t="s">
        <v>483</v>
      </c>
      <c r="B1587" s="14" t="s">
        <v>385</v>
      </c>
      <c r="C1587" s="46">
        <v>19800000</v>
      </c>
      <c r="D1587" s="46">
        <v>18000000</v>
      </c>
      <c r="E1587" s="46">
        <v>1800000</v>
      </c>
      <c r="F1587" s="17" t="s">
        <v>479</v>
      </c>
      <c r="G1587" s="9">
        <v>44116</v>
      </c>
    </row>
    <row r="1588" spans="1:11">
      <c r="A1588" s="45" t="s">
        <v>483</v>
      </c>
      <c r="B1588" s="14" t="s">
        <v>385</v>
      </c>
      <c r="C1588" s="46">
        <v>17140200</v>
      </c>
      <c r="D1588" s="46">
        <v>15582000</v>
      </c>
      <c r="E1588" s="46">
        <v>1558200</v>
      </c>
      <c r="F1588" s="17" t="s">
        <v>478</v>
      </c>
      <c r="G1588" s="9">
        <v>44116</v>
      </c>
    </row>
    <row r="1589" spans="1:11">
      <c r="A1589" s="45" t="s">
        <v>483</v>
      </c>
      <c r="B1589" s="14" t="s">
        <v>63</v>
      </c>
      <c r="C1589" s="46">
        <v>704000</v>
      </c>
      <c r="D1589" s="46">
        <v>640000</v>
      </c>
      <c r="E1589" s="46">
        <v>64000</v>
      </c>
      <c r="F1589" s="17" t="s">
        <v>13</v>
      </c>
      <c r="G1589" s="9">
        <v>44477</v>
      </c>
    </row>
    <row r="1590" spans="1:11">
      <c r="A1590" s="45" t="s">
        <v>483</v>
      </c>
      <c r="B1590" s="14" t="s">
        <v>82</v>
      </c>
      <c r="C1590" s="46">
        <v>396000</v>
      </c>
      <c r="D1590" s="46">
        <v>360000</v>
      </c>
      <c r="E1590" s="46">
        <v>36000</v>
      </c>
      <c r="F1590" s="17" t="s">
        <v>13</v>
      </c>
      <c r="G1590" s="9">
        <v>44484</v>
      </c>
    </row>
    <row r="1591" spans="1:11">
      <c r="A1591" s="45" t="s">
        <v>483</v>
      </c>
      <c r="B1591" s="14" t="s">
        <v>432</v>
      </c>
      <c r="C1591" s="46">
        <v>886600</v>
      </c>
      <c r="D1591" s="46">
        <v>806000</v>
      </c>
      <c r="E1591" s="46">
        <v>80600</v>
      </c>
      <c r="F1591" s="17" t="s">
        <v>105</v>
      </c>
      <c r="G1591" s="9">
        <v>44120</v>
      </c>
    </row>
    <row r="1592" spans="1:11">
      <c r="A1592" s="45" t="s">
        <v>483</v>
      </c>
      <c r="B1592" s="14" t="s">
        <v>432</v>
      </c>
      <c r="C1592" s="46">
        <v>906400</v>
      </c>
      <c r="D1592" s="46">
        <v>824000</v>
      </c>
      <c r="E1592" s="46">
        <v>82400</v>
      </c>
      <c r="F1592" s="17" t="s">
        <v>165</v>
      </c>
      <c r="G1592" s="9">
        <v>44120</v>
      </c>
    </row>
    <row r="1593" spans="1:11">
      <c r="A1593" s="45" t="s">
        <v>483</v>
      </c>
      <c r="B1593" s="14" t="s">
        <v>15</v>
      </c>
      <c r="C1593" s="46">
        <v>2244000</v>
      </c>
      <c r="D1593" s="46">
        <v>2040000</v>
      </c>
      <c r="E1593" s="46">
        <v>204000</v>
      </c>
      <c r="F1593" s="17" t="s">
        <v>575</v>
      </c>
      <c r="G1593" s="9">
        <v>44124</v>
      </c>
    </row>
    <row r="1594" spans="1:11">
      <c r="A1594" s="45" t="s">
        <v>483</v>
      </c>
      <c r="B1594" s="14" t="s">
        <v>15</v>
      </c>
      <c r="C1594" s="46">
        <v>6699000</v>
      </c>
      <c r="D1594" s="46">
        <v>6090000</v>
      </c>
      <c r="E1594" s="46">
        <v>609000</v>
      </c>
      <c r="F1594" s="17" t="s">
        <v>69</v>
      </c>
      <c r="G1594" s="9">
        <v>44124</v>
      </c>
    </row>
    <row r="1595" spans="1:11">
      <c r="A1595" s="45" t="s">
        <v>483</v>
      </c>
      <c r="B1595" s="14" t="s">
        <v>15</v>
      </c>
      <c r="C1595" s="46">
        <v>2904000</v>
      </c>
      <c r="D1595" s="46">
        <v>2640000</v>
      </c>
      <c r="E1595" s="46">
        <v>264000</v>
      </c>
      <c r="F1595" s="17" t="s">
        <v>103</v>
      </c>
      <c r="G1595" s="9">
        <v>44124</v>
      </c>
    </row>
    <row r="1596" spans="1:11">
      <c r="A1596" s="45" t="s">
        <v>483</v>
      </c>
      <c r="B1596" s="14" t="s">
        <v>449</v>
      </c>
      <c r="C1596" s="46">
        <v>1760000</v>
      </c>
      <c r="D1596" s="46">
        <v>1600000</v>
      </c>
      <c r="E1596" s="46">
        <v>160000</v>
      </c>
      <c r="F1596" s="17" t="s">
        <v>13</v>
      </c>
      <c r="G1596" s="9">
        <v>44134</v>
      </c>
    </row>
    <row r="1597" spans="1:11">
      <c r="A1597" s="45" t="s">
        <v>483</v>
      </c>
      <c r="B1597" s="14" t="s">
        <v>2</v>
      </c>
      <c r="C1597" s="46">
        <v>5259100</v>
      </c>
      <c r="D1597" s="46">
        <v>4781000</v>
      </c>
      <c r="E1597" s="46">
        <v>478100</v>
      </c>
      <c r="F1597" s="17" t="s">
        <v>456</v>
      </c>
      <c r="G1597" s="9">
        <v>44116</v>
      </c>
    </row>
    <row r="1598" spans="1:11">
      <c r="A1598" s="45" t="s">
        <v>483</v>
      </c>
      <c r="B1598" s="14" t="s">
        <v>2</v>
      </c>
      <c r="C1598" s="46">
        <v>2640000</v>
      </c>
      <c r="D1598" s="46">
        <v>2400000</v>
      </c>
      <c r="E1598" s="46">
        <v>240000</v>
      </c>
      <c r="F1598" s="17" t="s">
        <v>245</v>
      </c>
      <c r="G1598" s="9">
        <v>44116</v>
      </c>
    </row>
    <row r="1599" spans="1:11">
      <c r="A1599" s="45" t="s">
        <v>483</v>
      </c>
      <c r="B1599" s="14" t="s">
        <v>2</v>
      </c>
      <c r="C1599" s="46">
        <v>9064000</v>
      </c>
      <c r="D1599" s="46">
        <v>8240000</v>
      </c>
      <c r="E1599" s="46">
        <v>824000</v>
      </c>
      <c r="F1599" s="17" t="s">
        <v>471</v>
      </c>
      <c r="G1599" s="9">
        <v>44116</v>
      </c>
    </row>
    <row r="1600" spans="1:11">
      <c r="A1600" s="45" t="s">
        <v>483</v>
      </c>
      <c r="B1600" s="14" t="s">
        <v>2</v>
      </c>
      <c r="C1600" s="46">
        <v>3765850</v>
      </c>
      <c r="D1600" s="46">
        <v>3423500</v>
      </c>
      <c r="E1600" s="46">
        <v>342350</v>
      </c>
      <c r="F1600" s="17" t="s">
        <v>576</v>
      </c>
      <c r="G1600" s="9">
        <v>44116</v>
      </c>
      <c r="I1600" s="304" t="s">
        <v>579</v>
      </c>
      <c r="J1600" s="304"/>
      <c r="K1600" s="304"/>
    </row>
    <row r="1601" spans="1:19">
      <c r="A1601" s="45" t="s">
        <v>483</v>
      </c>
      <c r="B1601" s="14" t="s">
        <v>2</v>
      </c>
      <c r="C1601" s="46">
        <v>1430000</v>
      </c>
      <c r="D1601" s="46">
        <v>1300000</v>
      </c>
      <c r="E1601" s="46">
        <v>130000</v>
      </c>
      <c r="F1601" s="17" t="s">
        <v>306</v>
      </c>
      <c r="G1601" s="9">
        <v>44116</v>
      </c>
      <c r="I1601" s="18" t="s">
        <v>487</v>
      </c>
      <c r="J1601" s="36" t="s">
        <v>488</v>
      </c>
      <c r="K1601" s="36" t="s">
        <v>494</v>
      </c>
    </row>
    <row r="1602" spans="1:19">
      <c r="A1602" s="119" t="s">
        <v>483</v>
      </c>
      <c r="B1602" s="42" t="s">
        <v>2</v>
      </c>
      <c r="C1602" s="118">
        <v>3962200</v>
      </c>
      <c r="D1602" s="118">
        <v>3602000</v>
      </c>
      <c r="E1602" s="118">
        <v>360200</v>
      </c>
      <c r="F1602" s="51" t="s">
        <v>424</v>
      </c>
      <c r="G1602" s="10">
        <v>44116</v>
      </c>
      <c r="H1602" s="51"/>
      <c r="I1602" s="18">
        <f>SUM(C1580:C1602)</f>
        <v>132572550</v>
      </c>
      <c r="J1602" s="18">
        <f>SUM(D1580:D1602)</f>
        <v>120520500</v>
      </c>
      <c r="K1602" s="18">
        <f>SUM(E1580:E1602)</f>
        <v>12052050</v>
      </c>
      <c r="L1602" s="42"/>
      <c r="M1602" s="42"/>
      <c r="N1602" s="42"/>
      <c r="O1602" s="42"/>
      <c r="P1602" s="42"/>
      <c r="Q1602" s="42"/>
      <c r="R1602" s="42"/>
      <c r="S1602" s="42"/>
    </row>
    <row r="1603" spans="1:19">
      <c r="A1603" s="45" t="s">
        <v>580</v>
      </c>
      <c r="B1603" s="14" t="s">
        <v>2</v>
      </c>
      <c r="C1603" s="46">
        <v>1100000</v>
      </c>
      <c r="D1603" s="46">
        <v>1000000</v>
      </c>
      <c r="E1603" s="46">
        <v>100000</v>
      </c>
      <c r="F1603" s="17" t="s">
        <v>306</v>
      </c>
      <c r="G1603" s="9">
        <v>44134</v>
      </c>
    </row>
    <row r="1604" spans="1:19">
      <c r="A1604" s="45" t="s">
        <v>580</v>
      </c>
      <c r="B1604" s="14" t="s">
        <v>2</v>
      </c>
      <c r="C1604" s="46">
        <v>4620000</v>
      </c>
      <c r="D1604" s="46">
        <v>4200000</v>
      </c>
      <c r="E1604" s="46">
        <v>420000</v>
      </c>
      <c r="F1604" s="17" t="s">
        <v>245</v>
      </c>
      <c r="G1604" s="9">
        <v>44124</v>
      </c>
    </row>
    <row r="1605" spans="1:19">
      <c r="A1605" s="45" t="s">
        <v>580</v>
      </c>
      <c r="B1605" s="14" t="s">
        <v>2</v>
      </c>
      <c r="C1605" s="46">
        <v>7251200</v>
      </c>
      <c r="D1605" s="46">
        <v>6592000</v>
      </c>
      <c r="E1605" s="46">
        <v>659200</v>
      </c>
      <c r="F1605" s="17" t="s">
        <v>458</v>
      </c>
      <c r="G1605" s="9">
        <v>44124</v>
      </c>
    </row>
    <row r="1606" spans="1:19">
      <c r="A1606" s="45" t="s">
        <v>580</v>
      </c>
      <c r="B1606" s="14" t="s">
        <v>2</v>
      </c>
      <c r="C1606" s="46">
        <v>1922800</v>
      </c>
      <c r="D1606" s="46">
        <v>1748000</v>
      </c>
      <c r="E1606" s="46">
        <v>174800</v>
      </c>
      <c r="F1606" s="17" t="s">
        <v>477</v>
      </c>
      <c r="G1606" s="9">
        <v>44124</v>
      </c>
    </row>
    <row r="1607" spans="1:19">
      <c r="A1607" s="45" t="s">
        <v>580</v>
      </c>
      <c r="B1607" s="14" t="s">
        <v>2</v>
      </c>
      <c r="C1607" s="46">
        <v>969100</v>
      </c>
      <c r="D1607" s="46">
        <v>881000</v>
      </c>
      <c r="E1607" s="46">
        <v>88100</v>
      </c>
      <c r="F1607" s="17" t="s">
        <v>456</v>
      </c>
      <c r="G1607" s="9">
        <v>44124</v>
      </c>
    </row>
    <row r="1608" spans="1:19">
      <c r="A1608" s="45" t="s">
        <v>580</v>
      </c>
      <c r="B1608" s="14" t="s">
        <v>2</v>
      </c>
      <c r="C1608" s="46">
        <v>4627700</v>
      </c>
      <c r="D1608" s="46">
        <v>4207000</v>
      </c>
      <c r="E1608" s="46">
        <v>420700</v>
      </c>
      <c r="F1608" s="17" t="s">
        <v>424</v>
      </c>
      <c r="G1608" s="9">
        <v>44134</v>
      </c>
    </row>
    <row r="1609" spans="1:19">
      <c r="A1609" s="45" t="s">
        <v>581</v>
      </c>
      <c r="B1609" s="14" t="s">
        <v>432</v>
      </c>
      <c r="C1609" s="46">
        <v>1019700</v>
      </c>
      <c r="D1609" s="46">
        <v>927000</v>
      </c>
      <c r="E1609" s="46">
        <v>92700</v>
      </c>
      <c r="F1609" s="17" t="s">
        <v>105</v>
      </c>
      <c r="G1609" s="9">
        <v>44148</v>
      </c>
    </row>
    <row r="1610" spans="1:19">
      <c r="A1610" s="45" t="s">
        <v>581</v>
      </c>
      <c r="B1610" s="14" t="s">
        <v>432</v>
      </c>
      <c r="C1610" s="46">
        <v>3121800</v>
      </c>
      <c r="D1610" s="46">
        <v>2838000</v>
      </c>
      <c r="E1610" s="46">
        <v>283800</v>
      </c>
      <c r="F1610" s="17" t="s">
        <v>165</v>
      </c>
      <c r="G1610" s="9">
        <v>44152</v>
      </c>
    </row>
    <row r="1611" spans="1:19">
      <c r="A1611" s="45" t="s">
        <v>581</v>
      </c>
      <c r="B1611" s="14" t="s">
        <v>63</v>
      </c>
      <c r="C1611" s="46">
        <v>803000</v>
      </c>
      <c r="D1611" s="46">
        <v>730000</v>
      </c>
      <c r="E1611" s="46">
        <v>73000</v>
      </c>
      <c r="F1611" s="17" t="s">
        <v>13</v>
      </c>
      <c r="G1611" s="9">
        <v>44503</v>
      </c>
    </row>
    <row r="1612" spans="1:19">
      <c r="A1612" s="45" t="s">
        <v>581</v>
      </c>
      <c r="B1612" s="14" t="s">
        <v>82</v>
      </c>
      <c r="C1612" s="46">
        <v>1276000</v>
      </c>
      <c r="D1612" s="46">
        <v>1160000</v>
      </c>
      <c r="E1612" s="46">
        <v>116000</v>
      </c>
      <c r="F1612" s="17" t="s">
        <v>13</v>
      </c>
      <c r="G1612" s="9">
        <v>44516</v>
      </c>
    </row>
    <row r="1613" spans="1:19">
      <c r="A1613" s="45" t="s">
        <v>581</v>
      </c>
      <c r="B1613" s="14" t="s">
        <v>449</v>
      </c>
      <c r="C1613" s="46">
        <v>2673000</v>
      </c>
      <c r="D1613" s="46">
        <v>2430000</v>
      </c>
      <c r="E1613" s="46">
        <v>243000</v>
      </c>
      <c r="F1613" s="17" t="s">
        <v>13</v>
      </c>
      <c r="G1613" s="9">
        <v>44146</v>
      </c>
    </row>
    <row r="1614" spans="1:19">
      <c r="A1614" s="45" t="s">
        <v>581</v>
      </c>
      <c r="B1614" s="14" t="s">
        <v>15</v>
      </c>
      <c r="C1614" s="46">
        <v>5940000</v>
      </c>
      <c r="D1614" s="46">
        <v>5400000</v>
      </c>
      <c r="E1614" s="46">
        <v>540000</v>
      </c>
      <c r="F1614" s="17" t="s">
        <v>575</v>
      </c>
      <c r="G1614" s="9">
        <v>44160</v>
      </c>
    </row>
    <row r="1615" spans="1:19">
      <c r="A1615" s="45" t="s">
        <v>581</v>
      </c>
      <c r="B1615" s="14" t="s">
        <v>15</v>
      </c>
      <c r="C1615" s="46">
        <v>2508000</v>
      </c>
      <c r="D1615" s="46">
        <v>2280000</v>
      </c>
      <c r="E1615" s="46">
        <v>228000</v>
      </c>
      <c r="F1615" s="17" t="s">
        <v>103</v>
      </c>
      <c r="G1615" s="9">
        <v>44160</v>
      </c>
    </row>
    <row r="1616" spans="1:19">
      <c r="A1616" s="45" t="s">
        <v>581</v>
      </c>
      <c r="B1616" s="14" t="s">
        <v>15</v>
      </c>
      <c r="C1616" s="46">
        <v>3349500</v>
      </c>
      <c r="D1616" s="46">
        <v>3045000</v>
      </c>
      <c r="E1616" s="46">
        <v>304500</v>
      </c>
      <c r="F1616" s="17" t="s">
        <v>69</v>
      </c>
      <c r="G1616" s="9">
        <v>44160</v>
      </c>
    </row>
    <row r="1617" spans="1:19">
      <c r="A1617" s="45" t="s">
        <v>581</v>
      </c>
      <c r="B1617" s="14" t="s">
        <v>2</v>
      </c>
      <c r="C1617" s="46">
        <v>3718000</v>
      </c>
      <c r="D1617" s="46">
        <v>3380000</v>
      </c>
      <c r="E1617" s="46">
        <v>338000</v>
      </c>
      <c r="F1617" s="17" t="s">
        <v>457</v>
      </c>
      <c r="G1617" s="9">
        <v>44145</v>
      </c>
    </row>
    <row r="1618" spans="1:19">
      <c r="A1618" s="45" t="s">
        <v>581</v>
      </c>
      <c r="B1618" s="14" t="s">
        <v>2</v>
      </c>
      <c r="C1618" s="46">
        <v>9950600</v>
      </c>
      <c r="D1618" s="46">
        <v>9046000</v>
      </c>
      <c r="E1618" s="46">
        <v>904600</v>
      </c>
      <c r="F1618" s="17" t="s">
        <v>458</v>
      </c>
      <c r="G1618" s="9">
        <v>44145</v>
      </c>
    </row>
    <row r="1619" spans="1:19">
      <c r="A1619" s="45" t="s">
        <v>581</v>
      </c>
      <c r="B1619" s="14" t="s">
        <v>2</v>
      </c>
      <c r="C1619" s="46">
        <v>5065500</v>
      </c>
      <c r="D1619" s="46">
        <v>4605000</v>
      </c>
      <c r="E1619" s="46">
        <v>460500</v>
      </c>
      <c r="F1619" s="17" t="s">
        <v>245</v>
      </c>
      <c r="G1619" s="9">
        <v>44145</v>
      </c>
    </row>
    <row r="1620" spans="1:19">
      <c r="A1620" s="45" t="s">
        <v>581</v>
      </c>
      <c r="B1620" s="14" t="s">
        <v>2</v>
      </c>
      <c r="C1620" s="46">
        <v>1320000</v>
      </c>
      <c r="D1620" s="46">
        <v>1200000</v>
      </c>
      <c r="E1620" s="46">
        <v>120000</v>
      </c>
      <c r="F1620" s="17" t="s">
        <v>306</v>
      </c>
      <c r="G1620" s="9">
        <v>44145</v>
      </c>
    </row>
    <row r="1621" spans="1:19">
      <c r="A1621" s="45" t="s">
        <v>581</v>
      </c>
      <c r="B1621" s="14" t="s">
        <v>2</v>
      </c>
      <c r="C1621" s="46">
        <v>4528700</v>
      </c>
      <c r="D1621" s="46">
        <v>4117000</v>
      </c>
      <c r="E1621" s="46">
        <v>411700</v>
      </c>
      <c r="F1621" s="17" t="s">
        <v>424</v>
      </c>
      <c r="G1621" s="9">
        <v>44145</v>
      </c>
    </row>
    <row r="1622" spans="1:19">
      <c r="A1622" s="45" t="s">
        <v>581</v>
      </c>
      <c r="B1622" s="14" t="s">
        <v>385</v>
      </c>
      <c r="C1622" s="46">
        <v>16845400</v>
      </c>
      <c r="D1622" s="46">
        <v>15314000</v>
      </c>
      <c r="E1622" s="46">
        <v>1531400</v>
      </c>
      <c r="F1622" s="17" t="s">
        <v>474</v>
      </c>
      <c r="G1622" s="9">
        <v>44145</v>
      </c>
      <c r="H1622" s="35" t="s">
        <v>637</v>
      </c>
    </row>
    <row r="1623" spans="1:19">
      <c r="A1623" s="45" t="s">
        <v>581</v>
      </c>
      <c r="B1623" s="14" t="s">
        <v>385</v>
      </c>
      <c r="C1623" s="46">
        <v>466400</v>
      </c>
      <c r="D1623" s="46">
        <v>424000</v>
      </c>
      <c r="E1623" s="46">
        <v>42400</v>
      </c>
      <c r="F1623" s="17" t="s">
        <v>582</v>
      </c>
      <c r="G1623" s="9">
        <v>44145</v>
      </c>
      <c r="H1623" s="35" t="s">
        <v>637</v>
      </c>
      <c r="I1623" s="304" t="s">
        <v>585</v>
      </c>
      <c r="J1623" s="304"/>
      <c r="K1623" s="304"/>
    </row>
    <row r="1624" spans="1:19">
      <c r="A1624" s="45" t="s">
        <v>581</v>
      </c>
      <c r="B1624" s="14" t="s">
        <v>385</v>
      </c>
      <c r="C1624" s="46">
        <v>23496000</v>
      </c>
      <c r="D1624" s="46">
        <v>21360000</v>
      </c>
      <c r="E1624" s="46">
        <v>2136000</v>
      </c>
      <c r="F1624" s="17" t="s">
        <v>583</v>
      </c>
      <c r="G1624" s="9">
        <v>44145</v>
      </c>
      <c r="H1624" s="35" t="s">
        <v>637</v>
      </c>
      <c r="I1624" s="18" t="s">
        <v>487</v>
      </c>
      <c r="J1624" s="36" t="s">
        <v>488</v>
      </c>
      <c r="K1624" s="36" t="s">
        <v>494</v>
      </c>
    </row>
    <row r="1625" spans="1:19">
      <c r="A1625" s="119" t="s">
        <v>581</v>
      </c>
      <c r="B1625" s="42" t="s">
        <v>385</v>
      </c>
      <c r="C1625" s="118">
        <v>8628400</v>
      </c>
      <c r="D1625" s="118">
        <v>7844000</v>
      </c>
      <c r="E1625" s="118">
        <v>784400</v>
      </c>
      <c r="F1625" s="51" t="s">
        <v>584</v>
      </c>
      <c r="G1625" s="10">
        <v>44145</v>
      </c>
      <c r="H1625" s="35" t="s">
        <v>637</v>
      </c>
      <c r="I1625" s="18">
        <f>SUM(C1603:C1625)</f>
        <v>115200800</v>
      </c>
      <c r="J1625" s="18">
        <f>SUM(D1603:D1625)</f>
        <v>104728000</v>
      </c>
      <c r="K1625" s="18">
        <f>SUM(E1603:E1625)</f>
        <v>10472800</v>
      </c>
      <c r="L1625" s="42"/>
      <c r="M1625" s="42"/>
      <c r="N1625" s="42"/>
      <c r="O1625" s="42"/>
      <c r="P1625" s="42"/>
      <c r="Q1625" s="42"/>
      <c r="R1625" s="42"/>
      <c r="S1625" s="42"/>
    </row>
    <row r="1626" spans="1:19">
      <c r="A1626" s="45" t="s">
        <v>586</v>
      </c>
      <c r="B1626" s="14" t="s">
        <v>2</v>
      </c>
      <c r="C1626" s="46">
        <v>990000</v>
      </c>
      <c r="D1626" s="46">
        <v>900000</v>
      </c>
      <c r="E1626" s="46">
        <v>90000</v>
      </c>
      <c r="F1626" s="17" t="s">
        <v>306</v>
      </c>
      <c r="G1626" s="9">
        <v>44155</v>
      </c>
    </row>
    <row r="1627" spans="1:19">
      <c r="A1627" s="45" t="s">
        <v>586</v>
      </c>
      <c r="B1627" s="14" t="s">
        <v>2</v>
      </c>
      <c r="C1627" s="46">
        <v>1914000</v>
      </c>
      <c r="D1627" s="46">
        <v>1740000</v>
      </c>
      <c r="E1627" s="46">
        <v>174000</v>
      </c>
      <c r="F1627" s="17" t="s">
        <v>477</v>
      </c>
      <c r="G1627" s="9">
        <v>44155</v>
      </c>
    </row>
    <row r="1628" spans="1:19">
      <c r="A1628" s="45" t="s">
        <v>586</v>
      </c>
      <c r="B1628" s="14" t="s">
        <v>2</v>
      </c>
      <c r="C1628" s="46">
        <v>8724100</v>
      </c>
      <c r="D1628" s="46">
        <v>7931000</v>
      </c>
      <c r="E1628" s="46">
        <v>793100</v>
      </c>
      <c r="F1628" s="17" t="s">
        <v>458</v>
      </c>
      <c r="G1628" s="9">
        <v>44155</v>
      </c>
    </row>
    <row r="1629" spans="1:19">
      <c r="A1629" s="45" t="s">
        <v>586</v>
      </c>
      <c r="B1629" s="14" t="s">
        <v>2</v>
      </c>
      <c r="C1629" s="46">
        <v>4620000</v>
      </c>
      <c r="D1629" s="46">
        <v>4200000</v>
      </c>
      <c r="E1629" s="46">
        <v>420000</v>
      </c>
      <c r="F1629" s="17" t="s">
        <v>245</v>
      </c>
      <c r="G1629" s="9">
        <v>44155</v>
      </c>
    </row>
    <row r="1630" spans="1:19">
      <c r="A1630" s="45" t="s">
        <v>586</v>
      </c>
      <c r="B1630" s="14" t="s">
        <v>2</v>
      </c>
      <c r="C1630" s="46">
        <v>1926100</v>
      </c>
      <c r="D1630" s="46">
        <v>1751000</v>
      </c>
      <c r="E1630" s="46">
        <v>175100</v>
      </c>
      <c r="F1630" s="17" t="s">
        <v>456</v>
      </c>
      <c r="G1630" s="9">
        <v>44155</v>
      </c>
    </row>
    <row r="1631" spans="1:19">
      <c r="A1631" s="45" t="s">
        <v>586</v>
      </c>
      <c r="B1631" s="14" t="s">
        <v>2</v>
      </c>
      <c r="C1631" s="46">
        <v>3977600</v>
      </c>
      <c r="D1631" s="46">
        <v>3616000</v>
      </c>
      <c r="E1631" s="46">
        <v>361600</v>
      </c>
      <c r="F1631" s="17" t="s">
        <v>424</v>
      </c>
      <c r="G1631" s="9">
        <v>44155</v>
      </c>
    </row>
    <row r="1632" spans="1:19">
      <c r="A1632" s="45" t="s">
        <v>587</v>
      </c>
      <c r="B1632" s="14" t="s">
        <v>432</v>
      </c>
      <c r="C1632" s="46">
        <v>1458600</v>
      </c>
      <c r="D1632" s="46">
        <v>1326000</v>
      </c>
      <c r="E1632" s="46">
        <v>132600</v>
      </c>
      <c r="F1632" s="17" t="s">
        <v>65</v>
      </c>
      <c r="G1632" s="9">
        <v>44182</v>
      </c>
    </row>
    <row r="1633" spans="1:7">
      <c r="A1633" s="45" t="s">
        <v>587</v>
      </c>
      <c r="B1633" s="14" t="s">
        <v>432</v>
      </c>
      <c r="C1633" s="46">
        <v>226600</v>
      </c>
      <c r="D1633" s="46">
        <v>206000</v>
      </c>
      <c r="E1633" s="46">
        <v>20600</v>
      </c>
      <c r="F1633" s="17" t="s">
        <v>588</v>
      </c>
      <c r="G1633" s="9">
        <v>44182</v>
      </c>
    </row>
    <row r="1634" spans="1:7">
      <c r="A1634" s="45" t="s">
        <v>587</v>
      </c>
      <c r="B1634" s="14" t="s">
        <v>432</v>
      </c>
      <c r="C1634" s="46">
        <v>4481400</v>
      </c>
      <c r="D1634" s="46">
        <v>4074000</v>
      </c>
      <c r="E1634" s="46">
        <v>407400</v>
      </c>
      <c r="F1634" s="17" t="s">
        <v>165</v>
      </c>
      <c r="G1634" s="9">
        <v>44182</v>
      </c>
    </row>
    <row r="1635" spans="1:7">
      <c r="A1635" s="45" t="s">
        <v>587</v>
      </c>
      <c r="B1635" s="14" t="s">
        <v>449</v>
      </c>
      <c r="C1635" s="46">
        <v>4466000</v>
      </c>
      <c r="D1635" s="46">
        <v>4060000</v>
      </c>
      <c r="E1635" s="46">
        <v>406000</v>
      </c>
      <c r="F1635" s="17" t="s">
        <v>13</v>
      </c>
      <c r="G1635" s="9">
        <v>44196</v>
      </c>
    </row>
    <row r="1636" spans="1:7">
      <c r="A1636" s="45" t="s">
        <v>587</v>
      </c>
      <c r="B1636" s="14" t="s">
        <v>63</v>
      </c>
      <c r="C1636" s="46">
        <v>374000</v>
      </c>
      <c r="D1636" s="46">
        <v>340000</v>
      </c>
      <c r="E1636" s="46">
        <v>34000</v>
      </c>
      <c r="F1636" s="17" t="s">
        <v>13</v>
      </c>
      <c r="G1636" s="9">
        <v>44533</v>
      </c>
    </row>
    <row r="1637" spans="1:7">
      <c r="A1637" s="45" t="s">
        <v>587</v>
      </c>
      <c r="B1637" s="14" t="s">
        <v>82</v>
      </c>
      <c r="C1637" s="46">
        <v>594000</v>
      </c>
      <c r="D1637" s="46">
        <v>540000</v>
      </c>
      <c r="E1637" s="46">
        <v>54000</v>
      </c>
      <c r="F1637" s="17" t="s">
        <v>13</v>
      </c>
      <c r="G1637" s="9">
        <v>44545</v>
      </c>
    </row>
    <row r="1638" spans="1:7">
      <c r="A1638" s="45" t="s">
        <v>587</v>
      </c>
      <c r="B1638" s="14" t="s">
        <v>2</v>
      </c>
      <c r="C1638" s="46">
        <v>4884000</v>
      </c>
      <c r="D1638" s="46">
        <v>4440000</v>
      </c>
      <c r="E1638" s="46">
        <v>444000</v>
      </c>
      <c r="F1638" s="17" t="s">
        <v>232</v>
      </c>
      <c r="G1638" s="9">
        <v>44175</v>
      </c>
    </row>
    <row r="1639" spans="1:7">
      <c r="A1639" s="45" t="s">
        <v>587</v>
      </c>
      <c r="B1639" s="14" t="s">
        <v>2</v>
      </c>
      <c r="C1639" s="46">
        <v>9970400</v>
      </c>
      <c r="D1639" s="46">
        <v>9064000</v>
      </c>
      <c r="E1639" s="46">
        <v>906400</v>
      </c>
      <c r="F1639" s="17" t="s">
        <v>471</v>
      </c>
      <c r="G1639" s="9">
        <v>44175</v>
      </c>
    </row>
    <row r="1640" spans="1:7">
      <c r="A1640" s="45" t="s">
        <v>587</v>
      </c>
      <c r="B1640" s="14" t="s">
        <v>2</v>
      </c>
      <c r="C1640" s="46">
        <v>4373600</v>
      </c>
      <c r="D1640" s="46">
        <v>3976000</v>
      </c>
      <c r="E1640" s="46">
        <v>397600</v>
      </c>
      <c r="F1640" s="17" t="s">
        <v>457</v>
      </c>
      <c r="G1640" s="9">
        <v>44175</v>
      </c>
    </row>
    <row r="1641" spans="1:7">
      <c r="A1641" s="45" t="s">
        <v>587</v>
      </c>
      <c r="B1641" s="14" t="s">
        <v>2</v>
      </c>
      <c r="C1641" s="46">
        <v>1210000</v>
      </c>
      <c r="D1641" s="46">
        <v>1100000</v>
      </c>
      <c r="E1641" s="46">
        <v>110000</v>
      </c>
      <c r="F1641" s="17" t="s">
        <v>306</v>
      </c>
      <c r="G1641" s="9">
        <v>44175</v>
      </c>
    </row>
    <row r="1642" spans="1:7">
      <c r="A1642" s="45" t="s">
        <v>587</v>
      </c>
      <c r="B1642" s="14" t="s">
        <v>2</v>
      </c>
      <c r="C1642" s="46">
        <v>4332900</v>
      </c>
      <c r="D1642" s="46">
        <v>3939000</v>
      </c>
      <c r="E1642" s="46">
        <v>393900</v>
      </c>
      <c r="F1642" s="17" t="s">
        <v>589</v>
      </c>
      <c r="G1642" s="9">
        <v>44175</v>
      </c>
    </row>
    <row r="1643" spans="1:7">
      <c r="A1643" s="45" t="s">
        <v>587</v>
      </c>
      <c r="B1643" s="14" t="s">
        <v>2</v>
      </c>
      <c r="C1643" s="46">
        <v>1019700</v>
      </c>
      <c r="D1643" s="46">
        <v>927000</v>
      </c>
      <c r="E1643" s="46">
        <v>92700</v>
      </c>
      <c r="F1643" s="17" t="s">
        <v>456</v>
      </c>
      <c r="G1643" s="9">
        <v>44175</v>
      </c>
    </row>
    <row r="1644" spans="1:7">
      <c r="A1644" s="45" t="s">
        <v>587</v>
      </c>
      <c r="B1644" s="14" t="s">
        <v>2</v>
      </c>
      <c r="C1644" s="46">
        <v>4090900</v>
      </c>
      <c r="D1644" s="46">
        <v>3719000</v>
      </c>
      <c r="E1644" s="46">
        <v>371900</v>
      </c>
      <c r="F1644" s="17" t="s">
        <v>454</v>
      </c>
      <c r="G1644" s="9">
        <v>44175</v>
      </c>
    </row>
    <row r="1645" spans="1:7">
      <c r="A1645" s="45" t="s">
        <v>587</v>
      </c>
      <c r="B1645" s="14" t="s">
        <v>15</v>
      </c>
      <c r="C1645" s="46">
        <v>2640000</v>
      </c>
      <c r="D1645" s="46">
        <v>2400000</v>
      </c>
      <c r="E1645" s="46">
        <v>240000</v>
      </c>
      <c r="F1645" s="17" t="s">
        <v>590</v>
      </c>
      <c r="G1645" s="9">
        <v>44189</v>
      </c>
    </row>
    <row r="1646" spans="1:7">
      <c r="A1646" s="45" t="s">
        <v>587</v>
      </c>
      <c r="B1646" s="14" t="s">
        <v>15</v>
      </c>
      <c r="C1646" s="46">
        <v>660000</v>
      </c>
      <c r="D1646" s="46">
        <v>600000</v>
      </c>
      <c r="E1646" s="46">
        <v>60000</v>
      </c>
      <c r="F1646" s="17" t="s">
        <v>103</v>
      </c>
      <c r="G1646" s="9">
        <v>44189</v>
      </c>
    </row>
    <row r="1647" spans="1:7">
      <c r="A1647" s="45" t="s">
        <v>587</v>
      </c>
      <c r="B1647" s="14" t="s">
        <v>15</v>
      </c>
      <c r="C1647" s="46">
        <v>4620000</v>
      </c>
      <c r="D1647" s="46">
        <v>4200000</v>
      </c>
      <c r="E1647" s="46">
        <v>420000</v>
      </c>
      <c r="F1647" s="17" t="s">
        <v>69</v>
      </c>
      <c r="G1647" s="9">
        <v>44189</v>
      </c>
    </row>
    <row r="1648" spans="1:7">
      <c r="A1648" s="45" t="s">
        <v>587</v>
      </c>
      <c r="B1648" s="14" t="s">
        <v>385</v>
      </c>
      <c r="C1648" s="46">
        <v>9094800</v>
      </c>
      <c r="D1648" s="46">
        <v>8268000</v>
      </c>
      <c r="E1648" s="46">
        <v>826800</v>
      </c>
      <c r="F1648" s="17" t="s">
        <v>478</v>
      </c>
      <c r="G1648" s="9">
        <v>44175</v>
      </c>
    </row>
    <row r="1649" spans="1:19">
      <c r="A1649" s="45" t="s">
        <v>587</v>
      </c>
      <c r="B1649" s="14" t="s">
        <v>385</v>
      </c>
      <c r="C1649" s="46">
        <v>5896000</v>
      </c>
      <c r="D1649" s="46">
        <v>5360000</v>
      </c>
      <c r="E1649" s="46">
        <v>536000</v>
      </c>
      <c r="F1649" s="17" t="s">
        <v>583</v>
      </c>
      <c r="G1649" s="9">
        <v>44175</v>
      </c>
      <c r="I1649" s="304" t="s">
        <v>592</v>
      </c>
      <c r="J1649" s="304"/>
      <c r="K1649" s="304"/>
    </row>
    <row r="1650" spans="1:19">
      <c r="A1650" s="45" t="s">
        <v>587</v>
      </c>
      <c r="B1650" s="14" t="s">
        <v>385</v>
      </c>
      <c r="C1650" s="46">
        <v>1023000</v>
      </c>
      <c r="D1650" s="46">
        <v>930000</v>
      </c>
      <c r="E1650" s="46">
        <v>93000</v>
      </c>
      <c r="F1650" s="17" t="s">
        <v>591</v>
      </c>
      <c r="G1650" s="9">
        <v>44175</v>
      </c>
      <c r="I1650" s="18" t="s">
        <v>487</v>
      </c>
      <c r="J1650" s="36" t="s">
        <v>488</v>
      </c>
      <c r="K1650" s="36" t="s">
        <v>494</v>
      </c>
    </row>
    <row r="1651" spans="1:19">
      <c r="A1651" s="119" t="s">
        <v>587</v>
      </c>
      <c r="B1651" s="42" t="s">
        <v>385</v>
      </c>
      <c r="C1651" s="118">
        <v>10839400</v>
      </c>
      <c r="D1651" s="118">
        <v>9854000</v>
      </c>
      <c r="E1651" s="118">
        <v>985400</v>
      </c>
      <c r="F1651" s="51" t="s">
        <v>474</v>
      </c>
      <c r="G1651" s="10">
        <v>44175</v>
      </c>
      <c r="H1651" s="51"/>
      <c r="I1651" s="18">
        <f>SUM(C1626:C1651)</f>
        <v>98407100</v>
      </c>
      <c r="J1651" s="18">
        <f>SUM(D1626:D1651)</f>
        <v>89461000</v>
      </c>
      <c r="K1651" s="18">
        <f>SUM(E1626:E1651)</f>
        <v>8946100</v>
      </c>
      <c r="L1651" s="42"/>
      <c r="M1651" s="42"/>
      <c r="N1651" s="42"/>
      <c r="O1651" s="42"/>
      <c r="P1651" s="42"/>
      <c r="Q1651" s="42"/>
      <c r="R1651" s="42"/>
      <c r="S1651" s="42"/>
    </row>
    <row r="1652" spans="1:19">
      <c r="A1652" s="45" t="s">
        <v>593</v>
      </c>
      <c r="B1652" s="146" t="s">
        <v>598</v>
      </c>
      <c r="C1652" s="46">
        <v>123200000</v>
      </c>
      <c r="D1652" s="46">
        <v>112000000</v>
      </c>
      <c r="E1652" s="46">
        <v>11200000</v>
      </c>
      <c r="F1652" s="17" t="s">
        <v>13</v>
      </c>
      <c r="G1652" s="147" t="s">
        <v>871</v>
      </c>
      <c r="I1652" s="15">
        <v>50000000</v>
      </c>
      <c r="J1652" s="93">
        <v>44221</v>
      </c>
      <c r="K1652" s="15">
        <v>10000000</v>
      </c>
      <c r="L1652" s="9">
        <v>44257</v>
      </c>
      <c r="M1652" s="64">
        <v>70000000</v>
      </c>
      <c r="N1652" s="9">
        <v>44258</v>
      </c>
      <c r="O1652" s="64">
        <v>22000000</v>
      </c>
      <c r="P1652" s="9">
        <v>44259</v>
      </c>
      <c r="Q1652" s="64">
        <v>50000000</v>
      </c>
      <c r="R1652" s="64">
        <v>50000000</v>
      </c>
      <c r="S1652" s="64">
        <v>50000000</v>
      </c>
    </row>
    <row r="1653" spans="1:19">
      <c r="A1653" s="45" t="s">
        <v>594</v>
      </c>
      <c r="B1653" s="14" t="s">
        <v>599</v>
      </c>
      <c r="C1653" s="46">
        <v>87615000</v>
      </c>
      <c r="D1653" s="46">
        <v>79650000</v>
      </c>
      <c r="E1653" s="46">
        <v>7965000</v>
      </c>
      <c r="F1653" s="17" t="s">
        <v>601</v>
      </c>
      <c r="G1653" s="147" t="s">
        <v>871</v>
      </c>
      <c r="I1653" s="15">
        <v>20000000</v>
      </c>
      <c r="J1653" s="93">
        <v>44254</v>
      </c>
      <c r="K1653" s="15">
        <v>40000000</v>
      </c>
      <c r="L1653" s="9">
        <v>44320</v>
      </c>
      <c r="M1653" s="64">
        <v>30000000</v>
      </c>
      <c r="N1653" s="9">
        <v>44378</v>
      </c>
      <c r="O1653" s="15">
        <v>-2385000</v>
      </c>
      <c r="P1653" s="9">
        <v>45171</v>
      </c>
    </row>
    <row r="1654" spans="1:19">
      <c r="A1654" s="45" t="s">
        <v>595</v>
      </c>
      <c r="B1654" s="14" t="s">
        <v>2</v>
      </c>
      <c r="C1654" s="46">
        <v>6004900</v>
      </c>
      <c r="D1654" s="46">
        <v>5459000</v>
      </c>
      <c r="E1654" s="46">
        <v>545900</v>
      </c>
      <c r="F1654" s="17" t="s">
        <v>471</v>
      </c>
      <c r="G1654" s="9">
        <v>44195</v>
      </c>
    </row>
    <row r="1655" spans="1:19">
      <c r="A1655" s="45" t="s">
        <v>595</v>
      </c>
      <c r="B1655" s="14" t="s">
        <v>2</v>
      </c>
      <c r="C1655" s="46">
        <v>3177900</v>
      </c>
      <c r="D1655" s="46">
        <v>2889000</v>
      </c>
      <c r="E1655" s="46">
        <v>288900</v>
      </c>
      <c r="F1655" s="17" t="s">
        <v>457</v>
      </c>
      <c r="G1655" s="9">
        <v>44195</v>
      </c>
    </row>
    <row r="1656" spans="1:19">
      <c r="A1656" s="45" t="s">
        <v>595</v>
      </c>
      <c r="B1656" s="14" t="s">
        <v>2</v>
      </c>
      <c r="C1656" s="46">
        <v>9439100</v>
      </c>
      <c r="D1656" s="46">
        <v>8581000</v>
      </c>
      <c r="E1656" s="46">
        <v>858100</v>
      </c>
      <c r="F1656" s="17" t="s">
        <v>602</v>
      </c>
      <c r="G1656" s="9">
        <v>44186</v>
      </c>
      <c r="J1656" s="46"/>
    </row>
    <row r="1657" spans="1:19">
      <c r="A1657" s="45" t="s">
        <v>595</v>
      </c>
      <c r="B1657" s="14" t="s">
        <v>2</v>
      </c>
      <c r="C1657" s="46">
        <v>550000</v>
      </c>
      <c r="D1657" s="46">
        <v>500000</v>
      </c>
      <c r="E1657" s="46">
        <v>50000</v>
      </c>
      <c r="F1657" s="17" t="s">
        <v>306</v>
      </c>
      <c r="G1657" s="9">
        <v>44186</v>
      </c>
      <c r="J1657" s="46"/>
    </row>
    <row r="1658" spans="1:19">
      <c r="A1658" s="45" t="s">
        <v>595</v>
      </c>
      <c r="B1658" s="14" t="s">
        <v>2</v>
      </c>
      <c r="C1658" s="46">
        <v>4884000</v>
      </c>
      <c r="D1658" s="46">
        <v>4440000</v>
      </c>
      <c r="E1658" s="46">
        <v>444000</v>
      </c>
      <c r="F1658" s="17" t="s">
        <v>245</v>
      </c>
      <c r="G1658" s="9">
        <v>44186</v>
      </c>
      <c r="J1658" s="46"/>
    </row>
    <row r="1659" spans="1:19">
      <c r="A1659" s="45" t="s">
        <v>595</v>
      </c>
      <c r="B1659" s="14" t="s">
        <v>2</v>
      </c>
      <c r="C1659" s="46">
        <v>1430000</v>
      </c>
      <c r="D1659" s="46">
        <v>1300000</v>
      </c>
      <c r="E1659" s="46">
        <v>130000</v>
      </c>
      <c r="F1659" s="17" t="s">
        <v>456</v>
      </c>
      <c r="G1659" s="9">
        <v>44186</v>
      </c>
    </row>
    <row r="1660" spans="1:19">
      <c r="A1660" s="45" t="s">
        <v>595</v>
      </c>
      <c r="B1660" s="14" t="s">
        <v>2</v>
      </c>
      <c r="C1660" s="46">
        <v>566500</v>
      </c>
      <c r="D1660" s="46">
        <v>515000</v>
      </c>
      <c r="E1660" s="46">
        <v>51500</v>
      </c>
      <c r="F1660" s="17" t="s">
        <v>603</v>
      </c>
      <c r="G1660" s="9">
        <v>44186</v>
      </c>
    </row>
    <row r="1661" spans="1:19">
      <c r="A1661" s="45" t="s">
        <v>595</v>
      </c>
      <c r="B1661" s="14" t="s">
        <v>2</v>
      </c>
      <c r="C1661" s="46">
        <v>7306200</v>
      </c>
      <c r="D1661" s="46">
        <v>6642000</v>
      </c>
      <c r="E1661" s="46">
        <v>664200</v>
      </c>
      <c r="F1661" s="17" t="s">
        <v>424</v>
      </c>
      <c r="G1661" s="9">
        <v>44207</v>
      </c>
    </row>
    <row r="1662" spans="1:19">
      <c r="A1662" s="45" t="s">
        <v>595</v>
      </c>
      <c r="B1662" s="146" t="s">
        <v>598</v>
      </c>
      <c r="C1662" s="46">
        <v>148390000</v>
      </c>
      <c r="D1662" s="46">
        <v>134900000</v>
      </c>
      <c r="E1662" s="46">
        <v>13490000</v>
      </c>
      <c r="F1662" s="17" t="s">
        <v>13</v>
      </c>
      <c r="G1662" s="147" t="s">
        <v>849</v>
      </c>
    </row>
    <row r="1663" spans="1:19">
      <c r="A1663" s="45" t="s">
        <v>595</v>
      </c>
      <c r="B1663" s="14" t="s">
        <v>600</v>
      </c>
      <c r="C1663" s="46">
        <v>9926400</v>
      </c>
      <c r="D1663" s="46">
        <v>9024000</v>
      </c>
      <c r="E1663" s="46">
        <v>902400</v>
      </c>
      <c r="F1663" s="17" t="s">
        <v>13</v>
      </c>
      <c r="G1663" s="9">
        <v>44194</v>
      </c>
    </row>
    <row r="1664" spans="1:19">
      <c r="A1664" s="45" t="s">
        <v>596</v>
      </c>
      <c r="B1664" s="14" t="s">
        <v>469</v>
      </c>
      <c r="C1664" s="46">
        <v>15389000</v>
      </c>
      <c r="D1664" s="46">
        <v>13990000</v>
      </c>
      <c r="E1664" s="46">
        <v>1399000</v>
      </c>
      <c r="F1664" s="17" t="s">
        <v>472</v>
      </c>
      <c r="G1664" s="9">
        <v>44182</v>
      </c>
    </row>
    <row r="1665" spans="1:7">
      <c r="A1665" s="45" t="s">
        <v>597</v>
      </c>
      <c r="B1665" s="146" t="s">
        <v>598</v>
      </c>
      <c r="C1665" s="46">
        <v>78716000</v>
      </c>
      <c r="D1665" s="46">
        <v>71560000</v>
      </c>
      <c r="E1665" s="46">
        <v>7156000</v>
      </c>
      <c r="F1665" s="17" t="s">
        <v>13</v>
      </c>
      <c r="G1665" s="147" t="s">
        <v>849</v>
      </c>
    </row>
    <row r="1666" spans="1:7">
      <c r="A1666" s="45" t="s">
        <v>597</v>
      </c>
      <c r="B1666" s="14" t="s">
        <v>79</v>
      </c>
      <c r="C1666" s="46">
        <v>764500</v>
      </c>
      <c r="D1666" s="46">
        <v>695000</v>
      </c>
      <c r="E1666" s="46">
        <v>69500</v>
      </c>
      <c r="F1666" s="17" t="s">
        <v>13</v>
      </c>
      <c r="G1666" s="9">
        <v>44228</v>
      </c>
    </row>
    <row r="1667" spans="1:7">
      <c r="A1667" s="45" t="s">
        <v>597</v>
      </c>
      <c r="B1667" s="14" t="s">
        <v>449</v>
      </c>
      <c r="C1667" s="46">
        <v>2277000</v>
      </c>
      <c r="D1667" s="46">
        <v>2070000</v>
      </c>
      <c r="E1667" s="46">
        <v>207000</v>
      </c>
      <c r="F1667" s="17" t="s">
        <v>13</v>
      </c>
      <c r="G1667" s="9">
        <v>44232</v>
      </c>
    </row>
    <row r="1668" spans="1:7">
      <c r="A1668" s="45" t="s">
        <v>597</v>
      </c>
      <c r="B1668" s="14" t="s">
        <v>63</v>
      </c>
      <c r="C1668" s="46">
        <v>660000</v>
      </c>
      <c r="D1668" s="46">
        <v>600000</v>
      </c>
      <c r="E1668" s="46">
        <v>60000</v>
      </c>
      <c r="F1668" s="17" t="s">
        <v>13</v>
      </c>
      <c r="G1668" s="9">
        <v>44200</v>
      </c>
    </row>
    <row r="1669" spans="1:7">
      <c r="A1669" s="45" t="s">
        <v>597</v>
      </c>
      <c r="B1669" s="14" t="s">
        <v>82</v>
      </c>
      <c r="C1669" s="46">
        <v>803000</v>
      </c>
      <c r="D1669" s="46">
        <v>730000</v>
      </c>
      <c r="E1669" s="46">
        <v>73000</v>
      </c>
      <c r="F1669" s="17" t="s">
        <v>13</v>
      </c>
      <c r="G1669" s="9">
        <v>44211</v>
      </c>
    </row>
    <row r="1670" spans="1:7">
      <c r="A1670" s="45" t="s">
        <v>597</v>
      </c>
      <c r="B1670" s="14" t="s">
        <v>432</v>
      </c>
      <c r="C1670" s="46">
        <v>793100</v>
      </c>
      <c r="D1670" s="46">
        <v>721000</v>
      </c>
      <c r="E1670" s="46">
        <v>72100</v>
      </c>
      <c r="F1670" s="17" t="s">
        <v>604</v>
      </c>
      <c r="G1670" s="9">
        <v>44215</v>
      </c>
    </row>
    <row r="1671" spans="1:7">
      <c r="A1671" s="45" t="s">
        <v>597</v>
      </c>
      <c r="B1671" s="14" t="s">
        <v>432</v>
      </c>
      <c r="C1671" s="46">
        <v>1047200</v>
      </c>
      <c r="D1671" s="46">
        <v>952000</v>
      </c>
      <c r="E1671" s="46">
        <v>95200</v>
      </c>
      <c r="F1671" s="17" t="s">
        <v>588</v>
      </c>
      <c r="G1671" s="9">
        <v>44215</v>
      </c>
    </row>
    <row r="1672" spans="1:7">
      <c r="A1672" s="45" t="s">
        <v>597</v>
      </c>
      <c r="B1672" s="14" t="s">
        <v>432</v>
      </c>
      <c r="C1672" s="46">
        <v>3174600</v>
      </c>
      <c r="D1672" s="46">
        <v>2886000</v>
      </c>
      <c r="E1672" s="46">
        <v>288600</v>
      </c>
      <c r="F1672" s="17" t="s">
        <v>165</v>
      </c>
      <c r="G1672" s="9">
        <v>44215</v>
      </c>
    </row>
    <row r="1673" spans="1:7">
      <c r="A1673" s="45" t="s">
        <v>597</v>
      </c>
      <c r="B1673" s="14" t="s">
        <v>15</v>
      </c>
      <c r="C1673" s="46">
        <v>4719000</v>
      </c>
      <c r="D1673" s="46">
        <v>4290000</v>
      </c>
      <c r="E1673" s="46">
        <v>429000</v>
      </c>
      <c r="F1673" s="17" t="s">
        <v>605</v>
      </c>
      <c r="G1673" s="9">
        <v>44221</v>
      </c>
    </row>
    <row r="1674" spans="1:7">
      <c r="A1674" s="45" t="s">
        <v>597</v>
      </c>
      <c r="B1674" s="14" t="s">
        <v>15</v>
      </c>
      <c r="C1674" s="46">
        <v>4966500</v>
      </c>
      <c r="D1674" s="46">
        <v>4515000</v>
      </c>
      <c r="E1674" s="46">
        <v>451500</v>
      </c>
      <c r="F1674" s="17" t="s">
        <v>69</v>
      </c>
      <c r="G1674" s="9">
        <v>44221</v>
      </c>
    </row>
    <row r="1675" spans="1:7">
      <c r="A1675" s="45" t="s">
        <v>597</v>
      </c>
      <c r="B1675" s="14" t="s">
        <v>2</v>
      </c>
      <c r="C1675" s="46">
        <v>6396500</v>
      </c>
      <c r="D1675" s="46">
        <v>5815000</v>
      </c>
      <c r="E1675" s="46">
        <v>581500</v>
      </c>
      <c r="F1675" s="17" t="s">
        <v>424</v>
      </c>
      <c r="G1675" s="9">
        <v>44207</v>
      </c>
    </row>
    <row r="1676" spans="1:7">
      <c r="A1676" s="45" t="s">
        <v>597</v>
      </c>
      <c r="B1676" s="14" t="s">
        <v>2</v>
      </c>
      <c r="C1676" s="46">
        <v>3738900</v>
      </c>
      <c r="D1676" s="46">
        <v>3399000</v>
      </c>
      <c r="E1676" s="46">
        <v>339900</v>
      </c>
      <c r="F1676" s="17" t="s">
        <v>471</v>
      </c>
      <c r="G1676" s="9">
        <v>44207</v>
      </c>
    </row>
    <row r="1677" spans="1:7">
      <c r="A1677" s="45" t="s">
        <v>597</v>
      </c>
      <c r="B1677" s="14" t="s">
        <v>2</v>
      </c>
      <c r="C1677" s="46">
        <v>3979800</v>
      </c>
      <c r="D1677" s="46">
        <v>3618000</v>
      </c>
      <c r="E1677" s="46">
        <v>361800</v>
      </c>
      <c r="F1677" s="17" t="s">
        <v>457</v>
      </c>
      <c r="G1677" s="9">
        <v>44207</v>
      </c>
    </row>
    <row r="1678" spans="1:7">
      <c r="A1678" s="45" t="s">
        <v>597</v>
      </c>
      <c r="B1678" s="14" t="s">
        <v>2</v>
      </c>
      <c r="C1678" s="46">
        <v>3239500</v>
      </c>
      <c r="D1678" s="46">
        <v>2945000</v>
      </c>
      <c r="E1678" s="46">
        <v>294500</v>
      </c>
      <c r="F1678" s="17" t="s">
        <v>606</v>
      </c>
      <c r="G1678" s="9">
        <v>44207</v>
      </c>
    </row>
    <row r="1679" spans="1:7">
      <c r="A1679" s="45" t="s">
        <v>597</v>
      </c>
      <c r="B1679" s="14" t="s">
        <v>2</v>
      </c>
      <c r="C1679" s="46">
        <v>5544000</v>
      </c>
      <c r="D1679" s="46">
        <v>5040000</v>
      </c>
      <c r="E1679" s="46">
        <v>504000</v>
      </c>
      <c r="F1679" s="17" t="s">
        <v>245</v>
      </c>
      <c r="G1679" s="9">
        <v>44207</v>
      </c>
    </row>
    <row r="1680" spans="1:7">
      <c r="A1680" s="45" t="s">
        <v>597</v>
      </c>
      <c r="B1680" s="14" t="s">
        <v>2</v>
      </c>
      <c r="C1680" s="46">
        <v>1246300</v>
      </c>
      <c r="D1680" s="46">
        <v>1133000</v>
      </c>
      <c r="E1680" s="46">
        <v>113300</v>
      </c>
      <c r="F1680" s="17" t="s">
        <v>607</v>
      </c>
      <c r="G1680" s="9">
        <v>44207</v>
      </c>
    </row>
    <row r="1681" spans="1:19">
      <c r="A1681" s="45" t="s">
        <v>597</v>
      </c>
      <c r="B1681" s="14" t="s">
        <v>2</v>
      </c>
      <c r="C1681" s="46">
        <v>3821400</v>
      </c>
      <c r="D1681" s="46">
        <v>3474000</v>
      </c>
      <c r="E1681" s="46">
        <v>347400</v>
      </c>
      <c r="F1681" s="17" t="s">
        <v>456</v>
      </c>
      <c r="G1681" s="9">
        <v>44207</v>
      </c>
    </row>
    <row r="1682" spans="1:19">
      <c r="A1682" s="45" t="s">
        <v>597</v>
      </c>
      <c r="B1682" s="14" t="s">
        <v>385</v>
      </c>
      <c r="C1682" s="46">
        <v>9385200</v>
      </c>
      <c r="D1682" s="46">
        <v>8532000</v>
      </c>
      <c r="E1682" s="46">
        <v>853200</v>
      </c>
      <c r="F1682" s="17" t="s">
        <v>474</v>
      </c>
      <c r="G1682" s="9">
        <v>44207</v>
      </c>
      <c r="I1682" s="304" t="s">
        <v>608</v>
      </c>
      <c r="J1682" s="304"/>
      <c r="K1682" s="304"/>
    </row>
    <row r="1683" spans="1:19">
      <c r="A1683" s="45" t="s">
        <v>597</v>
      </c>
      <c r="B1683" s="14" t="s">
        <v>385</v>
      </c>
      <c r="C1683" s="46">
        <v>413600</v>
      </c>
      <c r="D1683" s="46">
        <v>376000</v>
      </c>
      <c r="E1683" s="46">
        <v>37600</v>
      </c>
      <c r="F1683" s="17" t="s">
        <v>386</v>
      </c>
      <c r="G1683" s="9">
        <v>44207</v>
      </c>
      <c r="I1683" s="18" t="s">
        <v>487</v>
      </c>
      <c r="J1683" s="36" t="s">
        <v>488</v>
      </c>
      <c r="K1683" s="36" t="s">
        <v>494</v>
      </c>
    </row>
    <row r="1684" spans="1:19">
      <c r="A1684" s="119" t="s">
        <v>597</v>
      </c>
      <c r="B1684" s="42" t="s">
        <v>385</v>
      </c>
      <c r="C1684" s="118">
        <v>18073000</v>
      </c>
      <c r="D1684" s="118">
        <v>16430000</v>
      </c>
      <c r="E1684" s="118">
        <v>1643000</v>
      </c>
      <c r="F1684" s="51" t="s">
        <v>387</v>
      </c>
      <c r="G1684" s="10">
        <v>44207</v>
      </c>
      <c r="H1684" s="51"/>
      <c r="I1684" s="18">
        <f>SUM(C1652:C1684)</f>
        <v>571638100</v>
      </c>
      <c r="J1684" s="18">
        <f>SUM(D1652:D1684)</f>
        <v>519671000</v>
      </c>
      <c r="K1684" s="18">
        <f>SUM(E1652:E1684)</f>
        <v>51967100</v>
      </c>
      <c r="L1684" s="42"/>
      <c r="M1684" s="42"/>
      <c r="N1684" s="42"/>
      <c r="O1684" s="42"/>
      <c r="P1684" s="42"/>
      <c r="Q1684" s="42"/>
      <c r="R1684" s="42"/>
      <c r="S1684" s="42"/>
    </row>
    <row r="1685" spans="1:19">
      <c r="A1685" s="45" t="s">
        <v>609</v>
      </c>
      <c r="B1685" s="14" t="s">
        <v>2</v>
      </c>
      <c r="C1685" s="46">
        <v>2970000</v>
      </c>
      <c r="D1685" s="46">
        <v>2700000</v>
      </c>
      <c r="E1685" s="46">
        <v>270000</v>
      </c>
      <c r="F1685" s="17" t="s">
        <v>611</v>
      </c>
      <c r="G1685" s="9">
        <v>44225</v>
      </c>
    </row>
    <row r="1686" spans="1:19">
      <c r="A1686" s="45" t="s">
        <v>609</v>
      </c>
      <c r="B1686" s="14" t="s">
        <v>2</v>
      </c>
      <c r="C1686" s="46">
        <v>6177600</v>
      </c>
      <c r="D1686" s="46">
        <v>5616000</v>
      </c>
      <c r="E1686" s="46">
        <v>561600</v>
      </c>
      <c r="F1686" s="17" t="s">
        <v>424</v>
      </c>
      <c r="G1686" s="9">
        <v>44225</v>
      </c>
    </row>
    <row r="1687" spans="1:19">
      <c r="A1687" s="45" t="s">
        <v>609</v>
      </c>
      <c r="B1687" s="14" t="s">
        <v>2</v>
      </c>
      <c r="C1687" s="46">
        <v>1731400</v>
      </c>
      <c r="D1687" s="46">
        <v>1574000</v>
      </c>
      <c r="E1687" s="46">
        <v>157400</v>
      </c>
      <c r="F1687" s="17" t="s">
        <v>606</v>
      </c>
      <c r="G1687" s="9">
        <v>44225</v>
      </c>
    </row>
    <row r="1688" spans="1:19">
      <c r="A1688" s="45" t="s">
        <v>609</v>
      </c>
      <c r="B1688" s="14" t="s">
        <v>2</v>
      </c>
      <c r="C1688" s="46">
        <v>2894100</v>
      </c>
      <c r="D1688" s="46">
        <v>2631000</v>
      </c>
      <c r="E1688" s="46">
        <v>263100</v>
      </c>
      <c r="F1688" s="17" t="s">
        <v>612</v>
      </c>
      <c r="G1688" s="9">
        <v>44225</v>
      </c>
    </row>
    <row r="1689" spans="1:19">
      <c r="A1689" s="45" t="s">
        <v>609</v>
      </c>
      <c r="B1689" s="14" t="s">
        <v>2</v>
      </c>
      <c r="C1689" s="46">
        <v>3399000</v>
      </c>
      <c r="D1689" s="46">
        <v>3090000</v>
      </c>
      <c r="E1689" s="46">
        <v>309000</v>
      </c>
      <c r="F1689" s="17" t="s">
        <v>471</v>
      </c>
      <c r="G1689" s="9">
        <v>44225</v>
      </c>
    </row>
    <row r="1690" spans="1:19">
      <c r="A1690" s="45" t="s">
        <v>609</v>
      </c>
      <c r="B1690" s="14" t="s">
        <v>2</v>
      </c>
      <c r="C1690" s="46">
        <v>1713800</v>
      </c>
      <c r="D1690" s="46">
        <v>1558000</v>
      </c>
      <c r="E1690" s="46">
        <v>155800</v>
      </c>
      <c r="F1690" s="17" t="s">
        <v>457</v>
      </c>
      <c r="G1690" s="9">
        <v>44225</v>
      </c>
    </row>
    <row r="1691" spans="1:19">
      <c r="A1691" s="45" t="s">
        <v>609</v>
      </c>
      <c r="B1691" s="14" t="s">
        <v>2</v>
      </c>
      <c r="C1691" s="46">
        <v>5148000</v>
      </c>
      <c r="D1691" s="46">
        <v>4680000</v>
      </c>
      <c r="E1691" s="46">
        <v>468000</v>
      </c>
      <c r="F1691" s="17" t="s">
        <v>245</v>
      </c>
      <c r="G1691" s="9">
        <v>44225</v>
      </c>
    </row>
    <row r="1692" spans="1:19">
      <c r="A1692" s="45" t="s">
        <v>609</v>
      </c>
      <c r="B1692" s="14" t="s">
        <v>2</v>
      </c>
      <c r="C1692" s="46">
        <v>2391400</v>
      </c>
      <c r="D1692" s="46">
        <v>2174000</v>
      </c>
      <c r="E1692" s="46">
        <v>217400</v>
      </c>
      <c r="F1692" s="17" t="s">
        <v>456</v>
      </c>
      <c r="G1692" s="9">
        <v>44225</v>
      </c>
    </row>
    <row r="1693" spans="1:19">
      <c r="A1693" s="45" t="s">
        <v>610</v>
      </c>
      <c r="B1693" s="14" t="s">
        <v>449</v>
      </c>
      <c r="C1693" s="46">
        <v>1254000</v>
      </c>
      <c r="D1693" s="46">
        <v>1140000</v>
      </c>
      <c r="E1693" s="46">
        <v>114000</v>
      </c>
      <c r="F1693" s="17" t="s">
        <v>13</v>
      </c>
      <c r="G1693" s="9">
        <v>44249</v>
      </c>
    </row>
    <row r="1694" spans="1:19">
      <c r="A1694" s="45" t="s">
        <v>610</v>
      </c>
      <c r="B1694" s="14" t="s">
        <v>432</v>
      </c>
      <c r="C1694" s="46">
        <v>456500</v>
      </c>
      <c r="D1694" s="46">
        <v>415000</v>
      </c>
      <c r="E1694" s="46">
        <v>41500</v>
      </c>
      <c r="F1694" s="17" t="s">
        <v>320</v>
      </c>
      <c r="G1694" s="9">
        <v>44249</v>
      </c>
    </row>
    <row r="1695" spans="1:19">
      <c r="A1695" s="45" t="s">
        <v>610</v>
      </c>
      <c r="B1695" s="14" t="s">
        <v>2</v>
      </c>
      <c r="C1695" s="46">
        <v>4747600</v>
      </c>
      <c r="D1695" s="46">
        <v>4316000</v>
      </c>
      <c r="E1695" s="46">
        <v>431600</v>
      </c>
      <c r="F1695" s="17" t="s">
        <v>424</v>
      </c>
      <c r="G1695" s="9">
        <v>44237</v>
      </c>
    </row>
    <row r="1696" spans="1:19">
      <c r="A1696" s="45" t="s">
        <v>610</v>
      </c>
      <c r="B1696" s="14" t="s">
        <v>2</v>
      </c>
      <c r="C1696" s="46">
        <v>1320000</v>
      </c>
      <c r="D1696" s="46">
        <v>1200000</v>
      </c>
      <c r="E1696" s="46">
        <v>120000</v>
      </c>
      <c r="F1696" s="17" t="s">
        <v>306</v>
      </c>
      <c r="G1696" s="9">
        <v>44237</v>
      </c>
    </row>
    <row r="1697" spans="1:19">
      <c r="A1697" s="45" t="s">
        <v>610</v>
      </c>
      <c r="B1697" s="14" t="s">
        <v>2</v>
      </c>
      <c r="C1697" s="46">
        <v>365200</v>
      </c>
      <c r="D1697" s="46">
        <v>332000</v>
      </c>
      <c r="E1697" s="46">
        <v>33200</v>
      </c>
      <c r="F1697" s="17" t="s">
        <v>613</v>
      </c>
      <c r="G1697" s="9">
        <v>44237</v>
      </c>
    </row>
    <row r="1698" spans="1:19">
      <c r="A1698" s="45" t="s">
        <v>610</v>
      </c>
      <c r="B1698" s="14" t="s">
        <v>2</v>
      </c>
      <c r="C1698" s="46">
        <v>3399000</v>
      </c>
      <c r="D1698" s="46">
        <v>3090000</v>
      </c>
      <c r="E1698" s="46">
        <v>309000</v>
      </c>
      <c r="F1698" s="17" t="s">
        <v>471</v>
      </c>
      <c r="G1698" s="9">
        <v>44237</v>
      </c>
    </row>
    <row r="1699" spans="1:19">
      <c r="A1699" s="45" t="s">
        <v>610</v>
      </c>
      <c r="B1699" s="14" t="s">
        <v>2</v>
      </c>
      <c r="C1699" s="46">
        <v>2285800</v>
      </c>
      <c r="D1699" s="46">
        <v>2078000</v>
      </c>
      <c r="E1699" s="46">
        <v>207800</v>
      </c>
      <c r="F1699" s="17" t="s">
        <v>457</v>
      </c>
      <c r="G1699" s="9">
        <v>44237</v>
      </c>
    </row>
    <row r="1700" spans="1:19">
      <c r="A1700" s="45" t="s">
        <v>610</v>
      </c>
      <c r="B1700" s="14" t="s">
        <v>2</v>
      </c>
      <c r="C1700" s="46">
        <v>2902900</v>
      </c>
      <c r="D1700" s="46">
        <v>2639000</v>
      </c>
      <c r="E1700" s="46">
        <v>263900</v>
      </c>
      <c r="F1700" s="17" t="s">
        <v>612</v>
      </c>
      <c r="G1700" s="9">
        <v>44237</v>
      </c>
    </row>
    <row r="1701" spans="1:19">
      <c r="A1701" s="45" t="s">
        <v>610</v>
      </c>
      <c r="B1701" s="14" t="s">
        <v>2</v>
      </c>
      <c r="C1701" s="46">
        <v>4752000</v>
      </c>
      <c r="D1701" s="46">
        <v>4320000</v>
      </c>
      <c r="E1701" s="46">
        <v>432000</v>
      </c>
      <c r="F1701" s="17" t="s">
        <v>245</v>
      </c>
      <c r="G1701" s="9">
        <v>44237</v>
      </c>
    </row>
    <row r="1702" spans="1:19">
      <c r="A1702" s="45" t="s">
        <v>610</v>
      </c>
      <c r="B1702" s="14" t="s">
        <v>2</v>
      </c>
      <c r="C1702" s="46">
        <v>2356200</v>
      </c>
      <c r="D1702" s="46">
        <v>2142000</v>
      </c>
      <c r="E1702" s="46">
        <v>214200</v>
      </c>
      <c r="F1702" s="17" t="s">
        <v>456</v>
      </c>
      <c r="G1702" s="9">
        <v>44237</v>
      </c>
    </row>
    <row r="1703" spans="1:19">
      <c r="A1703" s="45" t="s">
        <v>610</v>
      </c>
      <c r="B1703" s="14" t="s">
        <v>385</v>
      </c>
      <c r="C1703" s="46">
        <v>21804200</v>
      </c>
      <c r="D1703" s="46">
        <v>19822000</v>
      </c>
      <c r="E1703" s="46">
        <v>1982200</v>
      </c>
      <c r="F1703" s="17" t="s">
        <v>387</v>
      </c>
      <c r="G1703" s="9">
        <v>44237</v>
      </c>
      <c r="I1703" s="304" t="s">
        <v>614</v>
      </c>
      <c r="J1703" s="304"/>
      <c r="K1703" s="304"/>
    </row>
    <row r="1704" spans="1:19">
      <c r="A1704" s="45" t="s">
        <v>610</v>
      </c>
      <c r="B1704" s="14" t="s">
        <v>385</v>
      </c>
      <c r="C1704" s="46">
        <v>541200</v>
      </c>
      <c r="D1704" s="46">
        <v>492000</v>
      </c>
      <c r="E1704" s="46">
        <v>49200</v>
      </c>
      <c r="F1704" s="17" t="s">
        <v>386</v>
      </c>
      <c r="G1704" s="9">
        <v>44237</v>
      </c>
      <c r="I1704" s="18" t="s">
        <v>487</v>
      </c>
      <c r="J1704" s="36" t="s">
        <v>488</v>
      </c>
      <c r="K1704" s="36" t="s">
        <v>494</v>
      </c>
    </row>
    <row r="1705" spans="1:19">
      <c r="A1705" s="119" t="s">
        <v>610</v>
      </c>
      <c r="B1705" s="42" t="s">
        <v>385</v>
      </c>
      <c r="C1705" s="118">
        <v>8861600</v>
      </c>
      <c r="D1705" s="118">
        <v>8056000</v>
      </c>
      <c r="E1705" s="118">
        <v>805600</v>
      </c>
      <c r="F1705" s="51" t="s">
        <v>474</v>
      </c>
      <c r="G1705" s="10">
        <v>44237</v>
      </c>
      <c r="H1705" s="51"/>
      <c r="I1705" s="18">
        <f>SUM(C1685:C1705)</f>
        <v>81471500</v>
      </c>
      <c r="J1705" s="18">
        <f>SUM(D1685:D1705)</f>
        <v>74065000</v>
      </c>
      <c r="K1705" s="18">
        <f>SUM(E1685:E1705)</f>
        <v>7406500</v>
      </c>
      <c r="L1705" s="42"/>
      <c r="M1705" s="42"/>
      <c r="N1705" s="42"/>
      <c r="O1705" s="42"/>
      <c r="P1705" s="42"/>
      <c r="Q1705" s="42"/>
      <c r="R1705" s="42"/>
      <c r="S1705" s="42"/>
    </row>
    <row r="1706" spans="1:19">
      <c r="A1706" s="45" t="s">
        <v>615</v>
      </c>
      <c r="B1706" s="14" t="s">
        <v>2</v>
      </c>
      <c r="C1706" s="46">
        <v>2207700</v>
      </c>
      <c r="D1706" s="46">
        <v>2007000</v>
      </c>
      <c r="E1706" s="46">
        <v>200700</v>
      </c>
      <c r="F1706" s="17" t="s">
        <v>456</v>
      </c>
      <c r="G1706" s="9">
        <v>44249</v>
      </c>
    </row>
    <row r="1707" spans="1:19">
      <c r="A1707" s="45" t="s">
        <v>615</v>
      </c>
      <c r="B1707" s="14" t="s">
        <v>2</v>
      </c>
      <c r="C1707" s="46">
        <v>2382600</v>
      </c>
      <c r="D1707" s="46">
        <v>2166000</v>
      </c>
      <c r="E1707" s="46">
        <v>216600</v>
      </c>
      <c r="F1707" s="17" t="s">
        <v>306</v>
      </c>
      <c r="G1707" s="9">
        <v>44249</v>
      </c>
    </row>
    <row r="1708" spans="1:19">
      <c r="A1708" s="45" t="s">
        <v>615</v>
      </c>
      <c r="B1708" s="14" t="s">
        <v>2</v>
      </c>
      <c r="C1708" s="46">
        <v>3195500</v>
      </c>
      <c r="D1708" s="46">
        <v>2905000</v>
      </c>
      <c r="E1708" s="46">
        <v>290500</v>
      </c>
      <c r="F1708" s="17" t="s">
        <v>254</v>
      </c>
      <c r="G1708" s="9">
        <v>44249</v>
      </c>
    </row>
    <row r="1709" spans="1:19">
      <c r="A1709" s="45" t="s">
        <v>615</v>
      </c>
      <c r="B1709" s="14" t="s">
        <v>2</v>
      </c>
      <c r="C1709" s="46">
        <v>3059100</v>
      </c>
      <c r="D1709" s="46">
        <v>2781000</v>
      </c>
      <c r="E1709" s="46">
        <v>278100</v>
      </c>
      <c r="F1709" s="17" t="s">
        <v>471</v>
      </c>
      <c r="G1709" s="9">
        <v>44253</v>
      </c>
    </row>
    <row r="1710" spans="1:19">
      <c r="A1710" s="45" t="s">
        <v>615</v>
      </c>
      <c r="B1710" s="14" t="s">
        <v>2</v>
      </c>
      <c r="C1710" s="46">
        <v>4104100</v>
      </c>
      <c r="D1710" s="46">
        <v>3731000</v>
      </c>
      <c r="E1710" s="46">
        <v>373100</v>
      </c>
      <c r="F1710" s="17" t="s">
        <v>457</v>
      </c>
      <c r="G1710" s="9">
        <v>44253</v>
      </c>
    </row>
    <row r="1711" spans="1:19">
      <c r="A1711" s="45" t="s">
        <v>615</v>
      </c>
      <c r="B1711" s="14" t="s">
        <v>2</v>
      </c>
      <c r="C1711" s="46">
        <v>3854400</v>
      </c>
      <c r="D1711" s="46">
        <v>3504000</v>
      </c>
      <c r="E1711" s="46">
        <v>350400</v>
      </c>
      <c r="F1711" s="17" t="s">
        <v>612</v>
      </c>
      <c r="G1711" s="9">
        <v>44249</v>
      </c>
    </row>
    <row r="1712" spans="1:19">
      <c r="A1712" s="45" t="s">
        <v>615</v>
      </c>
      <c r="B1712" s="14" t="s">
        <v>2</v>
      </c>
      <c r="C1712" s="46">
        <v>5940000</v>
      </c>
      <c r="D1712" s="46">
        <v>5400000</v>
      </c>
      <c r="E1712" s="46">
        <v>540000</v>
      </c>
      <c r="F1712" s="17" t="s">
        <v>245</v>
      </c>
      <c r="G1712" s="9">
        <v>44249</v>
      </c>
    </row>
    <row r="1713" spans="1:11">
      <c r="A1713" s="45" t="s">
        <v>615</v>
      </c>
      <c r="B1713" s="14" t="s">
        <v>2</v>
      </c>
      <c r="C1713" s="46">
        <v>6154500</v>
      </c>
      <c r="D1713" s="46">
        <v>5595000</v>
      </c>
      <c r="E1713" s="46">
        <v>559500</v>
      </c>
      <c r="F1713" s="17" t="s">
        <v>424</v>
      </c>
      <c r="G1713" s="9">
        <v>44249</v>
      </c>
    </row>
    <row r="1714" spans="1:11">
      <c r="A1714" s="45" t="s">
        <v>616</v>
      </c>
      <c r="B1714" s="14" t="s">
        <v>449</v>
      </c>
      <c r="C1714" s="46">
        <v>1980000</v>
      </c>
      <c r="D1714" s="46">
        <v>1800000</v>
      </c>
      <c r="E1714" s="46">
        <v>180000</v>
      </c>
      <c r="F1714" s="17" t="s">
        <v>13</v>
      </c>
      <c r="G1714" s="9">
        <v>44287</v>
      </c>
    </row>
    <row r="1715" spans="1:11">
      <c r="A1715" s="45" t="s">
        <v>616</v>
      </c>
      <c r="B1715" s="14" t="s">
        <v>432</v>
      </c>
      <c r="C1715" s="46">
        <v>3007400</v>
      </c>
      <c r="D1715" s="46">
        <v>2734000</v>
      </c>
      <c r="E1715" s="46">
        <v>273400</v>
      </c>
      <c r="F1715" s="17" t="s">
        <v>65</v>
      </c>
      <c r="G1715" s="9">
        <v>44272</v>
      </c>
    </row>
    <row r="1716" spans="1:11">
      <c r="A1716" s="45" t="s">
        <v>616</v>
      </c>
      <c r="B1716" s="14" t="s">
        <v>432</v>
      </c>
      <c r="C1716" s="46">
        <v>3947900</v>
      </c>
      <c r="D1716" s="46">
        <v>3589000</v>
      </c>
      <c r="E1716" s="46">
        <v>358900</v>
      </c>
      <c r="F1716" s="17" t="s">
        <v>617</v>
      </c>
      <c r="G1716" s="9">
        <v>44272</v>
      </c>
    </row>
    <row r="1717" spans="1:11">
      <c r="A1717" s="45" t="s">
        <v>616</v>
      </c>
      <c r="B1717" s="14" t="s">
        <v>432</v>
      </c>
      <c r="C1717" s="46">
        <v>435600</v>
      </c>
      <c r="D1717" s="46">
        <v>396000</v>
      </c>
      <c r="E1717" s="46">
        <v>39600</v>
      </c>
      <c r="F1717" s="17" t="s">
        <v>165</v>
      </c>
      <c r="G1717" s="9">
        <v>44272</v>
      </c>
    </row>
    <row r="1718" spans="1:11">
      <c r="A1718" s="45" t="s">
        <v>616</v>
      </c>
      <c r="B1718" s="14" t="s">
        <v>432</v>
      </c>
      <c r="C1718" s="46">
        <v>145200</v>
      </c>
      <c r="D1718" s="46">
        <v>132000</v>
      </c>
      <c r="E1718" s="46">
        <v>13200</v>
      </c>
      <c r="F1718" s="17" t="s">
        <v>476</v>
      </c>
      <c r="G1718" s="9">
        <v>44272</v>
      </c>
    </row>
    <row r="1719" spans="1:11">
      <c r="A1719" s="45" t="s">
        <v>616</v>
      </c>
      <c r="B1719" s="14" t="s">
        <v>2</v>
      </c>
      <c r="C1719" s="46">
        <v>2462900</v>
      </c>
      <c r="D1719" s="46">
        <v>2239000</v>
      </c>
      <c r="E1719" s="46">
        <v>223900</v>
      </c>
      <c r="F1719" s="17" t="s">
        <v>456</v>
      </c>
      <c r="G1719" s="9">
        <v>44265</v>
      </c>
    </row>
    <row r="1720" spans="1:11">
      <c r="A1720" s="45" t="s">
        <v>616</v>
      </c>
      <c r="B1720" s="14" t="s">
        <v>2</v>
      </c>
      <c r="C1720" s="46">
        <v>4092000</v>
      </c>
      <c r="D1720" s="46">
        <v>3720000</v>
      </c>
      <c r="E1720" s="46">
        <v>372000</v>
      </c>
      <c r="F1720" s="17" t="s">
        <v>245</v>
      </c>
      <c r="G1720" s="9">
        <v>44265</v>
      </c>
    </row>
    <row r="1721" spans="1:11">
      <c r="A1721" s="45" t="s">
        <v>616</v>
      </c>
      <c r="B1721" s="14" t="s">
        <v>2</v>
      </c>
      <c r="C1721" s="46">
        <v>2917200</v>
      </c>
      <c r="D1721" s="46">
        <v>2652000</v>
      </c>
      <c r="E1721" s="46">
        <v>265200</v>
      </c>
      <c r="F1721" s="17" t="s">
        <v>612</v>
      </c>
      <c r="G1721" s="9">
        <v>44265</v>
      </c>
    </row>
    <row r="1722" spans="1:11">
      <c r="A1722" s="45" t="s">
        <v>616</v>
      </c>
      <c r="B1722" s="14" t="s">
        <v>2</v>
      </c>
      <c r="C1722" s="46">
        <v>3459500</v>
      </c>
      <c r="D1722" s="46">
        <v>3145000</v>
      </c>
      <c r="E1722" s="46">
        <v>314500</v>
      </c>
      <c r="F1722" s="17" t="s">
        <v>457</v>
      </c>
      <c r="G1722" s="9">
        <v>44265</v>
      </c>
    </row>
    <row r="1723" spans="1:11">
      <c r="A1723" s="45" t="s">
        <v>616</v>
      </c>
      <c r="B1723" s="14" t="s">
        <v>2</v>
      </c>
      <c r="C1723" s="46">
        <v>3037100</v>
      </c>
      <c r="D1723" s="46">
        <v>2761000</v>
      </c>
      <c r="E1723" s="46">
        <v>276100</v>
      </c>
      <c r="F1723" s="17" t="s">
        <v>471</v>
      </c>
      <c r="G1723" s="9">
        <v>44265</v>
      </c>
    </row>
    <row r="1724" spans="1:11">
      <c r="A1724" s="45" t="s">
        <v>616</v>
      </c>
      <c r="B1724" s="14" t="s">
        <v>2</v>
      </c>
      <c r="C1724" s="46">
        <v>3972100</v>
      </c>
      <c r="D1724" s="46">
        <v>3611000</v>
      </c>
      <c r="E1724" s="46">
        <v>361100</v>
      </c>
      <c r="F1724" s="17" t="s">
        <v>606</v>
      </c>
      <c r="G1724" s="9">
        <v>44265</v>
      </c>
    </row>
    <row r="1725" spans="1:11">
      <c r="A1725" s="45" t="s">
        <v>616</v>
      </c>
      <c r="B1725" s="14" t="s">
        <v>2</v>
      </c>
      <c r="C1725" s="46">
        <v>2090000</v>
      </c>
      <c r="D1725" s="46">
        <v>1900000</v>
      </c>
      <c r="E1725" s="46">
        <v>190000</v>
      </c>
      <c r="F1725" s="17" t="s">
        <v>306</v>
      </c>
      <c r="G1725" s="9">
        <v>44265</v>
      </c>
    </row>
    <row r="1726" spans="1:11">
      <c r="A1726" s="45" t="s">
        <v>616</v>
      </c>
      <c r="B1726" s="14" t="s">
        <v>2</v>
      </c>
      <c r="C1726" s="46">
        <v>58361600</v>
      </c>
      <c r="D1726" s="46">
        <v>53056000</v>
      </c>
      <c r="E1726" s="46">
        <v>5305600</v>
      </c>
      <c r="F1726" s="17" t="s">
        <v>611</v>
      </c>
      <c r="G1726" s="9">
        <v>44265</v>
      </c>
    </row>
    <row r="1727" spans="1:11">
      <c r="A1727" s="45" t="s">
        <v>616</v>
      </c>
      <c r="B1727" s="14" t="s">
        <v>2</v>
      </c>
      <c r="C1727" s="46">
        <v>6267800</v>
      </c>
      <c r="D1727" s="46">
        <v>5698000</v>
      </c>
      <c r="E1727" s="46">
        <v>569800</v>
      </c>
      <c r="F1727" s="17" t="s">
        <v>454</v>
      </c>
      <c r="G1727" s="9">
        <v>44265</v>
      </c>
    </row>
    <row r="1728" spans="1:11">
      <c r="A1728" s="45" t="s">
        <v>616</v>
      </c>
      <c r="B1728" s="14" t="s">
        <v>385</v>
      </c>
      <c r="C1728" s="46">
        <v>1865600</v>
      </c>
      <c r="D1728" s="46">
        <v>1696000</v>
      </c>
      <c r="E1728" s="46">
        <v>169600</v>
      </c>
      <c r="F1728" s="17" t="s">
        <v>474</v>
      </c>
      <c r="G1728" s="9">
        <v>44265</v>
      </c>
      <c r="I1728" s="304" t="s">
        <v>619</v>
      </c>
      <c r="J1728" s="304"/>
      <c r="K1728" s="304"/>
    </row>
    <row r="1729" spans="1:19">
      <c r="A1729" s="45" t="s">
        <v>616</v>
      </c>
      <c r="B1729" s="14" t="s">
        <v>385</v>
      </c>
      <c r="C1729" s="46">
        <v>521400</v>
      </c>
      <c r="D1729" s="46">
        <v>474000</v>
      </c>
      <c r="E1729" s="46">
        <v>47400</v>
      </c>
      <c r="F1729" s="17" t="s">
        <v>618</v>
      </c>
      <c r="G1729" s="9">
        <v>44265</v>
      </c>
      <c r="I1729" s="18" t="s">
        <v>487</v>
      </c>
      <c r="J1729" s="36" t="s">
        <v>488</v>
      </c>
      <c r="K1729" s="36" t="s">
        <v>494</v>
      </c>
    </row>
    <row r="1730" spans="1:19">
      <c r="A1730" s="119" t="s">
        <v>616</v>
      </c>
      <c r="B1730" s="42" t="s">
        <v>385</v>
      </c>
      <c r="C1730" s="118">
        <v>21454400</v>
      </c>
      <c r="D1730" s="118">
        <v>19504000</v>
      </c>
      <c r="E1730" s="118">
        <v>1950400</v>
      </c>
      <c r="F1730" s="51" t="s">
        <v>387</v>
      </c>
      <c r="G1730" s="10">
        <v>44265</v>
      </c>
      <c r="H1730" s="51"/>
      <c r="I1730" s="18">
        <f>SUM(C1706:C1730)</f>
        <v>150915600</v>
      </c>
      <c r="J1730" s="18">
        <f>SUM(D1706:D1730)</f>
        <v>137196000</v>
      </c>
      <c r="K1730" s="18">
        <f>SUM(E1706:E1730)</f>
        <v>13719600</v>
      </c>
      <c r="L1730" s="42"/>
      <c r="M1730" s="42"/>
      <c r="N1730" s="42"/>
      <c r="O1730" s="42"/>
      <c r="P1730" s="42"/>
      <c r="Q1730" s="42"/>
      <c r="R1730" s="42"/>
      <c r="S1730" s="42"/>
    </row>
    <row r="1731" spans="1:19">
      <c r="A1731" s="45" t="s">
        <v>620</v>
      </c>
      <c r="B1731" s="14" t="s">
        <v>2</v>
      </c>
      <c r="C1731" s="46">
        <v>1039500</v>
      </c>
      <c r="D1731" s="46">
        <v>945000</v>
      </c>
      <c r="E1731" s="46">
        <v>94500</v>
      </c>
      <c r="F1731" s="17" t="s">
        <v>456</v>
      </c>
      <c r="G1731" s="9">
        <v>44274</v>
      </c>
    </row>
    <row r="1732" spans="1:19">
      <c r="A1732" s="45" t="s">
        <v>620</v>
      </c>
      <c r="B1732" s="14" t="s">
        <v>2</v>
      </c>
      <c r="C1732" s="46">
        <v>5016000</v>
      </c>
      <c r="D1732" s="46">
        <v>4560000</v>
      </c>
      <c r="E1732" s="46">
        <v>456000</v>
      </c>
      <c r="F1732" s="17" t="s">
        <v>245</v>
      </c>
      <c r="G1732" s="9">
        <v>44274</v>
      </c>
    </row>
    <row r="1733" spans="1:19">
      <c r="A1733" s="45" t="s">
        <v>620</v>
      </c>
      <c r="B1733" s="14" t="s">
        <v>2</v>
      </c>
      <c r="C1733" s="46">
        <v>2218700</v>
      </c>
      <c r="D1733" s="46">
        <v>2017000</v>
      </c>
      <c r="E1733" s="46">
        <v>201700</v>
      </c>
      <c r="F1733" s="17" t="s">
        <v>612</v>
      </c>
      <c r="G1733" s="9">
        <v>44285</v>
      </c>
    </row>
    <row r="1734" spans="1:19">
      <c r="A1734" s="45" t="s">
        <v>620</v>
      </c>
      <c r="B1734" s="14" t="s">
        <v>2</v>
      </c>
      <c r="C1734" s="46">
        <v>3059100</v>
      </c>
      <c r="D1734" s="46">
        <v>2781000</v>
      </c>
      <c r="E1734" s="46">
        <v>278100</v>
      </c>
      <c r="F1734" s="17" t="s">
        <v>471</v>
      </c>
      <c r="G1734" s="9">
        <v>44274</v>
      </c>
    </row>
    <row r="1735" spans="1:19">
      <c r="A1735" s="45" t="s">
        <v>620</v>
      </c>
      <c r="B1735" s="14" t="s">
        <v>2</v>
      </c>
      <c r="C1735" s="46">
        <v>4265800</v>
      </c>
      <c r="D1735" s="46">
        <v>3878000</v>
      </c>
      <c r="E1735" s="46">
        <v>387800</v>
      </c>
      <c r="F1735" s="17" t="s">
        <v>457</v>
      </c>
      <c r="G1735" s="9">
        <v>44274</v>
      </c>
    </row>
    <row r="1736" spans="1:19">
      <c r="A1736" s="45" t="s">
        <v>620</v>
      </c>
      <c r="B1736" s="14" t="s">
        <v>2</v>
      </c>
      <c r="C1736" s="46">
        <v>2008600</v>
      </c>
      <c r="D1736" s="46">
        <v>1826000</v>
      </c>
      <c r="E1736" s="46">
        <v>182600</v>
      </c>
      <c r="F1736" s="17" t="s">
        <v>606</v>
      </c>
      <c r="G1736" s="9">
        <v>44274</v>
      </c>
    </row>
    <row r="1737" spans="1:19">
      <c r="A1737" s="45" t="s">
        <v>620</v>
      </c>
      <c r="B1737" s="14" t="s">
        <v>2</v>
      </c>
      <c r="C1737" s="46">
        <v>1246300</v>
      </c>
      <c r="D1737" s="46">
        <v>1133000</v>
      </c>
      <c r="E1737" s="46">
        <v>113300</v>
      </c>
      <c r="F1737" s="17" t="s">
        <v>306</v>
      </c>
      <c r="G1737" s="9">
        <v>44274</v>
      </c>
    </row>
    <row r="1738" spans="1:19">
      <c r="A1738" s="45" t="s">
        <v>620</v>
      </c>
      <c r="B1738" s="14" t="s">
        <v>2</v>
      </c>
      <c r="C1738" s="46">
        <v>7268800</v>
      </c>
      <c r="D1738" s="46">
        <v>6608000</v>
      </c>
      <c r="E1738" s="46">
        <v>660800</v>
      </c>
      <c r="F1738" s="17" t="s">
        <v>454</v>
      </c>
      <c r="G1738" s="9">
        <v>44274</v>
      </c>
    </row>
    <row r="1739" spans="1:19">
      <c r="A1739" s="45" t="s">
        <v>620</v>
      </c>
      <c r="B1739" s="14" t="s">
        <v>2</v>
      </c>
      <c r="C1739" s="46">
        <v>98167300</v>
      </c>
      <c r="D1739" s="46">
        <v>89243000</v>
      </c>
      <c r="E1739" s="46">
        <v>8924300</v>
      </c>
      <c r="F1739" s="17" t="s">
        <v>611</v>
      </c>
      <c r="G1739" s="9">
        <v>44274</v>
      </c>
    </row>
    <row r="1740" spans="1:19">
      <c r="A1740" s="45" t="s">
        <v>621</v>
      </c>
      <c r="B1740" s="14" t="s">
        <v>2</v>
      </c>
      <c r="C1740" s="46">
        <v>4519900</v>
      </c>
      <c r="D1740" s="46">
        <v>4109000</v>
      </c>
      <c r="E1740" s="46">
        <v>410900</v>
      </c>
      <c r="F1740" s="17" t="s">
        <v>457</v>
      </c>
      <c r="G1740" s="9">
        <v>44295</v>
      </c>
    </row>
    <row r="1741" spans="1:19">
      <c r="A1741" s="55" t="s">
        <v>621</v>
      </c>
      <c r="B1741" s="30" t="s">
        <v>2</v>
      </c>
      <c r="C1741" s="120">
        <v>-1549900</v>
      </c>
      <c r="D1741" s="120">
        <v>-1409000</v>
      </c>
      <c r="E1741" s="120">
        <v>-140900</v>
      </c>
      <c r="F1741" s="31" t="s">
        <v>457</v>
      </c>
      <c r="G1741" s="30" t="s">
        <v>173</v>
      </c>
      <c r="H1741" s="31"/>
      <c r="I1741" s="73"/>
      <c r="J1741" s="74"/>
      <c r="K1741" s="30"/>
      <c r="L1741" s="30"/>
      <c r="M1741" s="30"/>
      <c r="N1741" s="30"/>
      <c r="O1741" s="30"/>
      <c r="P1741" s="30"/>
      <c r="Q1741" s="30"/>
      <c r="R1741" s="30"/>
      <c r="S1741" s="30"/>
    </row>
    <row r="1742" spans="1:19">
      <c r="A1742" s="45" t="s">
        <v>621</v>
      </c>
      <c r="B1742" s="14" t="s">
        <v>449</v>
      </c>
      <c r="C1742" s="46">
        <v>1760000</v>
      </c>
      <c r="D1742" s="46">
        <v>1600000</v>
      </c>
      <c r="E1742" s="46">
        <v>160000</v>
      </c>
      <c r="F1742" s="17" t="s">
        <v>13</v>
      </c>
      <c r="G1742" s="9">
        <v>44316</v>
      </c>
    </row>
    <row r="1743" spans="1:19">
      <c r="A1743" s="45" t="s">
        <v>621</v>
      </c>
      <c r="B1743" s="14" t="s">
        <v>432</v>
      </c>
      <c r="C1743" s="46">
        <v>555500</v>
      </c>
      <c r="D1743" s="46">
        <v>505000</v>
      </c>
      <c r="E1743" s="46">
        <v>50500</v>
      </c>
      <c r="F1743" s="17" t="s">
        <v>617</v>
      </c>
      <c r="G1743" s="9">
        <v>44306</v>
      </c>
    </row>
    <row r="1744" spans="1:19">
      <c r="A1744" s="45" t="s">
        <v>621</v>
      </c>
      <c r="B1744" s="14" t="s">
        <v>432</v>
      </c>
      <c r="C1744" s="46">
        <v>290400</v>
      </c>
      <c r="D1744" s="46">
        <v>264000</v>
      </c>
      <c r="E1744" s="46">
        <v>26400</v>
      </c>
      <c r="F1744" s="17" t="s">
        <v>165</v>
      </c>
      <c r="G1744" s="9">
        <v>44306</v>
      </c>
    </row>
    <row r="1745" spans="1:19">
      <c r="A1745" s="45" t="s">
        <v>621</v>
      </c>
      <c r="B1745" s="14" t="s">
        <v>432</v>
      </c>
      <c r="C1745" s="46">
        <v>1570800</v>
      </c>
      <c r="D1745" s="46">
        <v>1428000</v>
      </c>
      <c r="E1745" s="46">
        <v>142800</v>
      </c>
      <c r="F1745" s="17" t="s">
        <v>65</v>
      </c>
      <c r="G1745" s="9">
        <v>44305</v>
      </c>
    </row>
    <row r="1746" spans="1:19">
      <c r="A1746" s="45" t="s">
        <v>621</v>
      </c>
      <c r="B1746" s="14" t="s">
        <v>2</v>
      </c>
      <c r="C1746" s="46">
        <v>2492600</v>
      </c>
      <c r="D1746" s="46">
        <v>2266000</v>
      </c>
      <c r="E1746" s="46">
        <v>226600</v>
      </c>
      <c r="F1746" s="17" t="s">
        <v>306</v>
      </c>
      <c r="G1746" s="9">
        <v>44295</v>
      </c>
    </row>
    <row r="1747" spans="1:19">
      <c r="A1747" s="45" t="s">
        <v>621</v>
      </c>
      <c r="B1747" s="14" t="s">
        <v>2</v>
      </c>
      <c r="C1747" s="46">
        <v>2013000</v>
      </c>
      <c r="D1747" s="46">
        <v>1830000</v>
      </c>
      <c r="E1747" s="46">
        <v>183000</v>
      </c>
      <c r="F1747" s="17" t="s">
        <v>456</v>
      </c>
      <c r="G1747" s="9">
        <v>44295</v>
      </c>
    </row>
    <row r="1748" spans="1:19">
      <c r="A1748" s="45" t="s">
        <v>621</v>
      </c>
      <c r="B1748" s="14" t="s">
        <v>2</v>
      </c>
      <c r="C1748" s="46">
        <v>4356000</v>
      </c>
      <c r="D1748" s="46">
        <v>3960000</v>
      </c>
      <c r="E1748" s="46">
        <v>396000</v>
      </c>
      <c r="F1748" s="17" t="s">
        <v>245</v>
      </c>
      <c r="G1748" s="9">
        <v>44295</v>
      </c>
    </row>
    <row r="1749" spans="1:19">
      <c r="A1749" s="45" t="s">
        <v>621</v>
      </c>
      <c r="B1749" s="14" t="s">
        <v>2</v>
      </c>
      <c r="C1749" s="46">
        <v>3965500</v>
      </c>
      <c r="D1749" s="46">
        <v>3605000</v>
      </c>
      <c r="E1749" s="46">
        <v>360500</v>
      </c>
      <c r="F1749" s="17" t="s">
        <v>471</v>
      </c>
      <c r="G1749" s="9">
        <v>44295</v>
      </c>
    </row>
    <row r="1750" spans="1:19">
      <c r="A1750" s="55" t="s">
        <v>621</v>
      </c>
      <c r="B1750" s="30" t="s">
        <v>2</v>
      </c>
      <c r="C1750" s="120">
        <v>1549900</v>
      </c>
      <c r="D1750" s="120">
        <v>1409000</v>
      </c>
      <c r="E1750" s="120">
        <v>140900</v>
      </c>
      <c r="F1750" s="31" t="s">
        <v>457</v>
      </c>
      <c r="G1750" s="30" t="s">
        <v>173</v>
      </c>
      <c r="H1750" s="31"/>
      <c r="I1750" s="73"/>
      <c r="J1750" s="74"/>
      <c r="K1750" s="30"/>
      <c r="L1750" s="30"/>
      <c r="M1750" s="30"/>
      <c r="N1750" s="30"/>
      <c r="O1750" s="30"/>
      <c r="P1750" s="30"/>
      <c r="Q1750" s="30"/>
      <c r="R1750" s="30"/>
      <c r="S1750" s="30"/>
    </row>
    <row r="1751" spans="1:19">
      <c r="A1751" s="45" t="s">
        <v>621</v>
      </c>
      <c r="B1751" s="14" t="s">
        <v>2</v>
      </c>
      <c r="C1751" s="46">
        <v>1673100</v>
      </c>
      <c r="D1751" s="46">
        <v>1521000</v>
      </c>
      <c r="E1751" s="46">
        <v>152100</v>
      </c>
      <c r="F1751" s="17" t="s">
        <v>612</v>
      </c>
      <c r="G1751" s="9">
        <v>44295</v>
      </c>
    </row>
    <row r="1752" spans="1:19">
      <c r="A1752" s="45" t="s">
        <v>621</v>
      </c>
      <c r="B1752" s="14" t="s">
        <v>2</v>
      </c>
      <c r="C1752" s="46">
        <v>1095600</v>
      </c>
      <c r="D1752" s="46">
        <v>996000</v>
      </c>
      <c r="E1752" s="46">
        <v>99600</v>
      </c>
      <c r="F1752" s="17" t="s">
        <v>613</v>
      </c>
      <c r="G1752" s="9">
        <v>44295</v>
      </c>
    </row>
    <row r="1753" spans="1:19">
      <c r="A1753" s="45" t="s">
        <v>621</v>
      </c>
      <c r="B1753" s="14" t="s">
        <v>2</v>
      </c>
      <c r="C1753" s="46">
        <v>9436900</v>
      </c>
      <c r="D1753" s="46">
        <v>8579000</v>
      </c>
      <c r="E1753" s="46">
        <v>857900</v>
      </c>
      <c r="F1753" s="17" t="s">
        <v>424</v>
      </c>
      <c r="G1753" s="9">
        <v>44295</v>
      </c>
    </row>
    <row r="1754" spans="1:19">
      <c r="A1754" s="45" t="s">
        <v>621</v>
      </c>
      <c r="B1754" s="14" t="s">
        <v>385</v>
      </c>
      <c r="C1754" s="46">
        <v>7579000</v>
      </c>
      <c r="D1754" s="46">
        <v>6890000</v>
      </c>
      <c r="E1754" s="46">
        <v>689000</v>
      </c>
      <c r="F1754" s="17" t="s">
        <v>474</v>
      </c>
      <c r="G1754" s="9">
        <v>44298</v>
      </c>
    </row>
    <row r="1755" spans="1:19">
      <c r="A1755" s="45" t="s">
        <v>621</v>
      </c>
      <c r="B1755" s="14" t="s">
        <v>385</v>
      </c>
      <c r="C1755" s="46">
        <v>772200</v>
      </c>
      <c r="D1755" s="46">
        <v>702000</v>
      </c>
      <c r="E1755" s="46">
        <v>70200</v>
      </c>
      <c r="F1755" s="17" t="s">
        <v>386</v>
      </c>
      <c r="G1755" s="9">
        <v>44298</v>
      </c>
    </row>
    <row r="1756" spans="1:19">
      <c r="A1756" s="45" t="s">
        <v>621</v>
      </c>
      <c r="B1756" s="14" t="s">
        <v>385</v>
      </c>
      <c r="C1756" s="46">
        <v>37661800</v>
      </c>
      <c r="D1756" s="46">
        <v>34238000</v>
      </c>
      <c r="E1756" s="46">
        <v>3423800</v>
      </c>
      <c r="F1756" s="17" t="s">
        <v>387</v>
      </c>
      <c r="G1756" s="9">
        <v>44298</v>
      </c>
    </row>
    <row r="1757" spans="1:19">
      <c r="A1757" s="55" t="s">
        <v>621</v>
      </c>
      <c r="B1757" s="30" t="s">
        <v>2</v>
      </c>
      <c r="C1757" s="120">
        <v>-37661800</v>
      </c>
      <c r="D1757" s="120">
        <v>-34238000</v>
      </c>
      <c r="E1757" s="120">
        <v>-3423800</v>
      </c>
      <c r="F1757" s="31" t="s">
        <v>387</v>
      </c>
      <c r="G1757" s="30" t="s">
        <v>631</v>
      </c>
      <c r="H1757" s="31"/>
      <c r="I1757" s="304" t="s">
        <v>622</v>
      </c>
      <c r="J1757" s="304"/>
      <c r="K1757" s="304"/>
      <c r="L1757" s="30"/>
      <c r="M1757" s="30"/>
      <c r="N1757" s="30"/>
      <c r="O1757" s="30"/>
      <c r="P1757" s="30"/>
      <c r="Q1757" s="30"/>
      <c r="R1757" s="30"/>
      <c r="S1757" s="30"/>
    </row>
    <row r="1758" spans="1:19">
      <c r="A1758" s="55" t="s">
        <v>621</v>
      </c>
      <c r="B1758" s="30" t="s">
        <v>2</v>
      </c>
      <c r="C1758" s="120">
        <v>37661800</v>
      </c>
      <c r="D1758" s="120">
        <v>34238000</v>
      </c>
      <c r="E1758" s="120">
        <v>3423800</v>
      </c>
      <c r="F1758" s="31" t="s">
        <v>387</v>
      </c>
      <c r="G1758" s="30" t="s">
        <v>631</v>
      </c>
      <c r="H1758" s="31"/>
      <c r="I1758" s="18" t="s">
        <v>487</v>
      </c>
      <c r="J1758" s="36" t="s">
        <v>488</v>
      </c>
      <c r="K1758" s="36" t="s">
        <v>494</v>
      </c>
      <c r="L1758" s="30"/>
      <c r="M1758" s="30"/>
      <c r="N1758" s="30"/>
      <c r="O1758" s="30"/>
      <c r="P1758" s="30"/>
      <c r="Q1758" s="30"/>
      <c r="R1758" s="30"/>
      <c r="S1758" s="30"/>
    </row>
    <row r="1759" spans="1:19">
      <c r="A1759" s="119" t="s">
        <v>621</v>
      </c>
      <c r="B1759" s="42" t="s">
        <v>2</v>
      </c>
      <c r="C1759" s="118">
        <v>103688200</v>
      </c>
      <c r="D1759" s="118">
        <v>94262000</v>
      </c>
      <c r="E1759" s="118">
        <v>9426200</v>
      </c>
      <c r="F1759" s="51" t="s">
        <v>611</v>
      </c>
      <c r="G1759" s="10">
        <v>44288</v>
      </c>
      <c r="H1759" s="51"/>
      <c r="I1759" s="18">
        <f>SUM(C1731:C1759)</f>
        <v>307720600</v>
      </c>
      <c r="J1759" s="18">
        <f>SUM(D1731:D1759)</f>
        <v>279746000</v>
      </c>
      <c r="K1759" s="18">
        <f>SUM(E1731:E1759)</f>
        <v>27974600</v>
      </c>
      <c r="L1759" s="42"/>
      <c r="M1759" s="42"/>
      <c r="N1759" s="42"/>
      <c r="O1759" s="42"/>
      <c r="P1759" s="42"/>
      <c r="Q1759" s="42"/>
      <c r="R1759" s="42"/>
      <c r="S1759" s="42"/>
    </row>
    <row r="1760" spans="1:19">
      <c r="A1760" s="45" t="s">
        <v>623</v>
      </c>
      <c r="B1760" s="14" t="s">
        <v>2</v>
      </c>
      <c r="C1760" s="46">
        <v>1133000</v>
      </c>
      <c r="D1760" s="46">
        <v>1030000</v>
      </c>
      <c r="E1760" s="46">
        <v>103000</v>
      </c>
      <c r="F1760" s="17" t="s">
        <v>306</v>
      </c>
      <c r="G1760" s="9">
        <v>44306</v>
      </c>
    </row>
    <row r="1761" spans="1:7">
      <c r="A1761" s="45" t="s">
        <v>623</v>
      </c>
      <c r="B1761" s="14" t="s">
        <v>2</v>
      </c>
      <c r="C1761" s="46">
        <v>3432000</v>
      </c>
      <c r="D1761" s="46">
        <v>3120000</v>
      </c>
      <c r="E1761" s="46">
        <v>312000</v>
      </c>
      <c r="F1761" s="17" t="s">
        <v>456</v>
      </c>
      <c r="G1761" s="9">
        <v>44306</v>
      </c>
    </row>
    <row r="1762" spans="1:7">
      <c r="A1762" s="45" t="s">
        <v>623</v>
      </c>
      <c r="B1762" s="14" t="s">
        <v>2</v>
      </c>
      <c r="C1762" s="46">
        <v>4620000</v>
      </c>
      <c r="D1762" s="46">
        <v>4200000</v>
      </c>
      <c r="E1762" s="46">
        <v>420000</v>
      </c>
      <c r="F1762" s="17" t="s">
        <v>245</v>
      </c>
      <c r="G1762" s="9">
        <v>44306</v>
      </c>
    </row>
    <row r="1763" spans="1:7">
      <c r="A1763" s="45" t="s">
        <v>623</v>
      </c>
      <c r="B1763" s="14" t="s">
        <v>2</v>
      </c>
      <c r="C1763" s="46">
        <v>1114300</v>
      </c>
      <c r="D1763" s="46">
        <v>1013000</v>
      </c>
      <c r="E1763" s="46">
        <v>101300</v>
      </c>
      <c r="F1763" s="17" t="s">
        <v>602</v>
      </c>
      <c r="G1763" s="9">
        <v>44306</v>
      </c>
    </row>
    <row r="1764" spans="1:7">
      <c r="A1764" s="45" t="s">
        <v>623</v>
      </c>
      <c r="B1764" s="14" t="s">
        <v>2</v>
      </c>
      <c r="C1764" s="46">
        <v>3716900</v>
      </c>
      <c r="D1764" s="46">
        <v>3379000</v>
      </c>
      <c r="E1764" s="46">
        <v>337900</v>
      </c>
      <c r="F1764" s="17" t="s">
        <v>471</v>
      </c>
      <c r="G1764" s="9">
        <v>44309</v>
      </c>
    </row>
    <row r="1765" spans="1:7">
      <c r="A1765" s="45" t="s">
        <v>623</v>
      </c>
      <c r="B1765" s="14" t="s">
        <v>2</v>
      </c>
      <c r="C1765" s="46">
        <v>1614800</v>
      </c>
      <c r="D1765" s="46">
        <v>1468000</v>
      </c>
      <c r="E1765" s="46">
        <v>146800</v>
      </c>
      <c r="F1765" s="17" t="s">
        <v>612</v>
      </c>
      <c r="G1765" s="9">
        <v>44306</v>
      </c>
    </row>
    <row r="1766" spans="1:7">
      <c r="A1766" s="45" t="s">
        <v>623</v>
      </c>
      <c r="B1766" s="14" t="s">
        <v>2</v>
      </c>
      <c r="C1766" s="46">
        <v>3778500</v>
      </c>
      <c r="D1766" s="46">
        <v>3435000</v>
      </c>
      <c r="E1766" s="46">
        <v>343500</v>
      </c>
      <c r="F1766" s="17" t="s">
        <v>457</v>
      </c>
      <c r="G1766" s="9">
        <v>44309</v>
      </c>
    </row>
    <row r="1767" spans="1:7">
      <c r="A1767" s="45" t="s">
        <v>623</v>
      </c>
      <c r="B1767" s="14" t="s">
        <v>2</v>
      </c>
      <c r="C1767" s="46">
        <v>8698800</v>
      </c>
      <c r="D1767" s="46">
        <v>7908000</v>
      </c>
      <c r="E1767" s="46">
        <v>790800</v>
      </c>
      <c r="F1767" s="17" t="s">
        <v>424</v>
      </c>
      <c r="G1767" s="9">
        <v>44306</v>
      </c>
    </row>
    <row r="1768" spans="1:7">
      <c r="A1768" s="45" t="s">
        <v>623</v>
      </c>
      <c r="B1768" s="14" t="s">
        <v>2</v>
      </c>
      <c r="C1768" s="46">
        <v>49848700</v>
      </c>
      <c r="D1768" s="46">
        <v>45317000</v>
      </c>
      <c r="E1768" s="46">
        <v>4531700</v>
      </c>
      <c r="F1768" s="17" t="s">
        <v>611</v>
      </c>
      <c r="G1768" s="9">
        <v>44306</v>
      </c>
    </row>
    <row r="1769" spans="1:7">
      <c r="A1769" s="45" t="s">
        <v>624</v>
      </c>
      <c r="B1769" s="14" t="s">
        <v>449</v>
      </c>
      <c r="C1769" s="46">
        <v>1705000</v>
      </c>
      <c r="D1769" s="46">
        <v>1550000</v>
      </c>
      <c r="E1769" s="46">
        <v>155000</v>
      </c>
      <c r="F1769" s="17" t="s">
        <v>13</v>
      </c>
      <c r="G1769" s="9">
        <v>44347</v>
      </c>
    </row>
    <row r="1770" spans="1:7">
      <c r="A1770" s="45" t="s">
        <v>624</v>
      </c>
      <c r="B1770" s="14" t="s">
        <v>2</v>
      </c>
      <c r="C1770" s="46">
        <v>1019700</v>
      </c>
      <c r="D1770" s="46">
        <v>927000</v>
      </c>
      <c r="E1770" s="46">
        <v>92700</v>
      </c>
      <c r="F1770" s="17" t="s">
        <v>306</v>
      </c>
      <c r="G1770" s="9">
        <v>44326</v>
      </c>
    </row>
    <row r="1771" spans="1:7">
      <c r="A1771" s="45" t="s">
        <v>624</v>
      </c>
      <c r="B1771" s="14" t="s">
        <v>2</v>
      </c>
      <c r="C1771" s="46">
        <v>4644200</v>
      </c>
      <c r="D1771" s="46">
        <v>4222000</v>
      </c>
      <c r="E1771" s="46">
        <v>422200</v>
      </c>
      <c r="F1771" s="17" t="s">
        <v>456</v>
      </c>
      <c r="G1771" s="9">
        <v>44326</v>
      </c>
    </row>
    <row r="1772" spans="1:7">
      <c r="A1772" s="45" t="s">
        <v>624</v>
      </c>
      <c r="B1772" s="14" t="s">
        <v>2</v>
      </c>
      <c r="C1772" s="46">
        <v>5016000</v>
      </c>
      <c r="D1772" s="46">
        <v>4560000</v>
      </c>
      <c r="E1772" s="46">
        <v>456000</v>
      </c>
      <c r="F1772" s="17" t="s">
        <v>245</v>
      </c>
      <c r="G1772" s="9">
        <v>44326</v>
      </c>
    </row>
    <row r="1773" spans="1:7">
      <c r="A1773" s="45" t="s">
        <v>624</v>
      </c>
      <c r="B1773" s="14" t="s">
        <v>2</v>
      </c>
      <c r="C1773" s="46">
        <v>667700</v>
      </c>
      <c r="D1773" s="46">
        <v>607000</v>
      </c>
      <c r="E1773" s="46">
        <v>60700</v>
      </c>
      <c r="F1773" s="17" t="s">
        <v>612</v>
      </c>
      <c r="G1773" s="9">
        <v>44326</v>
      </c>
    </row>
    <row r="1774" spans="1:7">
      <c r="A1774" s="45" t="s">
        <v>624</v>
      </c>
      <c r="B1774" s="14" t="s">
        <v>2</v>
      </c>
      <c r="C1774" s="46">
        <v>3738900</v>
      </c>
      <c r="D1774" s="46">
        <v>3399000</v>
      </c>
      <c r="E1774" s="46">
        <v>339900</v>
      </c>
      <c r="F1774" s="17" t="s">
        <v>471</v>
      </c>
      <c r="G1774" s="9">
        <v>44326</v>
      </c>
    </row>
    <row r="1775" spans="1:7">
      <c r="A1775" s="45" t="s">
        <v>624</v>
      </c>
      <c r="B1775" s="14" t="s">
        <v>2</v>
      </c>
      <c r="C1775" s="46">
        <v>2987600</v>
      </c>
      <c r="D1775" s="46">
        <v>2716000</v>
      </c>
      <c r="E1775" s="46">
        <v>271600</v>
      </c>
      <c r="F1775" s="17" t="s">
        <v>457</v>
      </c>
      <c r="G1775" s="9">
        <v>44326</v>
      </c>
    </row>
    <row r="1776" spans="1:7">
      <c r="A1776" s="45" t="s">
        <v>624</v>
      </c>
      <c r="B1776" s="14" t="s">
        <v>2</v>
      </c>
      <c r="C1776" s="46">
        <v>8467800</v>
      </c>
      <c r="D1776" s="46">
        <v>7698000</v>
      </c>
      <c r="E1776" s="46">
        <v>769800</v>
      </c>
      <c r="F1776" s="17" t="s">
        <v>454</v>
      </c>
      <c r="G1776" s="9">
        <v>44326</v>
      </c>
    </row>
    <row r="1777" spans="1:19">
      <c r="A1777" s="45" t="s">
        <v>624</v>
      </c>
      <c r="B1777" s="14" t="s">
        <v>2</v>
      </c>
      <c r="C1777" s="46">
        <v>1334300</v>
      </c>
      <c r="D1777" s="46">
        <v>1213000</v>
      </c>
      <c r="E1777" s="46">
        <v>121300</v>
      </c>
      <c r="F1777" s="17" t="s">
        <v>606</v>
      </c>
      <c r="G1777" s="9">
        <v>44326</v>
      </c>
    </row>
    <row r="1778" spans="1:19">
      <c r="A1778" s="45" t="s">
        <v>624</v>
      </c>
      <c r="B1778" s="14" t="s">
        <v>2</v>
      </c>
      <c r="C1778" s="46">
        <v>51895800</v>
      </c>
      <c r="D1778" s="46">
        <v>47178000</v>
      </c>
      <c r="E1778" s="46">
        <v>4717800</v>
      </c>
      <c r="F1778" s="17" t="s">
        <v>611</v>
      </c>
      <c r="G1778" s="9">
        <v>44326</v>
      </c>
    </row>
    <row r="1779" spans="1:19">
      <c r="A1779" s="45" t="s">
        <v>624</v>
      </c>
      <c r="B1779" s="14" t="s">
        <v>432</v>
      </c>
      <c r="C1779" s="46">
        <v>4801500</v>
      </c>
      <c r="D1779" s="46">
        <v>4365000</v>
      </c>
      <c r="E1779" s="46">
        <v>436500</v>
      </c>
      <c r="F1779" s="17" t="s">
        <v>605</v>
      </c>
      <c r="G1779" s="9">
        <v>44336</v>
      </c>
    </row>
    <row r="1780" spans="1:19">
      <c r="A1780" s="45" t="s">
        <v>624</v>
      </c>
      <c r="B1780" s="14" t="s">
        <v>432</v>
      </c>
      <c r="C1780" s="46">
        <v>1482800</v>
      </c>
      <c r="D1780" s="46">
        <v>1348000</v>
      </c>
      <c r="E1780" s="46">
        <v>134800</v>
      </c>
      <c r="F1780" s="17" t="s">
        <v>65</v>
      </c>
      <c r="G1780" s="9">
        <v>44336</v>
      </c>
    </row>
    <row r="1781" spans="1:19">
      <c r="A1781" s="45" t="s">
        <v>624</v>
      </c>
      <c r="B1781" s="14" t="s">
        <v>432</v>
      </c>
      <c r="C1781" s="46">
        <v>1337600</v>
      </c>
      <c r="D1781" s="46">
        <v>1216000</v>
      </c>
      <c r="E1781" s="46">
        <v>121600</v>
      </c>
      <c r="F1781" s="17" t="s">
        <v>617</v>
      </c>
      <c r="G1781" s="9">
        <v>44336</v>
      </c>
    </row>
    <row r="1782" spans="1:19">
      <c r="A1782" s="45" t="s">
        <v>624</v>
      </c>
      <c r="B1782" s="14" t="s">
        <v>432</v>
      </c>
      <c r="C1782" s="46">
        <v>72600</v>
      </c>
      <c r="D1782" s="46">
        <v>66000</v>
      </c>
      <c r="E1782" s="46">
        <v>6600</v>
      </c>
      <c r="F1782" s="17" t="s">
        <v>588</v>
      </c>
      <c r="G1782" s="9">
        <v>44336</v>
      </c>
    </row>
    <row r="1783" spans="1:19">
      <c r="A1783" s="45" t="s">
        <v>624</v>
      </c>
      <c r="B1783" s="14" t="s">
        <v>432</v>
      </c>
      <c r="C1783" s="46">
        <v>290400</v>
      </c>
      <c r="D1783" s="46">
        <v>264000</v>
      </c>
      <c r="E1783" s="46">
        <v>26400</v>
      </c>
      <c r="F1783" s="17" t="s">
        <v>476</v>
      </c>
      <c r="G1783" s="9">
        <v>44336</v>
      </c>
    </row>
    <row r="1784" spans="1:19">
      <c r="A1784" s="45" t="s">
        <v>624</v>
      </c>
      <c r="B1784" s="14" t="s">
        <v>432</v>
      </c>
      <c r="C1784" s="46">
        <v>1437700</v>
      </c>
      <c r="D1784" s="46">
        <v>1307000</v>
      </c>
      <c r="E1784" s="46">
        <v>130700</v>
      </c>
      <c r="F1784" s="17" t="s">
        <v>165</v>
      </c>
      <c r="G1784" s="9">
        <v>44336</v>
      </c>
    </row>
    <row r="1785" spans="1:19">
      <c r="A1785" s="45" t="s">
        <v>624</v>
      </c>
      <c r="B1785" s="14" t="s">
        <v>385</v>
      </c>
      <c r="C1785" s="46">
        <v>7627400</v>
      </c>
      <c r="D1785" s="46">
        <v>6934000</v>
      </c>
      <c r="E1785" s="46">
        <v>693400</v>
      </c>
      <c r="F1785" s="17" t="s">
        <v>474</v>
      </c>
      <c r="G1785" s="9">
        <v>44326</v>
      </c>
      <c r="I1785" s="304" t="s">
        <v>625</v>
      </c>
      <c r="J1785" s="304"/>
      <c r="K1785" s="304"/>
    </row>
    <row r="1786" spans="1:19">
      <c r="A1786" s="45" t="s">
        <v>624</v>
      </c>
      <c r="B1786" s="14" t="s">
        <v>385</v>
      </c>
      <c r="C1786" s="46">
        <v>596200</v>
      </c>
      <c r="D1786" s="46">
        <v>542000</v>
      </c>
      <c r="E1786" s="46">
        <v>54200</v>
      </c>
      <c r="F1786" s="17" t="s">
        <v>386</v>
      </c>
      <c r="G1786" s="9">
        <v>44326</v>
      </c>
      <c r="I1786" s="18" t="s">
        <v>487</v>
      </c>
      <c r="J1786" s="36" t="s">
        <v>488</v>
      </c>
      <c r="K1786" s="36" t="s">
        <v>494</v>
      </c>
    </row>
    <row r="1787" spans="1:19">
      <c r="A1787" s="119" t="s">
        <v>624</v>
      </c>
      <c r="B1787" s="42" t="s">
        <v>385</v>
      </c>
      <c r="C1787" s="118">
        <v>43258600</v>
      </c>
      <c r="D1787" s="118">
        <v>39326000</v>
      </c>
      <c r="E1787" s="118">
        <v>3932600</v>
      </c>
      <c r="F1787" s="51" t="s">
        <v>387</v>
      </c>
      <c r="G1787" s="10">
        <v>44326</v>
      </c>
      <c r="H1787" s="51"/>
      <c r="I1787" s="18">
        <f>SUM(C1760:C1787)</f>
        <v>220338800</v>
      </c>
      <c r="J1787" s="18">
        <f>SUM(D1760:D1787)</f>
        <v>200308000</v>
      </c>
      <c r="K1787" s="18">
        <f>SUM(E1760:E1787)</f>
        <v>20030800</v>
      </c>
      <c r="L1787" s="42"/>
      <c r="M1787" s="42"/>
      <c r="N1787" s="42"/>
      <c r="O1787" s="42"/>
      <c r="P1787" s="42"/>
      <c r="Q1787" s="42"/>
      <c r="R1787" s="42"/>
      <c r="S1787" s="42"/>
    </row>
    <row r="1788" spans="1:19">
      <c r="A1788" s="45" t="s">
        <v>626</v>
      </c>
      <c r="B1788" s="14" t="s">
        <v>627</v>
      </c>
      <c r="C1788" s="46">
        <v>990000</v>
      </c>
      <c r="D1788" s="46">
        <v>900000</v>
      </c>
      <c r="E1788" s="46">
        <v>90000</v>
      </c>
      <c r="F1788" s="17" t="s">
        <v>628</v>
      </c>
      <c r="G1788" s="9">
        <v>44337</v>
      </c>
    </row>
    <row r="1789" spans="1:19">
      <c r="A1789" s="45" t="s">
        <v>629</v>
      </c>
      <c r="B1789" s="14" t="s">
        <v>2</v>
      </c>
      <c r="C1789" s="46">
        <v>788700</v>
      </c>
      <c r="D1789" s="46">
        <v>717000</v>
      </c>
      <c r="E1789" s="46">
        <v>71700</v>
      </c>
      <c r="F1789" s="17" t="s">
        <v>612</v>
      </c>
      <c r="G1789" s="9">
        <v>44337</v>
      </c>
    </row>
    <row r="1790" spans="1:19">
      <c r="A1790" s="45" t="s">
        <v>629</v>
      </c>
      <c r="B1790" s="14" t="s">
        <v>2</v>
      </c>
      <c r="C1790" s="46">
        <v>5561600</v>
      </c>
      <c r="D1790" s="46">
        <v>5056000</v>
      </c>
      <c r="E1790" s="46">
        <v>505600</v>
      </c>
      <c r="F1790" s="17" t="s">
        <v>457</v>
      </c>
      <c r="G1790" s="9">
        <v>44337</v>
      </c>
    </row>
    <row r="1791" spans="1:19">
      <c r="A1791" s="45" t="s">
        <v>629</v>
      </c>
      <c r="B1791" s="14" t="s">
        <v>2</v>
      </c>
      <c r="C1791" s="46">
        <v>3059100</v>
      </c>
      <c r="D1791" s="46">
        <v>2781000</v>
      </c>
      <c r="E1791" s="46">
        <v>278100</v>
      </c>
      <c r="F1791" s="17" t="s">
        <v>471</v>
      </c>
      <c r="G1791" s="9">
        <v>44337</v>
      </c>
    </row>
    <row r="1792" spans="1:19">
      <c r="A1792" s="45" t="s">
        <v>629</v>
      </c>
      <c r="B1792" s="14" t="s">
        <v>2</v>
      </c>
      <c r="C1792" s="46">
        <v>53222400</v>
      </c>
      <c r="D1792" s="46">
        <v>48384000</v>
      </c>
      <c r="E1792" s="46">
        <v>4838400</v>
      </c>
      <c r="F1792" s="17" t="s">
        <v>611</v>
      </c>
      <c r="G1792" s="9">
        <v>44337</v>
      </c>
    </row>
    <row r="1793" spans="1:7">
      <c r="A1793" s="45" t="s">
        <v>629</v>
      </c>
      <c r="B1793" s="14" t="s">
        <v>2</v>
      </c>
      <c r="C1793" s="46">
        <v>793100</v>
      </c>
      <c r="D1793" s="46">
        <v>721000</v>
      </c>
      <c r="E1793" s="46">
        <v>72100</v>
      </c>
      <c r="F1793" s="17" t="s">
        <v>306</v>
      </c>
      <c r="G1793" s="9">
        <v>44337</v>
      </c>
    </row>
    <row r="1794" spans="1:7">
      <c r="A1794" s="45" t="s">
        <v>629</v>
      </c>
      <c r="B1794" s="14" t="s">
        <v>2</v>
      </c>
      <c r="C1794" s="46">
        <v>4807000</v>
      </c>
      <c r="D1794" s="46">
        <v>4370000</v>
      </c>
      <c r="E1794" s="46">
        <v>437000</v>
      </c>
      <c r="F1794" s="17" t="s">
        <v>232</v>
      </c>
      <c r="G1794" s="9">
        <v>44337</v>
      </c>
    </row>
    <row r="1795" spans="1:7">
      <c r="A1795" s="45" t="s">
        <v>629</v>
      </c>
      <c r="B1795" s="14" t="s">
        <v>2</v>
      </c>
      <c r="C1795" s="46">
        <v>16905900</v>
      </c>
      <c r="D1795" s="46">
        <v>15369000</v>
      </c>
      <c r="E1795" s="46">
        <v>1536900</v>
      </c>
      <c r="F1795" s="17" t="s">
        <v>456</v>
      </c>
      <c r="G1795" s="9">
        <v>44337</v>
      </c>
    </row>
    <row r="1796" spans="1:7">
      <c r="A1796" s="45" t="s">
        <v>629</v>
      </c>
      <c r="B1796" s="14" t="s">
        <v>2</v>
      </c>
      <c r="C1796" s="46">
        <v>1278200</v>
      </c>
      <c r="D1796" s="46">
        <v>1162000</v>
      </c>
      <c r="E1796" s="46">
        <v>116200</v>
      </c>
      <c r="F1796" s="17" t="s">
        <v>602</v>
      </c>
      <c r="G1796" s="9">
        <v>44337</v>
      </c>
    </row>
    <row r="1797" spans="1:7">
      <c r="A1797" s="45" t="s">
        <v>629</v>
      </c>
      <c r="B1797" s="14" t="s">
        <v>2</v>
      </c>
      <c r="C1797" s="46">
        <v>8654800</v>
      </c>
      <c r="D1797" s="46">
        <v>7868000</v>
      </c>
      <c r="E1797" s="46">
        <v>786800</v>
      </c>
      <c r="F1797" s="17" t="s">
        <v>454</v>
      </c>
      <c r="G1797" s="9">
        <v>44337</v>
      </c>
    </row>
    <row r="1798" spans="1:7">
      <c r="A1798" s="45" t="s">
        <v>448</v>
      </c>
      <c r="B1798" s="14" t="s">
        <v>385</v>
      </c>
      <c r="C1798" s="46">
        <v>798600</v>
      </c>
      <c r="D1798" s="46">
        <v>726000</v>
      </c>
      <c r="E1798" s="46">
        <v>72600</v>
      </c>
      <c r="F1798" s="17" t="s">
        <v>386</v>
      </c>
      <c r="G1798" s="9">
        <v>44357</v>
      </c>
    </row>
    <row r="1799" spans="1:7">
      <c r="A1799" s="45" t="s">
        <v>448</v>
      </c>
      <c r="B1799" s="14" t="s">
        <v>385</v>
      </c>
      <c r="C1799" s="46">
        <v>27984000</v>
      </c>
      <c r="D1799" s="46">
        <v>25440000</v>
      </c>
      <c r="E1799" s="46">
        <v>2544000</v>
      </c>
      <c r="F1799" s="17" t="s">
        <v>387</v>
      </c>
      <c r="G1799" s="9">
        <v>44357</v>
      </c>
    </row>
    <row r="1800" spans="1:7">
      <c r="A1800" s="45" t="s">
        <v>448</v>
      </c>
      <c r="B1800" s="14" t="s">
        <v>385</v>
      </c>
      <c r="C1800" s="46">
        <v>12266100</v>
      </c>
      <c r="D1800" s="46">
        <v>11151000</v>
      </c>
      <c r="E1800" s="46">
        <v>1115100</v>
      </c>
      <c r="F1800" s="17" t="s">
        <v>474</v>
      </c>
      <c r="G1800" s="9">
        <v>44357</v>
      </c>
    </row>
    <row r="1801" spans="1:7">
      <c r="A1801" s="45" t="s">
        <v>448</v>
      </c>
      <c r="B1801" s="14" t="s">
        <v>449</v>
      </c>
      <c r="C1801" s="46">
        <v>2838000</v>
      </c>
      <c r="D1801" s="46">
        <v>2580000</v>
      </c>
      <c r="E1801" s="46">
        <v>258000</v>
      </c>
      <c r="F1801" s="17" t="s">
        <v>13</v>
      </c>
      <c r="G1801" s="9">
        <v>44377</v>
      </c>
    </row>
    <row r="1802" spans="1:7">
      <c r="A1802" s="45" t="s">
        <v>448</v>
      </c>
      <c r="B1802" s="14" t="s">
        <v>432</v>
      </c>
      <c r="C1802" s="46">
        <v>13277000</v>
      </c>
      <c r="D1802" s="46">
        <v>12070000</v>
      </c>
      <c r="E1802" s="46">
        <v>1207000</v>
      </c>
      <c r="F1802" s="17" t="s">
        <v>605</v>
      </c>
      <c r="G1802" s="9">
        <v>44364</v>
      </c>
    </row>
    <row r="1803" spans="1:7">
      <c r="A1803" s="45" t="s">
        <v>448</v>
      </c>
      <c r="B1803" s="14" t="s">
        <v>432</v>
      </c>
      <c r="C1803" s="46">
        <v>2308900</v>
      </c>
      <c r="D1803" s="46">
        <v>2099000</v>
      </c>
      <c r="E1803" s="46">
        <v>209900</v>
      </c>
      <c r="F1803" s="17" t="s">
        <v>65</v>
      </c>
      <c r="G1803" s="9">
        <v>44364</v>
      </c>
    </row>
    <row r="1804" spans="1:7">
      <c r="A1804" s="45" t="s">
        <v>448</v>
      </c>
      <c r="B1804" s="14" t="s">
        <v>432</v>
      </c>
      <c r="C1804" s="46">
        <v>1973400</v>
      </c>
      <c r="D1804" s="46">
        <v>1794000</v>
      </c>
      <c r="E1804" s="46">
        <v>179400</v>
      </c>
      <c r="F1804" s="17" t="s">
        <v>165</v>
      </c>
      <c r="G1804" s="9">
        <v>44364</v>
      </c>
    </row>
    <row r="1805" spans="1:7">
      <c r="A1805" s="45" t="s">
        <v>448</v>
      </c>
      <c r="B1805" s="14" t="s">
        <v>432</v>
      </c>
      <c r="C1805" s="46">
        <v>1306800</v>
      </c>
      <c r="D1805" s="46">
        <v>1188000</v>
      </c>
      <c r="E1805" s="46">
        <v>118800</v>
      </c>
      <c r="F1805" s="17" t="s">
        <v>476</v>
      </c>
      <c r="G1805" s="9">
        <v>44364</v>
      </c>
    </row>
    <row r="1806" spans="1:7">
      <c r="A1806" s="45" t="s">
        <v>448</v>
      </c>
      <c r="B1806" s="14" t="s">
        <v>432</v>
      </c>
      <c r="C1806" s="46">
        <v>91300</v>
      </c>
      <c r="D1806" s="46">
        <v>83000</v>
      </c>
      <c r="E1806" s="46">
        <v>8300</v>
      </c>
      <c r="F1806" s="17" t="s">
        <v>588</v>
      </c>
      <c r="G1806" s="9">
        <v>44364</v>
      </c>
    </row>
    <row r="1807" spans="1:7">
      <c r="A1807" s="45" t="s">
        <v>448</v>
      </c>
      <c r="B1807" s="14" t="s">
        <v>2</v>
      </c>
      <c r="C1807" s="46">
        <v>8196100</v>
      </c>
      <c r="D1807" s="46">
        <v>7451000</v>
      </c>
      <c r="E1807" s="46">
        <v>745100</v>
      </c>
      <c r="F1807" s="17" t="s">
        <v>424</v>
      </c>
      <c r="G1807" s="9">
        <v>44357</v>
      </c>
    </row>
    <row r="1808" spans="1:7">
      <c r="A1808" s="45" t="s">
        <v>448</v>
      </c>
      <c r="B1808" s="14" t="s">
        <v>2</v>
      </c>
      <c r="C1808" s="46">
        <v>1549900</v>
      </c>
      <c r="D1808" s="46">
        <v>1409000</v>
      </c>
      <c r="E1808" s="46">
        <v>140900</v>
      </c>
      <c r="F1808" s="17" t="s">
        <v>612</v>
      </c>
      <c r="G1808" s="9">
        <v>44357</v>
      </c>
    </row>
    <row r="1809" spans="1:19">
      <c r="A1809" s="45" t="s">
        <v>448</v>
      </c>
      <c r="B1809" s="14" t="s">
        <v>2</v>
      </c>
      <c r="C1809" s="46">
        <v>7516300</v>
      </c>
      <c r="D1809" s="46">
        <v>6833000</v>
      </c>
      <c r="E1809" s="46">
        <v>683300</v>
      </c>
      <c r="F1809" s="17" t="s">
        <v>457</v>
      </c>
      <c r="G1809" s="9">
        <v>44357</v>
      </c>
    </row>
    <row r="1810" spans="1:19">
      <c r="A1810" s="45" t="s">
        <v>448</v>
      </c>
      <c r="B1810" s="14" t="s">
        <v>2</v>
      </c>
      <c r="C1810" s="46">
        <v>3399000</v>
      </c>
      <c r="D1810" s="46">
        <v>3090000</v>
      </c>
      <c r="E1810" s="46">
        <v>309000</v>
      </c>
      <c r="F1810" s="17" t="s">
        <v>471</v>
      </c>
      <c r="G1810" s="9">
        <v>44357</v>
      </c>
    </row>
    <row r="1811" spans="1:19">
      <c r="A1811" s="45" t="s">
        <v>448</v>
      </c>
      <c r="B1811" s="14" t="s">
        <v>2</v>
      </c>
      <c r="C1811" s="46">
        <v>2008600</v>
      </c>
      <c r="D1811" s="46">
        <v>1826000</v>
      </c>
      <c r="E1811" s="46">
        <v>182600</v>
      </c>
      <c r="F1811" s="17" t="s">
        <v>602</v>
      </c>
      <c r="G1811" s="9">
        <v>44357</v>
      </c>
    </row>
    <row r="1812" spans="1:19">
      <c r="A1812" s="45" t="s">
        <v>448</v>
      </c>
      <c r="B1812" s="14" t="s">
        <v>2</v>
      </c>
      <c r="C1812" s="46">
        <v>16510477</v>
      </c>
      <c r="D1812" s="46">
        <v>15009525</v>
      </c>
      <c r="E1812" s="46">
        <v>1500952</v>
      </c>
      <c r="F1812" s="17" t="s">
        <v>456</v>
      </c>
      <c r="G1812" s="9">
        <v>44357</v>
      </c>
      <c r="I1812" s="304" t="s">
        <v>464</v>
      </c>
      <c r="J1812" s="304"/>
      <c r="K1812" s="304"/>
    </row>
    <row r="1813" spans="1:19">
      <c r="A1813" s="45" t="s">
        <v>448</v>
      </c>
      <c r="B1813" s="14" t="s">
        <v>2</v>
      </c>
      <c r="C1813" s="46">
        <v>5071000</v>
      </c>
      <c r="D1813" s="46">
        <v>4610000</v>
      </c>
      <c r="E1813" s="46">
        <v>461000</v>
      </c>
      <c r="F1813" s="17" t="s">
        <v>232</v>
      </c>
      <c r="G1813" s="9">
        <v>44357</v>
      </c>
      <c r="I1813" s="18" t="s">
        <v>487</v>
      </c>
      <c r="J1813" s="36" t="s">
        <v>488</v>
      </c>
      <c r="K1813" s="36" t="s">
        <v>494</v>
      </c>
    </row>
    <row r="1814" spans="1:19">
      <c r="A1814" s="119" t="s">
        <v>448</v>
      </c>
      <c r="B1814" s="42" t="s">
        <v>2</v>
      </c>
      <c r="C1814" s="118">
        <v>51440400</v>
      </c>
      <c r="D1814" s="118">
        <v>46764000</v>
      </c>
      <c r="E1814" s="118">
        <v>4676400</v>
      </c>
      <c r="F1814" s="51" t="s">
        <v>611</v>
      </c>
      <c r="G1814" s="10">
        <v>44357</v>
      </c>
      <c r="H1814" s="51"/>
      <c r="I1814" s="18">
        <f>SUM(C1788:C1814)</f>
        <v>254596677</v>
      </c>
      <c r="J1814" s="18">
        <f>SUM(D1788:D1814)</f>
        <v>231451525</v>
      </c>
      <c r="K1814" s="18">
        <f>SUM(E1788:E1814)</f>
        <v>23145152</v>
      </c>
      <c r="L1814" s="42"/>
      <c r="M1814" s="42"/>
      <c r="N1814" s="42"/>
      <c r="O1814" s="42"/>
      <c r="P1814" s="42"/>
      <c r="Q1814" s="42"/>
      <c r="R1814" s="42"/>
      <c r="S1814" s="42"/>
    </row>
    <row r="1815" spans="1:19">
      <c r="A1815" s="45" t="s">
        <v>447</v>
      </c>
      <c r="B1815" s="14" t="s">
        <v>2</v>
      </c>
      <c r="C1815" s="46">
        <v>2481600</v>
      </c>
      <c r="D1815" s="46">
        <v>2256000</v>
      </c>
      <c r="E1815" s="46">
        <v>225600</v>
      </c>
      <c r="F1815" s="17" t="s">
        <v>630</v>
      </c>
      <c r="G1815" s="9">
        <v>44377</v>
      </c>
    </row>
    <row r="1816" spans="1:19">
      <c r="A1816" s="45" t="s">
        <v>447</v>
      </c>
      <c r="B1816" s="14" t="s">
        <v>2</v>
      </c>
      <c r="C1816" s="46">
        <v>7871600</v>
      </c>
      <c r="D1816" s="46">
        <v>7156000</v>
      </c>
      <c r="E1816" s="46">
        <v>715600</v>
      </c>
      <c r="F1816" s="17" t="s">
        <v>454</v>
      </c>
      <c r="G1816" s="9">
        <v>44368</v>
      </c>
    </row>
    <row r="1817" spans="1:19">
      <c r="A1817" s="45" t="s">
        <v>447</v>
      </c>
      <c r="B1817" s="14" t="s">
        <v>2</v>
      </c>
      <c r="C1817" s="46">
        <v>3584900</v>
      </c>
      <c r="D1817" s="46">
        <v>3259000</v>
      </c>
      <c r="E1817" s="46">
        <v>325900</v>
      </c>
      <c r="F1817" s="17" t="s">
        <v>471</v>
      </c>
      <c r="G1817" s="9">
        <v>44368</v>
      </c>
    </row>
    <row r="1818" spans="1:19">
      <c r="A1818" s="45" t="s">
        <v>447</v>
      </c>
      <c r="B1818" s="14" t="s">
        <v>2</v>
      </c>
      <c r="C1818" s="46">
        <v>7253400</v>
      </c>
      <c r="D1818" s="46">
        <v>6594000</v>
      </c>
      <c r="E1818" s="46">
        <v>659400</v>
      </c>
      <c r="F1818" s="17" t="s">
        <v>457</v>
      </c>
      <c r="G1818" s="9">
        <v>44368</v>
      </c>
    </row>
    <row r="1819" spans="1:19">
      <c r="A1819" s="45" t="s">
        <v>447</v>
      </c>
      <c r="B1819" s="14" t="s">
        <v>2</v>
      </c>
      <c r="C1819" s="46">
        <v>1529000</v>
      </c>
      <c r="D1819" s="46">
        <v>1390000</v>
      </c>
      <c r="E1819" s="46">
        <v>139000</v>
      </c>
      <c r="F1819" s="17" t="s">
        <v>612</v>
      </c>
      <c r="G1819" s="9">
        <v>44368</v>
      </c>
    </row>
    <row r="1820" spans="1:19">
      <c r="A1820" s="45" t="s">
        <v>447</v>
      </c>
      <c r="B1820" s="14" t="s">
        <v>2</v>
      </c>
      <c r="C1820" s="46">
        <v>2373800</v>
      </c>
      <c r="D1820" s="46">
        <v>2158000</v>
      </c>
      <c r="E1820" s="46">
        <v>215800</v>
      </c>
      <c r="F1820" s="17" t="s">
        <v>606</v>
      </c>
      <c r="G1820" s="9">
        <v>44368</v>
      </c>
    </row>
    <row r="1821" spans="1:19">
      <c r="A1821" s="45" t="s">
        <v>447</v>
      </c>
      <c r="B1821" s="14" t="s">
        <v>2</v>
      </c>
      <c r="C1821" s="46">
        <v>9405000</v>
      </c>
      <c r="D1821" s="46">
        <v>8550000</v>
      </c>
      <c r="E1821" s="46">
        <v>855000</v>
      </c>
      <c r="F1821" s="17" t="s">
        <v>456</v>
      </c>
      <c r="G1821" s="9">
        <v>44368</v>
      </c>
      <c r="I1821" s="306"/>
      <c r="J1821" s="306"/>
      <c r="K1821" s="306"/>
    </row>
    <row r="1822" spans="1:19">
      <c r="A1822" s="45" t="s">
        <v>447</v>
      </c>
      <c r="B1822" s="14" t="s">
        <v>2</v>
      </c>
      <c r="C1822" s="46">
        <v>2970000</v>
      </c>
      <c r="D1822" s="46">
        <v>2700000</v>
      </c>
      <c r="E1822" s="46">
        <v>270000</v>
      </c>
      <c r="F1822" s="17" t="s">
        <v>245</v>
      </c>
      <c r="G1822" s="9">
        <v>44368</v>
      </c>
      <c r="J1822" s="14"/>
    </row>
    <row r="1823" spans="1:19">
      <c r="A1823" s="45" t="s">
        <v>447</v>
      </c>
      <c r="B1823" s="14" t="s">
        <v>2</v>
      </c>
      <c r="C1823" s="46">
        <v>41804400</v>
      </c>
      <c r="D1823" s="46">
        <v>38004000</v>
      </c>
      <c r="E1823" s="46">
        <v>3800400</v>
      </c>
      <c r="F1823" s="17" t="s">
        <v>611</v>
      </c>
      <c r="G1823" s="9">
        <v>44368</v>
      </c>
      <c r="J1823" s="15"/>
      <c r="K1823" s="15"/>
    </row>
    <row r="1824" spans="1:19">
      <c r="A1824" s="45" t="s">
        <v>643</v>
      </c>
      <c r="B1824" s="14" t="s">
        <v>644</v>
      </c>
      <c r="C1824" s="46">
        <v>273900</v>
      </c>
      <c r="D1824" s="46">
        <v>249000</v>
      </c>
      <c r="E1824" s="46">
        <v>24900</v>
      </c>
      <c r="F1824" s="17" t="s">
        <v>641</v>
      </c>
      <c r="G1824" s="9">
        <v>44386</v>
      </c>
    </row>
    <row r="1825" spans="1:7">
      <c r="A1825" s="45" t="s">
        <v>645</v>
      </c>
      <c r="B1825" s="14" t="s">
        <v>2</v>
      </c>
      <c r="C1825" s="46">
        <v>1320000</v>
      </c>
      <c r="D1825" s="46">
        <v>1200000</v>
      </c>
      <c r="E1825" s="46">
        <v>120000</v>
      </c>
      <c r="F1825" s="17" t="s">
        <v>232</v>
      </c>
      <c r="G1825" s="9">
        <v>44386</v>
      </c>
    </row>
    <row r="1826" spans="1:7">
      <c r="A1826" s="45" t="s">
        <v>645</v>
      </c>
      <c r="B1826" s="14" t="s">
        <v>2</v>
      </c>
      <c r="C1826" s="46">
        <v>7549300</v>
      </c>
      <c r="D1826" s="46">
        <v>6863000</v>
      </c>
      <c r="E1826" s="46">
        <v>686300</v>
      </c>
      <c r="F1826" s="17" t="s">
        <v>457</v>
      </c>
      <c r="G1826" s="9">
        <v>44386</v>
      </c>
    </row>
    <row r="1827" spans="1:7">
      <c r="A1827" s="45" t="s">
        <v>645</v>
      </c>
      <c r="B1827" s="14" t="s">
        <v>2</v>
      </c>
      <c r="C1827" s="46">
        <v>3738900</v>
      </c>
      <c r="D1827" s="46">
        <v>3399000</v>
      </c>
      <c r="E1827" s="46">
        <v>339900</v>
      </c>
      <c r="F1827" s="17" t="s">
        <v>471</v>
      </c>
      <c r="G1827" s="9">
        <v>44386</v>
      </c>
    </row>
    <row r="1828" spans="1:7">
      <c r="A1828" s="45" t="s">
        <v>645</v>
      </c>
      <c r="B1828" s="14" t="s">
        <v>2</v>
      </c>
      <c r="C1828" s="46">
        <v>639100</v>
      </c>
      <c r="D1828" s="46">
        <v>581000</v>
      </c>
      <c r="E1828" s="46">
        <v>58100</v>
      </c>
      <c r="F1828" s="17" t="s">
        <v>612</v>
      </c>
      <c r="G1828" s="9">
        <v>44386</v>
      </c>
    </row>
    <row r="1829" spans="1:7">
      <c r="A1829" s="45" t="s">
        <v>645</v>
      </c>
      <c r="B1829" s="14" t="s">
        <v>2</v>
      </c>
      <c r="C1829" s="46">
        <v>2099900</v>
      </c>
      <c r="D1829" s="46">
        <v>1909000</v>
      </c>
      <c r="E1829" s="46">
        <v>190900</v>
      </c>
      <c r="F1829" s="17" t="s">
        <v>606</v>
      </c>
      <c r="G1829" s="9">
        <v>44386</v>
      </c>
    </row>
    <row r="1830" spans="1:7">
      <c r="A1830" s="45" t="s">
        <v>645</v>
      </c>
      <c r="B1830" s="14" t="s">
        <v>2</v>
      </c>
      <c r="C1830" s="46">
        <v>1952500</v>
      </c>
      <c r="D1830" s="46">
        <v>1775000</v>
      </c>
      <c r="E1830" s="46">
        <v>177500</v>
      </c>
      <c r="F1830" s="17" t="s">
        <v>642</v>
      </c>
      <c r="G1830" s="9">
        <v>44386</v>
      </c>
    </row>
    <row r="1831" spans="1:7">
      <c r="A1831" s="45" t="s">
        <v>645</v>
      </c>
      <c r="B1831" s="14" t="s">
        <v>2</v>
      </c>
      <c r="C1831" s="46">
        <v>5971900</v>
      </c>
      <c r="D1831" s="46">
        <v>5429000</v>
      </c>
      <c r="E1831" s="46">
        <v>542900</v>
      </c>
      <c r="F1831" s="17" t="s">
        <v>424</v>
      </c>
      <c r="G1831" s="9">
        <v>44386</v>
      </c>
    </row>
    <row r="1832" spans="1:7">
      <c r="A1832" s="45" t="s">
        <v>645</v>
      </c>
      <c r="B1832" s="14" t="s">
        <v>2</v>
      </c>
      <c r="C1832" s="46">
        <v>14817000</v>
      </c>
      <c r="D1832" s="46">
        <v>13470000</v>
      </c>
      <c r="E1832" s="46">
        <v>1347000</v>
      </c>
      <c r="F1832" s="17" t="s">
        <v>456</v>
      </c>
      <c r="G1832" s="9">
        <v>44386</v>
      </c>
    </row>
    <row r="1833" spans="1:7">
      <c r="A1833" s="45" t="s">
        <v>645</v>
      </c>
      <c r="B1833" s="14" t="s">
        <v>2</v>
      </c>
      <c r="C1833" s="46">
        <v>3907200</v>
      </c>
      <c r="D1833" s="46">
        <v>3552000</v>
      </c>
      <c r="E1833" s="46">
        <v>355200</v>
      </c>
      <c r="F1833" s="17" t="s">
        <v>646</v>
      </c>
      <c r="G1833" s="9">
        <v>44386</v>
      </c>
    </row>
    <row r="1834" spans="1:7">
      <c r="A1834" s="45" t="s">
        <v>645</v>
      </c>
      <c r="B1834" s="14" t="s">
        <v>385</v>
      </c>
      <c r="C1834" s="46">
        <v>15272400</v>
      </c>
      <c r="D1834" s="46">
        <v>13884000</v>
      </c>
      <c r="E1834" s="46">
        <v>1388400</v>
      </c>
      <c r="F1834" s="17" t="s">
        <v>474</v>
      </c>
      <c r="G1834" s="9">
        <v>44389</v>
      </c>
    </row>
    <row r="1835" spans="1:7">
      <c r="A1835" s="45" t="s">
        <v>645</v>
      </c>
      <c r="B1835" s="14" t="s">
        <v>385</v>
      </c>
      <c r="C1835" s="46">
        <v>616000</v>
      </c>
      <c r="D1835" s="46">
        <v>560000</v>
      </c>
      <c r="E1835" s="46">
        <v>56000</v>
      </c>
      <c r="F1835" s="17" t="s">
        <v>386</v>
      </c>
      <c r="G1835" s="9">
        <v>44389</v>
      </c>
    </row>
    <row r="1836" spans="1:7">
      <c r="A1836" s="45" t="s">
        <v>645</v>
      </c>
      <c r="B1836" s="14" t="s">
        <v>385</v>
      </c>
      <c r="C1836" s="46">
        <v>29033400</v>
      </c>
      <c r="D1836" s="46">
        <v>26394000</v>
      </c>
      <c r="E1836" s="46">
        <v>2639400</v>
      </c>
      <c r="F1836" s="17" t="s">
        <v>387</v>
      </c>
      <c r="G1836" s="9">
        <v>44389</v>
      </c>
    </row>
    <row r="1837" spans="1:7">
      <c r="A1837" s="45" t="s">
        <v>645</v>
      </c>
      <c r="B1837" s="14" t="s">
        <v>449</v>
      </c>
      <c r="C1837" s="46">
        <v>3998500</v>
      </c>
      <c r="D1837" s="46">
        <v>3635000</v>
      </c>
      <c r="E1837" s="46">
        <v>363500</v>
      </c>
      <c r="F1837" s="17" t="s">
        <v>13</v>
      </c>
      <c r="G1837" s="9">
        <v>44397</v>
      </c>
    </row>
    <row r="1838" spans="1:7">
      <c r="A1838" s="45" t="s">
        <v>645</v>
      </c>
      <c r="B1838" s="14" t="s">
        <v>432</v>
      </c>
      <c r="C1838" s="46">
        <v>2091100</v>
      </c>
      <c r="D1838" s="46">
        <v>1901000</v>
      </c>
      <c r="E1838" s="46">
        <v>190100</v>
      </c>
      <c r="F1838" s="17" t="s">
        <v>165</v>
      </c>
      <c r="G1838" s="9">
        <v>44397</v>
      </c>
    </row>
    <row r="1839" spans="1:7">
      <c r="A1839" s="45" t="s">
        <v>645</v>
      </c>
      <c r="B1839" s="14" t="s">
        <v>432</v>
      </c>
      <c r="C1839" s="46">
        <v>1614800</v>
      </c>
      <c r="D1839" s="46">
        <v>1468000</v>
      </c>
      <c r="E1839" s="46">
        <v>146800</v>
      </c>
      <c r="F1839" s="17" t="s">
        <v>65</v>
      </c>
      <c r="G1839" s="9">
        <v>44397</v>
      </c>
    </row>
    <row r="1840" spans="1:7">
      <c r="A1840" s="45" t="s">
        <v>645</v>
      </c>
      <c r="B1840" s="14" t="s">
        <v>432</v>
      </c>
      <c r="C1840" s="46">
        <v>18700000</v>
      </c>
      <c r="D1840" s="46">
        <v>17000000</v>
      </c>
      <c r="E1840" s="46">
        <v>1700000</v>
      </c>
      <c r="F1840" s="17" t="s">
        <v>647</v>
      </c>
      <c r="G1840" s="9">
        <v>44397</v>
      </c>
    </row>
    <row r="1841" spans="1:19">
      <c r="A1841" s="45" t="s">
        <v>645</v>
      </c>
      <c r="B1841" s="14" t="s">
        <v>436</v>
      </c>
      <c r="C1841" s="46">
        <v>522500</v>
      </c>
      <c r="D1841" s="46">
        <v>475000</v>
      </c>
      <c r="E1841" s="46">
        <v>47500</v>
      </c>
      <c r="F1841" s="17" t="s">
        <v>640</v>
      </c>
      <c r="G1841" s="9">
        <v>44389</v>
      </c>
      <c r="I1841" s="304" t="s">
        <v>304</v>
      </c>
      <c r="J1841" s="304"/>
      <c r="K1841" s="304"/>
      <c r="L1841" s="14" t="s">
        <v>639</v>
      </c>
    </row>
    <row r="1842" spans="1:19">
      <c r="A1842" s="45" t="s">
        <v>645</v>
      </c>
      <c r="B1842" s="14" t="s">
        <v>432</v>
      </c>
      <c r="C1842" s="46">
        <v>1379400</v>
      </c>
      <c r="D1842" s="46">
        <v>1254000</v>
      </c>
      <c r="E1842" s="46">
        <v>125400</v>
      </c>
      <c r="F1842" s="17" t="s">
        <v>476</v>
      </c>
      <c r="G1842" s="9">
        <v>44397</v>
      </c>
      <c r="I1842" s="18" t="s">
        <v>46</v>
      </c>
      <c r="J1842" s="36" t="s">
        <v>47</v>
      </c>
      <c r="K1842" s="36" t="s">
        <v>48</v>
      </c>
      <c r="L1842" s="64">
        <f>K1843+K1814+K1787</f>
        <v>64787252</v>
      </c>
    </row>
    <row r="1843" spans="1:19">
      <c r="A1843" s="119" t="s">
        <v>645</v>
      </c>
      <c r="B1843" s="42" t="s">
        <v>2</v>
      </c>
      <c r="C1843" s="118">
        <v>42952800</v>
      </c>
      <c r="D1843" s="118">
        <v>39048000</v>
      </c>
      <c r="E1843" s="118">
        <v>3904800</v>
      </c>
      <c r="F1843" s="51" t="s">
        <v>611</v>
      </c>
      <c r="G1843" s="10">
        <v>44386</v>
      </c>
      <c r="H1843" s="51"/>
      <c r="I1843" s="18">
        <f>SUM(C1815:C1843)</f>
        <v>237724300</v>
      </c>
      <c r="J1843" s="18">
        <f>SUM(D1815:D1843)</f>
        <v>216113000</v>
      </c>
      <c r="K1843" s="18">
        <f>SUM(E1815:E1843)</f>
        <v>21611300</v>
      </c>
      <c r="L1843" s="42"/>
      <c r="M1843" s="42"/>
      <c r="N1843" s="42"/>
      <c r="O1843" s="42"/>
      <c r="P1843" s="42"/>
      <c r="Q1843" s="42"/>
      <c r="R1843" s="42"/>
      <c r="S1843" s="42"/>
    </row>
    <row r="1844" spans="1:19">
      <c r="A1844" s="45">
        <v>44392</v>
      </c>
      <c r="B1844" s="14" t="s">
        <v>2</v>
      </c>
      <c r="C1844" s="46">
        <v>1188000</v>
      </c>
      <c r="D1844" s="46">
        <v>1080000</v>
      </c>
      <c r="E1844" s="46">
        <v>108000</v>
      </c>
      <c r="F1844" s="17" t="s">
        <v>642</v>
      </c>
      <c r="G1844" s="9">
        <v>44397</v>
      </c>
    </row>
    <row r="1845" spans="1:19">
      <c r="A1845" s="45">
        <v>44392</v>
      </c>
      <c r="B1845" s="14" t="s">
        <v>2</v>
      </c>
      <c r="C1845" s="46">
        <v>20570000</v>
      </c>
      <c r="D1845" s="46">
        <v>18700000</v>
      </c>
      <c r="E1845" s="46">
        <v>1870000</v>
      </c>
      <c r="F1845" s="17" t="s">
        <v>456</v>
      </c>
      <c r="G1845" s="9">
        <v>44407</v>
      </c>
    </row>
    <row r="1846" spans="1:19">
      <c r="A1846" s="45">
        <v>44392</v>
      </c>
      <c r="B1846" s="14" t="s">
        <v>2</v>
      </c>
      <c r="C1846" s="46">
        <v>6782600</v>
      </c>
      <c r="D1846" s="46">
        <v>6166000</v>
      </c>
      <c r="E1846" s="46">
        <v>616600</v>
      </c>
      <c r="F1846" s="17" t="s">
        <v>454</v>
      </c>
      <c r="G1846" s="9">
        <v>44397</v>
      </c>
    </row>
    <row r="1847" spans="1:19">
      <c r="A1847" s="45">
        <v>44392</v>
      </c>
      <c r="B1847" s="14" t="s">
        <v>2</v>
      </c>
      <c r="C1847" s="46">
        <v>2373800</v>
      </c>
      <c r="D1847" s="46">
        <v>2158000</v>
      </c>
      <c r="E1847" s="46">
        <v>215800</v>
      </c>
      <c r="F1847" s="17" t="s">
        <v>606</v>
      </c>
      <c r="G1847" s="9">
        <v>44397</v>
      </c>
    </row>
    <row r="1848" spans="1:19">
      <c r="A1848" s="45">
        <v>44392</v>
      </c>
      <c r="B1848" s="14" t="s">
        <v>2</v>
      </c>
      <c r="C1848" s="46">
        <v>3113000</v>
      </c>
      <c r="D1848" s="46">
        <v>2830000</v>
      </c>
      <c r="E1848" s="46">
        <v>283000</v>
      </c>
      <c r="F1848" s="17" t="s">
        <v>612</v>
      </c>
      <c r="G1848" s="9">
        <v>44407</v>
      </c>
    </row>
    <row r="1849" spans="1:19">
      <c r="A1849" s="45">
        <v>44392</v>
      </c>
      <c r="B1849" s="14" t="s">
        <v>2</v>
      </c>
      <c r="C1849" s="46">
        <v>3738900</v>
      </c>
      <c r="D1849" s="46">
        <v>3399000</v>
      </c>
      <c r="E1849" s="46">
        <v>339900</v>
      </c>
      <c r="F1849" s="17" t="s">
        <v>471</v>
      </c>
      <c r="G1849" s="9">
        <v>44397</v>
      </c>
    </row>
    <row r="1850" spans="1:19">
      <c r="A1850" s="45">
        <v>44392</v>
      </c>
      <c r="B1850" s="14" t="s">
        <v>2</v>
      </c>
      <c r="C1850" s="46">
        <v>3918200</v>
      </c>
      <c r="D1850" s="46">
        <v>3562000</v>
      </c>
      <c r="E1850" s="46">
        <v>356200</v>
      </c>
      <c r="F1850" s="17" t="s">
        <v>457</v>
      </c>
      <c r="G1850" s="9">
        <v>44397</v>
      </c>
    </row>
    <row r="1851" spans="1:19">
      <c r="A1851" s="45">
        <v>44392</v>
      </c>
      <c r="B1851" s="14" t="s">
        <v>2</v>
      </c>
      <c r="C1851" s="46">
        <v>6415200</v>
      </c>
      <c r="D1851" s="46">
        <v>5832000</v>
      </c>
      <c r="E1851" s="46">
        <v>583200</v>
      </c>
      <c r="F1851" s="17" t="s">
        <v>646</v>
      </c>
      <c r="G1851" s="9">
        <v>44397</v>
      </c>
    </row>
    <row r="1852" spans="1:19">
      <c r="A1852" s="45">
        <v>44392</v>
      </c>
      <c r="B1852" s="14" t="s">
        <v>2</v>
      </c>
      <c r="C1852" s="46">
        <v>1320000</v>
      </c>
      <c r="D1852" s="46">
        <v>1200000</v>
      </c>
      <c r="E1852" s="46">
        <v>120000</v>
      </c>
      <c r="F1852" s="17" t="s">
        <v>232</v>
      </c>
      <c r="G1852" s="9">
        <v>44397</v>
      </c>
    </row>
    <row r="1853" spans="1:19">
      <c r="A1853" s="45">
        <v>44392</v>
      </c>
      <c r="B1853" s="14" t="s">
        <v>2</v>
      </c>
      <c r="C1853" s="46">
        <v>45672000</v>
      </c>
      <c r="D1853" s="46">
        <v>41520000</v>
      </c>
      <c r="E1853" s="46">
        <v>4152000</v>
      </c>
      <c r="F1853" s="17" t="s">
        <v>611</v>
      </c>
      <c r="G1853" s="9">
        <v>44397</v>
      </c>
    </row>
    <row r="1854" spans="1:19">
      <c r="A1854" s="45">
        <v>44398</v>
      </c>
      <c r="B1854" s="14" t="s">
        <v>648</v>
      </c>
      <c r="C1854" s="46">
        <f>SUM(D1854:E1854)</f>
        <v>352000</v>
      </c>
      <c r="D1854" s="46">
        <v>320000</v>
      </c>
      <c r="E1854" s="46">
        <v>32000</v>
      </c>
      <c r="F1854" s="17" t="s">
        <v>611</v>
      </c>
      <c r="G1854" s="9">
        <v>44400</v>
      </c>
      <c r="I1854" s="306"/>
      <c r="J1854" s="306"/>
      <c r="K1854" s="306"/>
    </row>
    <row r="1855" spans="1:19">
      <c r="A1855" s="45">
        <v>44402</v>
      </c>
      <c r="B1855" s="14" t="s">
        <v>649</v>
      </c>
      <c r="C1855" s="46">
        <v>547800</v>
      </c>
      <c r="D1855" s="46">
        <v>498000</v>
      </c>
      <c r="E1855" s="46">
        <v>49800</v>
      </c>
      <c r="F1855" s="17" t="s">
        <v>650</v>
      </c>
      <c r="G1855" s="9">
        <v>44418</v>
      </c>
      <c r="J1855" s="14"/>
    </row>
    <row r="1856" spans="1:19">
      <c r="A1856" s="45">
        <v>44408</v>
      </c>
      <c r="B1856" s="14" t="s">
        <v>385</v>
      </c>
      <c r="C1856" s="46">
        <v>4225133</v>
      </c>
      <c r="D1856" s="46">
        <v>3841030</v>
      </c>
      <c r="E1856" s="46">
        <v>384103</v>
      </c>
      <c r="F1856" s="17" t="s">
        <v>651</v>
      </c>
      <c r="G1856" s="9">
        <v>44418</v>
      </c>
      <c r="J1856" s="15"/>
      <c r="K1856" s="15"/>
    </row>
    <row r="1857" spans="1:7">
      <c r="A1857" s="45">
        <v>44408</v>
      </c>
      <c r="B1857" s="14" t="s">
        <v>385</v>
      </c>
      <c r="C1857" s="46">
        <v>11660000</v>
      </c>
      <c r="D1857" s="46">
        <v>10600000</v>
      </c>
      <c r="E1857" s="46">
        <v>1060000</v>
      </c>
      <c r="F1857" s="17" t="s">
        <v>69</v>
      </c>
      <c r="G1857" s="9">
        <v>44418</v>
      </c>
    </row>
    <row r="1858" spans="1:7">
      <c r="A1858" s="45">
        <v>44408</v>
      </c>
      <c r="B1858" s="14" t="s">
        <v>385</v>
      </c>
      <c r="C1858" s="46">
        <v>22818400</v>
      </c>
      <c r="D1858" s="46">
        <v>20744000</v>
      </c>
      <c r="E1858" s="46">
        <v>2074400</v>
      </c>
      <c r="F1858" s="17" t="s">
        <v>474</v>
      </c>
      <c r="G1858" s="9">
        <v>44418</v>
      </c>
    </row>
    <row r="1859" spans="1:7">
      <c r="A1859" s="45">
        <v>44408</v>
      </c>
      <c r="B1859" s="14" t="s">
        <v>385</v>
      </c>
      <c r="C1859" s="46">
        <v>308000</v>
      </c>
      <c r="D1859" s="46">
        <v>280000</v>
      </c>
      <c r="E1859" s="46">
        <v>28000</v>
      </c>
      <c r="F1859" s="17" t="s">
        <v>386</v>
      </c>
      <c r="G1859" s="9">
        <v>44418</v>
      </c>
    </row>
    <row r="1860" spans="1:7">
      <c r="A1860" s="45">
        <v>44408</v>
      </c>
      <c r="B1860" s="14" t="s">
        <v>385</v>
      </c>
      <c r="C1860" s="46">
        <v>29733000</v>
      </c>
      <c r="D1860" s="46">
        <v>27030000</v>
      </c>
      <c r="E1860" s="46">
        <v>2703000</v>
      </c>
      <c r="F1860" s="17" t="s">
        <v>387</v>
      </c>
      <c r="G1860" s="9">
        <v>44418</v>
      </c>
    </row>
    <row r="1861" spans="1:7">
      <c r="A1861" s="45">
        <v>44408</v>
      </c>
      <c r="B1861" s="14" t="s">
        <v>432</v>
      </c>
      <c r="C1861" s="46">
        <v>12325500</v>
      </c>
      <c r="D1861" s="46">
        <v>11205000</v>
      </c>
      <c r="E1861" s="46">
        <v>1120500</v>
      </c>
      <c r="F1861" s="17" t="s">
        <v>647</v>
      </c>
      <c r="G1861" s="9">
        <v>44426</v>
      </c>
    </row>
    <row r="1862" spans="1:7">
      <c r="A1862" s="45">
        <v>44408</v>
      </c>
      <c r="B1862" s="14" t="s">
        <v>432</v>
      </c>
      <c r="C1862" s="46">
        <v>1281500</v>
      </c>
      <c r="D1862" s="46">
        <v>1165000</v>
      </c>
      <c r="E1862" s="46">
        <v>116500</v>
      </c>
      <c r="F1862" s="17" t="s">
        <v>65</v>
      </c>
      <c r="G1862" s="9">
        <v>44426</v>
      </c>
    </row>
    <row r="1863" spans="1:7">
      <c r="A1863" s="45">
        <v>44408</v>
      </c>
      <c r="B1863" s="14" t="s">
        <v>432</v>
      </c>
      <c r="C1863" s="46">
        <v>2241800</v>
      </c>
      <c r="D1863" s="46">
        <v>2038000</v>
      </c>
      <c r="E1863" s="46">
        <v>203800</v>
      </c>
      <c r="F1863" s="17" t="s">
        <v>165</v>
      </c>
      <c r="G1863" s="9">
        <v>44426</v>
      </c>
    </row>
    <row r="1864" spans="1:7">
      <c r="A1864" s="45">
        <v>44408</v>
      </c>
      <c r="B1864" s="14" t="s">
        <v>432</v>
      </c>
      <c r="C1864" s="46">
        <v>1089000</v>
      </c>
      <c r="D1864" s="46">
        <v>990000</v>
      </c>
      <c r="E1864" s="46">
        <v>99000</v>
      </c>
      <c r="F1864" s="17" t="s">
        <v>476</v>
      </c>
      <c r="G1864" s="9">
        <v>44426</v>
      </c>
    </row>
    <row r="1865" spans="1:7">
      <c r="A1865" s="45">
        <v>44408</v>
      </c>
      <c r="B1865" s="14" t="s">
        <v>449</v>
      </c>
      <c r="C1865" s="46">
        <v>880000</v>
      </c>
      <c r="D1865" s="46">
        <v>800000</v>
      </c>
      <c r="E1865" s="46">
        <v>80000</v>
      </c>
      <c r="F1865" s="17" t="s">
        <v>13</v>
      </c>
      <c r="G1865" s="9">
        <v>44435</v>
      </c>
    </row>
    <row r="1866" spans="1:7">
      <c r="A1866" s="45">
        <v>44408</v>
      </c>
      <c r="B1866" s="14" t="s">
        <v>436</v>
      </c>
      <c r="C1866" s="46">
        <v>1380500</v>
      </c>
      <c r="D1866" s="46">
        <v>1255000</v>
      </c>
      <c r="E1866" s="46">
        <v>125500</v>
      </c>
      <c r="F1866" s="17" t="s">
        <v>640</v>
      </c>
      <c r="G1866" s="9">
        <v>44421</v>
      </c>
    </row>
    <row r="1867" spans="1:7">
      <c r="A1867" s="45">
        <v>44408</v>
      </c>
      <c r="B1867" s="14" t="s">
        <v>644</v>
      </c>
      <c r="C1867" s="46">
        <v>1369500</v>
      </c>
      <c r="D1867" s="46">
        <v>1245000</v>
      </c>
      <c r="E1867" s="46">
        <v>124500</v>
      </c>
      <c r="F1867" s="17" t="s">
        <v>652</v>
      </c>
      <c r="G1867" s="9">
        <v>44418</v>
      </c>
    </row>
    <row r="1868" spans="1:7">
      <c r="A1868" s="45">
        <v>44408</v>
      </c>
      <c r="B1868" s="14" t="s">
        <v>644</v>
      </c>
      <c r="C1868" s="46">
        <v>5788200</v>
      </c>
      <c r="D1868" s="46">
        <v>5262000</v>
      </c>
      <c r="E1868" s="46">
        <v>526200</v>
      </c>
      <c r="F1868" s="17" t="s">
        <v>653</v>
      </c>
      <c r="G1868" s="9">
        <v>44418</v>
      </c>
    </row>
    <row r="1869" spans="1:7">
      <c r="A1869" s="45">
        <v>44408</v>
      </c>
      <c r="B1869" s="14" t="s">
        <v>2</v>
      </c>
      <c r="C1869" s="46">
        <v>21615000</v>
      </c>
      <c r="D1869" s="46">
        <v>19650000</v>
      </c>
      <c r="E1869" s="46">
        <v>1965000</v>
      </c>
      <c r="F1869" s="17" t="s">
        <v>665</v>
      </c>
      <c r="G1869" s="9">
        <v>44418</v>
      </c>
    </row>
    <row r="1870" spans="1:7">
      <c r="A1870" s="45">
        <v>44408</v>
      </c>
      <c r="B1870" s="14" t="s">
        <v>2</v>
      </c>
      <c r="C1870" s="46">
        <v>7860600</v>
      </c>
      <c r="D1870" s="46">
        <v>7146000</v>
      </c>
      <c r="E1870" s="46">
        <v>714600</v>
      </c>
      <c r="F1870" s="17" t="s">
        <v>664</v>
      </c>
      <c r="G1870" s="9">
        <v>44418</v>
      </c>
    </row>
    <row r="1871" spans="1:7">
      <c r="A1871" s="45">
        <v>44408</v>
      </c>
      <c r="B1871" s="14" t="s">
        <v>2</v>
      </c>
      <c r="C1871" s="46">
        <v>547800</v>
      </c>
      <c r="D1871" s="46">
        <v>498000</v>
      </c>
      <c r="E1871" s="46">
        <v>49800</v>
      </c>
      <c r="F1871" s="17" t="s">
        <v>663</v>
      </c>
      <c r="G1871" s="9">
        <v>44418</v>
      </c>
    </row>
    <row r="1872" spans="1:7">
      <c r="A1872" s="45">
        <v>44408</v>
      </c>
      <c r="B1872" s="14" t="s">
        <v>2</v>
      </c>
      <c r="C1872" s="46">
        <v>935000</v>
      </c>
      <c r="D1872" s="46">
        <v>850000</v>
      </c>
      <c r="E1872" s="46">
        <v>85000</v>
      </c>
      <c r="F1872" s="17" t="s">
        <v>662</v>
      </c>
      <c r="G1872" s="9">
        <v>44418</v>
      </c>
    </row>
    <row r="1873" spans="1:19">
      <c r="A1873" s="45">
        <v>44408</v>
      </c>
      <c r="B1873" s="14" t="s">
        <v>2</v>
      </c>
      <c r="C1873" s="46">
        <v>5857500</v>
      </c>
      <c r="D1873" s="46">
        <v>5325000</v>
      </c>
      <c r="E1873" s="46">
        <v>532500</v>
      </c>
      <c r="F1873" s="17" t="s">
        <v>661</v>
      </c>
      <c r="G1873" s="9">
        <v>44418</v>
      </c>
    </row>
    <row r="1874" spans="1:19">
      <c r="A1874" s="45">
        <v>44408</v>
      </c>
      <c r="B1874" s="14" t="s">
        <v>2</v>
      </c>
      <c r="C1874" s="46">
        <v>3738900</v>
      </c>
      <c r="D1874" s="46">
        <v>3399000</v>
      </c>
      <c r="E1874" s="46">
        <v>339900</v>
      </c>
      <c r="F1874" s="17" t="s">
        <v>660</v>
      </c>
      <c r="G1874" s="9">
        <v>44418</v>
      </c>
    </row>
    <row r="1875" spans="1:19">
      <c r="A1875" s="45">
        <v>44408</v>
      </c>
      <c r="B1875" s="14" t="s">
        <v>2</v>
      </c>
      <c r="C1875" s="46">
        <v>4330700</v>
      </c>
      <c r="D1875" s="46">
        <v>3937000</v>
      </c>
      <c r="E1875" s="46">
        <v>393700</v>
      </c>
      <c r="F1875" s="17" t="s">
        <v>659</v>
      </c>
      <c r="G1875" s="9">
        <v>44418</v>
      </c>
    </row>
    <row r="1876" spans="1:19">
      <c r="A1876" s="45">
        <v>44408</v>
      </c>
      <c r="B1876" s="14" t="s">
        <v>2</v>
      </c>
      <c r="C1876" s="46">
        <v>6501000</v>
      </c>
      <c r="D1876" s="46">
        <v>5910000</v>
      </c>
      <c r="E1876" s="46">
        <v>591000</v>
      </c>
      <c r="F1876" s="17" t="s">
        <v>658</v>
      </c>
      <c r="G1876" s="9">
        <v>44418</v>
      </c>
      <c r="I1876" s="304" t="s">
        <v>528</v>
      </c>
      <c r="J1876" s="304"/>
      <c r="K1876" s="304"/>
    </row>
    <row r="1877" spans="1:19">
      <c r="A1877" s="45">
        <v>44408</v>
      </c>
      <c r="B1877" s="14" t="s">
        <v>2</v>
      </c>
      <c r="C1877" s="46">
        <v>34135200</v>
      </c>
      <c r="D1877" s="46">
        <v>31032000</v>
      </c>
      <c r="E1877" s="46">
        <v>3103200</v>
      </c>
      <c r="F1877" s="17" t="s">
        <v>657</v>
      </c>
      <c r="G1877" s="9">
        <v>44418</v>
      </c>
      <c r="I1877" s="18" t="s">
        <v>46</v>
      </c>
      <c r="J1877" s="36" t="s">
        <v>47</v>
      </c>
      <c r="K1877" s="36" t="s">
        <v>48</v>
      </c>
    </row>
    <row r="1878" spans="1:19">
      <c r="A1878" s="119">
        <v>44408</v>
      </c>
      <c r="B1878" s="42" t="s">
        <v>2</v>
      </c>
      <c r="C1878" s="118">
        <v>1452000</v>
      </c>
      <c r="D1878" s="118">
        <v>1320000</v>
      </c>
      <c r="E1878" s="118">
        <v>132000</v>
      </c>
      <c r="F1878" s="51" t="s">
        <v>656</v>
      </c>
      <c r="G1878" s="10">
        <v>44418</v>
      </c>
      <c r="H1878" s="51"/>
      <c r="I1878" s="18">
        <f>SUM(C1844:C1878)</f>
        <v>278065733</v>
      </c>
      <c r="J1878" s="18">
        <f>SUM(D1844:D1878)</f>
        <v>252787030</v>
      </c>
      <c r="K1878" s="18">
        <f>SUM(E1844:E1878)</f>
        <v>25278703</v>
      </c>
      <c r="L1878" s="42"/>
      <c r="M1878" s="42"/>
      <c r="N1878" s="42"/>
      <c r="O1878" s="42"/>
      <c r="P1878" s="42"/>
      <c r="Q1878" s="42"/>
      <c r="R1878" s="42"/>
      <c r="S1878" s="42"/>
    </row>
    <row r="1879" spans="1:19">
      <c r="A1879" s="45">
        <v>44423</v>
      </c>
      <c r="B1879" s="14" t="s">
        <v>2</v>
      </c>
      <c r="C1879" s="46">
        <v>22535150</v>
      </c>
      <c r="D1879" s="46">
        <v>20486500</v>
      </c>
      <c r="E1879" s="46">
        <v>2048650</v>
      </c>
      <c r="F1879" s="17" t="s">
        <v>456</v>
      </c>
      <c r="G1879" s="9">
        <v>44428</v>
      </c>
    </row>
    <row r="1880" spans="1:19">
      <c r="A1880" s="45">
        <v>44423</v>
      </c>
      <c r="B1880" s="14" t="s">
        <v>2</v>
      </c>
      <c r="C1880" s="46">
        <v>9182800</v>
      </c>
      <c r="D1880" s="46">
        <v>8348000</v>
      </c>
      <c r="E1880" s="46">
        <v>834800</v>
      </c>
      <c r="F1880" s="17" t="s">
        <v>424</v>
      </c>
      <c r="G1880" s="9">
        <v>44428</v>
      </c>
    </row>
    <row r="1881" spans="1:19">
      <c r="A1881" s="45">
        <v>44423</v>
      </c>
      <c r="B1881" s="14" t="s">
        <v>2</v>
      </c>
      <c r="C1881" s="46">
        <v>1829300</v>
      </c>
      <c r="D1881" s="46">
        <v>1663000</v>
      </c>
      <c r="E1881" s="46">
        <v>166300</v>
      </c>
      <c r="F1881" s="17" t="s">
        <v>606</v>
      </c>
      <c r="G1881" s="9">
        <v>44428</v>
      </c>
    </row>
    <row r="1882" spans="1:19">
      <c r="A1882" s="45">
        <v>44423</v>
      </c>
      <c r="B1882" s="14" t="s">
        <v>2</v>
      </c>
      <c r="C1882" s="46">
        <v>7293000</v>
      </c>
      <c r="D1882" s="46">
        <v>6630000</v>
      </c>
      <c r="E1882" s="46">
        <v>663000</v>
      </c>
      <c r="F1882" s="17" t="s">
        <v>315</v>
      </c>
      <c r="G1882" s="9">
        <v>44428</v>
      </c>
    </row>
    <row r="1883" spans="1:19">
      <c r="A1883" s="45">
        <v>44423</v>
      </c>
      <c r="B1883" s="14" t="s">
        <v>2</v>
      </c>
      <c r="C1883" s="46">
        <v>1943700</v>
      </c>
      <c r="D1883" s="46">
        <v>1767000</v>
      </c>
      <c r="E1883" s="46">
        <v>176700</v>
      </c>
      <c r="F1883" s="17" t="s">
        <v>612</v>
      </c>
      <c r="G1883" s="9">
        <v>44428</v>
      </c>
    </row>
    <row r="1884" spans="1:19">
      <c r="A1884" s="45">
        <v>44423</v>
      </c>
      <c r="B1884" s="14" t="s">
        <v>2</v>
      </c>
      <c r="C1884" s="46">
        <v>3399000</v>
      </c>
      <c r="D1884" s="46">
        <v>3090000</v>
      </c>
      <c r="E1884" s="46">
        <v>309000</v>
      </c>
      <c r="F1884" s="17" t="s">
        <v>471</v>
      </c>
      <c r="G1884" s="9">
        <v>44428</v>
      </c>
    </row>
    <row r="1885" spans="1:19">
      <c r="A1885" s="45">
        <v>44423</v>
      </c>
      <c r="B1885" s="14" t="s">
        <v>2</v>
      </c>
      <c r="C1885" s="46">
        <v>7013600</v>
      </c>
      <c r="D1885" s="46">
        <v>6376000</v>
      </c>
      <c r="E1885" s="46">
        <v>637600</v>
      </c>
      <c r="F1885" s="17" t="s">
        <v>457</v>
      </c>
      <c r="G1885" s="9">
        <v>44428</v>
      </c>
    </row>
    <row r="1886" spans="1:19">
      <c r="A1886" s="45">
        <v>44423</v>
      </c>
      <c r="B1886" s="14" t="s">
        <v>2</v>
      </c>
      <c r="C1886" s="46">
        <v>7009200</v>
      </c>
      <c r="D1886" s="46">
        <v>6372000</v>
      </c>
      <c r="E1886" s="46">
        <v>637200</v>
      </c>
      <c r="F1886" s="17" t="s">
        <v>646</v>
      </c>
      <c r="G1886" s="9">
        <v>44428</v>
      </c>
      <c r="I1886" s="306"/>
      <c r="J1886" s="306"/>
      <c r="K1886" s="306"/>
    </row>
    <row r="1887" spans="1:19">
      <c r="A1887" s="45">
        <v>44423</v>
      </c>
      <c r="B1887" s="14" t="s">
        <v>2</v>
      </c>
      <c r="C1887" s="46">
        <v>39916800</v>
      </c>
      <c r="D1887" s="46">
        <v>36288000</v>
      </c>
      <c r="E1887" s="46">
        <v>3628800</v>
      </c>
      <c r="F1887" s="17" t="s">
        <v>611</v>
      </c>
      <c r="G1887" s="9">
        <v>44428</v>
      </c>
      <c r="J1887" s="14"/>
    </row>
    <row r="1888" spans="1:19">
      <c r="A1888" s="45">
        <v>44423</v>
      </c>
      <c r="B1888" s="14" t="s">
        <v>2</v>
      </c>
      <c r="C1888" s="46">
        <v>1320000</v>
      </c>
      <c r="D1888" s="46">
        <v>1200000</v>
      </c>
      <c r="E1888" s="46">
        <v>120000</v>
      </c>
      <c r="F1888" s="17" t="s">
        <v>654</v>
      </c>
      <c r="G1888" s="9">
        <v>44428</v>
      </c>
      <c r="J1888" s="15"/>
      <c r="K1888" s="15"/>
    </row>
    <row r="1889" spans="1:8">
      <c r="A1889" s="45">
        <v>44433</v>
      </c>
      <c r="B1889" s="14" t="s">
        <v>649</v>
      </c>
      <c r="C1889" s="46">
        <v>321200</v>
      </c>
      <c r="D1889" s="46">
        <v>292000</v>
      </c>
      <c r="E1889" s="46">
        <v>29200</v>
      </c>
      <c r="F1889" s="17" t="s">
        <v>666</v>
      </c>
      <c r="G1889" s="9">
        <v>44442</v>
      </c>
    </row>
    <row r="1890" spans="1:8">
      <c r="A1890" s="45">
        <v>44439</v>
      </c>
      <c r="B1890" s="14" t="s">
        <v>649</v>
      </c>
      <c r="C1890" s="46">
        <v>9537000</v>
      </c>
      <c r="D1890" s="46">
        <v>8670000</v>
      </c>
      <c r="E1890" s="46">
        <v>867000</v>
      </c>
      <c r="F1890" s="17" t="s">
        <v>667</v>
      </c>
      <c r="G1890" s="9">
        <v>44442</v>
      </c>
    </row>
    <row r="1891" spans="1:8">
      <c r="A1891" s="45">
        <v>44439</v>
      </c>
      <c r="B1891" s="14" t="s">
        <v>649</v>
      </c>
      <c r="C1891" s="46">
        <v>2036100</v>
      </c>
      <c r="D1891" s="46">
        <v>1851000</v>
      </c>
      <c r="E1891" s="46">
        <v>185100</v>
      </c>
      <c r="F1891" s="17" t="s">
        <v>668</v>
      </c>
      <c r="G1891" s="9">
        <v>44449</v>
      </c>
    </row>
    <row r="1892" spans="1:8">
      <c r="A1892" s="45" t="s">
        <v>669</v>
      </c>
      <c r="B1892" s="14" t="s">
        <v>79</v>
      </c>
      <c r="C1892" s="46">
        <v>1485000</v>
      </c>
      <c r="D1892" s="46">
        <v>1350000</v>
      </c>
      <c r="E1892" s="46">
        <v>135000</v>
      </c>
      <c r="F1892" s="17" t="s">
        <v>13</v>
      </c>
      <c r="G1892" s="9">
        <v>44442</v>
      </c>
    </row>
    <row r="1893" spans="1:8">
      <c r="A1893" s="45" t="s">
        <v>669</v>
      </c>
      <c r="B1893" s="14" t="s">
        <v>449</v>
      </c>
      <c r="C1893" s="46">
        <v>2981000</v>
      </c>
      <c r="D1893" s="46">
        <v>2710000</v>
      </c>
      <c r="E1893" s="46">
        <v>271000</v>
      </c>
      <c r="F1893" s="17" t="s">
        <v>13</v>
      </c>
      <c r="G1893" s="9">
        <v>44469</v>
      </c>
      <c r="H1893" s="17" t="s">
        <v>680</v>
      </c>
    </row>
    <row r="1894" spans="1:8">
      <c r="A1894" s="45" t="s">
        <v>669</v>
      </c>
      <c r="B1894" s="14" t="s">
        <v>2</v>
      </c>
      <c r="C1894" s="46">
        <v>17660500</v>
      </c>
      <c r="D1894" s="46">
        <v>16055000</v>
      </c>
      <c r="E1894" s="46">
        <v>1605500</v>
      </c>
      <c r="F1894" s="17" t="s">
        <v>456</v>
      </c>
      <c r="G1894" s="9">
        <v>44449</v>
      </c>
    </row>
    <row r="1895" spans="1:8">
      <c r="A1895" s="45" t="s">
        <v>669</v>
      </c>
      <c r="B1895" s="14" t="s">
        <v>2</v>
      </c>
      <c r="C1895" s="46">
        <v>11608300</v>
      </c>
      <c r="D1895" s="46">
        <v>10553000</v>
      </c>
      <c r="E1895" s="46">
        <v>1055300</v>
      </c>
      <c r="F1895" s="17" t="s">
        <v>424</v>
      </c>
      <c r="G1895" s="9">
        <v>44449</v>
      </c>
    </row>
    <row r="1896" spans="1:8">
      <c r="A1896" s="45" t="s">
        <v>669</v>
      </c>
      <c r="B1896" s="14" t="s">
        <v>2</v>
      </c>
      <c r="C1896" s="46">
        <v>456500</v>
      </c>
      <c r="D1896" s="46">
        <v>415000</v>
      </c>
      <c r="E1896" s="46">
        <v>41500</v>
      </c>
      <c r="F1896" s="17" t="s">
        <v>606</v>
      </c>
      <c r="G1896" s="9">
        <v>44449</v>
      </c>
    </row>
    <row r="1897" spans="1:8">
      <c r="A1897" s="45" t="s">
        <v>669</v>
      </c>
      <c r="B1897" s="14" t="s">
        <v>2</v>
      </c>
      <c r="C1897" s="46">
        <v>4301000</v>
      </c>
      <c r="D1897" s="46">
        <v>3910000</v>
      </c>
      <c r="E1897" s="46">
        <v>391000</v>
      </c>
      <c r="F1897" s="17" t="s">
        <v>315</v>
      </c>
      <c r="G1897" s="9">
        <v>44449</v>
      </c>
    </row>
    <row r="1898" spans="1:8">
      <c r="A1898" s="45" t="s">
        <v>669</v>
      </c>
      <c r="B1898" s="14" t="s">
        <v>2</v>
      </c>
      <c r="C1898" s="46">
        <v>1047200</v>
      </c>
      <c r="D1898" s="46">
        <v>952000</v>
      </c>
      <c r="E1898" s="46">
        <v>95200</v>
      </c>
      <c r="F1898" s="17" t="s">
        <v>612</v>
      </c>
      <c r="G1898" s="9">
        <v>44449</v>
      </c>
    </row>
    <row r="1899" spans="1:8">
      <c r="A1899" s="45" t="s">
        <v>669</v>
      </c>
      <c r="B1899" s="14" t="s">
        <v>2</v>
      </c>
      <c r="C1899" s="46">
        <v>3738900</v>
      </c>
      <c r="D1899" s="46">
        <v>3399000</v>
      </c>
      <c r="E1899" s="46">
        <v>339900</v>
      </c>
      <c r="F1899" s="17" t="s">
        <v>471</v>
      </c>
      <c r="G1899" s="9">
        <v>44449</v>
      </c>
    </row>
    <row r="1900" spans="1:8">
      <c r="A1900" s="45" t="s">
        <v>669</v>
      </c>
      <c r="B1900" s="14" t="s">
        <v>2</v>
      </c>
      <c r="C1900" s="46">
        <v>2522300</v>
      </c>
      <c r="D1900" s="46">
        <v>2293000</v>
      </c>
      <c r="E1900" s="46">
        <v>229300</v>
      </c>
      <c r="F1900" s="17" t="s">
        <v>457</v>
      </c>
      <c r="G1900" s="9">
        <v>44449</v>
      </c>
    </row>
    <row r="1901" spans="1:8">
      <c r="A1901" s="45" t="s">
        <v>669</v>
      </c>
      <c r="B1901" s="14" t="s">
        <v>2</v>
      </c>
      <c r="C1901" s="46">
        <v>8738400</v>
      </c>
      <c r="D1901" s="46">
        <v>7944000</v>
      </c>
      <c r="E1901" s="46">
        <v>794400</v>
      </c>
      <c r="F1901" s="17" t="s">
        <v>646</v>
      </c>
      <c r="G1901" s="9">
        <v>44449</v>
      </c>
    </row>
    <row r="1902" spans="1:8">
      <c r="A1902" s="45" t="s">
        <v>669</v>
      </c>
      <c r="B1902" s="14" t="s">
        <v>2</v>
      </c>
      <c r="C1902" s="46">
        <v>51202800</v>
      </c>
      <c r="D1902" s="46">
        <v>46548000</v>
      </c>
      <c r="E1902" s="46">
        <v>4654800</v>
      </c>
      <c r="F1902" s="17" t="s">
        <v>611</v>
      </c>
      <c r="G1902" s="9">
        <v>44449</v>
      </c>
    </row>
    <row r="1903" spans="1:8">
      <c r="A1903" s="45" t="s">
        <v>669</v>
      </c>
      <c r="B1903" s="14" t="s">
        <v>2</v>
      </c>
      <c r="C1903" s="46">
        <v>1056000</v>
      </c>
      <c r="D1903" s="46">
        <v>960000</v>
      </c>
      <c r="E1903" s="46">
        <v>96000</v>
      </c>
      <c r="F1903" s="17" t="s">
        <v>670</v>
      </c>
      <c r="G1903" s="9">
        <v>44449</v>
      </c>
    </row>
    <row r="1904" spans="1:8">
      <c r="A1904" s="45" t="s">
        <v>669</v>
      </c>
      <c r="B1904" s="14" t="s">
        <v>385</v>
      </c>
      <c r="C1904" s="46">
        <v>13175800</v>
      </c>
      <c r="D1904" s="46">
        <v>11978000</v>
      </c>
      <c r="E1904" s="46">
        <v>1197800</v>
      </c>
      <c r="F1904" s="17" t="s">
        <v>69</v>
      </c>
      <c r="G1904" s="9">
        <v>44449</v>
      </c>
    </row>
    <row r="1905" spans="1:19">
      <c r="A1905" s="45" t="s">
        <v>669</v>
      </c>
      <c r="B1905" s="14" t="s">
        <v>385</v>
      </c>
      <c r="C1905" s="46">
        <v>28315100</v>
      </c>
      <c r="D1905" s="46">
        <v>25741000</v>
      </c>
      <c r="E1905" s="46">
        <v>2574100</v>
      </c>
      <c r="F1905" s="17" t="s">
        <v>474</v>
      </c>
      <c r="G1905" s="9">
        <v>44449</v>
      </c>
    </row>
    <row r="1906" spans="1:19">
      <c r="A1906" s="45" t="s">
        <v>669</v>
      </c>
      <c r="B1906" s="14" t="s">
        <v>385</v>
      </c>
      <c r="C1906" s="46">
        <v>77000</v>
      </c>
      <c r="D1906" s="46">
        <v>70000</v>
      </c>
      <c r="E1906" s="46">
        <v>7000</v>
      </c>
      <c r="F1906" s="17" t="s">
        <v>386</v>
      </c>
      <c r="G1906" s="9">
        <v>44449</v>
      </c>
    </row>
    <row r="1907" spans="1:19">
      <c r="A1907" s="45" t="s">
        <v>669</v>
      </c>
      <c r="B1907" s="14" t="s">
        <v>385</v>
      </c>
      <c r="C1907" s="46">
        <v>27401000</v>
      </c>
      <c r="D1907" s="46">
        <v>24910000</v>
      </c>
      <c r="E1907" s="46">
        <v>2491000</v>
      </c>
      <c r="F1907" s="17" t="s">
        <v>387</v>
      </c>
      <c r="G1907" s="9">
        <v>44449</v>
      </c>
    </row>
    <row r="1908" spans="1:19">
      <c r="A1908" s="45" t="s">
        <v>669</v>
      </c>
      <c r="B1908" s="14" t="s">
        <v>432</v>
      </c>
      <c r="C1908" s="46">
        <v>1596100</v>
      </c>
      <c r="D1908" s="46">
        <v>1451000</v>
      </c>
      <c r="E1908" s="46">
        <v>145100</v>
      </c>
      <c r="F1908" s="17" t="s">
        <v>65</v>
      </c>
      <c r="G1908" s="9">
        <v>44456</v>
      </c>
    </row>
    <row r="1909" spans="1:19">
      <c r="A1909" s="45" t="s">
        <v>669</v>
      </c>
      <c r="B1909" s="14" t="s">
        <v>432</v>
      </c>
      <c r="C1909" s="46">
        <v>2337500</v>
      </c>
      <c r="D1909" s="46">
        <v>2125000</v>
      </c>
      <c r="E1909" s="46">
        <v>212500</v>
      </c>
      <c r="F1909" s="17" t="s">
        <v>647</v>
      </c>
      <c r="G1909" s="9">
        <v>44456</v>
      </c>
    </row>
    <row r="1910" spans="1:19">
      <c r="A1910" s="45" t="s">
        <v>669</v>
      </c>
      <c r="B1910" s="14" t="s">
        <v>432</v>
      </c>
      <c r="C1910" s="46">
        <v>1089000</v>
      </c>
      <c r="D1910" s="46">
        <v>990000</v>
      </c>
      <c r="E1910" s="46">
        <v>99000</v>
      </c>
      <c r="F1910" s="17" t="s">
        <v>476</v>
      </c>
      <c r="G1910" s="9">
        <v>44456</v>
      </c>
    </row>
    <row r="1911" spans="1:19">
      <c r="A1911" s="45" t="s">
        <v>669</v>
      </c>
      <c r="B1911" s="14" t="s">
        <v>432</v>
      </c>
      <c r="C1911" s="46">
        <v>3344000</v>
      </c>
      <c r="D1911" s="46">
        <v>3040000</v>
      </c>
      <c r="E1911" s="46">
        <v>304000</v>
      </c>
      <c r="F1911" s="17" t="s">
        <v>165</v>
      </c>
      <c r="G1911" s="9">
        <v>44456</v>
      </c>
    </row>
    <row r="1912" spans="1:19">
      <c r="A1912" s="45" t="s">
        <v>669</v>
      </c>
      <c r="B1912" s="14" t="s">
        <v>432</v>
      </c>
      <c r="C1912" s="46">
        <v>371800</v>
      </c>
      <c r="D1912" s="46">
        <v>338000</v>
      </c>
      <c r="E1912" s="46">
        <v>33800</v>
      </c>
      <c r="F1912" s="17" t="s">
        <v>588</v>
      </c>
      <c r="G1912" s="9">
        <v>44456</v>
      </c>
    </row>
    <row r="1913" spans="1:19">
      <c r="A1913" s="45" t="s">
        <v>669</v>
      </c>
      <c r="B1913" s="14" t="s">
        <v>671</v>
      </c>
      <c r="C1913" s="46">
        <v>72600</v>
      </c>
      <c r="D1913" s="46">
        <v>66000</v>
      </c>
      <c r="E1913" s="46">
        <v>6600</v>
      </c>
      <c r="F1913" s="17" t="s">
        <v>143</v>
      </c>
      <c r="G1913" s="9" t="s">
        <v>695</v>
      </c>
      <c r="I1913" s="304" t="s">
        <v>655</v>
      </c>
      <c r="J1913" s="304"/>
      <c r="K1913" s="304"/>
    </row>
    <row r="1914" spans="1:19">
      <c r="A1914" s="45">
        <v>44439</v>
      </c>
      <c r="B1914" s="14" t="s">
        <v>676</v>
      </c>
      <c r="C1914" s="46">
        <v>1166000</v>
      </c>
      <c r="D1914" s="46">
        <v>1060000</v>
      </c>
      <c r="E1914" s="46">
        <v>106000</v>
      </c>
      <c r="F1914" s="17" t="s">
        <v>672</v>
      </c>
      <c r="G1914" s="9">
        <v>44454</v>
      </c>
      <c r="H1914" s="17" t="s">
        <v>677</v>
      </c>
      <c r="I1914" s="18" t="s">
        <v>46</v>
      </c>
      <c r="J1914" s="36" t="s">
        <v>47</v>
      </c>
      <c r="K1914" s="36" t="s">
        <v>48</v>
      </c>
    </row>
    <row r="1915" spans="1:19">
      <c r="A1915" s="119">
        <v>44440</v>
      </c>
      <c r="B1915" s="42" t="s">
        <v>385</v>
      </c>
      <c r="C1915" s="118">
        <v>9240000</v>
      </c>
      <c r="D1915" s="118">
        <v>8400000</v>
      </c>
      <c r="E1915" s="118">
        <v>840000</v>
      </c>
      <c r="F1915" s="51" t="s">
        <v>674</v>
      </c>
      <c r="G1915" s="10">
        <v>44454</v>
      </c>
      <c r="H1915" s="51"/>
      <c r="I1915" s="18">
        <f>SUM(C1879:C1915)</f>
        <v>308320650</v>
      </c>
      <c r="J1915" s="18">
        <f>SUM(D1879:D1915)</f>
        <v>280291500</v>
      </c>
      <c r="K1915" s="18">
        <f>SUM(E1879:E1915)</f>
        <v>28029150</v>
      </c>
      <c r="L1915" s="42"/>
      <c r="M1915" s="42"/>
      <c r="N1915" s="42"/>
      <c r="O1915" s="42"/>
      <c r="P1915" s="42"/>
      <c r="Q1915" s="42"/>
      <c r="R1915" s="42"/>
      <c r="S1915" s="42"/>
    </row>
    <row r="1916" spans="1:19">
      <c r="A1916" s="45" t="s">
        <v>675</v>
      </c>
      <c r="B1916" s="14" t="s">
        <v>2</v>
      </c>
      <c r="C1916" s="46">
        <v>6239200</v>
      </c>
      <c r="D1916" s="46">
        <v>5672000</v>
      </c>
      <c r="E1916" s="46">
        <v>567200</v>
      </c>
      <c r="F1916" s="17" t="s">
        <v>424</v>
      </c>
      <c r="G1916" s="9">
        <v>44456</v>
      </c>
    </row>
    <row r="1917" spans="1:19">
      <c r="A1917" s="45" t="s">
        <v>675</v>
      </c>
      <c r="B1917" s="14" t="s">
        <v>2</v>
      </c>
      <c r="C1917" s="46">
        <v>11958100</v>
      </c>
      <c r="D1917" s="46">
        <v>10871000</v>
      </c>
      <c r="E1917" s="46">
        <v>1087100</v>
      </c>
      <c r="F1917" s="17" t="s">
        <v>424</v>
      </c>
      <c r="G1917" s="9">
        <v>44456</v>
      </c>
    </row>
    <row r="1918" spans="1:19">
      <c r="A1918" s="45" t="s">
        <v>675</v>
      </c>
      <c r="B1918" s="14" t="s">
        <v>2</v>
      </c>
      <c r="C1918" s="46">
        <v>456500</v>
      </c>
      <c r="D1918" s="46">
        <v>415000</v>
      </c>
      <c r="E1918" s="46">
        <v>41500</v>
      </c>
      <c r="F1918" s="17" t="s">
        <v>613</v>
      </c>
      <c r="G1918" s="9">
        <v>44456</v>
      </c>
    </row>
    <row r="1919" spans="1:19">
      <c r="A1919" s="45" t="s">
        <v>675</v>
      </c>
      <c r="B1919" s="14" t="s">
        <v>2</v>
      </c>
      <c r="C1919" s="46">
        <v>940500</v>
      </c>
      <c r="D1919" s="46">
        <v>855000</v>
      </c>
      <c r="E1919" s="46">
        <v>85500</v>
      </c>
      <c r="F1919" s="17" t="s">
        <v>245</v>
      </c>
      <c r="G1919" s="9">
        <v>44456</v>
      </c>
    </row>
    <row r="1920" spans="1:19">
      <c r="A1920" s="45" t="s">
        <v>675</v>
      </c>
      <c r="B1920" s="14" t="s">
        <v>2</v>
      </c>
      <c r="C1920" s="46">
        <v>11924000</v>
      </c>
      <c r="D1920" s="46">
        <v>10840000</v>
      </c>
      <c r="E1920" s="46">
        <v>1084000</v>
      </c>
      <c r="F1920" s="17" t="s">
        <v>456</v>
      </c>
      <c r="G1920" s="9">
        <v>44469</v>
      </c>
    </row>
    <row r="1921" spans="1:11">
      <c r="A1921" s="45" t="s">
        <v>675</v>
      </c>
      <c r="B1921" s="14" t="s">
        <v>2</v>
      </c>
      <c r="C1921" s="46">
        <v>1122000</v>
      </c>
      <c r="D1921" s="46">
        <v>1020000</v>
      </c>
      <c r="E1921" s="46">
        <v>102000</v>
      </c>
      <c r="F1921" s="17" t="s">
        <v>315</v>
      </c>
      <c r="G1921" s="9">
        <v>44456</v>
      </c>
    </row>
    <row r="1922" spans="1:11">
      <c r="A1922" s="45" t="s">
        <v>675</v>
      </c>
      <c r="B1922" s="14" t="s">
        <v>2</v>
      </c>
      <c r="C1922" s="46">
        <v>1318900</v>
      </c>
      <c r="D1922" s="46">
        <v>1199000</v>
      </c>
      <c r="E1922" s="46">
        <v>119900</v>
      </c>
      <c r="F1922" s="17" t="s">
        <v>612</v>
      </c>
      <c r="G1922" s="9">
        <v>44469</v>
      </c>
      <c r="I1922" s="306"/>
      <c r="J1922" s="306"/>
      <c r="K1922" s="306"/>
    </row>
    <row r="1923" spans="1:11">
      <c r="A1923" s="45" t="s">
        <v>675</v>
      </c>
      <c r="B1923" s="14" t="s">
        <v>2</v>
      </c>
      <c r="C1923" s="46">
        <v>4430800</v>
      </c>
      <c r="D1923" s="46">
        <v>4028000</v>
      </c>
      <c r="E1923" s="46">
        <v>402800</v>
      </c>
      <c r="F1923" s="17" t="s">
        <v>457</v>
      </c>
      <c r="G1923" s="9">
        <v>44469</v>
      </c>
      <c r="J1923" s="14"/>
    </row>
    <row r="1924" spans="1:11">
      <c r="A1924" s="45" t="s">
        <v>675</v>
      </c>
      <c r="B1924" s="14" t="s">
        <v>2</v>
      </c>
      <c r="C1924" s="46">
        <v>3625600</v>
      </c>
      <c r="D1924" s="46">
        <v>3296000</v>
      </c>
      <c r="E1924" s="46">
        <v>329600</v>
      </c>
      <c r="F1924" s="17" t="s">
        <v>471</v>
      </c>
      <c r="G1924" s="9">
        <v>44469</v>
      </c>
      <c r="J1924" s="15"/>
      <c r="K1924" s="15"/>
    </row>
    <row r="1925" spans="1:11">
      <c r="A1925" s="45" t="s">
        <v>675</v>
      </c>
      <c r="B1925" s="14" t="s">
        <v>2</v>
      </c>
      <c r="C1925" s="46">
        <v>5214000</v>
      </c>
      <c r="D1925" s="46">
        <v>4740000</v>
      </c>
      <c r="E1925" s="46">
        <v>474000</v>
      </c>
      <c r="F1925" s="17" t="s">
        <v>646</v>
      </c>
      <c r="G1925" s="9">
        <v>44456</v>
      </c>
    </row>
    <row r="1926" spans="1:11">
      <c r="A1926" s="45" t="s">
        <v>675</v>
      </c>
      <c r="B1926" s="14" t="s">
        <v>2</v>
      </c>
      <c r="C1926" s="46">
        <v>46332000</v>
      </c>
      <c r="D1926" s="46">
        <v>42120000</v>
      </c>
      <c r="E1926" s="46">
        <v>4212000</v>
      </c>
      <c r="F1926" s="17" t="s">
        <v>611</v>
      </c>
      <c r="G1926" s="9">
        <v>44456</v>
      </c>
    </row>
    <row r="1927" spans="1:11">
      <c r="A1927" s="45">
        <v>44469</v>
      </c>
      <c r="B1927" s="14" t="s">
        <v>678</v>
      </c>
      <c r="C1927" s="46">
        <v>2029500</v>
      </c>
      <c r="D1927" s="46">
        <v>1845000</v>
      </c>
      <c r="E1927" s="46">
        <v>184500</v>
      </c>
      <c r="F1927" s="17" t="s">
        <v>679</v>
      </c>
      <c r="G1927" s="9">
        <v>44469</v>
      </c>
    </row>
    <row r="1928" spans="1:11">
      <c r="A1928" s="45">
        <v>44469</v>
      </c>
      <c r="B1928" s="14" t="s">
        <v>671</v>
      </c>
      <c r="C1928" s="46">
        <v>290400</v>
      </c>
      <c r="D1928" s="46">
        <v>264000</v>
      </c>
      <c r="E1928" s="46">
        <v>26400</v>
      </c>
      <c r="F1928" s="17" t="s">
        <v>683</v>
      </c>
      <c r="G1928" s="9">
        <v>44502</v>
      </c>
    </row>
    <row r="1929" spans="1:11">
      <c r="A1929" s="45">
        <v>44469</v>
      </c>
      <c r="B1929" s="14" t="s">
        <v>385</v>
      </c>
      <c r="C1929" s="46">
        <v>35446400</v>
      </c>
      <c r="D1929" s="46">
        <v>32224000</v>
      </c>
      <c r="E1929" s="46">
        <v>3222400</v>
      </c>
      <c r="F1929" s="17" t="s">
        <v>387</v>
      </c>
      <c r="G1929" s="9">
        <v>44481</v>
      </c>
    </row>
    <row r="1930" spans="1:11">
      <c r="A1930" s="45">
        <v>44469</v>
      </c>
      <c r="B1930" s="14" t="s">
        <v>385</v>
      </c>
      <c r="C1930" s="46">
        <v>561000</v>
      </c>
      <c r="D1930" s="46">
        <v>510000</v>
      </c>
      <c r="E1930" s="46">
        <v>51000</v>
      </c>
      <c r="F1930" s="17" t="s">
        <v>386</v>
      </c>
      <c r="G1930" s="9">
        <v>44481</v>
      </c>
    </row>
    <row r="1931" spans="1:11">
      <c r="A1931" s="45">
        <v>44469</v>
      </c>
      <c r="B1931" s="14" t="s">
        <v>385</v>
      </c>
      <c r="C1931" s="46">
        <v>14924800</v>
      </c>
      <c r="D1931" s="46">
        <v>13568000</v>
      </c>
      <c r="E1931" s="46">
        <v>1356800</v>
      </c>
      <c r="F1931" s="17" t="s">
        <v>474</v>
      </c>
      <c r="G1931" s="9">
        <v>44481</v>
      </c>
    </row>
    <row r="1932" spans="1:11">
      <c r="A1932" s="45">
        <v>44469</v>
      </c>
      <c r="B1932" s="14" t="s">
        <v>385</v>
      </c>
      <c r="C1932" s="46">
        <v>7928800</v>
      </c>
      <c r="D1932" s="46">
        <v>7208000</v>
      </c>
      <c r="E1932" s="46">
        <v>720800</v>
      </c>
      <c r="F1932" s="17" t="s">
        <v>69</v>
      </c>
      <c r="G1932" s="9">
        <v>44481</v>
      </c>
    </row>
    <row r="1933" spans="1:11">
      <c r="A1933" s="45">
        <v>44469</v>
      </c>
      <c r="B1933" s="14" t="s">
        <v>385</v>
      </c>
      <c r="C1933" s="46">
        <v>132000</v>
      </c>
      <c r="D1933" s="46">
        <v>120000</v>
      </c>
      <c r="E1933" s="46">
        <v>12000</v>
      </c>
      <c r="F1933" s="17" t="s">
        <v>674</v>
      </c>
      <c r="G1933" s="9">
        <v>44481</v>
      </c>
    </row>
    <row r="1934" spans="1:11">
      <c r="A1934" s="45">
        <v>44469</v>
      </c>
      <c r="B1934" s="14" t="s">
        <v>2</v>
      </c>
      <c r="C1934" s="46">
        <v>1452000</v>
      </c>
      <c r="D1934" s="46">
        <v>1320000</v>
      </c>
      <c r="E1934" s="46">
        <v>132000</v>
      </c>
      <c r="F1934" s="17" t="s">
        <v>670</v>
      </c>
      <c r="G1934" s="9">
        <v>44481</v>
      </c>
    </row>
    <row r="1935" spans="1:11">
      <c r="A1935" s="45">
        <v>44469</v>
      </c>
      <c r="B1935" s="14" t="s">
        <v>2</v>
      </c>
      <c r="C1935" s="46">
        <v>41626200</v>
      </c>
      <c r="D1935" s="46">
        <v>37842000</v>
      </c>
      <c r="E1935" s="46">
        <v>3784200</v>
      </c>
      <c r="F1935" s="17" t="s">
        <v>611</v>
      </c>
      <c r="G1935" s="9">
        <v>44481</v>
      </c>
    </row>
    <row r="1936" spans="1:11">
      <c r="A1936" s="45">
        <v>44469</v>
      </c>
      <c r="B1936" s="14" t="s">
        <v>2</v>
      </c>
      <c r="C1936" s="46">
        <v>4158000</v>
      </c>
      <c r="D1936" s="46">
        <v>3780000</v>
      </c>
      <c r="E1936" s="46">
        <v>378000</v>
      </c>
      <c r="F1936" s="17" t="s">
        <v>646</v>
      </c>
      <c r="G1936" s="9">
        <v>44481</v>
      </c>
    </row>
    <row r="1937" spans="1:7">
      <c r="A1937" s="45">
        <v>44469</v>
      </c>
      <c r="B1937" s="14" t="s">
        <v>2</v>
      </c>
      <c r="C1937" s="46">
        <v>4153600</v>
      </c>
      <c r="D1937" s="46">
        <v>3776000</v>
      </c>
      <c r="E1937" s="46">
        <v>377600</v>
      </c>
      <c r="F1937" s="17" t="s">
        <v>457</v>
      </c>
      <c r="G1937" s="9">
        <v>44481</v>
      </c>
    </row>
    <row r="1938" spans="1:7">
      <c r="A1938" s="45">
        <v>44469</v>
      </c>
      <c r="B1938" s="14" t="s">
        <v>2</v>
      </c>
      <c r="C1938" s="46">
        <v>2719200</v>
      </c>
      <c r="D1938" s="46">
        <v>2472000</v>
      </c>
      <c r="E1938" s="46">
        <v>247200</v>
      </c>
      <c r="F1938" s="17" t="s">
        <v>471</v>
      </c>
      <c r="G1938" s="9">
        <v>44481</v>
      </c>
    </row>
    <row r="1939" spans="1:7">
      <c r="A1939" s="45">
        <v>44469</v>
      </c>
      <c r="B1939" s="14" t="s">
        <v>2</v>
      </c>
      <c r="C1939" s="46">
        <v>1672000</v>
      </c>
      <c r="D1939" s="46">
        <v>1520000</v>
      </c>
      <c r="E1939" s="46">
        <v>152000</v>
      </c>
      <c r="F1939" s="17" t="s">
        <v>612</v>
      </c>
      <c r="G1939" s="9">
        <v>44481</v>
      </c>
    </row>
    <row r="1940" spans="1:7">
      <c r="A1940" s="45">
        <v>44469</v>
      </c>
      <c r="B1940" s="14" t="s">
        <v>2</v>
      </c>
      <c r="C1940" s="46">
        <v>1963500</v>
      </c>
      <c r="D1940" s="46">
        <v>1785000</v>
      </c>
      <c r="E1940" s="46">
        <v>178500</v>
      </c>
      <c r="F1940" s="17" t="s">
        <v>315</v>
      </c>
      <c r="G1940" s="9">
        <v>44481</v>
      </c>
    </row>
    <row r="1941" spans="1:7">
      <c r="A1941" s="45">
        <v>44469</v>
      </c>
      <c r="B1941" s="14" t="s">
        <v>2</v>
      </c>
      <c r="C1941" s="46">
        <v>730400</v>
      </c>
      <c r="D1941" s="46">
        <v>664000</v>
      </c>
      <c r="E1941" s="46">
        <v>66400</v>
      </c>
      <c r="F1941" s="17" t="s">
        <v>606</v>
      </c>
      <c r="G1941" s="9">
        <v>44481</v>
      </c>
    </row>
    <row r="1942" spans="1:7">
      <c r="A1942" s="45">
        <v>44469</v>
      </c>
      <c r="B1942" s="14" t="s">
        <v>2</v>
      </c>
      <c r="C1942" s="46">
        <v>12637900</v>
      </c>
      <c r="D1942" s="46">
        <v>11489000</v>
      </c>
      <c r="E1942" s="46">
        <v>1148900</v>
      </c>
      <c r="F1942" s="17" t="s">
        <v>424</v>
      </c>
      <c r="G1942" s="9">
        <v>44481</v>
      </c>
    </row>
    <row r="1943" spans="1:7">
      <c r="A1943" s="45">
        <v>44469</v>
      </c>
      <c r="B1943" s="14" t="s">
        <v>2</v>
      </c>
      <c r="C1943" s="46">
        <v>8100680</v>
      </c>
      <c r="D1943" s="46">
        <v>7364255</v>
      </c>
      <c r="E1943" s="46">
        <v>736425</v>
      </c>
      <c r="F1943" s="17" t="s">
        <v>424</v>
      </c>
      <c r="G1943" s="9">
        <v>44481</v>
      </c>
    </row>
    <row r="1944" spans="1:7">
      <c r="A1944" s="45">
        <v>44469</v>
      </c>
      <c r="B1944" s="14" t="s">
        <v>2</v>
      </c>
      <c r="C1944" s="46">
        <v>14707000</v>
      </c>
      <c r="D1944" s="46">
        <v>13370000</v>
      </c>
      <c r="E1944" s="46">
        <v>1337000</v>
      </c>
      <c r="F1944" s="17" t="s">
        <v>456</v>
      </c>
      <c r="G1944" s="9">
        <v>44481</v>
      </c>
    </row>
    <row r="1945" spans="1:7">
      <c r="A1945" s="45">
        <v>44469</v>
      </c>
      <c r="B1945" s="14" t="s">
        <v>644</v>
      </c>
      <c r="C1945" s="46">
        <v>730400</v>
      </c>
      <c r="D1945" s="46">
        <v>664000</v>
      </c>
      <c r="E1945" s="46">
        <v>66400</v>
      </c>
      <c r="F1945" s="17" t="s">
        <v>684</v>
      </c>
      <c r="G1945" s="9">
        <v>44477</v>
      </c>
    </row>
    <row r="1946" spans="1:7">
      <c r="A1946" s="45">
        <v>44469</v>
      </c>
      <c r="B1946" s="14" t="s">
        <v>644</v>
      </c>
      <c r="C1946" s="46">
        <v>182600</v>
      </c>
      <c r="D1946" s="46">
        <v>166000</v>
      </c>
      <c r="E1946" s="46">
        <v>16600</v>
      </c>
      <c r="F1946" s="17" t="s">
        <v>641</v>
      </c>
      <c r="G1946" s="9">
        <v>44477</v>
      </c>
    </row>
    <row r="1947" spans="1:7">
      <c r="A1947" s="45">
        <v>44469</v>
      </c>
      <c r="B1947" s="14" t="s">
        <v>644</v>
      </c>
      <c r="C1947" s="46">
        <v>2173600</v>
      </c>
      <c r="D1947" s="46">
        <v>1976000</v>
      </c>
      <c r="E1947" s="46">
        <v>197600</v>
      </c>
      <c r="F1947" s="17" t="s">
        <v>303</v>
      </c>
      <c r="G1947" s="9">
        <v>44477</v>
      </c>
    </row>
    <row r="1948" spans="1:7">
      <c r="A1948" s="45">
        <v>44469</v>
      </c>
      <c r="B1948" s="14" t="s">
        <v>644</v>
      </c>
      <c r="C1948" s="46">
        <v>182600</v>
      </c>
      <c r="D1948" s="46">
        <v>166000</v>
      </c>
      <c r="E1948" s="46">
        <v>16600</v>
      </c>
      <c r="F1948" s="17" t="s">
        <v>685</v>
      </c>
      <c r="G1948" s="9">
        <v>44477</v>
      </c>
    </row>
    <row r="1949" spans="1:7">
      <c r="A1949" s="45">
        <v>44469</v>
      </c>
      <c r="B1949" s="14" t="s">
        <v>432</v>
      </c>
      <c r="C1949" s="46">
        <v>547800</v>
      </c>
      <c r="D1949" s="46">
        <v>498000</v>
      </c>
      <c r="E1949" s="46">
        <v>49800</v>
      </c>
      <c r="F1949" s="17" t="s">
        <v>65</v>
      </c>
      <c r="G1949" s="9">
        <v>44487</v>
      </c>
    </row>
    <row r="1950" spans="1:7">
      <c r="A1950" s="45">
        <v>44469</v>
      </c>
      <c r="B1950" s="14" t="s">
        <v>432</v>
      </c>
      <c r="C1950" s="46">
        <v>8789000</v>
      </c>
      <c r="D1950" s="46">
        <v>7990000</v>
      </c>
      <c r="E1950" s="46">
        <v>799000</v>
      </c>
      <c r="F1950" s="17" t="s">
        <v>647</v>
      </c>
      <c r="G1950" s="9">
        <v>44487</v>
      </c>
    </row>
    <row r="1951" spans="1:7">
      <c r="A1951" s="45">
        <v>44469</v>
      </c>
      <c r="B1951" s="14" t="s">
        <v>432</v>
      </c>
      <c r="C1951" s="46">
        <v>382470</v>
      </c>
      <c r="D1951" s="46">
        <v>347700</v>
      </c>
      <c r="E1951" s="46">
        <v>34770</v>
      </c>
      <c r="F1951" s="17" t="s">
        <v>588</v>
      </c>
      <c r="G1951" s="9">
        <v>44487</v>
      </c>
    </row>
    <row r="1952" spans="1:7">
      <c r="A1952" s="45">
        <v>44469</v>
      </c>
      <c r="B1952" s="14" t="s">
        <v>432</v>
      </c>
      <c r="C1952" s="46">
        <v>1089000</v>
      </c>
      <c r="D1952" s="46">
        <v>990000</v>
      </c>
      <c r="E1952" s="46">
        <v>99000</v>
      </c>
      <c r="F1952" s="17" t="s">
        <v>476</v>
      </c>
      <c r="G1952" s="9">
        <v>44487</v>
      </c>
    </row>
    <row r="1953" spans="1:19">
      <c r="A1953" s="45">
        <v>44469</v>
      </c>
      <c r="B1953" s="14" t="s">
        <v>432</v>
      </c>
      <c r="C1953" s="46">
        <v>3592600</v>
      </c>
      <c r="D1953" s="46">
        <v>3266000</v>
      </c>
      <c r="E1953" s="46">
        <v>326600</v>
      </c>
      <c r="F1953" s="17" t="s">
        <v>165</v>
      </c>
      <c r="G1953" s="9">
        <v>44487</v>
      </c>
    </row>
    <row r="1954" spans="1:19">
      <c r="A1954" s="45">
        <v>44469</v>
      </c>
      <c r="B1954" s="14" t="s">
        <v>449</v>
      </c>
      <c r="C1954" s="46">
        <v>2673000</v>
      </c>
      <c r="D1954" s="46">
        <v>2430000</v>
      </c>
      <c r="E1954" s="46">
        <v>243000</v>
      </c>
      <c r="F1954" s="17" t="s">
        <v>13</v>
      </c>
      <c r="G1954" s="9">
        <v>44498</v>
      </c>
    </row>
    <row r="1955" spans="1:19">
      <c r="A1955" s="45">
        <v>44469</v>
      </c>
      <c r="B1955" s="14" t="s">
        <v>63</v>
      </c>
      <c r="C1955" s="46">
        <v>605000</v>
      </c>
      <c r="D1955" s="46">
        <v>550000</v>
      </c>
      <c r="E1955" s="46">
        <v>55000</v>
      </c>
      <c r="F1955" s="17" t="s">
        <v>13</v>
      </c>
      <c r="G1955" s="9">
        <v>44474</v>
      </c>
      <c r="H1955" s="17" t="s">
        <v>689</v>
      </c>
    </row>
    <row r="1956" spans="1:19">
      <c r="A1956" s="45">
        <v>44469</v>
      </c>
      <c r="B1956" s="14" t="s">
        <v>686</v>
      </c>
      <c r="C1956" s="46">
        <v>1540000</v>
      </c>
      <c r="D1956" s="46">
        <v>1400000</v>
      </c>
      <c r="E1956" s="46">
        <v>140000</v>
      </c>
      <c r="F1956" s="17" t="s">
        <v>13</v>
      </c>
      <c r="G1956" s="9">
        <v>44476</v>
      </c>
      <c r="I1956" s="304" t="s">
        <v>673</v>
      </c>
      <c r="J1956" s="304"/>
      <c r="K1956" s="304"/>
    </row>
    <row r="1957" spans="1:19">
      <c r="A1957" s="45">
        <v>44469</v>
      </c>
      <c r="B1957" s="14" t="s">
        <v>688</v>
      </c>
      <c r="C1957" s="46">
        <v>2079000</v>
      </c>
      <c r="D1957" s="46">
        <v>1890000</v>
      </c>
      <c r="E1957" s="46">
        <v>189000</v>
      </c>
      <c r="F1957" s="17" t="s">
        <v>687</v>
      </c>
      <c r="G1957" s="9">
        <v>44477</v>
      </c>
      <c r="I1957" s="18" t="s">
        <v>46</v>
      </c>
      <c r="J1957" s="36" t="s">
        <v>47</v>
      </c>
      <c r="K1957" s="36" t="s">
        <v>48</v>
      </c>
    </row>
    <row r="1958" spans="1:19">
      <c r="A1958" s="119"/>
      <c r="B1958" s="42"/>
      <c r="C1958" s="118"/>
      <c r="D1958" s="118"/>
      <c r="E1958" s="118"/>
      <c r="F1958" s="51"/>
      <c r="G1958" s="42"/>
      <c r="H1958" s="51"/>
      <c r="I1958" s="18">
        <f>SUM(C1916:C1958)</f>
        <v>273362050</v>
      </c>
      <c r="J1958" s="18">
        <f>SUM(D1916:D1958)</f>
        <v>248510955</v>
      </c>
      <c r="K1958" s="18">
        <f>SUM(E1916:E1958)</f>
        <v>24851095</v>
      </c>
      <c r="L1958" s="42"/>
      <c r="M1958" s="42"/>
      <c r="N1958" s="42"/>
      <c r="O1958" s="42"/>
      <c r="P1958" s="42"/>
      <c r="Q1958" s="42"/>
      <c r="R1958" s="42"/>
      <c r="S1958" s="42"/>
    </row>
    <row r="1959" spans="1:19">
      <c r="A1959" s="45">
        <v>44481</v>
      </c>
      <c r="B1959" s="14" t="s">
        <v>681</v>
      </c>
      <c r="C1959" s="46">
        <v>2035000</v>
      </c>
      <c r="D1959" s="46">
        <v>1850000</v>
      </c>
      <c r="E1959" s="46">
        <v>185000</v>
      </c>
      <c r="F1959" s="17" t="s">
        <v>691</v>
      </c>
      <c r="G1959" s="9">
        <v>44484</v>
      </c>
    </row>
    <row r="1960" spans="1:19">
      <c r="A1960" s="45">
        <v>44482</v>
      </c>
      <c r="B1960" s="14" t="s">
        <v>690</v>
      </c>
      <c r="C1960" s="46">
        <v>99000</v>
      </c>
      <c r="D1960" s="46">
        <v>90000</v>
      </c>
      <c r="E1960" s="46">
        <v>9000</v>
      </c>
      <c r="F1960" s="17" t="s">
        <v>13</v>
      </c>
      <c r="G1960" s="9">
        <v>44483</v>
      </c>
    </row>
    <row r="1961" spans="1:19">
      <c r="A1961" s="45">
        <v>44484</v>
      </c>
      <c r="B1961" s="14" t="s">
        <v>2</v>
      </c>
      <c r="C1961" s="46">
        <v>6406400</v>
      </c>
      <c r="D1961" s="46">
        <v>5824000</v>
      </c>
      <c r="E1961" s="46">
        <v>582400</v>
      </c>
      <c r="F1961" s="17" t="s">
        <v>424</v>
      </c>
      <c r="G1961" s="9">
        <v>44489</v>
      </c>
    </row>
    <row r="1962" spans="1:19">
      <c r="A1962" s="45">
        <v>44484</v>
      </c>
      <c r="B1962" s="14" t="s">
        <v>2</v>
      </c>
      <c r="C1962" s="46">
        <v>577500</v>
      </c>
      <c r="D1962" s="46">
        <v>525000</v>
      </c>
      <c r="E1962" s="46">
        <v>52500</v>
      </c>
      <c r="F1962" s="17" t="s">
        <v>692</v>
      </c>
      <c r="G1962" s="9">
        <v>44498</v>
      </c>
    </row>
    <row r="1963" spans="1:19">
      <c r="A1963" s="45">
        <v>44484</v>
      </c>
      <c r="B1963" s="14" t="s">
        <v>2</v>
      </c>
      <c r="C1963" s="46">
        <v>12960200</v>
      </c>
      <c r="D1963" s="46">
        <v>11782000</v>
      </c>
      <c r="E1963" s="46">
        <v>1178200</v>
      </c>
      <c r="F1963" s="17" t="s">
        <v>424</v>
      </c>
      <c r="G1963" s="9">
        <v>44489</v>
      </c>
    </row>
    <row r="1964" spans="1:19">
      <c r="A1964" s="45">
        <v>44484</v>
      </c>
      <c r="B1964" s="14" t="s">
        <v>2</v>
      </c>
      <c r="C1964" s="46">
        <v>365200</v>
      </c>
      <c r="D1964" s="46">
        <v>332000</v>
      </c>
      <c r="E1964" s="46">
        <v>33200</v>
      </c>
      <c r="F1964" s="17" t="s">
        <v>606</v>
      </c>
      <c r="G1964" s="9">
        <v>44489</v>
      </c>
    </row>
    <row r="1965" spans="1:19">
      <c r="A1965" s="45">
        <v>44484</v>
      </c>
      <c r="B1965" s="14" t="s">
        <v>2</v>
      </c>
      <c r="C1965" s="46">
        <v>2150500</v>
      </c>
      <c r="D1965" s="46">
        <v>1955000</v>
      </c>
      <c r="E1965" s="46">
        <v>195500</v>
      </c>
      <c r="F1965" s="17" t="s">
        <v>315</v>
      </c>
      <c r="G1965" s="9">
        <v>44489</v>
      </c>
    </row>
    <row r="1966" spans="1:19">
      <c r="A1966" s="45">
        <v>44484</v>
      </c>
      <c r="B1966" s="14" t="s">
        <v>2</v>
      </c>
      <c r="C1966" s="46">
        <v>1686300</v>
      </c>
      <c r="D1966" s="46">
        <v>1533000</v>
      </c>
      <c r="E1966" s="46">
        <v>153300</v>
      </c>
      <c r="F1966" s="17" t="s">
        <v>612</v>
      </c>
      <c r="G1966" s="9">
        <v>44498</v>
      </c>
    </row>
    <row r="1967" spans="1:19">
      <c r="A1967" s="45">
        <v>44484</v>
      </c>
      <c r="B1967" s="14" t="s">
        <v>2</v>
      </c>
      <c r="C1967" s="46">
        <v>3059100</v>
      </c>
      <c r="D1967" s="46">
        <v>2781000</v>
      </c>
      <c r="E1967" s="46">
        <v>278100</v>
      </c>
      <c r="F1967" s="17" t="s">
        <v>471</v>
      </c>
      <c r="G1967" s="9">
        <v>44489</v>
      </c>
    </row>
    <row r="1968" spans="1:19">
      <c r="A1968" s="45">
        <v>44484</v>
      </c>
      <c r="B1968" s="14" t="s">
        <v>2</v>
      </c>
      <c r="C1968" s="46">
        <v>4342800</v>
      </c>
      <c r="D1968" s="46">
        <v>3948000</v>
      </c>
      <c r="E1968" s="46">
        <v>394800</v>
      </c>
      <c r="F1968" s="17" t="s">
        <v>457</v>
      </c>
      <c r="G1968" s="9">
        <v>44489</v>
      </c>
    </row>
    <row r="1969" spans="1:11">
      <c r="A1969" s="45">
        <v>44484</v>
      </c>
      <c r="B1969" s="14" t="s">
        <v>2</v>
      </c>
      <c r="C1969" s="46">
        <v>1188000</v>
      </c>
      <c r="D1969" s="46">
        <v>1080000</v>
      </c>
      <c r="E1969" s="46">
        <v>108000</v>
      </c>
      <c r="F1969" s="17" t="s">
        <v>670</v>
      </c>
      <c r="G1969" s="9">
        <v>44489</v>
      </c>
      <c r="I1969" s="304" t="s">
        <v>682</v>
      </c>
      <c r="J1969" s="304"/>
      <c r="K1969" s="304"/>
    </row>
    <row r="1970" spans="1:11">
      <c r="A1970" s="45">
        <v>44484</v>
      </c>
      <c r="B1970" s="14" t="s">
        <v>2</v>
      </c>
      <c r="C1970" s="46">
        <v>12408000</v>
      </c>
      <c r="D1970" s="46">
        <v>11280000</v>
      </c>
      <c r="E1970" s="46">
        <v>1128000</v>
      </c>
      <c r="F1970" s="17" t="s">
        <v>456</v>
      </c>
      <c r="G1970" s="9">
        <v>44489</v>
      </c>
      <c r="I1970" s="18" t="s">
        <v>46</v>
      </c>
      <c r="J1970" s="36" t="s">
        <v>47</v>
      </c>
      <c r="K1970" s="36" t="s">
        <v>48</v>
      </c>
    </row>
    <row r="1971" spans="1:11">
      <c r="A1971" s="45">
        <v>44484</v>
      </c>
      <c r="B1971" s="14" t="s">
        <v>2</v>
      </c>
      <c r="C1971" s="46">
        <v>5108400</v>
      </c>
      <c r="D1971" s="46">
        <v>4644000</v>
      </c>
      <c r="E1971" s="46">
        <v>464400</v>
      </c>
      <c r="F1971" s="17" t="s">
        <v>646</v>
      </c>
      <c r="G1971" s="9">
        <v>44489</v>
      </c>
      <c r="I1971" s="18">
        <f>SUM(C1959:C2002)</f>
        <v>306080500</v>
      </c>
      <c r="J1971" s="18">
        <f>SUM(D1959:D2002)</f>
        <v>278255000</v>
      </c>
      <c r="K1971" s="18">
        <f>SUM(E1959:E2002)</f>
        <v>27825500</v>
      </c>
    </row>
    <row r="1972" spans="1:11">
      <c r="A1972" s="45">
        <v>44484</v>
      </c>
      <c r="B1972" s="14" t="s">
        <v>2</v>
      </c>
      <c r="C1972" s="46">
        <v>42411600</v>
      </c>
      <c r="D1972" s="46">
        <v>38556000</v>
      </c>
      <c r="E1972" s="46">
        <v>3855600</v>
      </c>
      <c r="F1972" s="17" t="s">
        <v>611</v>
      </c>
      <c r="G1972" s="9">
        <v>44489</v>
      </c>
    </row>
    <row r="1973" spans="1:11">
      <c r="A1973" s="45">
        <v>44500</v>
      </c>
      <c r="B1973" s="14" t="s">
        <v>2</v>
      </c>
      <c r="C1973" s="46">
        <v>12753400</v>
      </c>
      <c r="D1973" s="46">
        <v>11594000</v>
      </c>
      <c r="E1973" s="46">
        <v>1159400</v>
      </c>
      <c r="F1973" s="17" t="s">
        <v>424</v>
      </c>
      <c r="G1973" s="9">
        <v>44510</v>
      </c>
    </row>
    <row r="1974" spans="1:11">
      <c r="A1974" s="45">
        <v>44500</v>
      </c>
      <c r="B1974" s="14" t="s">
        <v>2</v>
      </c>
      <c r="C1974" s="46">
        <v>8621250</v>
      </c>
      <c r="D1974" s="46">
        <v>7837500</v>
      </c>
      <c r="E1974" s="46">
        <v>783750</v>
      </c>
      <c r="F1974" s="17" t="s">
        <v>424</v>
      </c>
      <c r="G1974" s="9">
        <v>44510</v>
      </c>
    </row>
    <row r="1975" spans="1:11">
      <c r="A1975" s="45">
        <v>44500</v>
      </c>
      <c r="B1975" s="14" t="s">
        <v>2</v>
      </c>
      <c r="C1975" s="46">
        <v>564300</v>
      </c>
      <c r="D1975" s="46">
        <v>513000</v>
      </c>
      <c r="E1975" s="46">
        <v>51300</v>
      </c>
      <c r="F1975" s="17" t="s">
        <v>254</v>
      </c>
      <c r="G1975" s="9">
        <v>44510</v>
      </c>
    </row>
    <row r="1976" spans="1:11">
      <c r="A1976" s="45">
        <v>44500</v>
      </c>
      <c r="B1976" s="14" t="s">
        <v>2</v>
      </c>
      <c r="C1976" s="46">
        <v>1259500</v>
      </c>
      <c r="D1976" s="46">
        <v>1145000</v>
      </c>
      <c r="E1976" s="46">
        <v>114500</v>
      </c>
      <c r="F1976" s="17" t="s">
        <v>315</v>
      </c>
      <c r="G1976" s="9">
        <v>44510</v>
      </c>
    </row>
    <row r="1977" spans="1:11">
      <c r="A1977" s="45">
        <v>44500</v>
      </c>
      <c r="B1977" s="14" t="s">
        <v>2</v>
      </c>
      <c r="C1977" s="46">
        <v>1662100</v>
      </c>
      <c r="D1977" s="46">
        <v>1511000</v>
      </c>
      <c r="E1977" s="46">
        <v>151100</v>
      </c>
      <c r="F1977" s="17" t="s">
        <v>612</v>
      </c>
      <c r="G1977" s="9">
        <v>44510</v>
      </c>
    </row>
    <row r="1978" spans="1:11">
      <c r="A1978" s="45">
        <v>44500</v>
      </c>
      <c r="B1978" s="14" t="s">
        <v>2</v>
      </c>
      <c r="C1978" s="46">
        <v>3285700</v>
      </c>
      <c r="D1978" s="46">
        <v>2987000</v>
      </c>
      <c r="E1978" s="46">
        <v>298700</v>
      </c>
      <c r="F1978" s="17" t="s">
        <v>471</v>
      </c>
      <c r="G1978" s="9">
        <v>44510</v>
      </c>
    </row>
    <row r="1979" spans="1:11">
      <c r="A1979" s="45">
        <v>44500</v>
      </c>
      <c r="B1979" s="14" t="s">
        <v>2</v>
      </c>
      <c r="C1979" s="46">
        <v>3281300</v>
      </c>
      <c r="D1979" s="46">
        <v>2983000</v>
      </c>
      <c r="E1979" s="46">
        <v>298300</v>
      </c>
      <c r="F1979" s="17" t="s">
        <v>457</v>
      </c>
      <c r="G1979" s="9">
        <v>44510</v>
      </c>
    </row>
    <row r="1980" spans="1:11">
      <c r="A1980" s="45">
        <v>44500</v>
      </c>
      <c r="B1980" s="14" t="s">
        <v>2</v>
      </c>
      <c r="C1980" s="46">
        <v>2970000</v>
      </c>
      <c r="D1980" s="46">
        <v>2700000</v>
      </c>
      <c r="E1980" s="46">
        <v>270000</v>
      </c>
      <c r="F1980" s="17" t="s">
        <v>646</v>
      </c>
      <c r="G1980" s="9">
        <v>44510</v>
      </c>
    </row>
    <row r="1981" spans="1:11">
      <c r="A1981" s="45">
        <v>44500</v>
      </c>
      <c r="B1981" s="14" t="s">
        <v>2</v>
      </c>
      <c r="C1981" s="46">
        <v>1584000</v>
      </c>
      <c r="D1981" s="46">
        <v>1440000</v>
      </c>
      <c r="E1981" s="46">
        <v>144000</v>
      </c>
      <c r="F1981" s="17" t="s">
        <v>245</v>
      </c>
      <c r="G1981" s="9">
        <v>44510</v>
      </c>
    </row>
    <row r="1982" spans="1:11">
      <c r="A1982" s="45">
        <v>44500</v>
      </c>
      <c r="B1982" s="14" t="s">
        <v>2</v>
      </c>
      <c r="C1982" s="46">
        <v>41170800</v>
      </c>
      <c r="D1982" s="46">
        <v>37428000</v>
      </c>
      <c r="E1982" s="46">
        <v>3742800</v>
      </c>
      <c r="F1982" s="17" t="s">
        <v>611</v>
      </c>
      <c r="G1982" s="9">
        <v>44510</v>
      </c>
    </row>
    <row r="1983" spans="1:11">
      <c r="A1983" s="45">
        <v>44500</v>
      </c>
      <c r="B1983" s="14" t="s">
        <v>2</v>
      </c>
      <c r="C1983" s="46">
        <v>13838000</v>
      </c>
      <c r="D1983" s="46">
        <v>12580000</v>
      </c>
      <c r="E1983" s="46">
        <v>1258000</v>
      </c>
      <c r="F1983" s="17" t="s">
        <v>456</v>
      </c>
      <c r="G1983" s="9">
        <v>44510</v>
      </c>
    </row>
    <row r="1984" spans="1:11">
      <c r="A1984" s="45">
        <v>44500</v>
      </c>
      <c r="B1984" s="14" t="s">
        <v>696</v>
      </c>
      <c r="C1984" s="46">
        <v>5076500</v>
      </c>
      <c r="D1984" s="46">
        <v>4615000</v>
      </c>
      <c r="E1984" s="46">
        <v>461500</v>
      </c>
      <c r="F1984" s="17" t="s">
        <v>687</v>
      </c>
      <c r="G1984" s="9">
        <v>44540</v>
      </c>
    </row>
    <row r="1985" spans="1:8">
      <c r="A1985" s="45">
        <v>44500</v>
      </c>
      <c r="B1985" s="14" t="s">
        <v>432</v>
      </c>
      <c r="C1985" s="46">
        <v>2405700</v>
      </c>
      <c r="D1985" s="46">
        <v>2187000</v>
      </c>
      <c r="E1985" s="46">
        <v>218700</v>
      </c>
      <c r="F1985" s="17" t="s">
        <v>697</v>
      </c>
      <c r="G1985" s="9">
        <v>44512</v>
      </c>
    </row>
    <row r="1986" spans="1:8">
      <c r="A1986" s="45">
        <v>44500</v>
      </c>
      <c r="B1986" s="14" t="s">
        <v>432</v>
      </c>
      <c r="C1986" s="46">
        <v>4338400</v>
      </c>
      <c r="D1986" s="46">
        <v>3944000</v>
      </c>
      <c r="E1986" s="46">
        <v>394400</v>
      </c>
      <c r="F1986" s="17" t="s">
        <v>165</v>
      </c>
      <c r="G1986" s="9">
        <v>44512</v>
      </c>
    </row>
    <row r="1987" spans="1:8">
      <c r="A1987" s="45">
        <v>44500</v>
      </c>
      <c r="B1987" s="14" t="s">
        <v>432</v>
      </c>
      <c r="C1987" s="46">
        <v>1524600</v>
      </c>
      <c r="D1987" s="46">
        <v>1386000</v>
      </c>
      <c r="E1987" s="46">
        <v>138600</v>
      </c>
      <c r="F1987" s="17" t="s">
        <v>476</v>
      </c>
      <c r="G1987" s="9">
        <v>44512</v>
      </c>
    </row>
    <row r="1988" spans="1:8">
      <c r="A1988" s="45">
        <v>44500</v>
      </c>
      <c r="B1988" s="14" t="s">
        <v>432</v>
      </c>
      <c r="C1988" s="46">
        <v>96250</v>
      </c>
      <c r="D1988" s="46">
        <v>87500</v>
      </c>
      <c r="E1988" s="46">
        <v>8750</v>
      </c>
      <c r="F1988" s="17" t="s">
        <v>588</v>
      </c>
      <c r="G1988" s="9">
        <v>44516</v>
      </c>
    </row>
    <row r="1989" spans="1:8">
      <c r="A1989" s="45">
        <v>44500</v>
      </c>
      <c r="B1989" s="14" t="s">
        <v>432</v>
      </c>
      <c r="C1989" s="46">
        <v>16643000</v>
      </c>
      <c r="D1989" s="46">
        <v>15130000</v>
      </c>
      <c r="E1989" s="46">
        <v>1513000</v>
      </c>
      <c r="F1989" s="17" t="s">
        <v>647</v>
      </c>
      <c r="G1989" s="9">
        <v>44512</v>
      </c>
    </row>
    <row r="1990" spans="1:8">
      <c r="A1990" s="45">
        <v>44500</v>
      </c>
      <c r="B1990" s="14" t="s">
        <v>432</v>
      </c>
      <c r="C1990" s="46">
        <v>182600</v>
      </c>
      <c r="D1990" s="46">
        <v>166000</v>
      </c>
      <c r="E1990" s="46">
        <v>16600</v>
      </c>
      <c r="F1990" s="17" t="s">
        <v>65</v>
      </c>
      <c r="G1990" s="9">
        <v>44516</v>
      </c>
    </row>
    <row r="1991" spans="1:8">
      <c r="A1991" s="45">
        <v>44500</v>
      </c>
      <c r="B1991" s="14" t="s">
        <v>449</v>
      </c>
      <c r="C1991" s="46">
        <v>4983000</v>
      </c>
      <c r="D1991" s="46">
        <v>4530000</v>
      </c>
      <c r="E1991" s="46">
        <v>453000</v>
      </c>
      <c r="F1991" s="17" t="s">
        <v>13</v>
      </c>
      <c r="G1991" s="9">
        <v>44530</v>
      </c>
    </row>
    <row r="1992" spans="1:8">
      <c r="A1992" s="45">
        <v>44500</v>
      </c>
      <c r="B1992" s="14" t="s">
        <v>644</v>
      </c>
      <c r="C1992" s="46">
        <v>1625800</v>
      </c>
      <c r="D1992" s="46">
        <v>1478000</v>
      </c>
      <c r="E1992" s="46">
        <v>147800</v>
      </c>
      <c r="F1992" s="17" t="s">
        <v>685</v>
      </c>
      <c r="G1992" s="9">
        <v>44510</v>
      </c>
    </row>
    <row r="1993" spans="1:8">
      <c r="A1993" s="45">
        <v>44500</v>
      </c>
      <c r="B1993" s="14" t="s">
        <v>644</v>
      </c>
      <c r="C1993" s="46">
        <v>3405600</v>
      </c>
      <c r="D1993" s="46">
        <v>3096000</v>
      </c>
      <c r="E1993" s="46">
        <v>309600</v>
      </c>
      <c r="F1993" s="17" t="s">
        <v>303</v>
      </c>
      <c r="G1993" s="9">
        <v>44510</v>
      </c>
    </row>
    <row r="1994" spans="1:8">
      <c r="A1994" s="45">
        <v>44500</v>
      </c>
      <c r="B1994" s="14" t="s">
        <v>644</v>
      </c>
      <c r="C1994" s="46">
        <v>793100</v>
      </c>
      <c r="D1994" s="46">
        <v>721000</v>
      </c>
      <c r="E1994" s="46">
        <v>72100</v>
      </c>
      <c r="F1994" s="17" t="s">
        <v>641</v>
      </c>
      <c r="G1994" s="9">
        <v>44510</v>
      </c>
    </row>
    <row r="1995" spans="1:8">
      <c r="A1995" s="45">
        <v>44500</v>
      </c>
      <c r="B1995" s="14" t="s">
        <v>644</v>
      </c>
      <c r="C1995" s="46">
        <v>226600</v>
      </c>
      <c r="D1995" s="46">
        <v>206000</v>
      </c>
      <c r="E1995" s="46">
        <v>20600</v>
      </c>
      <c r="F1995" s="17" t="s">
        <v>684</v>
      </c>
      <c r="G1995" s="9">
        <v>44510</v>
      </c>
    </row>
    <row r="1996" spans="1:8">
      <c r="A1996" s="45">
        <v>44500</v>
      </c>
      <c r="B1996" s="14" t="s">
        <v>63</v>
      </c>
      <c r="C1996" s="46">
        <v>308000</v>
      </c>
      <c r="D1996" s="46">
        <v>280000</v>
      </c>
      <c r="E1996" s="46">
        <v>28000</v>
      </c>
      <c r="F1996" s="17" t="s">
        <v>13</v>
      </c>
      <c r="G1996" s="9">
        <v>44505</v>
      </c>
      <c r="H1996" s="17" t="s">
        <v>698</v>
      </c>
    </row>
    <row r="1997" spans="1:8">
      <c r="A1997" s="45">
        <v>44500</v>
      </c>
      <c r="B1997" s="14" t="s">
        <v>79</v>
      </c>
      <c r="C1997" s="46">
        <v>396000</v>
      </c>
      <c r="D1997" s="46">
        <v>360000</v>
      </c>
      <c r="E1997" s="46">
        <v>36000</v>
      </c>
      <c r="F1997" s="17" t="s">
        <v>13</v>
      </c>
      <c r="G1997" s="9">
        <v>44531</v>
      </c>
    </row>
    <row r="1998" spans="1:8">
      <c r="A1998" s="45">
        <v>44500</v>
      </c>
      <c r="B1998" s="14" t="s">
        <v>385</v>
      </c>
      <c r="C1998" s="46">
        <v>11310200</v>
      </c>
      <c r="D1998" s="46">
        <v>10282000</v>
      </c>
      <c r="E1998" s="46">
        <v>1028200</v>
      </c>
      <c r="F1998" s="17" t="s">
        <v>69</v>
      </c>
      <c r="G1998" s="9">
        <v>44510</v>
      </c>
    </row>
    <row r="1999" spans="1:8">
      <c r="A1999" s="45">
        <v>44500</v>
      </c>
      <c r="B1999" s="14" t="s">
        <v>385</v>
      </c>
      <c r="C1999" s="46">
        <v>21249800</v>
      </c>
      <c r="D1999" s="46">
        <v>19318000</v>
      </c>
      <c r="E1999" s="46">
        <v>1931800</v>
      </c>
      <c r="F1999" s="17" t="s">
        <v>474</v>
      </c>
      <c r="G1999" s="9">
        <v>44510</v>
      </c>
    </row>
    <row r="2000" spans="1:8">
      <c r="A2000" s="45">
        <v>44500</v>
      </c>
      <c r="B2000" s="14" t="s">
        <v>385</v>
      </c>
      <c r="C2000" s="46">
        <v>732600</v>
      </c>
      <c r="D2000" s="46">
        <v>666000</v>
      </c>
      <c r="E2000" s="46">
        <v>66600</v>
      </c>
      <c r="F2000" s="17" t="s">
        <v>386</v>
      </c>
      <c r="G2000" s="9">
        <v>44510</v>
      </c>
    </row>
    <row r="2001" spans="1:19">
      <c r="A2001" s="45">
        <v>44500</v>
      </c>
      <c r="B2001" s="14" t="s">
        <v>385</v>
      </c>
      <c r="C2001" s="46">
        <v>44774400</v>
      </c>
      <c r="D2001" s="46">
        <v>40704000</v>
      </c>
      <c r="E2001" s="46">
        <v>4070400</v>
      </c>
      <c r="F2001" s="17" t="s">
        <v>387</v>
      </c>
      <c r="G2001" s="9">
        <v>44510</v>
      </c>
    </row>
    <row r="2002" spans="1:19">
      <c r="A2002" s="119">
        <v>44500</v>
      </c>
      <c r="B2002" s="42" t="s">
        <v>693</v>
      </c>
      <c r="C2002" s="118">
        <v>220000</v>
      </c>
      <c r="D2002" s="118">
        <v>200000</v>
      </c>
      <c r="E2002" s="118">
        <v>20000</v>
      </c>
      <c r="F2002" s="51" t="s">
        <v>13</v>
      </c>
      <c r="G2002" s="10">
        <v>44504</v>
      </c>
      <c r="H2002" s="51"/>
      <c r="I2002" s="121"/>
      <c r="J2002" s="122"/>
      <c r="K2002" s="42"/>
      <c r="L2002" s="42"/>
      <c r="M2002" s="42"/>
      <c r="N2002" s="42"/>
      <c r="O2002" s="42"/>
      <c r="P2002" s="42"/>
      <c r="Q2002" s="42"/>
      <c r="R2002" s="42"/>
      <c r="S2002" s="42"/>
    </row>
    <row r="2003" spans="1:19">
      <c r="A2003" s="45">
        <v>44515</v>
      </c>
      <c r="B2003" s="14" t="s">
        <v>2</v>
      </c>
      <c r="C2003" s="46">
        <v>14201000</v>
      </c>
      <c r="D2003" s="46">
        <v>12910000</v>
      </c>
      <c r="E2003" s="46">
        <v>1291000</v>
      </c>
      <c r="F2003" s="17" t="s">
        <v>456</v>
      </c>
      <c r="G2003" s="9">
        <v>44522</v>
      </c>
    </row>
    <row r="2004" spans="1:19">
      <c r="A2004" s="45">
        <v>44515</v>
      </c>
      <c r="B2004" s="14" t="s">
        <v>2</v>
      </c>
      <c r="C2004" s="46">
        <v>6529600</v>
      </c>
      <c r="D2004" s="46">
        <v>5936000</v>
      </c>
      <c r="E2004" s="46">
        <v>593600</v>
      </c>
      <c r="F2004" s="17" t="s">
        <v>424</v>
      </c>
      <c r="G2004" s="9">
        <v>44522</v>
      </c>
    </row>
    <row r="2005" spans="1:19">
      <c r="A2005" s="45">
        <v>44515</v>
      </c>
      <c r="B2005" s="14" t="s">
        <v>2</v>
      </c>
      <c r="C2005" s="46">
        <v>13852300</v>
      </c>
      <c r="D2005" s="46">
        <v>12593000</v>
      </c>
      <c r="E2005" s="46">
        <v>1259300</v>
      </c>
      <c r="F2005" s="17" t="s">
        <v>424</v>
      </c>
      <c r="G2005" s="9">
        <v>44522</v>
      </c>
    </row>
    <row r="2006" spans="1:19">
      <c r="A2006" s="45">
        <v>44515</v>
      </c>
      <c r="B2006" s="14" t="s">
        <v>2</v>
      </c>
      <c r="C2006" s="46">
        <v>906400</v>
      </c>
      <c r="D2006" s="46">
        <v>824000</v>
      </c>
      <c r="E2006" s="46">
        <v>82400</v>
      </c>
      <c r="F2006" s="17" t="s">
        <v>606</v>
      </c>
      <c r="G2006" s="9">
        <v>44522</v>
      </c>
    </row>
    <row r="2007" spans="1:19">
      <c r="A2007" s="45">
        <v>44515</v>
      </c>
      <c r="B2007" s="14" t="s">
        <v>2</v>
      </c>
      <c r="C2007" s="46">
        <v>1496000</v>
      </c>
      <c r="D2007" s="46">
        <v>1360000</v>
      </c>
      <c r="E2007" s="46">
        <v>136000</v>
      </c>
      <c r="F2007" s="17" t="s">
        <v>315</v>
      </c>
      <c r="G2007" s="9">
        <v>44522</v>
      </c>
    </row>
    <row r="2008" spans="1:19">
      <c r="A2008" s="45">
        <v>44515</v>
      </c>
      <c r="B2008" s="14" t="s">
        <v>2</v>
      </c>
      <c r="C2008" s="46">
        <v>1237500</v>
      </c>
      <c r="D2008" s="46">
        <v>1125000</v>
      </c>
      <c r="E2008" s="46">
        <v>112500</v>
      </c>
      <c r="F2008" s="17" t="s">
        <v>612</v>
      </c>
      <c r="G2008" s="9">
        <v>44522</v>
      </c>
    </row>
    <row r="2009" spans="1:19">
      <c r="A2009" s="45">
        <v>44515</v>
      </c>
      <c r="B2009" s="14" t="s">
        <v>2</v>
      </c>
      <c r="C2009" s="46">
        <v>3738900</v>
      </c>
      <c r="D2009" s="46">
        <v>3399000</v>
      </c>
      <c r="E2009" s="46">
        <v>339900</v>
      </c>
      <c r="F2009" s="17" t="s">
        <v>471</v>
      </c>
      <c r="G2009" s="9">
        <v>44522</v>
      </c>
    </row>
    <row r="2010" spans="1:19">
      <c r="A2010" s="45">
        <v>44515</v>
      </c>
      <c r="B2010" s="14" t="s">
        <v>2</v>
      </c>
      <c r="C2010" s="46">
        <v>4357100</v>
      </c>
      <c r="D2010" s="46">
        <v>3961000</v>
      </c>
      <c r="E2010" s="46">
        <v>396100</v>
      </c>
      <c r="F2010" s="17" t="s">
        <v>457</v>
      </c>
      <c r="G2010" s="9">
        <v>44522</v>
      </c>
    </row>
    <row r="2011" spans="1:19">
      <c r="A2011" s="45">
        <v>44515</v>
      </c>
      <c r="B2011" s="14" t="s">
        <v>2</v>
      </c>
      <c r="C2011" s="46">
        <v>4633200</v>
      </c>
      <c r="D2011" s="46">
        <v>4212000</v>
      </c>
      <c r="E2011" s="46">
        <v>421200</v>
      </c>
      <c r="F2011" s="17" t="s">
        <v>646</v>
      </c>
      <c r="G2011" s="9">
        <v>44522</v>
      </c>
    </row>
    <row r="2012" spans="1:19">
      <c r="A2012" s="45">
        <v>44515</v>
      </c>
      <c r="B2012" s="14" t="s">
        <v>2</v>
      </c>
      <c r="C2012" s="46">
        <v>17701200</v>
      </c>
      <c r="D2012" s="46">
        <v>16092000</v>
      </c>
      <c r="E2012" s="46">
        <v>1609200</v>
      </c>
      <c r="F2012" s="17" t="s">
        <v>611</v>
      </c>
      <c r="G2012" s="9">
        <v>44522</v>
      </c>
    </row>
    <row r="2013" spans="1:19">
      <c r="A2013" s="45">
        <v>44515</v>
      </c>
      <c r="B2013" s="14" t="s">
        <v>2</v>
      </c>
      <c r="C2013" s="46">
        <v>924000</v>
      </c>
      <c r="D2013" s="46">
        <v>840000</v>
      </c>
      <c r="E2013" s="46">
        <v>84000</v>
      </c>
      <c r="F2013" s="17" t="s">
        <v>699</v>
      </c>
      <c r="G2013" s="9">
        <v>44522</v>
      </c>
    </row>
    <row r="2014" spans="1:19">
      <c r="A2014" s="45">
        <v>44515</v>
      </c>
      <c r="B2014" s="14" t="s">
        <v>712</v>
      </c>
      <c r="C2014" s="46">
        <v>132000000</v>
      </c>
      <c r="D2014" s="46">
        <v>120000000</v>
      </c>
      <c r="E2014" s="46">
        <v>12000000</v>
      </c>
      <c r="F2014" s="17" t="s">
        <v>13</v>
      </c>
      <c r="G2014" s="123" t="s">
        <v>716</v>
      </c>
    </row>
    <row r="2015" spans="1:19">
      <c r="A2015" s="45">
        <v>44525</v>
      </c>
      <c r="B2015" s="14" t="s">
        <v>707</v>
      </c>
      <c r="C2015" s="46">
        <v>396000</v>
      </c>
      <c r="D2015" s="46">
        <v>360000</v>
      </c>
      <c r="E2015" s="46">
        <v>36000</v>
      </c>
      <c r="F2015" s="17" t="s">
        <v>708</v>
      </c>
      <c r="G2015" s="9">
        <v>44539</v>
      </c>
    </row>
    <row r="2016" spans="1:19">
      <c r="A2016" s="45">
        <v>44530</v>
      </c>
      <c r="B2016" s="14" t="s">
        <v>712</v>
      </c>
      <c r="C2016" s="46">
        <v>82853650</v>
      </c>
      <c r="D2016" s="46">
        <v>75321500</v>
      </c>
      <c r="E2016" s="46">
        <v>7532150</v>
      </c>
      <c r="F2016" s="17" t="s">
        <v>13</v>
      </c>
      <c r="G2016" s="9">
        <v>44566</v>
      </c>
    </row>
    <row r="2017" spans="1:14">
      <c r="A2017" s="45">
        <v>44530</v>
      </c>
      <c r="B2017" s="14" t="s">
        <v>701</v>
      </c>
      <c r="C2017" s="46">
        <v>308000</v>
      </c>
      <c r="D2017" s="46">
        <v>280000</v>
      </c>
      <c r="E2017" s="46">
        <v>28000</v>
      </c>
      <c r="F2017" s="17" t="s">
        <v>706</v>
      </c>
      <c r="G2017" s="9">
        <v>44539</v>
      </c>
    </row>
    <row r="2018" spans="1:14">
      <c r="A2018" s="45">
        <v>44530</v>
      </c>
      <c r="B2018" s="14" t="s">
        <v>63</v>
      </c>
      <c r="C2018" s="46">
        <v>77000</v>
      </c>
      <c r="D2018" s="46">
        <v>70000</v>
      </c>
      <c r="E2018" s="46">
        <v>7000</v>
      </c>
      <c r="F2018" s="17" t="s">
        <v>13</v>
      </c>
      <c r="G2018" s="9">
        <v>44533</v>
      </c>
      <c r="H2018" s="17" t="s">
        <v>711</v>
      </c>
    </row>
    <row r="2019" spans="1:14">
      <c r="A2019" s="45">
        <v>44530</v>
      </c>
      <c r="B2019" s="14" t="s">
        <v>79</v>
      </c>
      <c r="C2019" s="46">
        <v>242000</v>
      </c>
      <c r="D2019" s="46">
        <v>220000</v>
      </c>
      <c r="E2019" s="46">
        <v>22000</v>
      </c>
      <c r="F2019" s="17" t="s">
        <v>13</v>
      </c>
      <c r="G2019" s="9">
        <v>44790</v>
      </c>
      <c r="I2019" s="304" t="s">
        <v>694</v>
      </c>
      <c r="J2019" s="304"/>
      <c r="K2019" s="304"/>
    </row>
    <row r="2020" spans="1:14">
      <c r="A2020" s="45">
        <v>44530</v>
      </c>
      <c r="B2020" s="14" t="s">
        <v>82</v>
      </c>
      <c r="C2020" s="46">
        <v>528000</v>
      </c>
      <c r="D2020" s="46">
        <v>480000</v>
      </c>
      <c r="E2020" s="46">
        <v>48000</v>
      </c>
      <c r="F2020" s="17" t="s">
        <v>13</v>
      </c>
      <c r="G2020" s="9">
        <v>44545</v>
      </c>
      <c r="H2020" s="17" t="s">
        <v>713</v>
      </c>
      <c r="I2020" s="18" t="s">
        <v>46</v>
      </c>
      <c r="J2020" s="36" t="s">
        <v>47</v>
      </c>
      <c r="K2020" s="36" t="s">
        <v>48</v>
      </c>
    </row>
    <row r="2021" spans="1:14">
      <c r="A2021" s="45">
        <v>44530</v>
      </c>
      <c r="B2021" s="14" t="s">
        <v>449</v>
      </c>
      <c r="C2021" s="46">
        <v>2871000</v>
      </c>
      <c r="D2021" s="46">
        <v>2610000</v>
      </c>
      <c r="E2021" s="46">
        <v>261000</v>
      </c>
      <c r="F2021" s="17" t="s">
        <v>13</v>
      </c>
      <c r="G2021" s="9">
        <v>44575</v>
      </c>
      <c r="I2021" s="18">
        <f>SUM(C2003:C2051)</f>
        <v>488344538</v>
      </c>
      <c r="J2021" s="18">
        <f>SUM(D2003:D2051)</f>
        <v>443949580</v>
      </c>
      <c r="K2021" s="18">
        <f>SUM(E2003:E2051)</f>
        <v>44394958</v>
      </c>
      <c r="M2021" s="124"/>
      <c r="N2021" s="46"/>
    </row>
    <row r="2022" spans="1:14">
      <c r="A2022" s="45">
        <v>44530</v>
      </c>
      <c r="B2022" s="14" t="s">
        <v>696</v>
      </c>
      <c r="C2022" s="46">
        <v>2420000</v>
      </c>
      <c r="D2022" s="46">
        <v>2200000</v>
      </c>
      <c r="E2022" s="46">
        <v>220000</v>
      </c>
      <c r="F2022" s="17" t="s">
        <v>687</v>
      </c>
      <c r="G2022" s="9">
        <v>44571</v>
      </c>
      <c r="M2022" s="124"/>
      <c r="N2022" s="46"/>
    </row>
    <row r="2023" spans="1:14">
      <c r="A2023" s="45">
        <v>44530</v>
      </c>
      <c r="B2023" s="14" t="s">
        <v>432</v>
      </c>
      <c r="C2023" s="46">
        <v>1270500</v>
      </c>
      <c r="D2023" s="46">
        <v>1155000</v>
      </c>
      <c r="E2023" s="46">
        <v>115500</v>
      </c>
      <c r="F2023" s="17" t="s">
        <v>702</v>
      </c>
      <c r="G2023" s="9">
        <v>44548</v>
      </c>
      <c r="M2023" s="124"/>
      <c r="N2023" s="46"/>
    </row>
    <row r="2024" spans="1:14">
      <c r="A2024" s="45">
        <v>44530</v>
      </c>
      <c r="B2024" s="14" t="s">
        <v>432</v>
      </c>
      <c r="C2024" s="46">
        <v>5612200</v>
      </c>
      <c r="D2024" s="46">
        <v>5102000</v>
      </c>
      <c r="E2024" s="46">
        <v>510200</v>
      </c>
      <c r="F2024" s="17" t="s">
        <v>165</v>
      </c>
      <c r="G2024" s="9">
        <v>44548</v>
      </c>
      <c r="M2024" s="124"/>
      <c r="N2024" s="46"/>
    </row>
    <row r="2025" spans="1:14">
      <c r="A2025" s="45">
        <v>44530</v>
      </c>
      <c r="B2025" s="14" t="s">
        <v>432</v>
      </c>
      <c r="C2025" s="46">
        <v>1477300</v>
      </c>
      <c r="D2025" s="46">
        <v>1343000</v>
      </c>
      <c r="E2025" s="46">
        <v>134300</v>
      </c>
      <c r="F2025" s="17" t="s">
        <v>476</v>
      </c>
      <c r="G2025" s="9">
        <v>44548</v>
      </c>
      <c r="M2025" s="124"/>
      <c r="N2025" s="46"/>
    </row>
    <row r="2026" spans="1:14">
      <c r="A2026" s="45">
        <v>44530</v>
      </c>
      <c r="B2026" s="14" t="s">
        <v>432</v>
      </c>
      <c r="C2026" s="46">
        <v>487300</v>
      </c>
      <c r="D2026" s="46">
        <v>443000</v>
      </c>
      <c r="E2026" s="46">
        <v>44300</v>
      </c>
      <c r="F2026" s="17" t="s">
        <v>588</v>
      </c>
      <c r="G2026" s="9">
        <v>44548</v>
      </c>
      <c r="M2026" s="124"/>
      <c r="N2026" s="46"/>
    </row>
    <row r="2027" spans="1:14">
      <c r="A2027" s="45">
        <v>44530</v>
      </c>
      <c r="B2027" s="14" t="s">
        <v>432</v>
      </c>
      <c r="C2027" s="46">
        <v>25338500</v>
      </c>
      <c r="D2027" s="46">
        <v>23035000</v>
      </c>
      <c r="E2027" s="46">
        <v>2303500</v>
      </c>
      <c r="F2027" s="17" t="s">
        <v>313</v>
      </c>
      <c r="G2027" s="9">
        <v>44548</v>
      </c>
      <c r="M2027" s="124"/>
      <c r="N2027" s="46"/>
    </row>
    <row r="2028" spans="1:14">
      <c r="A2028" s="45">
        <v>44530</v>
      </c>
      <c r="B2028" s="14" t="s">
        <v>432</v>
      </c>
      <c r="C2028" s="46">
        <v>594000</v>
      </c>
      <c r="D2028" s="46">
        <v>540000</v>
      </c>
      <c r="E2028" s="46">
        <v>54000</v>
      </c>
      <c r="F2028" s="17" t="s">
        <v>571</v>
      </c>
      <c r="G2028" s="9">
        <v>44548</v>
      </c>
      <c r="M2028" s="124"/>
      <c r="N2028" s="46"/>
    </row>
    <row r="2029" spans="1:14">
      <c r="A2029" s="45">
        <v>44530</v>
      </c>
      <c r="B2029" s="14" t="s">
        <v>432</v>
      </c>
      <c r="C2029" s="46">
        <v>365200</v>
      </c>
      <c r="D2029" s="46">
        <v>332000</v>
      </c>
      <c r="E2029" s="46">
        <v>33200</v>
      </c>
      <c r="F2029" s="17" t="s">
        <v>320</v>
      </c>
      <c r="G2029" s="9">
        <v>44540</v>
      </c>
      <c r="M2029" s="124"/>
      <c r="N2029" s="46"/>
    </row>
    <row r="2030" spans="1:14">
      <c r="A2030" s="45">
        <v>44530</v>
      </c>
      <c r="B2030" s="14" t="s">
        <v>644</v>
      </c>
      <c r="C2030" s="46">
        <v>500500</v>
      </c>
      <c r="D2030" s="46">
        <v>455000</v>
      </c>
      <c r="E2030" s="46">
        <v>45500</v>
      </c>
      <c r="F2030" s="17" t="s">
        <v>685</v>
      </c>
      <c r="G2030" s="9">
        <v>44540</v>
      </c>
      <c r="M2030" s="124"/>
      <c r="N2030" s="46"/>
    </row>
    <row r="2031" spans="1:14">
      <c r="A2031" s="45">
        <v>44530</v>
      </c>
      <c r="B2031" s="14" t="s">
        <v>644</v>
      </c>
      <c r="C2031" s="46">
        <v>8164200</v>
      </c>
      <c r="D2031" s="46">
        <v>7422000</v>
      </c>
      <c r="E2031" s="46">
        <v>742200</v>
      </c>
      <c r="F2031" s="17" t="s">
        <v>303</v>
      </c>
      <c r="G2031" s="9">
        <v>44540</v>
      </c>
      <c r="M2031" s="124"/>
      <c r="N2031" s="46"/>
    </row>
    <row r="2032" spans="1:14">
      <c r="A2032" s="45">
        <v>44530</v>
      </c>
      <c r="B2032" s="14" t="s">
        <v>644</v>
      </c>
      <c r="C2032" s="46">
        <v>113300</v>
      </c>
      <c r="D2032" s="46">
        <v>103000</v>
      </c>
      <c r="E2032" s="46">
        <v>10300</v>
      </c>
      <c r="F2032" s="17" t="s">
        <v>641</v>
      </c>
      <c r="G2032" s="9">
        <v>44540</v>
      </c>
      <c r="M2032" s="124"/>
      <c r="N2032" s="46"/>
    </row>
    <row r="2033" spans="1:14">
      <c r="A2033" s="45">
        <v>44530</v>
      </c>
      <c r="B2033" s="14" t="s">
        <v>703</v>
      </c>
      <c r="C2033" s="46">
        <v>60500</v>
      </c>
      <c r="D2033" s="46">
        <v>55000</v>
      </c>
      <c r="E2033" s="46">
        <v>5500</v>
      </c>
      <c r="F2033" s="17" t="s">
        <v>375</v>
      </c>
      <c r="G2033" s="30" t="s">
        <v>869</v>
      </c>
      <c r="M2033" s="124"/>
      <c r="N2033" s="46"/>
    </row>
    <row r="2034" spans="1:14">
      <c r="A2034" s="55">
        <v>44530</v>
      </c>
      <c r="B2034" s="30" t="s">
        <v>703</v>
      </c>
      <c r="C2034" s="120">
        <v>-60500</v>
      </c>
      <c r="D2034" s="120">
        <v>-55000</v>
      </c>
      <c r="E2034" s="120">
        <v>-5500</v>
      </c>
      <c r="F2034" s="31" t="s">
        <v>375</v>
      </c>
      <c r="G2034" s="30" t="s">
        <v>869</v>
      </c>
      <c r="M2034" s="124"/>
      <c r="N2034" s="46"/>
    </row>
    <row r="2035" spans="1:14">
      <c r="A2035" s="45">
        <v>44530</v>
      </c>
      <c r="B2035" s="14" t="s">
        <v>627</v>
      </c>
      <c r="C2035" s="46">
        <v>4147000</v>
      </c>
      <c r="D2035" s="46">
        <v>3770000</v>
      </c>
      <c r="E2035" s="46">
        <v>377000</v>
      </c>
      <c r="F2035" s="17" t="s">
        <v>704</v>
      </c>
      <c r="G2035" s="9">
        <v>44540</v>
      </c>
      <c r="M2035" s="124"/>
      <c r="N2035" s="46"/>
    </row>
    <row r="2036" spans="1:14">
      <c r="A2036" s="45">
        <v>44530</v>
      </c>
      <c r="B2036" s="14" t="s">
        <v>2</v>
      </c>
      <c r="C2036" s="46">
        <v>17512000</v>
      </c>
      <c r="D2036" s="46">
        <v>15920000</v>
      </c>
      <c r="E2036" s="46">
        <v>1592000</v>
      </c>
      <c r="F2036" s="17" t="s">
        <v>456</v>
      </c>
      <c r="G2036" s="9">
        <v>44540</v>
      </c>
      <c r="M2036" s="124"/>
      <c r="N2036" s="46"/>
    </row>
    <row r="2037" spans="1:14">
      <c r="A2037" s="45">
        <v>44530</v>
      </c>
      <c r="B2037" s="14" t="s">
        <v>2</v>
      </c>
      <c r="C2037" s="46">
        <v>8673588</v>
      </c>
      <c r="D2037" s="46">
        <v>7885080</v>
      </c>
      <c r="E2037" s="46">
        <v>788508</v>
      </c>
      <c r="F2037" s="17" t="s">
        <v>424</v>
      </c>
      <c r="G2037" s="9">
        <v>44540</v>
      </c>
      <c r="M2037" s="124"/>
      <c r="N2037" s="46"/>
    </row>
    <row r="2038" spans="1:14">
      <c r="A2038" s="45">
        <v>44530</v>
      </c>
      <c r="B2038" s="14" t="s">
        <v>2</v>
      </c>
      <c r="C2038" s="46">
        <v>12977800</v>
      </c>
      <c r="D2038" s="46">
        <v>11798000</v>
      </c>
      <c r="E2038" s="46">
        <v>1179800</v>
      </c>
      <c r="F2038" s="17" t="s">
        <v>424</v>
      </c>
      <c r="G2038" s="9">
        <v>44540</v>
      </c>
      <c r="M2038" s="124"/>
      <c r="N2038" s="46"/>
    </row>
    <row r="2039" spans="1:14">
      <c r="A2039" s="45">
        <v>44530</v>
      </c>
      <c r="B2039" s="14" t="s">
        <v>2</v>
      </c>
      <c r="C2039" s="46">
        <v>2052600</v>
      </c>
      <c r="D2039" s="46">
        <v>1866000</v>
      </c>
      <c r="E2039" s="46">
        <v>186600</v>
      </c>
      <c r="F2039" s="17" t="s">
        <v>606</v>
      </c>
      <c r="G2039" s="9">
        <v>44540</v>
      </c>
      <c r="M2039" s="124"/>
      <c r="N2039" s="46"/>
    </row>
    <row r="2040" spans="1:14">
      <c r="A2040" s="45">
        <v>44530</v>
      </c>
      <c r="B2040" s="14" t="s">
        <v>2</v>
      </c>
      <c r="C2040" s="46">
        <v>3553000</v>
      </c>
      <c r="D2040" s="46">
        <v>3230000</v>
      </c>
      <c r="E2040" s="46">
        <v>323000</v>
      </c>
      <c r="F2040" s="17" t="s">
        <v>315</v>
      </c>
      <c r="G2040" s="9">
        <v>44540</v>
      </c>
      <c r="M2040" s="124"/>
      <c r="N2040" s="46"/>
    </row>
    <row r="2041" spans="1:14">
      <c r="A2041" s="45">
        <v>44530</v>
      </c>
      <c r="B2041" s="14" t="s">
        <v>2</v>
      </c>
      <c r="C2041" s="46">
        <v>4229500</v>
      </c>
      <c r="D2041" s="46">
        <v>3845000</v>
      </c>
      <c r="E2041" s="46">
        <v>384500</v>
      </c>
      <c r="F2041" s="17" t="s">
        <v>612</v>
      </c>
      <c r="G2041" s="9">
        <v>44540</v>
      </c>
      <c r="M2041" s="124"/>
      <c r="N2041" s="46"/>
    </row>
    <row r="2042" spans="1:14">
      <c r="A2042" s="45">
        <v>44530</v>
      </c>
      <c r="B2042" s="14" t="s">
        <v>2</v>
      </c>
      <c r="C2042" s="46">
        <v>3738900</v>
      </c>
      <c r="D2042" s="46">
        <v>3399000</v>
      </c>
      <c r="E2042" s="46">
        <v>339900</v>
      </c>
      <c r="F2042" s="17" t="s">
        <v>471</v>
      </c>
      <c r="G2042" s="9">
        <v>44540</v>
      </c>
      <c r="M2042" s="124"/>
      <c r="N2042" s="46"/>
    </row>
    <row r="2043" spans="1:14">
      <c r="A2043" s="45">
        <v>44530</v>
      </c>
      <c r="B2043" s="14" t="s">
        <v>2</v>
      </c>
      <c r="C2043" s="46">
        <v>5067700</v>
      </c>
      <c r="D2043" s="46">
        <v>4607000</v>
      </c>
      <c r="E2043" s="46">
        <v>460700</v>
      </c>
      <c r="F2043" s="17" t="s">
        <v>457</v>
      </c>
      <c r="G2043" s="9">
        <v>44540</v>
      </c>
      <c r="M2043" s="124"/>
      <c r="N2043" s="46"/>
    </row>
    <row r="2044" spans="1:14">
      <c r="A2044" s="45">
        <v>44530</v>
      </c>
      <c r="B2044" s="14" t="s">
        <v>2</v>
      </c>
      <c r="C2044" s="46">
        <v>9504000</v>
      </c>
      <c r="D2044" s="46">
        <v>8640000</v>
      </c>
      <c r="E2044" s="46">
        <v>864000</v>
      </c>
      <c r="F2044" s="17" t="s">
        <v>646</v>
      </c>
      <c r="G2044" s="9">
        <v>44540</v>
      </c>
      <c r="M2044" s="124"/>
      <c r="N2044" s="46"/>
    </row>
    <row r="2045" spans="1:14">
      <c r="A2045" s="45">
        <v>44530</v>
      </c>
      <c r="B2045" s="14" t="s">
        <v>2</v>
      </c>
      <c r="C2045" s="46">
        <v>10573200</v>
      </c>
      <c r="D2045" s="46">
        <v>9612000</v>
      </c>
      <c r="E2045" s="46">
        <v>961200</v>
      </c>
      <c r="F2045" s="17" t="s">
        <v>611</v>
      </c>
      <c r="G2045" s="9">
        <v>44540</v>
      </c>
      <c r="M2045" s="124"/>
      <c r="N2045" s="46"/>
    </row>
    <row r="2046" spans="1:14">
      <c r="A2046" s="45">
        <v>44530</v>
      </c>
      <c r="B2046" s="14" t="s">
        <v>2</v>
      </c>
      <c r="C2046" s="46">
        <v>1056000</v>
      </c>
      <c r="D2046" s="46">
        <v>960000</v>
      </c>
      <c r="E2046" s="46">
        <v>96000</v>
      </c>
      <c r="F2046" s="17" t="s">
        <v>699</v>
      </c>
      <c r="G2046" s="9">
        <v>44540</v>
      </c>
      <c r="M2046" s="124"/>
      <c r="N2046" s="46"/>
    </row>
    <row r="2047" spans="1:14">
      <c r="A2047" s="45">
        <v>44530</v>
      </c>
      <c r="B2047" s="14" t="s">
        <v>385</v>
      </c>
      <c r="C2047" s="46">
        <v>14808200</v>
      </c>
      <c r="D2047" s="46">
        <v>13462000</v>
      </c>
      <c r="E2047" s="46">
        <v>1346200</v>
      </c>
      <c r="F2047" s="17" t="s">
        <v>305</v>
      </c>
      <c r="G2047" s="9">
        <v>44540</v>
      </c>
      <c r="M2047" s="124"/>
      <c r="N2047" s="46"/>
    </row>
    <row r="2048" spans="1:14">
      <c r="A2048" s="45">
        <v>44530</v>
      </c>
      <c r="B2048" s="14" t="s">
        <v>385</v>
      </c>
      <c r="C2048" s="46">
        <v>17627500</v>
      </c>
      <c r="D2048" s="46">
        <v>16025000</v>
      </c>
      <c r="E2048" s="46">
        <v>1602500</v>
      </c>
      <c r="F2048" s="17" t="s">
        <v>705</v>
      </c>
      <c r="G2048" s="9">
        <v>44540</v>
      </c>
      <c r="M2048" s="124"/>
      <c r="N2048" s="46"/>
    </row>
    <row r="2049" spans="1:19">
      <c r="A2049" s="45">
        <v>44530</v>
      </c>
      <c r="B2049" s="14" t="s">
        <v>385</v>
      </c>
      <c r="C2049" s="46">
        <v>1113200</v>
      </c>
      <c r="D2049" s="46">
        <v>1012000</v>
      </c>
      <c r="E2049" s="46">
        <v>101200</v>
      </c>
      <c r="F2049" s="17" t="s">
        <v>386</v>
      </c>
      <c r="G2049" s="9">
        <v>44540</v>
      </c>
      <c r="M2049" s="124"/>
      <c r="N2049" s="46"/>
    </row>
    <row r="2050" spans="1:19">
      <c r="A2050" s="45">
        <v>44530</v>
      </c>
      <c r="B2050" s="14" t="s">
        <v>385</v>
      </c>
      <c r="C2050" s="46">
        <v>35912800</v>
      </c>
      <c r="D2050" s="46">
        <v>32648000</v>
      </c>
      <c r="E2050" s="46">
        <v>3264800</v>
      </c>
      <c r="F2050" s="17" t="s">
        <v>387</v>
      </c>
      <c r="G2050" s="9">
        <v>44540</v>
      </c>
      <c r="M2050" s="124"/>
      <c r="N2050" s="46"/>
    </row>
    <row r="2051" spans="1:19">
      <c r="A2051" s="119">
        <v>44530</v>
      </c>
      <c r="B2051" s="42" t="s">
        <v>709</v>
      </c>
      <c r="C2051" s="118">
        <v>601700</v>
      </c>
      <c r="D2051" s="118">
        <v>547000</v>
      </c>
      <c r="E2051" s="118">
        <v>54700</v>
      </c>
      <c r="F2051" s="51" t="s">
        <v>710</v>
      </c>
      <c r="G2051" s="10">
        <v>44561</v>
      </c>
      <c r="H2051" s="51"/>
      <c r="I2051" s="121"/>
      <c r="J2051" s="122"/>
      <c r="K2051" s="42"/>
      <c r="L2051" s="42"/>
      <c r="M2051" s="125"/>
      <c r="N2051" s="118"/>
      <c r="O2051" s="42"/>
      <c r="P2051" s="42"/>
      <c r="Q2051" s="42"/>
      <c r="R2051" s="42"/>
      <c r="S2051" s="42"/>
    </row>
    <row r="2052" spans="1:19">
      <c r="A2052" s="126">
        <v>44540</v>
      </c>
      <c r="B2052" s="14" t="s">
        <v>712</v>
      </c>
      <c r="C2052" s="46">
        <v>75253970</v>
      </c>
      <c r="D2052" s="46">
        <v>68412700</v>
      </c>
      <c r="E2052" s="46">
        <v>6841270</v>
      </c>
      <c r="F2052" s="17" t="s">
        <v>13</v>
      </c>
      <c r="G2052" s="9">
        <v>44571</v>
      </c>
      <c r="N2052" s="30"/>
    </row>
    <row r="2053" spans="1:19">
      <c r="A2053" s="45">
        <v>44545</v>
      </c>
      <c r="B2053" s="14" t="s">
        <v>2</v>
      </c>
      <c r="C2053" s="46">
        <v>1776500</v>
      </c>
      <c r="D2053" s="46">
        <v>1615000</v>
      </c>
      <c r="E2053" s="46">
        <v>161500</v>
      </c>
      <c r="F2053" s="17" t="s">
        <v>315</v>
      </c>
      <c r="G2053" s="9">
        <v>44560</v>
      </c>
      <c r="N2053" s="30"/>
    </row>
    <row r="2054" spans="1:19">
      <c r="A2054" s="45">
        <v>44545</v>
      </c>
      <c r="B2054" s="14" t="s">
        <v>2</v>
      </c>
      <c r="C2054" s="46">
        <v>3499100</v>
      </c>
      <c r="D2054" s="46">
        <v>3181000</v>
      </c>
      <c r="E2054" s="46">
        <v>318100</v>
      </c>
      <c r="F2054" s="17" t="s">
        <v>606</v>
      </c>
      <c r="G2054" s="9">
        <v>44560</v>
      </c>
      <c r="N2054" s="30"/>
    </row>
    <row r="2055" spans="1:19">
      <c r="A2055" s="45">
        <v>44545</v>
      </c>
      <c r="B2055" s="14" t="s">
        <v>2</v>
      </c>
      <c r="C2055" s="46">
        <v>2875400</v>
      </c>
      <c r="D2055" s="46">
        <v>2614000</v>
      </c>
      <c r="E2055" s="46">
        <v>261400</v>
      </c>
      <c r="F2055" s="17" t="s">
        <v>612</v>
      </c>
      <c r="G2055" s="9">
        <v>44560</v>
      </c>
      <c r="N2055" s="30"/>
    </row>
    <row r="2056" spans="1:19">
      <c r="A2056" s="45">
        <v>44545</v>
      </c>
      <c r="B2056" s="14" t="s">
        <v>2</v>
      </c>
      <c r="C2056" s="46">
        <v>3738900</v>
      </c>
      <c r="D2056" s="46">
        <v>3399000</v>
      </c>
      <c r="E2056" s="46">
        <v>339900</v>
      </c>
      <c r="F2056" s="17" t="s">
        <v>471</v>
      </c>
      <c r="G2056" s="9">
        <v>44560</v>
      </c>
      <c r="N2056" s="30"/>
    </row>
    <row r="2057" spans="1:19">
      <c r="A2057" s="45">
        <v>44545</v>
      </c>
      <c r="B2057" s="14" t="s">
        <v>2</v>
      </c>
      <c r="C2057" s="46">
        <v>4970900</v>
      </c>
      <c r="D2057" s="46">
        <v>4519000</v>
      </c>
      <c r="E2057" s="46">
        <v>451900</v>
      </c>
      <c r="F2057" s="17" t="s">
        <v>457</v>
      </c>
      <c r="G2057" s="9">
        <v>44560</v>
      </c>
      <c r="N2057" s="30"/>
    </row>
    <row r="2058" spans="1:19">
      <c r="A2058" s="45">
        <v>44545</v>
      </c>
      <c r="B2058" s="14" t="s">
        <v>2</v>
      </c>
      <c r="C2058" s="46">
        <v>7268800</v>
      </c>
      <c r="D2058" s="46">
        <v>6608000</v>
      </c>
      <c r="E2058" s="46">
        <v>660800</v>
      </c>
      <c r="F2058" s="17" t="s">
        <v>424</v>
      </c>
      <c r="G2058" s="9">
        <v>44557</v>
      </c>
      <c r="N2058" s="30"/>
    </row>
    <row r="2059" spans="1:19">
      <c r="A2059" s="45">
        <v>44545</v>
      </c>
      <c r="B2059" s="14" t="s">
        <v>2</v>
      </c>
      <c r="C2059" s="46">
        <v>12340900</v>
      </c>
      <c r="D2059" s="46">
        <v>11219000</v>
      </c>
      <c r="E2059" s="46">
        <v>1121900</v>
      </c>
      <c r="F2059" s="17" t="s">
        <v>424</v>
      </c>
      <c r="G2059" s="9">
        <v>44557</v>
      </c>
      <c r="N2059" s="30"/>
    </row>
    <row r="2060" spans="1:19">
      <c r="A2060" s="45">
        <v>44545</v>
      </c>
      <c r="B2060" s="14" t="s">
        <v>2</v>
      </c>
      <c r="C2060" s="46">
        <v>528000</v>
      </c>
      <c r="D2060" s="46">
        <v>480000</v>
      </c>
      <c r="E2060" s="46">
        <v>48000</v>
      </c>
      <c r="F2060" s="17" t="s">
        <v>699</v>
      </c>
      <c r="G2060" s="9">
        <v>44560</v>
      </c>
      <c r="N2060" s="30"/>
    </row>
    <row r="2061" spans="1:19">
      <c r="A2061" s="45">
        <v>44545</v>
      </c>
      <c r="B2061" s="14" t="s">
        <v>2</v>
      </c>
      <c r="C2061" s="46">
        <v>6534000</v>
      </c>
      <c r="D2061" s="46">
        <v>5940000</v>
      </c>
      <c r="E2061" s="46">
        <v>594000</v>
      </c>
      <c r="F2061" s="17" t="s">
        <v>646</v>
      </c>
      <c r="G2061" s="9">
        <v>44560</v>
      </c>
      <c r="N2061" s="30"/>
    </row>
    <row r="2062" spans="1:19">
      <c r="A2062" s="45">
        <v>44545</v>
      </c>
      <c r="B2062" s="14" t="s">
        <v>2</v>
      </c>
      <c r="C2062" s="46">
        <v>16988400</v>
      </c>
      <c r="D2062" s="46">
        <v>15444000</v>
      </c>
      <c r="E2062" s="46">
        <v>1544400</v>
      </c>
      <c r="F2062" s="17" t="s">
        <v>611</v>
      </c>
      <c r="G2062" s="9">
        <v>44554</v>
      </c>
      <c r="N2062" s="30"/>
    </row>
    <row r="2063" spans="1:19">
      <c r="A2063" s="45">
        <v>44545</v>
      </c>
      <c r="B2063" s="14" t="s">
        <v>2</v>
      </c>
      <c r="C2063" s="46">
        <v>15367000</v>
      </c>
      <c r="D2063" s="46">
        <v>13970000</v>
      </c>
      <c r="E2063" s="46">
        <v>1397000</v>
      </c>
      <c r="F2063" s="17" t="s">
        <v>456</v>
      </c>
      <c r="G2063" s="9">
        <v>44560</v>
      </c>
      <c r="N2063" s="30"/>
    </row>
    <row r="2064" spans="1:19">
      <c r="A2064" s="45">
        <v>44545</v>
      </c>
      <c r="B2064" s="14" t="s">
        <v>2</v>
      </c>
      <c r="C2064" s="46">
        <v>363000</v>
      </c>
      <c r="D2064" s="46">
        <v>330000</v>
      </c>
      <c r="E2064" s="46">
        <v>33000</v>
      </c>
      <c r="F2064" s="17" t="s">
        <v>714</v>
      </c>
      <c r="G2064" s="9">
        <v>44560</v>
      </c>
      <c r="N2064" s="30"/>
    </row>
    <row r="2065" spans="1:14">
      <c r="A2065" s="45">
        <v>44550</v>
      </c>
      <c r="B2065" s="14" t="s">
        <v>715</v>
      </c>
      <c r="C2065" s="46">
        <v>308000</v>
      </c>
      <c r="D2065" s="46">
        <v>280000</v>
      </c>
      <c r="E2065" s="46">
        <v>28000</v>
      </c>
      <c r="F2065" s="17" t="s">
        <v>13</v>
      </c>
      <c r="G2065" s="9">
        <v>44557</v>
      </c>
      <c r="N2065" s="30"/>
    </row>
    <row r="2066" spans="1:14">
      <c r="A2066" s="45">
        <v>44550</v>
      </c>
      <c r="B2066" s="14" t="s">
        <v>712</v>
      </c>
      <c r="C2066" s="46">
        <f>SUM(D2066:E2066)</f>
        <v>72394300</v>
      </c>
      <c r="D2066" s="46">
        <v>65813000</v>
      </c>
      <c r="E2066" s="46">
        <f>D2066*0.1</f>
        <v>6581300</v>
      </c>
      <c r="F2066" s="17" t="s">
        <v>13</v>
      </c>
      <c r="G2066" s="9">
        <v>44577</v>
      </c>
      <c r="I2066" s="304" t="s">
        <v>700</v>
      </c>
      <c r="J2066" s="304"/>
      <c r="K2066" s="304"/>
      <c r="N2066" s="30"/>
    </row>
    <row r="2067" spans="1:14">
      <c r="A2067" s="45">
        <v>44561</v>
      </c>
      <c r="B2067" s="14" t="s">
        <v>693</v>
      </c>
      <c r="C2067" s="46">
        <v>429000</v>
      </c>
      <c r="D2067" s="46">
        <v>390000</v>
      </c>
      <c r="E2067" s="46">
        <v>39000</v>
      </c>
      <c r="F2067" s="17" t="s">
        <v>13</v>
      </c>
      <c r="G2067" s="9">
        <v>44571</v>
      </c>
      <c r="I2067" s="18" t="s">
        <v>46</v>
      </c>
      <c r="J2067" s="36" t="s">
        <v>47</v>
      </c>
      <c r="K2067" s="36" t="s">
        <v>48</v>
      </c>
    </row>
    <row r="2068" spans="1:14">
      <c r="A2068" s="45">
        <v>44561</v>
      </c>
      <c r="B2068" s="14" t="s">
        <v>82</v>
      </c>
      <c r="C2068" s="46">
        <v>1276000</v>
      </c>
      <c r="D2068" s="46">
        <v>1160000</v>
      </c>
      <c r="E2068" s="46">
        <v>116000</v>
      </c>
      <c r="F2068" s="17" t="s">
        <v>13</v>
      </c>
      <c r="G2068" s="9">
        <v>44578</v>
      </c>
      <c r="I2068" s="18">
        <f>SUM(C2052:C2109)</f>
        <v>597696115</v>
      </c>
      <c r="J2068" s="18">
        <f>SUM(D2052:D2109)</f>
        <v>543360105</v>
      </c>
      <c r="K2068" s="18">
        <f>SUM(E2052:E2109)</f>
        <v>54336010</v>
      </c>
    </row>
    <row r="2069" spans="1:14">
      <c r="A2069" s="45">
        <v>44561</v>
      </c>
      <c r="B2069" s="14" t="s">
        <v>627</v>
      </c>
      <c r="C2069" s="46">
        <v>6149000</v>
      </c>
      <c r="D2069" s="46">
        <v>5590000</v>
      </c>
      <c r="E2069" s="46">
        <v>559000</v>
      </c>
      <c r="F2069" s="17" t="s">
        <v>704</v>
      </c>
      <c r="G2069" s="9">
        <v>44589</v>
      </c>
    </row>
    <row r="2070" spans="1:14">
      <c r="A2070" s="45">
        <v>44561</v>
      </c>
      <c r="B2070" s="14" t="s">
        <v>717</v>
      </c>
      <c r="C2070" s="46">
        <v>1089000</v>
      </c>
      <c r="D2070" s="46">
        <v>990000</v>
      </c>
      <c r="E2070" s="46">
        <v>99000</v>
      </c>
      <c r="F2070" s="17" t="s">
        <v>718</v>
      </c>
      <c r="G2070" s="9">
        <v>44568</v>
      </c>
    </row>
    <row r="2071" spans="1:14">
      <c r="A2071" s="45">
        <v>44561</v>
      </c>
      <c r="B2071" s="14" t="s">
        <v>722</v>
      </c>
      <c r="C2071" s="46">
        <v>2623500</v>
      </c>
      <c r="D2071" s="46">
        <v>2385000</v>
      </c>
      <c r="E2071" s="46">
        <v>238500</v>
      </c>
      <c r="F2071" s="17" t="s">
        <v>13</v>
      </c>
      <c r="G2071" s="9">
        <v>44937</v>
      </c>
      <c r="H2071" s="17" t="s">
        <v>846</v>
      </c>
    </row>
    <row r="2072" spans="1:14">
      <c r="A2072" s="45">
        <v>44561</v>
      </c>
      <c r="B2072" s="14" t="s">
        <v>722</v>
      </c>
      <c r="C2072" s="46">
        <v>50189700</v>
      </c>
      <c r="D2072" s="46">
        <v>45627000</v>
      </c>
      <c r="E2072" s="46">
        <v>4562700</v>
      </c>
      <c r="F2072" s="17" t="s">
        <v>13</v>
      </c>
      <c r="G2072" s="9">
        <v>44937</v>
      </c>
      <c r="H2072" s="17" t="s">
        <v>846</v>
      </c>
    </row>
    <row r="2073" spans="1:14">
      <c r="A2073" s="45">
        <v>44561</v>
      </c>
      <c r="B2073" s="14" t="s">
        <v>644</v>
      </c>
      <c r="C2073" s="46">
        <v>1552100</v>
      </c>
      <c r="D2073" s="46">
        <v>1411000</v>
      </c>
      <c r="E2073" s="46">
        <v>141100</v>
      </c>
      <c r="F2073" s="17" t="s">
        <v>685</v>
      </c>
      <c r="G2073" s="9">
        <v>44571</v>
      </c>
    </row>
    <row r="2074" spans="1:14">
      <c r="A2074" s="45">
        <v>44561</v>
      </c>
      <c r="B2074" s="14" t="s">
        <v>644</v>
      </c>
      <c r="C2074" s="46">
        <v>13516800</v>
      </c>
      <c r="D2074" s="46">
        <v>12288000</v>
      </c>
      <c r="E2074" s="46">
        <v>1228800</v>
      </c>
      <c r="F2074" s="17" t="s">
        <v>303</v>
      </c>
      <c r="G2074" s="9">
        <v>44571</v>
      </c>
    </row>
    <row r="2075" spans="1:14">
      <c r="A2075" s="45">
        <v>44561</v>
      </c>
      <c r="B2075" s="14" t="s">
        <v>644</v>
      </c>
      <c r="C2075" s="46">
        <v>1019700</v>
      </c>
      <c r="D2075" s="46">
        <v>927000</v>
      </c>
      <c r="E2075" s="46">
        <v>92700</v>
      </c>
      <c r="F2075" s="17" t="s">
        <v>641</v>
      </c>
      <c r="G2075" s="9">
        <v>44571</v>
      </c>
    </row>
    <row r="2076" spans="1:14">
      <c r="A2076" s="45">
        <v>44561</v>
      </c>
      <c r="B2076" s="14" t="s">
        <v>644</v>
      </c>
      <c r="C2076" s="46">
        <v>91300</v>
      </c>
      <c r="D2076" s="46">
        <v>83000</v>
      </c>
      <c r="E2076" s="46">
        <v>8300</v>
      </c>
      <c r="F2076" s="17" t="s">
        <v>684</v>
      </c>
      <c r="G2076" s="9">
        <v>44571</v>
      </c>
    </row>
    <row r="2077" spans="1:14">
      <c r="A2077" s="45">
        <v>44561</v>
      </c>
      <c r="B2077" s="14" t="s">
        <v>79</v>
      </c>
      <c r="C2077" s="46">
        <v>484000</v>
      </c>
      <c r="D2077" s="46">
        <v>440000</v>
      </c>
      <c r="E2077" s="46">
        <v>44000</v>
      </c>
      <c r="F2077" s="17" t="s">
        <v>13</v>
      </c>
      <c r="G2077" s="9">
        <v>44790</v>
      </c>
    </row>
    <row r="2078" spans="1:14">
      <c r="A2078" s="45">
        <v>44561</v>
      </c>
      <c r="B2078" s="14" t="s">
        <v>449</v>
      </c>
      <c r="C2078" s="46">
        <v>6934400</v>
      </c>
      <c r="D2078" s="46">
        <v>6304000</v>
      </c>
      <c r="E2078" s="46">
        <v>630400</v>
      </c>
      <c r="F2078" s="17" t="s">
        <v>13</v>
      </c>
      <c r="G2078" s="9">
        <v>44574</v>
      </c>
    </row>
    <row r="2079" spans="1:14">
      <c r="A2079" s="45">
        <v>44561</v>
      </c>
      <c r="B2079" s="14" t="s">
        <v>432</v>
      </c>
      <c r="C2079" s="46">
        <v>308000</v>
      </c>
      <c r="D2079" s="46">
        <v>280000</v>
      </c>
      <c r="E2079" s="46">
        <v>28000</v>
      </c>
      <c r="F2079" s="17" t="s">
        <v>702</v>
      </c>
      <c r="G2079" s="9">
        <v>44578</v>
      </c>
    </row>
    <row r="2080" spans="1:14">
      <c r="A2080" s="45">
        <v>44561</v>
      </c>
      <c r="B2080" s="14" t="s">
        <v>432</v>
      </c>
      <c r="C2080" s="46">
        <v>862400</v>
      </c>
      <c r="D2080" s="46">
        <v>784000</v>
      </c>
      <c r="E2080" s="46">
        <v>78400</v>
      </c>
      <c r="F2080" s="17" t="s">
        <v>165</v>
      </c>
      <c r="G2080" s="9">
        <v>44578</v>
      </c>
    </row>
    <row r="2081" spans="1:8">
      <c r="A2081" s="45">
        <v>44561</v>
      </c>
      <c r="B2081" s="14" t="s">
        <v>432</v>
      </c>
      <c r="C2081" s="46">
        <v>6091800</v>
      </c>
      <c r="D2081" s="46">
        <v>5538000</v>
      </c>
      <c r="E2081" s="46">
        <v>553800</v>
      </c>
      <c r="F2081" s="17" t="s">
        <v>476</v>
      </c>
      <c r="G2081" s="9">
        <v>44578</v>
      </c>
    </row>
    <row r="2082" spans="1:8">
      <c r="A2082" s="45">
        <v>44561</v>
      </c>
      <c r="B2082" s="14" t="s">
        <v>432</v>
      </c>
      <c r="C2082" s="46">
        <v>220000</v>
      </c>
      <c r="D2082" s="46">
        <v>200000</v>
      </c>
      <c r="E2082" s="46">
        <v>20000</v>
      </c>
      <c r="F2082" s="17" t="s">
        <v>588</v>
      </c>
      <c r="G2082" s="9">
        <v>44578</v>
      </c>
    </row>
    <row r="2083" spans="1:8">
      <c r="A2083" s="45">
        <v>44561</v>
      </c>
      <c r="B2083" s="14" t="s">
        <v>432</v>
      </c>
      <c r="C2083" s="46">
        <v>21131000</v>
      </c>
      <c r="D2083" s="46">
        <v>19210000</v>
      </c>
      <c r="E2083" s="46">
        <v>1921000</v>
      </c>
      <c r="F2083" s="17" t="s">
        <v>313</v>
      </c>
      <c r="G2083" s="9">
        <v>44578</v>
      </c>
    </row>
    <row r="2084" spans="1:8">
      <c r="A2084" s="45">
        <v>44561</v>
      </c>
      <c r="B2084" s="14" t="s">
        <v>432</v>
      </c>
      <c r="C2084" s="46">
        <v>726000</v>
      </c>
      <c r="D2084" s="46">
        <v>660000</v>
      </c>
      <c r="E2084" s="46">
        <v>66000</v>
      </c>
      <c r="F2084" s="17" t="s">
        <v>571</v>
      </c>
      <c r="G2084" s="9">
        <v>44578</v>
      </c>
    </row>
    <row r="2085" spans="1:8">
      <c r="A2085" s="45">
        <v>44561</v>
      </c>
      <c r="B2085" s="14" t="s">
        <v>2</v>
      </c>
      <c r="C2085" s="46">
        <v>3515600</v>
      </c>
      <c r="D2085" s="46">
        <v>3196000</v>
      </c>
      <c r="E2085" s="46">
        <v>319600</v>
      </c>
      <c r="F2085" s="17" t="s">
        <v>612</v>
      </c>
      <c r="G2085" s="9">
        <v>44571</v>
      </c>
    </row>
    <row r="2086" spans="1:8">
      <c r="A2086" s="45">
        <v>44561</v>
      </c>
      <c r="B2086" s="14" t="s">
        <v>2</v>
      </c>
      <c r="C2086" s="46">
        <v>5944400</v>
      </c>
      <c r="D2086" s="46">
        <v>5404000</v>
      </c>
      <c r="E2086" s="46">
        <v>540400</v>
      </c>
      <c r="F2086" s="17" t="s">
        <v>457</v>
      </c>
      <c r="G2086" s="9">
        <v>44571</v>
      </c>
    </row>
    <row r="2087" spans="1:8">
      <c r="A2087" s="45">
        <v>44561</v>
      </c>
      <c r="B2087" s="14" t="s">
        <v>2</v>
      </c>
      <c r="C2087" s="46">
        <v>-3440800</v>
      </c>
      <c r="D2087" s="46">
        <v>-3128000</v>
      </c>
      <c r="E2087" s="46">
        <v>-312800</v>
      </c>
      <c r="F2087" s="17" t="s">
        <v>612</v>
      </c>
      <c r="G2087" s="30" t="s">
        <v>870</v>
      </c>
    </row>
    <row r="2088" spans="1:8">
      <c r="A2088" s="45">
        <v>44561</v>
      </c>
      <c r="B2088" s="14" t="s">
        <v>2</v>
      </c>
      <c r="C2088" s="46">
        <v>-6019200</v>
      </c>
      <c r="D2088" s="46">
        <v>-5472000</v>
      </c>
      <c r="E2088" s="46">
        <v>-547200</v>
      </c>
      <c r="F2088" s="17" t="s">
        <v>457</v>
      </c>
      <c r="G2088" s="30" t="s">
        <v>870</v>
      </c>
    </row>
    <row r="2089" spans="1:8">
      <c r="A2089" s="45">
        <v>44561</v>
      </c>
      <c r="B2089" s="14" t="s">
        <v>671</v>
      </c>
      <c r="C2089" s="46">
        <v>217800</v>
      </c>
      <c r="D2089" s="46">
        <v>198000</v>
      </c>
      <c r="E2089" s="46">
        <v>19800</v>
      </c>
      <c r="F2089" s="17" t="s">
        <v>241</v>
      </c>
      <c r="G2089" s="9">
        <v>44589</v>
      </c>
    </row>
    <row r="2090" spans="1:8">
      <c r="A2090" s="45">
        <v>44561</v>
      </c>
      <c r="B2090" s="14" t="s">
        <v>63</v>
      </c>
      <c r="C2090" s="46">
        <v>572000</v>
      </c>
      <c r="D2090" s="46">
        <v>520000</v>
      </c>
      <c r="E2090" s="46">
        <v>52000</v>
      </c>
      <c r="F2090" s="17" t="s">
        <v>13</v>
      </c>
      <c r="G2090" s="9">
        <v>44565</v>
      </c>
      <c r="H2090" s="17" t="s">
        <v>720</v>
      </c>
    </row>
    <row r="2091" spans="1:8">
      <c r="A2091" s="45">
        <v>44561</v>
      </c>
      <c r="B2091" s="14" t="s">
        <v>701</v>
      </c>
      <c r="C2091" s="46">
        <v>99000</v>
      </c>
      <c r="D2091" s="46">
        <v>90000</v>
      </c>
      <c r="E2091" s="46">
        <v>9000</v>
      </c>
      <c r="F2091" s="17" t="s">
        <v>13</v>
      </c>
      <c r="G2091" s="9">
        <v>44565</v>
      </c>
    </row>
    <row r="2092" spans="1:8">
      <c r="A2092" s="45">
        <v>44561</v>
      </c>
      <c r="B2092" s="14" t="s">
        <v>2</v>
      </c>
      <c r="C2092" s="46">
        <v>17050000</v>
      </c>
      <c r="D2092" s="46">
        <v>15500000</v>
      </c>
      <c r="E2092" s="46">
        <v>1550000</v>
      </c>
      <c r="F2092" s="17" t="s">
        <v>456</v>
      </c>
      <c r="G2092" s="9">
        <v>44571</v>
      </c>
    </row>
    <row r="2093" spans="1:8">
      <c r="A2093" s="45">
        <v>44561</v>
      </c>
      <c r="B2093" s="14" t="s">
        <v>2</v>
      </c>
      <c r="C2093" s="46">
        <v>8497065</v>
      </c>
      <c r="D2093" s="46">
        <v>7724605</v>
      </c>
      <c r="E2093" s="46">
        <v>772460</v>
      </c>
      <c r="F2093" s="17" t="s">
        <v>424</v>
      </c>
      <c r="G2093" s="9">
        <v>44571</v>
      </c>
    </row>
    <row r="2094" spans="1:8">
      <c r="A2094" s="45">
        <v>44561</v>
      </c>
      <c r="B2094" s="14" t="s">
        <v>2</v>
      </c>
      <c r="C2094" s="46">
        <v>16538500</v>
      </c>
      <c r="D2094" s="46">
        <v>15035000</v>
      </c>
      <c r="E2094" s="46">
        <v>1503500</v>
      </c>
      <c r="F2094" s="17" t="s">
        <v>424</v>
      </c>
      <c r="G2094" s="9">
        <v>44571</v>
      </c>
    </row>
    <row r="2095" spans="1:8">
      <c r="A2095" s="45">
        <v>44561</v>
      </c>
      <c r="B2095" s="14" t="s">
        <v>2</v>
      </c>
      <c r="C2095" s="46">
        <v>8314900</v>
      </c>
      <c r="D2095" s="46">
        <v>7559000</v>
      </c>
      <c r="E2095" s="46">
        <v>755900</v>
      </c>
      <c r="F2095" s="17" t="s">
        <v>606</v>
      </c>
      <c r="G2095" s="9">
        <v>44571</v>
      </c>
    </row>
    <row r="2096" spans="1:8">
      <c r="A2096" s="45">
        <v>44561</v>
      </c>
      <c r="B2096" s="14" t="s">
        <v>2</v>
      </c>
      <c r="C2096" s="46">
        <v>1215500</v>
      </c>
      <c r="D2096" s="46">
        <v>1105000</v>
      </c>
      <c r="E2096" s="46">
        <v>110500</v>
      </c>
      <c r="F2096" s="17" t="s">
        <v>315</v>
      </c>
      <c r="G2096" s="9">
        <v>44571</v>
      </c>
    </row>
    <row r="2097" spans="1:19">
      <c r="A2097" s="45">
        <v>44561</v>
      </c>
      <c r="B2097" s="14" t="s">
        <v>2</v>
      </c>
      <c r="C2097" s="46">
        <v>1089000</v>
      </c>
      <c r="D2097" s="46">
        <v>990000</v>
      </c>
      <c r="E2097" s="46">
        <v>99000</v>
      </c>
      <c r="F2097" s="17" t="s">
        <v>714</v>
      </c>
      <c r="G2097" s="9">
        <v>44571</v>
      </c>
    </row>
    <row r="2098" spans="1:19">
      <c r="A2098" s="45">
        <v>44561</v>
      </c>
      <c r="B2098" s="14" t="s">
        <v>2</v>
      </c>
      <c r="C2098" s="46">
        <v>3440800</v>
      </c>
      <c r="D2098" s="46">
        <v>3128000</v>
      </c>
      <c r="E2098" s="46">
        <v>312800</v>
      </c>
      <c r="F2098" s="17" t="s">
        <v>612</v>
      </c>
      <c r="G2098" s="30" t="s">
        <v>870</v>
      </c>
    </row>
    <row r="2099" spans="1:19">
      <c r="A2099" s="45">
        <v>44561</v>
      </c>
      <c r="B2099" s="14" t="s">
        <v>2</v>
      </c>
      <c r="C2099" s="46">
        <v>4078800</v>
      </c>
      <c r="D2099" s="46">
        <v>3708000</v>
      </c>
      <c r="E2099" s="46">
        <v>370800</v>
      </c>
      <c r="F2099" s="17" t="s">
        <v>471</v>
      </c>
      <c r="G2099" s="9">
        <v>44571</v>
      </c>
    </row>
    <row r="2100" spans="1:19">
      <c r="A2100" s="45">
        <v>44561</v>
      </c>
      <c r="B2100" s="14" t="s">
        <v>2</v>
      </c>
      <c r="C2100" s="46">
        <v>6019200</v>
      </c>
      <c r="D2100" s="46">
        <v>5472000</v>
      </c>
      <c r="E2100" s="46">
        <v>547200</v>
      </c>
      <c r="F2100" s="17" t="s">
        <v>457</v>
      </c>
      <c r="G2100" s="30" t="s">
        <v>870</v>
      </c>
    </row>
    <row r="2101" spans="1:19">
      <c r="A2101" s="45">
        <v>44561</v>
      </c>
      <c r="B2101" s="14" t="s">
        <v>2</v>
      </c>
      <c r="C2101" s="46">
        <v>8791200</v>
      </c>
      <c r="D2101" s="46">
        <v>7992000</v>
      </c>
      <c r="E2101" s="46">
        <v>799200</v>
      </c>
      <c r="F2101" s="17" t="s">
        <v>646</v>
      </c>
      <c r="G2101" s="9">
        <v>44571</v>
      </c>
    </row>
    <row r="2102" spans="1:19">
      <c r="A2102" s="45">
        <v>44561</v>
      </c>
      <c r="B2102" s="14" t="s">
        <v>2</v>
      </c>
      <c r="C2102" s="46">
        <v>23522400</v>
      </c>
      <c r="D2102" s="46">
        <v>21384000</v>
      </c>
      <c r="E2102" s="46">
        <v>2138400</v>
      </c>
      <c r="F2102" s="17" t="s">
        <v>611</v>
      </c>
      <c r="G2102" s="9">
        <v>44571</v>
      </c>
    </row>
    <row r="2103" spans="1:19">
      <c r="A2103" s="45">
        <v>44561</v>
      </c>
      <c r="B2103" s="14" t="s">
        <v>2</v>
      </c>
      <c r="C2103" s="46">
        <v>528000</v>
      </c>
      <c r="D2103" s="46">
        <v>480000</v>
      </c>
      <c r="E2103" s="46">
        <v>48000</v>
      </c>
      <c r="F2103" s="17" t="s">
        <v>699</v>
      </c>
      <c r="G2103" s="9">
        <v>44571</v>
      </c>
    </row>
    <row r="2104" spans="1:19">
      <c r="A2104" s="45">
        <v>44561</v>
      </c>
      <c r="B2104" s="14" t="s">
        <v>385</v>
      </c>
      <c r="C2104" s="46">
        <v>17256800</v>
      </c>
      <c r="D2104" s="46">
        <v>15688000</v>
      </c>
      <c r="E2104" s="46">
        <v>1568800</v>
      </c>
      <c r="F2104" s="17" t="s">
        <v>305</v>
      </c>
      <c r="G2104" s="9">
        <v>44571</v>
      </c>
    </row>
    <row r="2105" spans="1:19">
      <c r="A2105" s="45">
        <v>44561</v>
      </c>
      <c r="B2105" s="14" t="s">
        <v>385</v>
      </c>
      <c r="C2105" s="46">
        <v>22737000</v>
      </c>
      <c r="D2105" s="46">
        <v>20670000</v>
      </c>
      <c r="E2105" s="46">
        <v>2067000</v>
      </c>
      <c r="F2105" s="17" t="s">
        <v>705</v>
      </c>
      <c r="G2105" s="9">
        <v>44571</v>
      </c>
    </row>
    <row r="2106" spans="1:19">
      <c r="A2106" s="45">
        <v>44561</v>
      </c>
      <c r="B2106" s="14" t="s">
        <v>385</v>
      </c>
      <c r="C2106" s="46">
        <v>1135200</v>
      </c>
      <c r="D2106" s="46">
        <v>1032000</v>
      </c>
      <c r="E2106" s="46">
        <v>103200</v>
      </c>
      <c r="F2106" s="17" t="s">
        <v>386</v>
      </c>
      <c r="G2106" s="9">
        <v>44571</v>
      </c>
      <c r="N2106" s="82"/>
    </row>
    <row r="2107" spans="1:19">
      <c r="A2107" s="45">
        <v>44561</v>
      </c>
      <c r="B2107" s="14" t="s">
        <v>385</v>
      </c>
      <c r="C2107" s="46">
        <v>38944400</v>
      </c>
      <c r="D2107" s="46">
        <v>35404000</v>
      </c>
      <c r="E2107" s="46">
        <v>3540400</v>
      </c>
      <c r="F2107" s="17" t="s">
        <v>387</v>
      </c>
      <c r="G2107" s="9">
        <v>44571</v>
      </c>
    </row>
    <row r="2108" spans="1:19">
      <c r="A2108" s="45">
        <v>44561</v>
      </c>
      <c r="B2108" s="14" t="s">
        <v>719</v>
      </c>
      <c r="C2108" s="46">
        <v>1111000</v>
      </c>
      <c r="D2108" s="46">
        <v>1010000</v>
      </c>
      <c r="E2108" s="46">
        <v>101000</v>
      </c>
      <c r="F2108" s="17" t="s">
        <v>710</v>
      </c>
      <c r="G2108" s="9">
        <v>44582</v>
      </c>
    </row>
    <row r="2109" spans="1:19">
      <c r="A2109" s="119">
        <v>44561</v>
      </c>
      <c r="B2109" s="42" t="s">
        <v>712</v>
      </c>
      <c r="C2109" s="118">
        <v>77636680</v>
      </c>
      <c r="D2109" s="118">
        <v>70578800</v>
      </c>
      <c r="E2109" s="118">
        <v>7057880</v>
      </c>
      <c r="F2109" s="51" t="s">
        <v>13</v>
      </c>
      <c r="G2109" s="10">
        <v>44582</v>
      </c>
      <c r="H2109" s="51"/>
      <c r="I2109" s="121"/>
      <c r="J2109" s="122"/>
      <c r="K2109" s="42"/>
      <c r="L2109" s="42"/>
      <c r="M2109" s="42"/>
      <c r="N2109" s="42"/>
      <c r="O2109" s="42"/>
      <c r="P2109" s="42"/>
      <c r="Q2109" s="42"/>
      <c r="R2109" s="42"/>
      <c r="S2109" s="42"/>
    </row>
    <row r="2110" spans="1:19">
      <c r="A2110" s="45">
        <v>44576</v>
      </c>
      <c r="B2110" s="14" t="s">
        <v>2</v>
      </c>
      <c r="C2110" s="46">
        <v>16105100</v>
      </c>
      <c r="D2110" s="46">
        <v>14641000</v>
      </c>
      <c r="E2110" s="46">
        <v>1464100</v>
      </c>
      <c r="F2110" s="17" t="s">
        <v>456</v>
      </c>
      <c r="G2110" s="9">
        <v>44581</v>
      </c>
    </row>
    <row r="2111" spans="1:19">
      <c r="A2111" s="45">
        <v>44576</v>
      </c>
      <c r="B2111" s="14" t="s">
        <v>2</v>
      </c>
      <c r="C2111" s="46">
        <v>14368200</v>
      </c>
      <c r="D2111" s="46">
        <v>13062000</v>
      </c>
      <c r="E2111" s="46">
        <v>1306200</v>
      </c>
      <c r="F2111" s="17" t="s">
        <v>424</v>
      </c>
      <c r="G2111" s="9">
        <v>44581</v>
      </c>
    </row>
    <row r="2112" spans="1:19">
      <c r="A2112" s="45">
        <v>44576</v>
      </c>
      <c r="B2112" s="14" t="s">
        <v>2</v>
      </c>
      <c r="C2112" s="46">
        <v>4122800</v>
      </c>
      <c r="D2112" s="46">
        <v>3748000</v>
      </c>
      <c r="E2112" s="46">
        <v>374800</v>
      </c>
      <c r="F2112" s="17" t="s">
        <v>606</v>
      </c>
      <c r="G2112" s="9">
        <v>44581</v>
      </c>
    </row>
    <row r="2113" spans="1:8">
      <c r="A2113" s="45">
        <v>44576</v>
      </c>
      <c r="B2113" s="14" t="s">
        <v>2</v>
      </c>
      <c r="C2113" s="46">
        <v>1023000</v>
      </c>
      <c r="D2113" s="46">
        <v>930000</v>
      </c>
      <c r="E2113" s="46">
        <v>93000</v>
      </c>
      <c r="F2113" s="17" t="s">
        <v>315</v>
      </c>
      <c r="G2113" s="9">
        <v>44581</v>
      </c>
    </row>
    <row r="2114" spans="1:8">
      <c r="A2114" s="45">
        <v>44576</v>
      </c>
      <c r="B2114" s="14" t="s">
        <v>2</v>
      </c>
      <c r="C2114" s="46">
        <v>1232000</v>
      </c>
      <c r="D2114" s="46">
        <v>1120000</v>
      </c>
      <c r="E2114" s="46">
        <v>112000</v>
      </c>
      <c r="F2114" s="17" t="s">
        <v>714</v>
      </c>
      <c r="G2114" s="9">
        <v>44589</v>
      </c>
    </row>
    <row r="2115" spans="1:8">
      <c r="A2115" s="45">
        <v>44576</v>
      </c>
      <c r="B2115" s="14" t="s">
        <v>2</v>
      </c>
      <c r="C2115" s="46">
        <v>762300</v>
      </c>
      <c r="D2115" s="46">
        <v>693000</v>
      </c>
      <c r="E2115" s="46">
        <v>69300</v>
      </c>
      <c r="F2115" s="17" t="s">
        <v>612</v>
      </c>
      <c r="G2115" s="9">
        <v>44589</v>
      </c>
    </row>
    <row r="2116" spans="1:8">
      <c r="A2116" s="45">
        <v>44576</v>
      </c>
      <c r="B2116" s="14" t="s">
        <v>2</v>
      </c>
      <c r="C2116" s="46">
        <v>3630000</v>
      </c>
      <c r="D2116" s="46">
        <v>3300000</v>
      </c>
      <c r="E2116" s="46">
        <v>330000</v>
      </c>
      <c r="F2116" s="17" t="s">
        <v>471</v>
      </c>
      <c r="G2116" s="9">
        <v>44589</v>
      </c>
    </row>
    <row r="2117" spans="1:8">
      <c r="A2117" s="45">
        <v>44576</v>
      </c>
      <c r="B2117" s="14" t="s">
        <v>2</v>
      </c>
      <c r="C2117" s="46">
        <v>14599200</v>
      </c>
      <c r="D2117" s="46">
        <v>13272000</v>
      </c>
      <c r="E2117" s="46">
        <v>1327200</v>
      </c>
      <c r="F2117" s="17" t="s">
        <v>457</v>
      </c>
      <c r="G2117" s="9">
        <v>44589</v>
      </c>
    </row>
    <row r="2118" spans="1:8">
      <c r="A2118" s="45">
        <v>44576</v>
      </c>
      <c r="B2118" s="14" t="s">
        <v>2</v>
      </c>
      <c r="C2118" s="46">
        <v>3289000</v>
      </c>
      <c r="D2118" s="46">
        <v>2990000</v>
      </c>
      <c r="E2118" s="46">
        <v>299000</v>
      </c>
      <c r="F2118" s="17" t="s">
        <v>646</v>
      </c>
      <c r="G2118" s="9">
        <v>44581</v>
      </c>
    </row>
    <row r="2119" spans="1:8">
      <c r="A2119" s="45">
        <v>44576</v>
      </c>
      <c r="B2119" s="14" t="s">
        <v>2</v>
      </c>
      <c r="C2119" s="46">
        <v>20366500</v>
      </c>
      <c r="D2119" s="46">
        <v>18515000</v>
      </c>
      <c r="E2119" s="46">
        <v>1851500</v>
      </c>
      <c r="F2119" s="17" t="s">
        <v>611</v>
      </c>
      <c r="G2119" s="9">
        <v>44581</v>
      </c>
    </row>
    <row r="2120" spans="1:8">
      <c r="A2120" s="45">
        <v>44579</v>
      </c>
      <c r="B2120" s="14" t="s">
        <v>717</v>
      </c>
      <c r="C2120" s="46">
        <v>1265000</v>
      </c>
      <c r="D2120" s="46">
        <v>1150000</v>
      </c>
      <c r="E2120" s="46">
        <v>115000</v>
      </c>
      <c r="F2120" s="17" t="s">
        <v>718</v>
      </c>
      <c r="G2120" s="9">
        <v>44581</v>
      </c>
    </row>
    <row r="2121" spans="1:8">
      <c r="A2121" s="45">
        <v>44587</v>
      </c>
      <c r="B2121" s="14" t="s">
        <v>723</v>
      </c>
      <c r="C2121" s="46">
        <v>1082400</v>
      </c>
      <c r="D2121" s="46">
        <v>984000</v>
      </c>
      <c r="E2121" s="46">
        <v>98400</v>
      </c>
      <c r="F2121" s="17" t="s">
        <v>724</v>
      </c>
      <c r="G2121" s="9">
        <v>44610</v>
      </c>
    </row>
    <row r="2122" spans="1:8">
      <c r="A2122" s="45">
        <v>44589</v>
      </c>
      <c r="B2122" s="14" t="s">
        <v>717</v>
      </c>
      <c r="C2122" s="46">
        <v>121000</v>
      </c>
      <c r="D2122" s="46">
        <v>110000</v>
      </c>
      <c r="E2122" s="46">
        <v>11000</v>
      </c>
      <c r="F2122" s="17" t="s">
        <v>718</v>
      </c>
      <c r="G2122" s="9">
        <v>44595</v>
      </c>
      <c r="H2122" s="17" t="s">
        <v>731</v>
      </c>
    </row>
    <row r="2123" spans="1:8">
      <c r="A2123" s="45">
        <v>44592</v>
      </c>
      <c r="B2123" s="14" t="s">
        <v>82</v>
      </c>
      <c r="C2123" s="46">
        <v>198000</v>
      </c>
      <c r="D2123" s="46">
        <v>180000</v>
      </c>
      <c r="E2123" s="46">
        <v>18000</v>
      </c>
      <c r="F2123" s="17" t="s">
        <v>13</v>
      </c>
      <c r="G2123" s="9">
        <v>44607</v>
      </c>
      <c r="H2123" s="17" t="s">
        <v>732</v>
      </c>
    </row>
    <row r="2124" spans="1:8">
      <c r="A2124" s="45">
        <v>44592</v>
      </c>
      <c r="B2124" s="14" t="s">
        <v>63</v>
      </c>
      <c r="C2124" s="46">
        <v>2497000</v>
      </c>
      <c r="D2124" s="46">
        <v>2270000</v>
      </c>
      <c r="E2124" s="46">
        <v>227000</v>
      </c>
      <c r="F2124" s="17" t="s">
        <v>13</v>
      </c>
      <c r="G2124" s="9">
        <v>44620</v>
      </c>
    </row>
    <row r="2125" spans="1:8">
      <c r="A2125" s="45">
        <v>44592</v>
      </c>
      <c r="B2125" s="14" t="s">
        <v>449</v>
      </c>
      <c r="C2125" s="46">
        <v>2772000</v>
      </c>
      <c r="D2125" s="46">
        <v>2520000</v>
      </c>
      <c r="E2125" s="46">
        <v>252000</v>
      </c>
      <c r="F2125" s="17" t="s">
        <v>13</v>
      </c>
      <c r="G2125" s="9">
        <v>44637</v>
      </c>
    </row>
    <row r="2126" spans="1:8">
      <c r="A2126" s="45">
        <v>44592</v>
      </c>
      <c r="B2126" s="14" t="s">
        <v>432</v>
      </c>
      <c r="C2126" s="46">
        <v>1012000</v>
      </c>
      <c r="D2126" s="46">
        <v>920000</v>
      </c>
      <c r="E2126" s="46">
        <v>92000</v>
      </c>
      <c r="F2126" s="17" t="s">
        <v>702</v>
      </c>
      <c r="G2126" s="9">
        <v>44613</v>
      </c>
    </row>
    <row r="2127" spans="1:8">
      <c r="A2127" s="45">
        <v>44592</v>
      </c>
      <c r="B2127" s="14" t="s">
        <v>432</v>
      </c>
      <c r="C2127" s="46">
        <v>1611500</v>
      </c>
      <c r="D2127" s="46">
        <v>1465000</v>
      </c>
      <c r="E2127" s="46">
        <v>146500</v>
      </c>
      <c r="F2127" s="17" t="s">
        <v>165</v>
      </c>
      <c r="G2127" s="9">
        <v>44614</v>
      </c>
    </row>
    <row r="2128" spans="1:8">
      <c r="A2128" s="45">
        <v>44592</v>
      </c>
      <c r="B2128" s="14" t="s">
        <v>432</v>
      </c>
      <c r="C2128" s="46">
        <v>985600</v>
      </c>
      <c r="D2128" s="46">
        <v>896000</v>
      </c>
      <c r="E2128" s="46">
        <v>89600</v>
      </c>
      <c r="F2128" s="17" t="s">
        <v>588</v>
      </c>
      <c r="G2128" s="9">
        <v>44613</v>
      </c>
    </row>
    <row r="2129" spans="1:7">
      <c r="A2129" s="45">
        <v>44592</v>
      </c>
      <c r="B2129" s="14" t="s">
        <v>432</v>
      </c>
      <c r="C2129" s="46">
        <v>12992100</v>
      </c>
      <c r="D2129" s="46">
        <v>11811000</v>
      </c>
      <c r="E2129" s="46">
        <v>1181100</v>
      </c>
      <c r="F2129" s="17" t="s">
        <v>313</v>
      </c>
      <c r="G2129" s="9">
        <v>44613</v>
      </c>
    </row>
    <row r="2130" spans="1:7">
      <c r="A2130" s="45">
        <v>44592</v>
      </c>
      <c r="B2130" s="14" t="s">
        <v>432</v>
      </c>
      <c r="C2130" s="46">
        <v>759000</v>
      </c>
      <c r="D2130" s="46">
        <v>690000</v>
      </c>
      <c r="E2130" s="46">
        <v>69000</v>
      </c>
      <c r="F2130" s="17" t="s">
        <v>571</v>
      </c>
      <c r="G2130" s="9">
        <v>44613</v>
      </c>
    </row>
    <row r="2131" spans="1:7">
      <c r="A2131" s="45">
        <v>44592</v>
      </c>
      <c r="B2131" s="14" t="s">
        <v>644</v>
      </c>
      <c r="C2131" s="46">
        <v>6135800</v>
      </c>
      <c r="D2131" s="46">
        <v>5578000</v>
      </c>
      <c r="E2131" s="46">
        <v>557800</v>
      </c>
      <c r="F2131" s="17" t="s">
        <v>303</v>
      </c>
      <c r="G2131" s="9">
        <v>44602</v>
      </c>
    </row>
    <row r="2132" spans="1:7">
      <c r="A2132" s="45">
        <v>44592</v>
      </c>
      <c r="B2132" s="14" t="s">
        <v>644</v>
      </c>
      <c r="C2132" s="46">
        <v>1214400</v>
      </c>
      <c r="D2132" s="46">
        <v>1104000</v>
      </c>
      <c r="E2132" s="46">
        <v>110400</v>
      </c>
      <c r="F2132" s="17" t="s">
        <v>684</v>
      </c>
      <c r="G2132" s="9">
        <v>44602</v>
      </c>
    </row>
    <row r="2133" spans="1:7">
      <c r="A2133" s="45">
        <v>44592</v>
      </c>
      <c r="B2133" s="14" t="s">
        <v>644</v>
      </c>
      <c r="C2133" s="46">
        <v>7656000</v>
      </c>
      <c r="D2133" s="46">
        <v>6960000</v>
      </c>
      <c r="E2133" s="46">
        <v>696000</v>
      </c>
      <c r="F2133" s="17" t="s">
        <v>685</v>
      </c>
      <c r="G2133" s="9">
        <v>44602</v>
      </c>
    </row>
    <row r="2134" spans="1:7">
      <c r="A2134" s="45">
        <v>44592</v>
      </c>
      <c r="B2134" s="14" t="s">
        <v>726</v>
      </c>
      <c r="C2134" s="46">
        <v>253000</v>
      </c>
      <c r="D2134" s="46">
        <v>230000</v>
      </c>
      <c r="E2134" s="46">
        <v>23000</v>
      </c>
      <c r="F2134" s="17" t="s">
        <v>727</v>
      </c>
      <c r="G2134" s="9">
        <v>44607</v>
      </c>
    </row>
    <row r="2135" spans="1:7">
      <c r="A2135" s="45">
        <v>44592</v>
      </c>
      <c r="B2135" s="14" t="s">
        <v>728</v>
      </c>
      <c r="C2135" s="46">
        <v>1698400</v>
      </c>
      <c r="D2135" s="46">
        <v>1544000</v>
      </c>
      <c r="E2135" s="46">
        <v>154400</v>
      </c>
      <c r="F2135" s="17" t="s">
        <v>729</v>
      </c>
      <c r="G2135" s="9">
        <v>44607</v>
      </c>
    </row>
    <row r="2136" spans="1:7">
      <c r="A2136" s="45">
        <v>44592</v>
      </c>
      <c r="B2136" s="14" t="s">
        <v>385</v>
      </c>
      <c r="C2136" s="46">
        <v>13770900</v>
      </c>
      <c r="D2136" s="46">
        <v>12519000</v>
      </c>
      <c r="E2136" s="46">
        <v>1251900</v>
      </c>
      <c r="F2136" s="17" t="s">
        <v>305</v>
      </c>
      <c r="G2136" s="9">
        <v>44602</v>
      </c>
    </row>
    <row r="2137" spans="1:7">
      <c r="A2137" s="45">
        <v>44592</v>
      </c>
      <c r="B2137" s="14" t="s">
        <v>385</v>
      </c>
      <c r="C2137" s="46">
        <v>25225200</v>
      </c>
      <c r="D2137" s="46">
        <v>22932000</v>
      </c>
      <c r="E2137" s="46">
        <v>2293200</v>
      </c>
      <c r="F2137" s="17" t="s">
        <v>705</v>
      </c>
      <c r="G2137" s="9">
        <v>44602</v>
      </c>
    </row>
    <row r="2138" spans="1:7">
      <c r="A2138" s="45">
        <v>44592</v>
      </c>
      <c r="B2138" s="14" t="s">
        <v>385</v>
      </c>
      <c r="C2138" s="46">
        <v>2050400</v>
      </c>
      <c r="D2138" s="46">
        <v>1864000</v>
      </c>
      <c r="E2138" s="46">
        <v>186400</v>
      </c>
      <c r="F2138" s="17" t="s">
        <v>386</v>
      </c>
      <c r="G2138" s="9">
        <v>44602</v>
      </c>
    </row>
    <row r="2139" spans="1:7">
      <c r="A2139" s="45">
        <v>44592</v>
      </c>
      <c r="B2139" s="14" t="s">
        <v>385</v>
      </c>
      <c r="C2139" s="46">
        <v>37065600</v>
      </c>
      <c r="D2139" s="46">
        <v>33696000</v>
      </c>
      <c r="E2139" s="46">
        <v>3369600</v>
      </c>
      <c r="F2139" s="17" t="s">
        <v>387</v>
      </c>
      <c r="G2139" s="9">
        <v>44602</v>
      </c>
    </row>
    <row r="2140" spans="1:7">
      <c r="A2140" s="45">
        <v>44592</v>
      </c>
      <c r="B2140" s="14" t="s">
        <v>2</v>
      </c>
      <c r="C2140" s="46">
        <v>15877400</v>
      </c>
      <c r="D2140" s="46">
        <v>14434000</v>
      </c>
      <c r="E2140" s="46">
        <v>1443400</v>
      </c>
      <c r="F2140" s="17" t="s">
        <v>456</v>
      </c>
      <c r="G2140" s="9">
        <v>44602</v>
      </c>
    </row>
    <row r="2141" spans="1:7">
      <c r="A2141" s="45">
        <v>44592</v>
      </c>
      <c r="B2141" s="14" t="s">
        <v>2</v>
      </c>
      <c r="C2141" s="46">
        <v>12507000</v>
      </c>
      <c r="D2141" s="46">
        <v>11370000</v>
      </c>
      <c r="E2141" s="46">
        <v>1137000</v>
      </c>
      <c r="F2141" s="17" t="s">
        <v>424</v>
      </c>
      <c r="G2141" s="9">
        <v>44602</v>
      </c>
    </row>
    <row r="2142" spans="1:7">
      <c r="A2142" s="45">
        <v>44592</v>
      </c>
      <c r="B2142" s="14" t="s">
        <v>2</v>
      </c>
      <c r="C2142" s="46">
        <v>3958900</v>
      </c>
      <c r="D2142" s="46">
        <v>3599000</v>
      </c>
      <c r="E2142" s="46">
        <v>359900</v>
      </c>
      <c r="F2142" s="17" t="s">
        <v>606</v>
      </c>
      <c r="G2142" s="9">
        <v>44602</v>
      </c>
    </row>
    <row r="2143" spans="1:7">
      <c r="A2143" s="45">
        <v>44592</v>
      </c>
      <c r="B2143" s="14" t="s">
        <v>2</v>
      </c>
      <c r="C2143" s="46">
        <v>306900</v>
      </c>
      <c r="D2143" s="46">
        <v>279000</v>
      </c>
      <c r="E2143" s="46">
        <v>27900</v>
      </c>
      <c r="F2143" s="17" t="s">
        <v>315</v>
      </c>
      <c r="G2143" s="9">
        <v>44602</v>
      </c>
    </row>
    <row r="2144" spans="1:7">
      <c r="A2144" s="45">
        <v>44592</v>
      </c>
      <c r="B2144" s="14" t="s">
        <v>2</v>
      </c>
      <c r="C2144" s="46">
        <v>1355200</v>
      </c>
      <c r="D2144" s="46">
        <v>1232000</v>
      </c>
      <c r="E2144" s="46">
        <v>123200</v>
      </c>
      <c r="F2144" s="17" t="s">
        <v>714</v>
      </c>
      <c r="G2144" s="9">
        <v>44602</v>
      </c>
    </row>
    <row r="2145" spans="1:19">
      <c r="A2145" s="45">
        <v>44592</v>
      </c>
      <c r="B2145" s="14" t="s">
        <v>2</v>
      </c>
      <c r="C2145" s="46">
        <v>1948100</v>
      </c>
      <c r="D2145" s="46">
        <v>1771000</v>
      </c>
      <c r="E2145" s="46">
        <v>177100</v>
      </c>
      <c r="F2145" s="17" t="s">
        <v>612</v>
      </c>
      <c r="G2145" s="9">
        <v>44602</v>
      </c>
    </row>
    <row r="2146" spans="1:19">
      <c r="A2146" s="45">
        <v>44592</v>
      </c>
      <c r="B2146" s="14" t="s">
        <v>2</v>
      </c>
      <c r="C2146" s="46">
        <v>3630000</v>
      </c>
      <c r="D2146" s="46">
        <v>3300000</v>
      </c>
      <c r="E2146" s="46">
        <v>330000</v>
      </c>
      <c r="F2146" s="17" t="s">
        <v>471</v>
      </c>
      <c r="G2146" s="9">
        <v>44602</v>
      </c>
    </row>
    <row r="2147" spans="1:19">
      <c r="A2147" s="45">
        <v>44592</v>
      </c>
      <c r="B2147" s="14" t="s">
        <v>2</v>
      </c>
      <c r="C2147" s="46">
        <v>5923500</v>
      </c>
      <c r="D2147" s="46">
        <v>5385000</v>
      </c>
      <c r="E2147" s="46">
        <v>538500</v>
      </c>
      <c r="F2147" s="17" t="s">
        <v>457</v>
      </c>
      <c r="G2147" s="9">
        <v>44602</v>
      </c>
    </row>
    <row r="2148" spans="1:19">
      <c r="A2148" s="45">
        <v>44592</v>
      </c>
      <c r="B2148" s="14" t="s">
        <v>2</v>
      </c>
      <c r="C2148" s="46">
        <v>3162500</v>
      </c>
      <c r="D2148" s="46">
        <v>2875000</v>
      </c>
      <c r="E2148" s="46">
        <v>287500</v>
      </c>
      <c r="F2148" s="17" t="s">
        <v>646</v>
      </c>
      <c r="G2148" s="9">
        <v>44602</v>
      </c>
      <c r="I2148" s="304" t="s">
        <v>721</v>
      </c>
      <c r="J2148" s="304"/>
      <c r="K2148" s="304"/>
    </row>
    <row r="2149" spans="1:19">
      <c r="A2149" s="45">
        <v>44592</v>
      </c>
      <c r="B2149" s="14" t="s">
        <v>2</v>
      </c>
      <c r="C2149" s="46">
        <v>20746000</v>
      </c>
      <c r="D2149" s="46">
        <v>18860000</v>
      </c>
      <c r="E2149" s="46">
        <v>1886000</v>
      </c>
      <c r="F2149" s="17" t="s">
        <v>611</v>
      </c>
      <c r="G2149" s="9">
        <v>44602</v>
      </c>
      <c r="I2149" s="18" t="s">
        <v>46</v>
      </c>
      <c r="J2149" s="36" t="s">
        <v>47</v>
      </c>
      <c r="K2149" s="36" t="s">
        <v>48</v>
      </c>
    </row>
    <row r="2150" spans="1:19">
      <c r="A2150" s="119">
        <v>44592</v>
      </c>
      <c r="B2150" s="42" t="s">
        <v>730</v>
      </c>
      <c r="C2150" s="118">
        <v>2017400</v>
      </c>
      <c r="D2150" s="118">
        <v>1834000</v>
      </c>
      <c r="E2150" s="118">
        <v>183400</v>
      </c>
      <c r="F2150" s="51" t="s">
        <v>612</v>
      </c>
      <c r="G2150" s="10">
        <v>44613</v>
      </c>
      <c r="H2150" s="51"/>
      <c r="I2150" s="18">
        <f>SUM(C2110:C2150)</f>
        <v>271296300</v>
      </c>
      <c r="J2150" s="18">
        <f>SUM(D2110:D2150)</f>
        <v>246633000</v>
      </c>
      <c r="K2150" s="18">
        <f>SUM(E2110:E2150)</f>
        <v>24663300</v>
      </c>
      <c r="L2150" s="42"/>
      <c r="M2150" s="42"/>
      <c r="N2150" s="42"/>
      <c r="O2150" s="42"/>
      <c r="P2150" s="42"/>
      <c r="Q2150" s="42"/>
      <c r="R2150" s="42"/>
      <c r="S2150" s="42"/>
    </row>
    <row r="2151" spans="1:19">
      <c r="A2151" s="45">
        <v>44607</v>
      </c>
      <c r="B2151" s="14" t="s">
        <v>2</v>
      </c>
      <c r="C2151" s="46">
        <v>14814800</v>
      </c>
      <c r="D2151" s="46">
        <v>13468000</v>
      </c>
      <c r="E2151" s="46">
        <v>1346800</v>
      </c>
      <c r="F2151" s="17" t="s">
        <v>456</v>
      </c>
      <c r="G2151" s="9">
        <v>44613</v>
      </c>
    </row>
    <row r="2152" spans="1:19">
      <c r="A2152" s="45">
        <v>44607</v>
      </c>
      <c r="B2152" s="14" t="s">
        <v>2</v>
      </c>
      <c r="C2152" s="46">
        <v>11777700</v>
      </c>
      <c r="D2152" s="46">
        <v>10707000</v>
      </c>
      <c r="E2152" s="46">
        <v>1070700</v>
      </c>
      <c r="F2152" s="17" t="s">
        <v>424</v>
      </c>
      <c r="G2152" s="9">
        <v>44613</v>
      </c>
    </row>
    <row r="2153" spans="1:19">
      <c r="A2153" s="45">
        <v>44607</v>
      </c>
      <c r="B2153" s="14" t="s">
        <v>2</v>
      </c>
      <c r="C2153" s="46">
        <v>3671800</v>
      </c>
      <c r="D2153" s="46">
        <v>3338000</v>
      </c>
      <c r="E2153" s="46">
        <v>333800</v>
      </c>
      <c r="F2153" s="17" t="s">
        <v>606</v>
      </c>
      <c r="G2153" s="9">
        <v>44613</v>
      </c>
    </row>
    <row r="2154" spans="1:19">
      <c r="A2154" s="45">
        <v>44607</v>
      </c>
      <c r="B2154" s="14" t="s">
        <v>2</v>
      </c>
      <c r="C2154" s="46">
        <v>1108800</v>
      </c>
      <c r="D2154" s="46">
        <v>1008000</v>
      </c>
      <c r="E2154" s="46">
        <v>100800</v>
      </c>
      <c r="F2154" s="17" t="s">
        <v>714</v>
      </c>
      <c r="G2154" s="9">
        <v>44613</v>
      </c>
    </row>
    <row r="2155" spans="1:19">
      <c r="A2155" s="45">
        <v>44607</v>
      </c>
      <c r="B2155" s="14" t="s">
        <v>2</v>
      </c>
      <c r="C2155" s="46">
        <v>1713800</v>
      </c>
      <c r="D2155" s="46">
        <v>1558000</v>
      </c>
      <c r="E2155" s="46">
        <v>155800</v>
      </c>
      <c r="F2155" s="17" t="s">
        <v>612</v>
      </c>
      <c r="G2155" s="9">
        <v>44620</v>
      </c>
    </row>
    <row r="2156" spans="1:19">
      <c r="A2156" s="45">
        <v>44607</v>
      </c>
      <c r="B2156" s="14" t="s">
        <v>2</v>
      </c>
      <c r="C2156" s="46">
        <v>3267000</v>
      </c>
      <c r="D2156" s="46">
        <v>2970000</v>
      </c>
      <c r="E2156" s="46">
        <v>297000</v>
      </c>
      <c r="F2156" s="17" t="s">
        <v>471</v>
      </c>
      <c r="G2156" s="9">
        <v>44630</v>
      </c>
      <c r="I2156" s="306"/>
      <c r="J2156" s="306"/>
      <c r="K2156" s="306"/>
    </row>
    <row r="2157" spans="1:19">
      <c r="A2157" s="45">
        <v>44607</v>
      </c>
      <c r="B2157" s="14" t="s">
        <v>2</v>
      </c>
      <c r="C2157" s="46">
        <v>9416000</v>
      </c>
      <c r="D2157" s="46">
        <v>8560000</v>
      </c>
      <c r="E2157" s="46">
        <v>856000</v>
      </c>
      <c r="F2157" s="17" t="s">
        <v>457</v>
      </c>
      <c r="G2157" s="9">
        <v>44630</v>
      </c>
      <c r="J2157" s="14"/>
    </row>
    <row r="2158" spans="1:19">
      <c r="A2158" s="45">
        <v>44607</v>
      </c>
      <c r="B2158" s="14" t="s">
        <v>2</v>
      </c>
      <c r="C2158" s="46">
        <v>5060000</v>
      </c>
      <c r="D2158" s="46">
        <v>4600000</v>
      </c>
      <c r="E2158" s="46">
        <v>460000</v>
      </c>
      <c r="F2158" s="17" t="s">
        <v>646</v>
      </c>
      <c r="G2158" s="9">
        <v>44613</v>
      </c>
      <c r="J2158" s="15"/>
      <c r="K2158" s="15"/>
    </row>
    <row r="2159" spans="1:19">
      <c r="A2159" s="45">
        <v>44607</v>
      </c>
      <c r="B2159" s="14" t="s">
        <v>2</v>
      </c>
      <c r="C2159" s="46">
        <v>23908500</v>
      </c>
      <c r="D2159" s="46">
        <v>21735000</v>
      </c>
      <c r="E2159" s="46">
        <v>2173500</v>
      </c>
      <c r="F2159" s="17" t="s">
        <v>611</v>
      </c>
      <c r="G2159" s="9">
        <v>44613</v>
      </c>
    </row>
    <row r="2160" spans="1:19">
      <c r="A2160" s="45">
        <v>44619</v>
      </c>
      <c r="B2160" s="14" t="s">
        <v>723</v>
      </c>
      <c r="C2160" s="46">
        <v>1016400</v>
      </c>
      <c r="D2160" s="46">
        <v>924000</v>
      </c>
      <c r="E2160" s="46">
        <v>92400</v>
      </c>
      <c r="F2160" s="17" t="s">
        <v>710</v>
      </c>
      <c r="G2160" s="9">
        <v>44631</v>
      </c>
    </row>
    <row r="2161" spans="1:7">
      <c r="A2161" s="45">
        <v>44620</v>
      </c>
      <c r="B2161" s="14" t="s">
        <v>63</v>
      </c>
      <c r="C2161" s="46">
        <v>242000</v>
      </c>
      <c r="D2161" s="46">
        <v>220000</v>
      </c>
      <c r="E2161" s="46">
        <v>22000</v>
      </c>
      <c r="F2161" s="17" t="s">
        <v>13</v>
      </c>
      <c r="G2161" s="9">
        <v>44627</v>
      </c>
    </row>
    <row r="2162" spans="1:7">
      <c r="A2162" s="45">
        <v>44620</v>
      </c>
      <c r="B2162" s="14" t="s">
        <v>449</v>
      </c>
      <c r="C2162" s="46">
        <v>2134000</v>
      </c>
      <c r="D2162" s="46">
        <v>1940000</v>
      </c>
      <c r="E2162" s="46">
        <v>194000</v>
      </c>
      <c r="F2162" s="17" t="s">
        <v>13</v>
      </c>
      <c r="G2162" s="9">
        <v>44637</v>
      </c>
    </row>
    <row r="2163" spans="1:7">
      <c r="A2163" s="45">
        <v>44620</v>
      </c>
      <c r="B2163" s="14" t="s">
        <v>726</v>
      </c>
      <c r="C2163" s="46">
        <v>4554000</v>
      </c>
      <c r="D2163" s="46">
        <v>4140000</v>
      </c>
      <c r="E2163" s="46">
        <v>414000</v>
      </c>
      <c r="F2163" s="17" t="s">
        <v>727</v>
      </c>
      <c r="G2163" s="9">
        <v>44635</v>
      </c>
    </row>
    <row r="2164" spans="1:7">
      <c r="A2164" s="45">
        <v>44620</v>
      </c>
      <c r="B2164" s="14" t="s">
        <v>644</v>
      </c>
      <c r="C2164" s="46">
        <v>4854300</v>
      </c>
      <c r="D2164" s="46">
        <v>4413000</v>
      </c>
      <c r="E2164" s="46">
        <v>441300</v>
      </c>
      <c r="F2164" s="17" t="s">
        <v>303</v>
      </c>
      <c r="G2164" s="9">
        <v>44630</v>
      </c>
    </row>
    <row r="2165" spans="1:7">
      <c r="A2165" s="45">
        <v>44620</v>
      </c>
      <c r="B2165" s="14" t="s">
        <v>728</v>
      </c>
      <c r="C2165" s="46">
        <v>1619200</v>
      </c>
      <c r="D2165" s="46">
        <v>1472000</v>
      </c>
      <c r="E2165" s="46">
        <v>147200</v>
      </c>
      <c r="F2165" s="17" t="s">
        <v>729</v>
      </c>
      <c r="G2165" s="9">
        <v>44635</v>
      </c>
    </row>
    <row r="2166" spans="1:7">
      <c r="A2166" s="45">
        <v>44620</v>
      </c>
      <c r="B2166" s="14" t="s">
        <v>730</v>
      </c>
      <c r="C2166" s="46">
        <v>2933700</v>
      </c>
      <c r="D2166" s="46">
        <v>2667000</v>
      </c>
      <c r="E2166" s="46">
        <v>266700</v>
      </c>
      <c r="F2166" s="17" t="s">
        <v>612</v>
      </c>
      <c r="G2166" s="9">
        <v>44641</v>
      </c>
    </row>
    <row r="2167" spans="1:7">
      <c r="A2167" s="45">
        <v>44620</v>
      </c>
      <c r="B2167" s="14" t="s">
        <v>385</v>
      </c>
      <c r="C2167" s="46">
        <v>12226500</v>
      </c>
      <c r="D2167" s="46">
        <v>11115000</v>
      </c>
      <c r="E2167" s="46">
        <v>1111500</v>
      </c>
      <c r="F2167" s="17" t="s">
        <v>305</v>
      </c>
      <c r="G2167" s="9">
        <v>44630</v>
      </c>
    </row>
    <row r="2168" spans="1:7">
      <c r="A2168" s="45">
        <v>44620</v>
      </c>
      <c r="B2168" s="14" t="s">
        <v>385</v>
      </c>
      <c r="C2168" s="46">
        <v>23294700</v>
      </c>
      <c r="D2168" s="46">
        <v>21177000</v>
      </c>
      <c r="E2168" s="46">
        <v>2117700</v>
      </c>
      <c r="F2168" s="17" t="s">
        <v>705</v>
      </c>
      <c r="G2168" s="9">
        <v>44630</v>
      </c>
    </row>
    <row r="2169" spans="1:7">
      <c r="A2169" s="45">
        <v>44620</v>
      </c>
      <c r="B2169" s="14" t="s">
        <v>385</v>
      </c>
      <c r="C2169" s="46">
        <v>1386000</v>
      </c>
      <c r="D2169" s="46">
        <v>1260000</v>
      </c>
      <c r="E2169" s="46">
        <v>126000</v>
      </c>
      <c r="F2169" s="17" t="s">
        <v>386</v>
      </c>
      <c r="G2169" s="9">
        <v>44630</v>
      </c>
    </row>
    <row r="2170" spans="1:7">
      <c r="A2170" s="45">
        <v>44620</v>
      </c>
      <c r="B2170" s="14" t="s">
        <v>385</v>
      </c>
      <c r="C2170" s="46">
        <v>28700100</v>
      </c>
      <c r="D2170" s="46">
        <v>26091000</v>
      </c>
      <c r="E2170" s="46">
        <v>2609100</v>
      </c>
      <c r="F2170" s="17" t="s">
        <v>387</v>
      </c>
      <c r="G2170" s="9">
        <v>44630</v>
      </c>
    </row>
    <row r="2171" spans="1:7">
      <c r="A2171" s="45">
        <v>44620</v>
      </c>
      <c r="B2171" s="14" t="s">
        <v>2</v>
      </c>
      <c r="C2171" s="46">
        <v>12762200</v>
      </c>
      <c r="D2171" s="46">
        <v>11602000</v>
      </c>
      <c r="E2171" s="46">
        <v>1160200</v>
      </c>
      <c r="F2171" s="17" t="s">
        <v>456</v>
      </c>
      <c r="G2171" s="9">
        <v>44630</v>
      </c>
    </row>
    <row r="2172" spans="1:7">
      <c r="A2172" s="45">
        <v>44620</v>
      </c>
      <c r="B2172" s="14" t="s">
        <v>2</v>
      </c>
      <c r="C2172" s="46">
        <v>8982600</v>
      </c>
      <c r="D2172" s="46">
        <v>8166000</v>
      </c>
      <c r="E2172" s="46">
        <v>816600</v>
      </c>
      <c r="F2172" s="17" t="s">
        <v>424</v>
      </c>
      <c r="G2172" s="9">
        <v>44630</v>
      </c>
    </row>
    <row r="2173" spans="1:7">
      <c r="A2173" s="45">
        <v>44620</v>
      </c>
      <c r="B2173" s="14" t="s">
        <v>2</v>
      </c>
      <c r="C2173" s="46">
        <v>2829200</v>
      </c>
      <c r="D2173" s="46">
        <v>2572000</v>
      </c>
      <c r="E2173" s="46">
        <v>257200</v>
      </c>
      <c r="F2173" s="17" t="s">
        <v>606</v>
      </c>
      <c r="G2173" s="9">
        <v>44630</v>
      </c>
    </row>
    <row r="2174" spans="1:7">
      <c r="A2174" s="45">
        <v>44620</v>
      </c>
      <c r="B2174" s="14" t="s">
        <v>2</v>
      </c>
      <c r="C2174" s="46">
        <v>369600</v>
      </c>
      <c r="D2174" s="46">
        <v>336000</v>
      </c>
      <c r="E2174" s="46">
        <v>33600</v>
      </c>
      <c r="F2174" s="17" t="s">
        <v>734</v>
      </c>
      <c r="G2174" s="9">
        <v>44641</v>
      </c>
    </row>
    <row r="2175" spans="1:7">
      <c r="A2175" s="45">
        <v>44620</v>
      </c>
      <c r="B2175" s="14" t="s">
        <v>2</v>
      </c>
      <c r="C2175" s="46">
        <v>739200</v>
      </c>
      <c r="D2175" s="46">
        <v>672000</v>
      </c>
      <c r="E2175" s="46">
        <v>67200</v>
      </c>
      <c r="F2175" s="17" t="s">
        <v>714</v>
      </c>
      <c r="G2175" s="9">
        <v>44630</v>
      </c>
    </row>
    <row r="2176" spans="1:7">
      <c r="A2176" s="45">
        <v>44620</v>
      </c>
      <c r="B2176" s="14" t="s">
        <v>2</v>
      </c>
      <c r="C2176" s="46">
        <v>1771000</v>
      </c>
      <c r="D2176" s="46">
        <v>1610000</v>
      </c>
      <c r="E2176" s="46">
        <v>161000</v>
      </c>
      <c r="F2176" s="17" t="s">
        <v>612</v>
      </c>
      <c r="G2176" s="9">
        <v>44630</v>
      </c>
    </row>
    <row r="2177" spans="1:19">
      <c r="A2177" s="45">
        <v>44620</v>
      </c>
      <c r="B2177" s="14" t="s">
        <v>2</v>
      </c>
      <c r="C2177" s="46">
        <v>3146000</v>
      </c>
      <c r="D2177" s="46">
        <v>2860000</v>
      </c>
      <c r="E2177" s="46">
        <v>286000</v>
      </c>
      <c r="F2177" s="17" t="s">
        <v>471</v>
      </c>
      <c r="G2177" s="9">
        <v>44630</v>
      </c>
    </row>
    <row r="2178" spans="1:19">
      <c r="A2178" s="45">
        <v>44620</v>
      </c>
      <c r="B2178" s="14" t="s">
        <v>2</v>
      </c>
      <c r="C2178" s="46">
        <v>12082400</v>
      </c>
      <c r="D2178" s="46">
        <v>10984000</v>
      </c>
      <c r="E2178" s="46">
        <v>1098400</v>
      </c>
      <c r="F2178" s="17" t="s">
        <v>457</v>
      </c>
      <c r="G2178" s="9">
        <v>44630</v>
      </c>
    </row>
    <row r="2179" spans="1:19">
      <c r="A2179" s="45">
        <v>44620</v>
      </c>
      <c r="B2179" s="14" t="s">
        <v>2</v>
      </c>
      <c r="C2179" s="46">
        <v>6514750</v>
      </c>
      <c r="D2179" s="46">
        <v>5922500</v>
      </c>
      <c r="E2179" s="46">
        <v>592250</v>
      </c>
      <c r="F2179" s="17" t="s">
        <v>646</v>
      </c>
      <c r="G2179" s="9">
        <v>44630</v>
      </c>
    </row>
    <row r="2180" spans="1:19">
      <c r="A2180" s="45">
        <v>44620</v>
      </c>
      <c r="B2180" s="14" t="s">
        <v>2</v>
      </c>
      <c r="C2180" s="46">
        <v>22011000</v>
      </c>
      <c r="D2180" s="46">
        <v>20010000</v>
      </c>
      <c r="E2180" s="46">
        <v>2001000</v>
      </c>
      <c r="F2180" s="17" t="s">
        <v>611</v>
      </c>
      <c r="G2180" s="9">
        <v>44630</v>
      </c>
    </row>
    <row r="2181" spans="1:19">
      <c r="A2181" s="45">
        <v>44620</v>
      </c>
      <c r="B2181" s="14" t="s">
        <v>735</v>
      </c>
      <c r="C2181" s="46">
        <v>123200</v>
      </c>
      <c r="D2181" s="46">
        <v>112000</v>
      </c>
      <c r="E2181" s="46">
        <v>11200</v>
      </c>
      <c r="F2181" s="17" t="s">
        <v>736</v>
      </c>
      <c r="G2181" s="9">
        <v>44630</v>
      </c>
    </row>
    <row r="2182" spans="1:19">
      <c r="A2182" s="45">
        <v>44620</v>
      </c>
      <c r="B2182" s="14" t="s">
        <v>432</v>
      </c>
      <c r="C2182" s="46">
        <v>126500</v>
      </c>
      <c r="D2182" s="46">
        <v>115000</v>
      </c>
      <c r="E2182" s="46">
        <v>11500</v>
      </c>
      <c r="F2182" s="17" t="s">
        <v>702</v>
      </c>
      <c r="G2182" s="9">
        <v>44636</v>
      </c>
      <c r="I2182" s="304" t="s">
        <v>725</v>
      </c>
      <c r="J2182" s="304"/>
      <c r="K2182" s="304"/>
    </row>
    <row r="2183" spans="1:19">
      <c r="A2183" s="45">
        <v>44620</v>
      </c>
      <c r="B2183" s="14" t="s">
        <v>432</v>
      </c>
      <c r="C2183" s="46">
        <v>506000</v>
      </c>
      <c r="D2183" s="46">
        <v>460000</v>
      </c>
      <c r="E2183" s="46">
        <v>46000</v>
      </c>
      <c r="F2183" s="17" t="s">
        <v>165</v>
      </c>
      <c r="G2183" s="9">
        <v>44641</v>
      </c>
      <c r="I2183" s="18" t="s">
        <v>46</v>
      </c>
      <c r="J2183" s="36" t="s">
        <v>47</v>
      </c>
      <c r="K2183" s="36" t="s">
        <v>48</v>
      </c>
    </row>
    <row r="2184" spans="1:19">
      <c r="A2184" s="45">
        <v>44620</v>
      </c>
      <c r="B2184" s="14" t="s">
        <v>432</v>
      </c>
      <c r="C2184" s="46">
        <v>18538300</v>
      </c>
      <c r="D2184" s="46">
        <v>16853000</v>
      </c>
      <c r="E2184" s="46">
        <v>1685300</v>
      </c>
      <c r="F2184" s="17" t="s">
        <v>313</v>
      </c>
      <c r="G2184" s="9">
        <v>44641</v>
      </c>
      <c r="I2184" s="18">
        <f>SUM(C2151:C2186)</f>
        <v>251490250</v>
      </c>
      <c r="J2184" s="18">
        <f>SUM(D2151:D2186)</f>
        <v>228627500</v>
      </c>
      <c r="K2184" s="18">
        <f>SUM(E2151:E2186)</f>
        <v>22862750</v>
      </c>
    </row>
    <row r="2185" spans="1:19">
      <c r="A2185" s="45">
        <v>44620</v>
      </c>
      <c r="B2185" s="14" t="s">
        <v>432</v>
      </c>
      <c r="C2185" s="46">
        <v>506000</v>
      </c>
      <c r="D2185" s="46">
        <v>460000</v>
      </c>
      <c r="E2185" s="46">
        <v>46000</v>
      </c>
      <c r="F2185" s="17" t="s">
        <v>320</v>
      </c>
      <c r="G2185" s="9">
        <v>44641</v>
      </c>
    </row>
    <row r="2186" spans="1:19">
      <c r="A2186" s="119">
        <v>44620</v>
      </c>
      <c r="B2186" s="42" t="s">
        <v>432</v>
      </c>
      <c r="C2186" s="118">
        <v>2783000</v>
      </c>
      <c r="D2186" s="118">
        <v>2530000</v>
      </c>
      <c r="E2186" s="118">
        <v>253000</v>
      </c>
      <c r="F2186" s="51" t="s">
        <v>571</v>
      </c>
      <c r="G2186" s="10">
        <v>44641</v>
      </c>
      <c r="H2186" s="51"/>
      <c r="I2186" s="121"/>
      <c r="J2186" s="122"/>
      <c r="K2186" s="42"/>
      <c r="L2186" s="42"/>
      <c r="M2186" s="42"/>
      <c r="N2186" s="42"/>
      <c r="O2186" s="42"/>
      <c r="P2186" s="42"/>
      <c r="Q2186" s="42"/>
      <c r="R2186" s="42"/>
      <c r="S2186" s="42"/>
    </row>
    <row r="2187" spans="1:19">
      <c r="A2187" s="45">
        <v>44635</v>
      </c>
      <c r="B2187" s="14" t="s">
        <v>2</v>
      </c>
      <c r="C2187" s="46">
        <v>17157800</v>
      </c>
      <c r="D2187" s="46">
        <v>15598000</v>
      </c>
      <c r="E2187" s="46">
        <v>1559800</v>
      </c>
      <c r="F2187" s="17" t="s">
        <v>456</v>
      </c>
      <c r="G2187" s="9">
        <v>44641</v>
      </c>
    </row>
    <row r="2188" spans="1:19">
      <c r="A2188" s="45">
        <v>44635</v>
      </c>
      <c r="B2188" s="14" t="s">
        <v>2</v>
      </c>
      <c r="C2188" s="46">
        <v>8705400</v>
      </c>
      <c r="D2188" s="46">
        <v>7914000</v>
      </c>
      <c r="E2188" s="46">
        <v>791400</v>
      </c>
      <c r="F2188" s="17" t="s">
        <v>424</v>
      </c>
      <c r="G2188" s="9">
        <v>44641</v>
      </c>
    </row>
    <row r="2189" spans="1:19">
      <c r="A2189" s="45">
        <v>44635</v>
      </c>
      <c r="B2189" s="14" t="s">
        <v>2</v>
      </c>
      <c r="C2189" s="46">
        <v>2516800</v>
      </c>
      <c r="D2189" s="46">
        <v>2288000</v>
      </c>
      <c r="E2189" s="46">
        <v>228800</v>
      </c>
      <c r="F2189" s="17" t="s">
        <v>606</v>
      </c>
      <c r="G2189" s="9">
        <v>44641</v>
      </c>
    </row>
    <row r="2190" spans="1:19">
      <c r="A2190" s="45">
        <v>44635</v>
      </c>
      <c r="B2190" s="14" t="s">
        <v>2</v>
      </c>
      <c r="C2190" s="46">
        <v>730400</v>
      </c>
      <c r="D2190" s="46">
        <v>664000</v>
      </c>
      <c r="E2190" s="46">
        <v>66400</v>
      </c>
      <c r="F2190" s="17" t="s">
        <v>734</v>
      </c>
      <c r="G2190" s="9">
        <v>44641</v>
      </c>
    </row>
    <row r="2191" spans="1:19">
      <c r="A2191" s="45">
        <v>44635</v>
      </c>
      <c r="B2191" s="14" t="s">
        <v>2</v>
      </c>
      <c r="C2191" s="46">
        <v>1355200</v>
      </c>
      <c r="D2191" s="46">
        <v>1232000</v>
      </c>
      <c r="E2191" s="46">
        <v>123200</v>
      </c>
      <c r="F2191" s="17" t="s">
        <v>714</v>
      </c>
      <c r="G2191" s="9">
        <v>44641</v>
      </c>
    </row>
    <row r="2192" spans="1:19">
      <c r="A2192" s="45">
        <v>44635</v>
      </c>
      <c r="B2192" s="14" t="s">
        <v>2</v>
      </c>
      <c r="C2192" s="46">
        <v>1801800</v>
      </c>
      <c r="D2192" s="46">
        <v>1638000</v>
      </c>
      <c r="E2192" s="46">
        <v>163800</v>
      </c>
      <c r="F2192" s="17" t="s">
        <v>612</v>
      </c>
      <c r="G2192" s="9">
        <v>44650</v>
      </c>
    </row>
    <row r="2193" spans="1:7">
      <c r="A2193" s="45">
        <v>44635</v>
      </c>
      <c r="B2193" s="14" t="s">
        <v>2</v>
      </c>
      <c r="C2193" s="46">
        <v>2178000</v>
      </c>
      <c r="D2193" s="46">
        <v>1980000</v>
      </c>
      <c r="E2193" s="46">
        <v>198000</v>
      </c>
      <c r="F2193" s="17" t="s">
        <v>471</v>
      </c>
      <c r="G2193" s="9">
        <v>44641</v>
      </c>
    </row>
    <row r="2194" spans="1:7">
      <c r="A2194" s="45">
        <v>44635</v>
      </c>
      <c r="B2194" s="14" t="s">
        <v>2</v>
      </c>
      <c r="C2194" s="46">
        <v>15909300</v>
      </c>
      <c r="D2194" s="46">
        <v>14463000</v>
      </c>
      <c r="E2194" s="46">
        <v>1446300</v>
      </c>
      <c r="F2194" s="17" t="s">
        <v>457</v>
      </c>
      <c r="G2194" s="9">
        <v>44641</v>
      </c>
    </row>
    <row r="2195" spans="1:7">
      <c r="A2195" s="45">
        <v>44635</v>
      </c>
      <c r="B2195" s="14" t="s">
        <v>2</v>
      </c>
      <c r="C2195" s="46">
        <v>5692500</v>
      </c>
      <c r="D2195" s="46">
        <v>5175000</v>
      </c>
      <c r="E2195" s="46">
        <v>517500</v>
      </c>
      <c r="F2195" s="17" t="s">
        <v>646</v>
      </c>
      <c r="G2195" s="9">
        <v>44641</v>
      </c>
    </row>
    <row r="2196" spans="1:7">
      <c r="A2196" s="45">
        <v>44635</v>
      </c>
      <c r="B2196" s="14" t="s">
        <v>2</v>
      </c>
      <c r="C2196" s="46">
        <v>36245000</v>
      </c>
      <c r="D2196" s="46">
        <v>32950000</v>
      </c>
      <c r="E2196" s="46">
        <v>3295000</v>
      </c>
      <c r="F2196" s="17" t="s">
        <v>611</v>
      </c>
      <c r="G2196" s="9">
        <v>44641</v>
      </c>
    </row>
    <row r="2197" spans="1:7">
      <c r="A2197" s="45">
        <v>44645</v>
      </c>
      <c r="B2197" s="14" t="s">
        <v>719</v>
      </c>
      <c r="C2197" s="46">
        <v>508200</v>
      </c>
      <c r="D2197" s="46">
        <v>462000</v>
      </c>
      <c r="E2197" s="46">
        <v>46200</v>
      </c>
      <c r="F2197" s="17" t="s">
        <v>710</v>
      </c>
      <c r="G2197" s="9">
        <v>44666</v>
      </c>
    </row>
    <row r="2198" spans="1:7">
      <c r="A2198" s="45">
        <v>44648</v>
      </c>
      <c r="B2198" s="14" t="s">
        <v>738</v>
      </c>
      <c r="C2198" s="46">
        <v>8531890</v>
      </c>
      <c r="D2198" s="46">
        <v>7756263</v>
      </c>
      <c r="E2198" s="46">
        <v>775627</v>
      </c>
      <c r="F2198" s="17" t="s">
        <v>739</v>
      </c>
      <c r="G2198" s="9">
        <v>44655</v>
      </c>
    </row>
    <row r="2199" spans="1:7">
      <c r="A2199" s="45">
        <v>44648</v>
      </c>
      <c r="B2199" s="14" t="s">
        <v>740</v>
      </c>
      <c r="C2199" s="46">
        <v>3279360</v>
      </c>
      <c r="D2199" s="46">
        <v>2981236</v>
      </c>
      <c r="E2199" s="46">
        <v>298124</v>
      </c>
      <c r="F2199" s="17" t="s">
        <v>741</v>
      </c>
      <c r="G2199" s="9">
        <v>44650</v>
      </c>
    </row>
    <row r="2200" spans="1:7">
      <c r="A2200" s="45">
        <v>44651</v>
      </c>
      <c r="B2200" s="14" t="s">
        <v>742</v>
      </c>
      <c r="C2200" s="46">
        <v>2970000</v>
      </c>
      <c r="D2200" s="46">
        <v>2700000</v>
      </c>
      <c r="E2200" s="46">
        <v>270000</v>
      </c>
      <c r="F2200" s="17" t="s">
        <v>743</v>
      </c>
      <c r="G2200" s="9">
        <v>44655</v>
      </c>
    </row>
    <row r="2201" spans="1:7">
      <c r="A2201" s="45">
        <v>44651</v>
      </c>
      <c r="B2201" s="14" t="s">
        <v>82</v>
      </c>
      <c r="C2201" s="46">
        <v>1056000</v>
      </c>
      <c r="D2201" s="46">
        <v>960000</v>
      </c>
      <c r="E2201" s="46">
        <v>96000</v>
      </c>
      <c r="F2201" s="17" t="s">
        <v>13</v>
      </c>
      <c r="G2201" s="9">
        <v>44666</v>
      </c>
    </row>
    <row r="2202" spans="1:7">
      <c r="A2202" s="45">
        <v>44651</v>
      </c>
      <c r="B2202" s="14" t="s">
        <v>449</v>
      </c>
      <c r="C2202" s="46">
        <v>4807000</v>
      </c>
      <c r="D2202" s="46">
        <v>4370000</v>
      </c>
      <c r="E2202" s="46">
        <v>437000</v>
      </c>
      <c r="F2202" s="17" t="s">
        <v>13</v>
      </c>
      <c r="G2202" s="9">
        <v>44672</v>
      </c>
    </row>
    <row r="2203" spans="1:7">
      <c r="A2203" s="45">
        <v>44651</v>
      </c>
      <c r="B2203" s="14" t="s">
        <v>432</v>
      </c>
      <c r="C2203" s="46">
        <v>169400</v>
      </c>
      <c r="D2203" s="46">
        <v>154000</v>
      </c>
      <c r="E2203" s="46">
        <v>15400</v>
      </c>
      <c r="F2203" s="17" t="s">
        <v>702</v>
      </c>
      <c r="G2203" s="9">
        <v>44671</v>
      </c>
    </row>
    <row r="2204" spans="1:7">
      <c r="A2204" s="45">
        <v>44651</v>
      </c>
      <c r="B2204" s="14" t="s">
        <v>432</v>
      </c>
      <c r="C2204" s="46">
        <v>801900</v>
      </c>
      <c r="D2204" s="46">
        <v>729000</v>
      </c>
      <c r="E2204" s="46">
        <v>72900</v>
      </c>
      <c r="F2204" s="17" t="s">
        <v>165</v>
      </c>
      <c r="G2204" s="9">
        <v>44671</v>
      </c>
    </row>
    <row r="2205" spans="1:7">
      <c r="A2205" s="45">
        <v>44651</v>
      </c>
      <c r="B2205" s="14" t="s">
        <v>432</v>
      </c>
      <c r="C2205" s="46">
        <v>202400</v>
      </c>
      <c r="D2205" s="46">
        <v>184000</v>
      </c>
      <c r="E2205" s="46">
        <v>18400</v>
      </c>
      <c r="F2205" s="17" t="s">
        <v>588</v>
      </c>
      <c r="G2205" s="9">
        <v>44671</v>
      </c>
    </row>
    <row r="2206" spans="1:7">
      <c r="A2206" s="45">
        <v>44651</v>
      </c>
      <c r="B2206" s="14" t="s">
        <v>432</v>
      </c>
      <c r="C2206" s="46">
        <v>11457600</v>
      </c>
      <c r="D2206" s="46">
        <v>10416000</v>
      </c>
      <c r="E2206" s="46">
        <v>1041600</v>
      </c>
      <c r="F2206" s="17" t="s">
        <v>313</v>
      </c>
      <c r="G2206" s="9">
        <v>44671</v>
      </c>
    </row>
    <row r="2207" spans="1:7">
      <c r="A2207" s="45">
        <v>44651</v>
      </c>
      <c r="B2207" s="14" t="s">
        <v>432</v>
      </c>
      <c r="C2207" s="46">
        <v>404800</v>
      </c>
      <c r="D2207" s="46">
        <v>368000</v>
      </c>
      <c r="E2207" s="46">
        <v>36800</v>
      </c>
      <c r="F2207" s="17" t="s">
        <v>320</v>
      </c>
      <c r="G2207" s="9">
        <v>44671</v>
      </c>
    </row>
    <row r="2208" spans="1:7">
      <c r="A2208" s="45">
        <v>44651</v>
      </c>
      <c r="B2208" s="14" t="s">
        <v>432</v>
      </c>
      <c r="C2208" s="46">
        <v>3036000</v>
      </c>
      <c r="D2208" s="46">
        <v>2760000</v>
      </c>
      <c r="E2208" s="46">
        <v>276000</v>
      </c>
      <c r="F2208" s="17" t="s">
        <v>571</v>
      </c>
      <c r="G2208" s="9">
        <v>44671</v>
      </c>
    </row>
    <row r="2209" spans="1:11">
      <c r="A2209" s="45">
        <v>44651</v>
      </c>
      <c r="B2209" s="14" t="s">
        <v>735</v>
      </c>
      <c r="C2209" s="46">
        <v>1478400</v>
      </c>
      <c r="D2209" s="46">
        <v>1344000</v>
      </c>
      <c r="E2209" s="46">
        <v>134400</v>
      </c>
      <c r="F2209" s="17" t="s">
        <v>736</v>
      </c>
      <c r="G2209" s="9">
        <v>44666</v>
      </c>
    </row>
    <row r="2210" spans="1:11">
      <c r="A2210" s="45">
        <v>44651</v>
      </c>
      <c r="B2210" s="14" t="s">
        <v>2</v>
      </c>
      <c r="C2210" s="46">
        <v>20411600</v>
      </c>
      <c r="D2210" s="46">
        <v>18556000</v>
      </c>
      <c r="E2210" s="46">
        <v>1855600</v>
      </c>
      <c r="F2210" s="17" t="s">
        <v>456</v>
      </c>
      <c r="G2210" s="9">
        <v>44662</v>
      </c>
    </row>
    <row r="2211" spans="1:11">
      <c r="A2211" s="45">
        <v>44651</v>
      </c>
      <c r="B2211" s="14" t="s">
        <v>2</v>
      </c>
      <c r="C2211" s="46">
        <v>8155400</v>
      </c>
      <c r="D2211" s="46">
        <v>7414000</v>
      </c>
      <c r="E2211" s="46">
        <v>741400</v>
      </c>
      <c r="F2211" s="17" t="s">
        <v>424</v>
      </c>
      <c r="G2211" s="9">
        <v>44662</v>
      </c>
    </row>
    <row r="2212" spans="1:11">
      <c r="A2212" s="45">
        <v>44651</v>
      </c>
      <c r="B2212" s="14" t="s">
        <v>2</v>
      </c>
      <c r="C2212" s="46">
        <v>1944800</v>
      </c>
      <c r="D2212" s="46">
        <v>1768000</v>
      </c>
      <c r="E2212" s="46">
        <v>176800</v>
      </c>
      <c r="F2212" s="17" t="s">
        <v>606</v>
      </c>
      <c r="G2212" s="9">
        <v>44662</v>
      </c>
    </row>
    <row r="2213" spans="1:11">
      <c r="A2213" s="45">
        <v>44651</v>
      </c>
      <c r="B2213" s="14" t="s">
        <v>2</v>
      </c>
      <c r="C2213" s="46">
        <v>1478400</v>
      </c>
      <c r="D2213" s="46">
        <v>1344000</v>
      </c>
      <c r="E2213" s="46">
        <v>134400</v>
      </c>
      <c r="F2213" s="17" t="s">
        <v>714</v>
      </c>
      <c r="G2213" s="9">
        <v>44662</v>
      </c>
    </row>
    <row r="2214" spans="1:11">
      <c r="A2214" s="45">
        <v>44651</v>
      </c>
      <c r="B2214" s="14" t="s">
        <v>2</v>
      </c>
      <c r="C2214" s="46">
        <v>2148300</v>
      </c>
      <c r="D2214" s="46">
        <v>1953000</v>
      </c>
      <c r="E2214" s="46">
        <v>195300</v>
      </c>
      <c r="F2214" s="17" t="s">
        <v>612</v>
      </c>
      <c r="G2214" s="9">
        <v>44662</v>
      </c>
    </row>
    <row r="2215" spans="1:11">
      <c r="A2215" s="45">
        <v>44651</v>
      </c>
      <c r="B2215" s="14" t="s">
        <v>2</v>
      </c>
      <c r="C2215" s="46">
        <v>2904000</v>
      </c>
      <c r="D2215" s="46">
        <v>2640000</v>
      </c>
      <c r="E2215" s="46">
        <v>264000</v>
      </c>
      <c r="F2215" s="17" t="s">
        <v>471</v>
      </c>
      <c r="G2215" s="9">
        <v>44662</v>
      </c>
    </row>
    <row r="2216" spans="1:11">
      <c r="A2216" s="45">
        <v>44651</v>
      </c>
      <c r="B2216" s="14" t="s">
        <v>2</v>
      </c>
      <c r="C2216" s="46">
        <v>25705900</v>
      </c>
      <c r="D2216" s="46">
        <v>23369000</v>
      </c>
      <c r="E2216" s="46">
        <v>2336900</v>
      </c>
      <c r="F2216" s="17" t="s">
        <v>457</v>
      </c>
      <c r="G2216" s="9">
        <v>44662</v>
      </c>
    </row>
    <row r="2217" spans="1:11">
      <c r="A2217" s="45">
        <v>44651</v>
      </c>
      <c r="B2217" s="14" t="s">
        <v>2</v>
      </c>
      <c r="C2217" s="46">
        <v>8285750</v>
      </c>
      <c r="D2217" s="46">
        <v>7532500</v>
      </c>
      <c r="E2217" s="46">
        <v>753250</v>
      </c>
      <c r="F2217" s="17" t="s">
        <v>646</v>
      </c>
      <c r="G2217" s="9">
        <v>44662</v>
      </c>
    </row>
    <row r="2218" spans="1:11">
      <c r="A2218" s="45">
        <v>44651</v>
      </c>
      <c r="B2218" s="14" t="s">
        <v>2</v>
      </c>
      <c r="C2218" s="46">
        <v>37958250</v>
      </c>
      <c r="D2218" s="46">
        <v>34507500</v>
      </c>
      <c r="E2218" s="46">
        <v>3450750</v>
      </c>
      <c r="F2218" s="17" t="s">
        <v>611</v>
      </c>
      <c r="G2218" s="9">
        <v>44662</v>
      </c>
    </row>
    <row r="2219" spans="1:11">
      <c r="A2219" s="45">
        <v>44651</v>
      </c>
      <c r="B2219" s="14" t="s">
        <v>726</v>
      </c>
      <c r="C2219" s="46">
        <v>5439500</v>
      </c>
      <c r="D2219" s="46">
        <v>4945000</v>
      </c>
      <c r="E2219" s="46">
        <v>494500</v>
      </c>
      <c r="F2219" s="17" t="s">
        <v>727</v>
      </c>
      <c r="G2219" s="9">
        <v>44666</v>
      </c>
    </row>
    <row r="2220" spans="1:11">
      <c r="A2220" s="45">
        <v>44651</v>
      </c>
      <c r="B2220" s="14" t="s">
        <v>728</v>
      </c>
      <c r="C2220" s="46">
        <v>1602700</v>
      </c>
      <c r="D2220" s="46">
        <v>1457000</v>
      </c>
      <c r="E2220" s="46">
        <v>145700</v>
      </c>
      <c r="F2220" s="17" t="s">
        <v>729</v>
      </c>
      <c r="G2220" s="9">
        <v>44666</v>
      </c>
    </row>
    <row r="2221" spans="1:11">
      <c r="A2221" s="45">
        <v>44651</v>
      </c>
      <c r="B2221" s="14" t="s">
        <v>730</v>
      </c>
      <c r="C2221" s="46">
        <v>3595900</v>
      </c>
      <c r="D2221" s="46">
        <v>3269000</v>
      </c>
      <c r="E2221" s="46">
        <v>326900</v>
      </c>
      <c r="F2221" s="17" t="s">
        <v>612</v>
      </c>
      <c r="G2221" s="9">
        <v>44659</v>
      </c>
      <c r="I2221" s="304" t="s">
        <v>733</v>
      </c>
      <c r="J2221" s="304"/>
      <c r="K2221" s="304"/>
    </row>
    <row r="2222" spans="1:11">
      <c r="A2222" s="45">
        <v>44651</v>
      </c>
      <c r="B2222" s="14" t="s">
        <v>745</v>
      </c>
      <c r="C2222" s="46">
        <v>511500</v>
      </c>
      <c r="D2222" s="46">
        <v>465000</v>
      </c>
      <c r="E2222" s="46">
        <v>46500</v>
      </c>
      <c r="F2222" s="17" t="s">
        <v>746</v>
      </c>
      <c r="G2222" s="9">
        <v>44662</v>
      </c>
      <c r="I2222" s="18" t="s">
        <v>46</v>
      </c>
      <c r="J2222" s="36" t="s">
        <v>47</v>
      </c>
      <c r="K2222" s="36" t="s">
        <v>48</v>
      </c>
    </row>
    <row r="2223" spans="1:11">
      <c r="A2223" s="45">
        <v>44651</v>
      </c>
      <c r="B2223" s="14" t="s">
        <v>385</v>
      </c>
      <c r="C2223" s="46">
        <v>11454300</v>
      </c>
      <c r="D2223" s="46">
        <v>10413000</v>
      </c>
      <c r="E2223" s="46">
        <v>1041300</v>
      </c>
      <c r="F2223" s="17" t="s">
        <v>305</v>
      </c>
      <c r="G2223" s="9">
        <v>44659</v>
      </c>
      <c r="I2223" s="18">
        <f>SUM(C2187:C2228)</f>
        <v>326682400</v>
      </c>
      <c r="J2223" s="18">
        <f>SUM(D2187:D2228)</f>
        <v>296983999</v>
      </c>
      <c r="K2223" s="18">
        <f>SUM(E2187:E2228)</f>
        <v>29698401</v>
      </c>
    </row>
    <row r="2224" spans="1:11">
      <c r="A2224" s="45">
        <v>44651</v>
      </c>
      <c r="B2224" s="14" t="s">
        <v>385</v>
      </c>
      <c r="C2224" s="46">
        <v>22715550</v>
      </c>
      <c r="D2224" s="46">
        <v>20650500</v>
      </c>
      <c r="E2224" s="46">
        <v>2065050</v>
      </c>
      <c r="F2224" s="17" t="s">
        <v>705</v>
      </c>
      <c r="G2224" s="9">
        <v>44659</v>
      </c>
    </row>
    <row r="2225" spans="1:19">
      <c r="A2225" s="45">
        <v>44651</v>
      </c>
      <c r="B2225" s="14" t="s">
        <v>385</v>
      </c>
      <c r="C2225" s="46">
        <v>1492700</v>
      </c>
      <c r="D2225" s="46">
        <v>1357000</v>
      </c>
      <c r="E2225" s="46">
        <v>135700</v>
      </c>
      <c r="F2225" s="17" t="s">
        <v>386</v>
      </c>
      <c r="G2225" s="9">
        <v>44659</v>
      </c>
    </row>
    <row r="2226" spans="1:19">
      <c r="A2226" s="45">
        <v>44651</v>
      </c>
      <c r="B2226" s="14" t="s">
        <v>385</v>
      </c>
      <c r="C2226" s="46">
        <v>31274100</v>
      </c>
      <c r="D2226" s="46">
        <v>28431000</v>
      </c>
      <c r="E2226" s="46">
        <v>2843100</v>
      </c>
      <c r="F2226" s="17" t="s">
        <v>387</v>
      </c>
      <c r="G2226" s="9">
        <v>44659</v>
      </c>
    </row>
    <row r="2227" spans="1:19">
      <c r="A2227" s="45">
        <v>44651</v>
      </c>
      <c r="B2227" s="14" t="s">
        <v>644</v>
      </c>
      <c r="C2227" s="46">
        <v>7723100</v>
      </c>
      <c r="D2227" s="46">
        <v>7021000</v>
      </c>
      <c r="E2227" s="46">
        <v>702100</v>
      </c>
      <c r="F2227" s="17" t="s">
        <v>303</v>
      </c>
      <c r="G2227" s="9">
        <v>44659</v>
      </c>
    </row>
    <row r="2228" spans="1:19">
      <c r="A2228" s="119">
        <v>44651</v>
      </c>
      <c r="B2228" s="42" t="s">
        <v>644</v>
      </c>
      <c r="C2228" s="118">
        <v>885500</v>
      </c>
      <c r="D2228" s="118">
        <v>805000</v>
      </c>
      <c r="E2228" s="118">
        <v>80500</v>
      </c>
      <c r="F2228" s="51" t="s">
        <v>684</v>
      </c>
      <c r="G2228" s="10">
        <v>44659</v>
      </c>
      <c r="H2228" s="51"/>
      <c r="I2228" s="121"/>
      <c r="J2228" s="122"/>
      <c r="K2228" s="42"/>
      <c r="L2228" s="42"/>
      <c r="M2228" s="42"/>
      <c r="N2228" s="42"/>
      <c r="O2228" s="42"/>
      <c r="P2228" s="42"/>
      <c r="Q2228" s="42"/>
      <c r="R2228" s="42"/>
      <c r="S2228" s="42"/>
    </row>
    <row r="2229" spans="1:19">
      <c r="A2229" s="45">
        <v>44652</v>
      </c>
      <c r="B2229" s="14" t="s">
        <v>712</v>
      </c>
      <c r="C2229" s="46">
        <v>36579400</v>
      </c>
      <c r="D2229" s="46">
        <v>33254000</v>
      </c>
      <c r="E2229" s="46">
        <v>3325400</v>
      </c>
      <c r="F2229" s="17" t="s">
        <v>13</v>
      </c>
      <c r="G2229" s="9">
        <v>44682</v>
      </c>
    </row>
    <row r="2230" spans="1:19">
      <c r="A2230" s="45">
        <v>44655</v>
      </c>
      <c r="B2230" s="14" t="s">
        <v>627</v>
      </c>
      <c r="C2230" s="46">
        <v>1199000</v>
      </c>
      <c r="D2230" s="46">
        <v>1090000</v>
      </c>
      <c r="E2230" s="46">
        <v>109000</v>
      </c>
      <c r="F2230" s="17" t="s">
        <v>704</v>
      </c>
      <c r="G2230" s="9">
        <v>44666</v>
      </c>
    </row>
    <row r="2231" spans="1:19">
      <c r="A2231" s="45">
        <v>44666</v>
      </c>
      <c r="B2231" s="14" t="s">
        <v>730</v>
      </c>
      <c r="C2231" s="46">
        <v>3157000</v>
      </c>
      <c r="D2231" s="46">
        <v>2870000</v>
      </c>
      <c r="E2231" s="46">
        <v>287000</v>
      </c>
      <c r="F2231" s="17" t="s">
        <v>612</v>
      </c>
      <c r="G2231" s="9">
        <v>44679</v>
      </c>
    </row>
    <row r="2232" spans="1:19">
      <c r="A2232" s="45">
        <v>44666</v>
      </c>
      <c r="B2232" s="14" t="s">
        <v>730</v>
      </c>
      <c r="C2232" s="46">
        <v>15692600</v>
      </c>
      <c r="D2232" s="46">
        <v>14266000</v>
      </c>
      <c r="E2232" s="46">
        <v>1426600</v>
      </c>
      <c r="F2232" s="17" t="s">
        <v>457</v>
      </c>
      <c r="G2232" s="9">
        <v>44679</v>
      </c>
    </row>
    <row r="2233" spans="1:19">
      <c r="A2233" s="45">
        <v>44666</v>
      </c>
      <c r="B2233" s="14" t="s">
        <v>2</v>
      </c>
      <c r="C2233" s="46">
        <v>1089000</v>
      </c>
      <c r="D2233" s="46">
        <v>990000</v>
      </c>
      <c r="E2233" s="46">
        <v>99000</v>
      </c>
      <c r="F2233" s="17" t="s">
        <v>747</v>
      </c>
      <c r="G2233" s="9">
        <v>44691</v>
      </c>
    </row>
    <row r="2234" spans="1:19">
      <c r="A2234" s="45">
        <v>44666</v>
      </c>
      <c r="B2234" s="14" t="s">
        <v>2</v>
      </c>
      <c r="C2234" s="46">
        <v>18365600</v>
      </c>
      <c r="D2234" s="46">
        <v>16696000</v>
      </c>
      <c r="E2234" s="46">
        <v>1669600</v>
      </c>
      <c r="F2234" s="17" t="s">
        <v>456</v>
      </c>
      <c r="G2234" s="9">
        <v>44680</v>
      </c>
    </row>
    <row r="2235" spans="1:19">
      <c r="A2235" s="45">
        <v>44666</v>
      </c>
      <c r="B2235" s="14" t="s">
        <v>2</v>
      </c>
      <c r="C2235" s="46">
        <v>8994700</v>
      </c>
      <c r="D2235" s="46">
        <v>8177000</v>
      </c>
      <c r="E2235" s="46">
        <v>817700</v>
      </c>
      <c r="F2235" s="17" t="s">
        <v>424</v>
      </c>
      <c r="G2235" s="9">
        <v>44673</v>
      </c>
    </row>
    <row r="2236" spans="1:19">
      <c r="A2236" s="45">
        <v>44666</v>
      </c>
      <c r="B2236" s="14" t="s">
        <v>2</v>
      </c>
      <c r="C2236" s="46">
        <v>2169200</v>
      </c>
      <c r="D2236" s="46">
        <v>1972000</v>
      </c>
      <c r="E2236" s="46">
        <v>197200</v>
      </c>
      <c r="F2236" s="17" t="s">
        <v>606</v>
      </c>
      <c r="G2236" s="9">
        <v>44671</v>
      </c>
    </row>
    <row r="2237" spans="1:19">
      <c r="A2237" s="45">
        <v>44666</v>
      </c>
      <c r="B2237" s="14" t="s">
        <v>2</v>
      </c>
      <c r="C2237" s="46">
        <v>1232000</v>
      </c>
      <c r="D2237" s="46">
        <v>1120000</v>
      </c>
      <c r="E2237" s="46">
        <v>112000</v>
      </c>
      <c r="F2237" s="17" t="s">
        <v>714</v>
      </c>
      <c r="G2237" s="9">
        <v>44673</v>
      </c>
    </row>
    <row r="2238" spans="1:19">
      <c r="A2238" s="45">
        <v>44666</v>
      </c>
      <c r="B2238" s="14" t="s">
        <v>2</v>
      </c>
      <c r="C2238" s="46">
        <v>1461900</v>
      </c>
      <c r="D2238" s="46">
        <v>1329000</v>
      </c>
      <c r="E2238" s="46">
        <v>132900</v>
      </c>
      <c r="F2238" s="17" t="s">
        <v>612</v>
      </c>
      <c r="G2238" s="9">
        <v>44680</v>
      </c>
    </row>
    <row r="2239" spans="1:19">
      <c r="A2239" s="45">
        <v>44666</v>
      </c>
      <c r="B2239" s="14" t="s">
        <v>2</v>
      </c>
      <c r="C2239" s="46">
        <v>4807000</v>
      </c>
      <c r="D2239" s="46">
        <v>4370000</v>
      </c>
      <c r="E2239" s="46">
        <v>437000</v>
      </c>
      <c r="F2239" s="17" t="s">
        <v>646</v>
      </c>
      <c r="G2239" s="9">
        <v>44671</v>
      </c>
    </row>
    <row r="2240" spans="1:19">
      <c r="A2240" s="45">
        <v>44666</v>
      </c>
      <c r="B2240" s="14" t="s">
        <v>2</v>
      </c>
      <c r="C2240" s="46">
        <v>35018500</v>
      </c>
      <c r="D2240" s="46">
        <v>31835000</v>
      </c>
      <c r="E2240" s="46">
        <v>3183500</v>
      </c>
      <c r="F2240" s="17" t="s">
        <v>611</v>
      </c>
      <c r="G2240" s="9">
        <v>44671</v>
      </c>
    </row>
    <row r="2241" spans="1:7">
      <c r="A2241" s="45">
        <v>44671</v>
      </c>
      <c r="B2241" s="14" t="s">
        <v>712</v>
      </c>
      <c r="C2241" s="46">
        <v>29521800</v>
      </c>
      <c r="D2241" s="46">
        <v>26838000</v>
      </c>
      <c r="E2241" s="46">
        <v>2683800</v>
      </c>
      <c r="F2241" s="17" t="s">
        <v>13</v>
      </c>
      <c r="G2241" s="9">
        <v>44682</v>
      </c>
    </row>
    <row r="2242" spans="1:7">
      <c r="A2242" s="45">
        <v>44676</v>
      </c>
      <c r="B2242" s="14" t="s">
        <v>712</v>
      </c>
      <c r="C2242" s="46">
        <v>33145200</v>
      </c>
      <c r="D2242" s="46">
        <v>30132000</v>
      </c>
      <c r="E2242" s="46">
        <v>3013200</v>
      </c>
      <c r="F2242" s="17" t="s">
        <v>13</v>
      </c>
      <c r="G2242" s="9">
        <v>44693</v>
      </c>
    </row>
    <row r="2243" spans="1:7">
      <c r="A2243" s="45">
        <v>44676</v>
      </c>
      <c r="B2243" s="14" t="s">
        <v>719</v>
      </c>
      <c r="C2243" s="46">
        <v>1270500</v>
      </c>
      <c r="D2243" s="46">
        <v>1155000</v>
      </c>
      <c r="E2243" s="46">
        <v>115500</v>
      </c>
      <c r="F2243" s="17" t="s">
        <v>710</v>
      </c>
      <c r="G2243" s="9">
        <v>44697</v>
      </c>
    </row>
    <row r="2244" spans="1:7">
      <c r="A2244" s="45">
        <v>44676</v>
      </c>
      <c r="B2244" s="14" t="s">
        <v>738</v>
      </c>
      <c r="C2244" s="46">
        <v>8531890</v>
      </c>
      <c r="D2244" s="46">
        <v>7756263</v>
      </c>
      <c r="E2244" s="46">
        <v>775627</v>
      </c>
      <c r="F2244" s="17" t="s">
        <v>739</v>
      </c>
      <c r="G2244" s="9">
        <v>44701</v>
      </c>
    </row>
    <row r="2245" spans="1:7">
      <c r="A2245" s="45">
        <v>44676</v>
      </c>
      <c r="B2245" s="14" t="s">
        <v>740</v>
      </c>
      <c r="C2245" s="46">
        <v>3279360</v>
      </c>
      <c r="D2245" s="46">
        <v>2981236</v>
      </c>
      <c r="E2245" s="46">
        <v>298124</v>
      </c>
      <c r="F2245" s="17" t="s">
        <v>741</v>
      </c>
      <c r="G2245" s="9">
        <v>44678</v>
      </c>
    </row>
    <row r="2246" spans="1:7">
      <c r="A2246" s="45">
        <v>44681</v>
      </c>
      <c r="B2246" s="14" t="s">
        <v>693</v>
      </c>
      <c r="C2246" s="46">
        <v>264000</v>
      </c>
      <c r="D2246" s="46">
        <v>240000</v>
      </c>
      <c r="E2246" s="46">
        <v>24000</v>
      </c>
      <c r="F2246" s="17" t="s">
        <v>13</v>
      </c>
      <c r="G2246" s="9">
        <v>44698</v>
      </c>
    </row>
    <row r="2247" spans="1:7">
      <c r="A2247" s="45">
        <v>44681</v>
      </c>
      <c r="B2247" s="14" t="s">
        <v>749</v>
      </c>
      <c r="C2247" s="46">
        <v>396000</v>
      </c>
      <c r="D2247" s="46">
        <v>360000</v>
      </c>
      <c r="E2247" s="46">
        <v>36000</v>
      </c>
      <c r="F2247" s="17" t="s">
        <v>13</v>
      </c>
      <c r="G2247" s="9">
        <v>44687</v>
      </c>
    </row>
    <row r="2248" spans="1:7">
      <c r="A2248" s="45">
        <v>44681</v>
      </c>
      <c r="B2248" s="14" t="s">
        <v>449</v>
      </c>
      <c r="C2248" s="46">
        <v>3773000</v>
      </c>
      <c r="D2248" s="46">
        <v>3430000</v>
      </c>
      <c r="E2248" s="46">
        <v>343000</v>
      </c>
      <c r="F2248" s="17" t="s">
        <v>13</v>
      </c>
      <c r="G2248" s="9">
        <v>44699</v>
      </c>
    </row>
    <row r="2249" spans="1:7">
      <c r="A2249" s="45">
        <v>44681</v>
      </c>
      <c r="B2249" s="14" t="s">
        <v>726</v>
      </c>
      <c r="C2249" s="46">
        <v>3921500</v>
      </c>
      <c r="D2249" s="46">
        <v>3565000</v>
      </c>
      <c r="E2249" s="46">
        <v>356500</v>
      </c>
      <c r="F2249" s="17" t="s">
        <v>727</v>
      </c>
      <c r="G2249" s="9">
        <v>44694</v>
      </c>
    </row>
    <row r="2250" spans="1:7">
      <c r="A2250" s="45">
        <v>44681</v>
      </c>
      <c r="B2250" s="14" t="s">
        <v>627</v>
      </c>
      <c r="C2250" s="46">
        <v>4290000</v>
      </c>
      <c r="D2250" s="46">
        <v>3900000</v>
      </c>
      <c r="E2250" s="46">
        <v>390000</v>
      </c>
      <c r="F2250" s="17" t="s">
        <v>704</v>
      </c>
      <c r="G2250" s="9">
        <v>44706</v>
      </c>
    </row>
    <row r="2251" spans="1:7">
      <c r="A2251" s="45">
        <v>44681</v>
      </c>
      <c r="B2251" s="14" t="s">
        <v>671</v>
      </c>
      <c r="C2251" s="46">
        <v>448800</v>
      </c>
      <c r="D2251" s="46">
        <v>408000</v>
      </c>
      <c r="E2251" s="46">
        <v>40800</v>
      </c>
      <c r="F2251" s="17" t="s">
        <v>241</v>
      </c>
      <c r="G2251" s="9">
        <v>44747</v>
      </c>
    </row>
    <row r="2252" spans="1:7">
      <c r="A2252" s="45">
        <v>44681</v>
      </c>
      <c r="B2252" s="14" t="s">
        <v>644</v>
      </c>
      <c r="C2252" s="46">
        <v>8236800</v>
      </c>
      <c r="D2252" s="46">
        <v>7488000</v>
      </c>
      <c r="E2252" s="46">
        <v>748800</v>
      </c>
      <c r="F2252" s="17" t="s">
        <v>303</v>
      </c>
      <c r="G2252" s="9">
        <v>44691</v>
      </c>
    </row>
    <row r="2253" spans="1:7">
      <c r="A2253" s="45">
        <v>44681</v>
      </c>
      <c r="B2253" s="14" t="s">
        <v>728</v>
      </c>
      <c r="C2253" s="46">
        <v>1821600</v>
      </c>
      <c r="D2253" s="46">
        <v>1656000</v>
      </c>
      <c r="E2253" s="46">
        <v>165600</v>
      </c>
      <c r="F2253" s="17" t="s">
        <v>729</v>
      </c>
      <c r="G2253" s="9">
        <v>44694</v>
      </c>
    </row>
    <row r="2254" spans="1:7">
      <c r="A2254" s="45">
        <v>44681</v>
      </c>
      <c r="B2254" s="14" t="s">
        <v>730</v>
      </c>
      <c r="C2254" s="46">
        <v>2671900</v>
      </c>
      <c r="D2254" s="46">
        <v>2429000</v>
      </c>
      <c r="E2254" s="46">
        <v>242900</v>
      </c>
      <c r="F2254" s="17" t="s">
        <v>612</v>
      </c>
      <c r="G2254" s="9">
        <v>44691</v>
      </c>
    </row>
    <row r="2255" spans="1:7">
      <c r="A2255" s="45">
        <v>44681</v>
      </c>
      <c r="B2255" s="14" t="s">
        <v>730</v>
      </c>
      <c r="C2255" s="46">
        <v>15554000</v>
      </c>
      <c r="D2255" s="46">
        <v>14140000</v>
      </c>
      <c r="E2255" s="46">
        <v>1414000</v>
      </c>
      <c r="F2255" s="17" t="s">
        <v>457</v>
      </c>
      <c r="G2255" s="9">
        <v>44691</v>
      </c>
    </row>
    <row r="2256" spans="1:7">
      <c r="A2256" s="45">
        <v>44681</v>
      </c>
      <c r="B2256" s="14" t="s">
        <v>2</v>
      </c>
      <c r="C2256" s="46">
        <v>21253100</v>
      </c>
      <c r="D2256" s="46">
        <v>19321000</v>
      </c>
      <c r="E2256" s="46">
        <v>1932100</v>
      </c>
      <c r="F2256" s="17" t="s">
        <v>456</v>
      </c>
      <c r="G2256" s="9">
        <v>44691</v>
      </c>
    </row>
    <row r="2257" spans="1:19">
      <c r="A2257" s="45">
        <v>44681</v>
      </c>
      <c r="B2257" s="14" t="s">
        <v>2</v>
      </c>
      <c r="C2257" s="46">
        <v>10513800</v>
      </c>
      <c r="D2257" s="46">
        <v>9558000</v>
      </c>
      <c r="E2257" s="46">
        <v>955800</v>
      </c>
      <c r="F2257" s="17" t="s">
        <v>424</v>
      </c>
      <c r="G2257" s="9">
        <v>44691</v>
      </c>
    </row>
    <row r="2258" spans="1:19">
      <c r="A2258" s="45">
        <v>44681</v>
      </c>
      <c r="B2258" s="14" t="s">
        <v>2</v>
      </c>
      <c r="C2258" s="46">
        <v>1619200</v>
      </c>
      <c r="D2258" s="46">
        <v>1472000</v>
      </c>
      <c r="E2258" s="46">
        <v>147200</v>
      </c>
      <c r="F2258" s="17" t="s">
        <v>606</v>
      </c>
      <c r="G2258" s="9">
        <v>44691</v>
      </c>
    </row>
    <row r="2259" spans="1:19">
      <c r="A2259" s="45">
        <v>44681</v>
      </c>
      <c r="B2259" s="14" t="s">
        <v>2</v>
      </c>
      <c r="C2259" s="46">
        <v>1232000</v>
      </c>
      <c r="D2259" s="46">
        <v>1120000</v>
      </c>
      <c r="E2259" s="46">
        <v>112000</v>
      </c>
      <c r="F2259" s="17" t="s">
        <v>714</v>
      </c>
      <c r="G2259" s="9">
        <v>44691</v>
      </c>
    </row>
    <row r="2260" spans="1:19">
      <c r="A2260" s="45">
        <v>44681</v>
      </c>
      <c r="B2260" s="14" t="s">
        <v>2</v>
      </c>
      <c r="C2260" s="46">
        <v>1826000</v>
      </c>
      <c r="D2260" s="46">
        <v>1660000</v>
      </c>
      <c r="E2260" s="46">
        <v>166000</v>
      </c>
      <c r="F2260" s="17" t="s">
        <v>612</v>
      </c>
      <c r="G2260" s="9">
        <v>44691</v>
      </c>
    </row>
    <row r="2261" spans="1:19">
      <c r="A2261" s="45">
        <v>44681</v>
      </c>
      <c r="B2261" s="14" t="s">
        <v>2</v>
      </c>
      <c r="C2261" s="46">
        <v>6831000</v>
      </c>
      <c r="D2261" s="46">
        <v>6210000</v>
      </c>
      <c r="E2261" s="46">
        <v>621000</v>
      </c>
      <c r="F2261" s="17" t="s">
        <v>646</v>
      </c>
      <c r="G2261" s="9">
        <v>44691</v>
      </c>
      <c r="I2261" s="304" t="s">
        <v>744</v>
      </c>
      <c r="J2261" s="304"/>
      <c r="K2261" s="304"/>
    </row>
    <row r="2262" spans="1:19">
      <c r="A2262" s="45">
        <v>44681</v>
      </c>
      <c r="B2262" s="14" t="s">
        <v>2</v>
      </c>
      <c r="C2262" s="46">
        <v>23072500</v>
      </c>
      <c r="D2262" s="46">
        <v>20975000</v>
      </c>
      <c r="E2262" s="46">
        <v>2097500</v>
      </c>
      <c r="F2262" s="17" t="s">
        <v>611</v>
      </c>
      <c r="G2262" s="9">
        <v>44691</v>
      </c>
      <c r="I2262" s="18" t="s">
        <v>46</v>
      </c>
      <c r="J2262" s="36" t="s">
        <v>47</v>
      </c>
      <c r="K2262" s="36" t="s">
        <v>48</v>
      </c>
    </row>
    <row r="2263" spans="1:19">
      <c r="A2263" s="45">
        <v>44681</v>
      </c>
      <c r="B2263" s="14" t="s">
        <v>432</v>
      </c>
      <c r="C2263" s="46">
        <v>254100</v>
      </c>
      <c r="D2263" s="46">
        <v>231000</v>
      </c>
      <c r="E2263" s="46">
        <v>23100</v>
      </c>
      <c r="F2263" s="17" t="s">
        <v>702</v>
      </c>
      <c r="G2263" s="9">
        <v>44692</v>
      </c>
      <c r="I2263" s="18">
        <f>SUM(C2229:C2272)</f>
        <v>404239000</v>
      </c>
      <c r="J2263" s="18">
        <f>SUM(D2229:D2272)</f>
        <v>367489999</v>
      </c>
      <c r="K2263" s="18">
        <f>SUM(E2229:E2272)</f>
        <v>36749001</v>
      </c>
    </row>
    <row r="2264" spans="1:19">
      <c r="A2264" s="45">
        <v>44681</v>
      </c>
      <c r="B2264" s="14" t="s">
        <v>432</v>
      </c>
      <c r="C2264" s="46">
        <v>2829200</v>
      </c>
      <c r="D2264" s="46">
        <v>2572000</v>
      </c>
      <c r="E2264" s="46">
        <v>257200</v>
      </c>
      <c r="F2264" s="17" t="s">
        <v>165</v>
      </c>
      <c r="G2264" s="9">
        <v>44699</v>
      </c>
    </row>
    <row r="2265" spans="1:19">
      <c r="A2265" s="45">
        <v>44681</v>
      </c>
      <c r="B2265" s="14" t="s">
        <v>432</v>
      </c>
      <c r="C2265" s="46">
        <v>13737900</v>
      </c>
      <c r="D2265" s="46">
        <v>12489000</v>
      </c>
      <c r="E2265" s="46">
        <v>1248900</v>
      </c>
      <c r="F2265" s="17" t="s">
        <v>313</v>
      </c>
      <c r="G2265" s="9">
        <v>44699</v>
      </c>
    </row>
    <row r="2266" spans="1:19">
      <c r="A2266" s="45">
        <v>44681</v>
      </c>
      <c r="B2266" s="14" t="s">
        <v>432</v>
      </c>
      <c r="C2266" s="46">
        <v>101200</v>
      </c>
      <c r="D2266" s="46">
        <v>92000</v>
      </c>
      <c r="E2266" s="46">
        <v>9200</v>
      </c>
      <c r="F2266" s="17" t="s">
        <v>320</v>
      </c>
      <c r="G2266" s="9">
        <v>44699</v>
      </c>
    </row>
    <row r="2267" spans="1:19">
      <c r="A2267" s="45">
        <v>44681</v>
      </c>
      <c r="B2267" s="14" t="s">
        <v>432</v>
      </c>
      <c r="C2267" s="46">
        <v>1138500</v>
      </c>
      <c r="D2267" s="46">
        <v>1035000</v>
      </c>
      <c r="E2267" s="46">
        <v>103500</v>
      </c>
      <c r="F2267" s="17" t="s">
        <v>571</v>
      </c>
      <c r="G2267" s="9">
        <v>44699</v>
      </c>
    </row>
    <row r="2268" spans="1:19">
      <c r="A2268" s="45">
        <v>44681</v>
      </c>
      <c r="B2268" s="14" t="s">
        <v>745</v>
      </c>
      <c r="C2268" s="46">
        <v>4262500</v>
      </c>
      <c r="D2268" s="46">
        <v>3875000</v>
      </c>
      <c r="E2268" s="46">
        <v>387500</v>
      </c>
      <c r="F2268" s="17" t="s">
        <v>746</v>
      </c>
      <c r="G2268" s="9">
        <v>44692</v>
      </c>
    </row>
    <row r="2269" spans="1:19">
      <c r="A2269" s="45">
        <v>44681</v>
      </c>
      <c r="B2269" s="14" t="s">
        <v>385</v>
      </c>
      <c r="C2269" s="46">
        <v>14671800</v>
      </c>
      <c r="D2269" s="46">
        <v>13338000</v>
      </c>
      <c r="E2269" s="46">
        <v>1333800</v>
      </c>
      <c r="F2269" s="17" t="s">
        <v>305</v>
      </c>
      <c r="G2269" s="9">
        <v>44691</v>
      </c>
    </row>
    <row r="2270" spans="1:19">
      <c r="A2270" s="45">
        <v>44681</v>
      </c>
      <c r="B2270" s="14" t="s">
        <v>385</v>
      </c>
      <c r="C2270" s="46">
        <v>22329450</v>
      </c>
      <c r="D2270" s="46">
        <v>20299500</v>
      </c>
      <c r="E2270" s="46">
        <v>2029950</v>
      </c>
      <c r="F2270" s="17" t="s">
        <v>705</v>
      </c>
      <c r="G2270" s="9">
        <v>44691</v>
      </c>
    </row>
    <row r="2271" spans="1:19">
      <c r="A2271" s="45">
        <v>44681</v>
      </c>
      <c r="B2271" s="14" t="s">
        <v>385</v>
      </c>
      <c r="C2271" s="46">
        <v>1944800</v>
      </c>
      <c r="D2271" s="46">
        <v>1768000</v>
      </c>
      <c r="E2271" s="46">
        <v>176800</v>
      </c>
      <c r="F2271" s="17" t="s">
        <v>386</v>
      </c>
      <c r="G2271" s="9">
        <v>44691</v>
      </c>
    </row>
    <row r="2272" spans="1:19">
      <c r="A2272" s="119">
        <v>44681</v>
      </c>
      <c r="B2272" s="42" t="s">
        <v>385</v>
      </c>
      <c r="C2272" s="118">
        <v>29729700</v>
      </c>
      <c r="D2272" s="118">
        <v>27027000</v>
      </c>
      <c r="E2272" s="118">
        <v>2702700</v>
      </c>
      <c r="F2272" s="51" t="s">
        <v>387</v>
      </c>
      <c r="G2272" s="10">
        <v>44691</v>
      </c>
      <c r="H2272" s="51"/>
      <c r="I2272" s="121"/>
      <c r="J2272" s="122"/>
      <c r="K2272" s="42"/>
      <c r="L2272" s="42"/>
      <c r="M2272" s="42"/>
      <c r="N2272" s="42"/>
      <c r="O2272" s="42"/>
      <c r="P2272" s="42"/>
      <c r="Q2272" s="42"/>
      <c r="R2272" s="42"/>
      <c r="S2272" s="42"/>
    </row>
    <row r="2273" spans="1:7">
      <c r="A2273" s="45">
        <v>44696</v>
      </c>
      <c r="B2273" s="14" t="s">
        <v>730</v>
      </c>
      <c r="C2273" s="46">
        <v>2667500</v>
      </c>
      <c r="D2273" s="46">
        <v>2425000</v>
      </c>
      <c r="E2273" s="46">
        <v>242500</v>
      </c>
      <c r="F2273" s="17" t="s">
        <v>612</v>
      </c>
      <c r="G2273" s="9">
        <v>44701</v>
      </c>
    </row>
    <row r="2274" spans="1:7">
      <c r="A2274" s="45">
        <v>44696</v>
      </c>
      <c r="B2274" s="14" t="s">
        <v>730</v>
      </c>
      <c r="C2274" s="46">
        <v>16350400</v>
      </c>
      <c r="D2274" s="46">
        <v>14864000</v>
      </c>
      <c r="E2274" s="46">
        <v>1486400</v>
      </c>
      <c r="F2274" s="17" t="s">
        <v>457</v>
      </c>
      <c r="G2274" s="9">
        <v>44701</v>
      </c>
    </row>
    <row r="2275" spans="1:7">
      <c r="A2275" s="45">
        <v>44696</v>
      </c>
      <c r="B2275" s="14" t="s">
        <v>2</v>
      </c>
      <c r="C2275" s="46">
        <v>856900</v>
      </c>
      <c r="D2275" s="46">
        <v>779000</v>
      </c>
      <c r="E2275" s="46">
        <v>77900</v>
      </c>
      <c r="F2275" s="17" t="s">
        <v>747</v>
      </c>
      <c r="G2275" s="9">
        <v>44722</v>
      </c>
    </row>
    <row r="2276" spans="1:7">
      <c r="A2276" s="45">
        <v>44696</v>
      </c>
      <c r="B2276" s="14" t="s">
        <v>2</v>
      </c>
      <c r="C2276" s="46">
        <v>28532900</v>
      </c>
      <c r="D2276" s="46">
        <v>25939000</v>
      </c>
      <c r="E2276" s="46">
        <v>2593900</v>
      </c>
      <c r="F2276" s="17" t="s">
        <v>456</v>
      </c>
      <c r="G2276" s="9">
        <v>44711</v>
      </c>
    </row>
    <row r="2277" spans="1:7">
      <c r="A2277" s="45">
        <v>44696</v>
      </c>
      <c r="B2277" s="14" t="s">
        <v>2</v>
      </c>
      <c r="C2277" s="46">
        <v>9528200</v>
      </c>
      <c r="D2277" s="46">
        <v>8662000</v>
      </c>
      <c r="E2277" s="46">
        <v>866200</v>
      </c>
      <c r="F2277" s="17" t="s">
        <v>424</v>
      </c>
      <c r="G2277" s="9">
        <v>44701</v>
      </c>
    </row>
    <row r="2278" spans="1:7">
      <c r="A2278" s="45">
        <v>44696</v>
      </c>
      <c r="B2278" s="14" t="s">
        <v>2</v>
      </c>
      <c r="C2278" s="46">
        <v>4395600</v>
      </c>
      <c r="D2278" s="46">
        <v>3996000</v>
      </c>
      <c r="E2278" s="46">
        <v>399600</v>
      </c>
      <c r="F2278" s="17" t="s">
        <v>606</v>
      </c>
      <c r="G2278" s="9">
        <v>44701</v>
      </c>
    </row>
    <row r="2279" spans="1:7">
      <c r="A2279" s="45">
        <v>44696</v>
      </c>
      <c r="B2279" s="14" t="s">
        <v>2</v>
      </c>
      <c r="C2279" s="46">
        <v>1108800</v>
      </c>
      <c r="D2279" s="46">
        <v>1008000</v>
      </c>
      <c r="E2279" s="46">
        <v>100800</v>
      </c>
      <c r="F2279" s="17" t="s">
        <v>714</v>
      </c>
      <c r="G2279" s="9">
        <v>44701</v>
      </c>
    </row>
    <row r="2280" spans="1:7">
      <c r="A2280" s="45">
        <v>44696</v>
      </c>
      <c r="B2280" s="14" t="s">
        <v>2</v>
      </c>
      <c r="C2280" s="46">
        <v>760100</v>
      </c>
      <c r="D2280" s="46">
        <v>691000</v>
      </c>
      <c r="E2280" s="46">
        <v>69100</v>
      </c>
      <c r="F2280" s="17" t="s">
        <v>612</v>
      </c>
      <c r="G2280" s="9">
        <v>44711</v>
      </c>
    </row>
    <row r="2281" spans="1:7">
      <c r="A2281" s="45">
        <v>44696</v>
      </c>
      <c r="B2281" s="14" t="s">
        <v>2</v>
      </c>
      <c r="C2281" s="46">
        <v>7969500</v>
      </c>
      <c r="D2281" s="46">
        <v>7245000</v>
      </c>
      <c r="E2281" s="46">
        <v>724500</v>
      </c>
      <c r="F2281" s="17" t="s">
        <v>646</v>
      </c>
      <c r="G2281" s="9">
        <v>44711</v>
      </c>
    </row>
    <row r="2282" spans="1:7">
      <c r="A2282" s="45">
        <v>44696</v>
      </c>
      <c r="B2282" s="14" t="s">
        <v>2</v>
      </c>
      <c r="C2282" s="46">
        <v>29079193</v>
      </c>
      <c r="D2282" s="46">
        <v>26435630</v>
      </c>
      <c r="E2282" s="46">
        <v>2643563</v>
      </c>
      <c r="F2282" s="17" t="s">
        <v>611</v>
      </c>
      <c r="G2282" s="9">
        <v>44701</v>
      </c>
    </row>
    <row r="2283" spans="1:7">
      <c r="A2283" s="45">
        <v>44707</v>
      </c>
      <c r="B2283" s="14" t="s">
        <v>738</v>
      </c>
      <c r="C2283" s="46">
        <v>8531890</v>
      </c>
      <c r="D2283" s="46">
        <v>7756263</v>
      </c>
      <c r="E2283" s="46">
        <v>775627</v>
      </c>
      <c r="F2283" s="17" t="s">
        <v>739</v>
      </c>
      <c r="G2283" s="9">
        <v>44711</v>
      </c>
    </row>
    <row r="2284" spans="1:7">
      <c r="A2284" s="45">
        <v>44707</v>
      </c>
      <c r="B2284" s="14" t="s">
        <v>740</v>
      </c>
      <c r="C2284" s="46">
        <v>3279360</v>
      </c>
      <c r="D2284" s="46">
        <v>2981236</v>
      </c>
      <c r="E2284" s="46">
        <v>298124</v>
      </c>
      <c r="F2284" s="17" t="s">
        <v>741</v>
      </c>
      <c r="G2284" s="9">
        <v>44712</v>
      </c>
    </row>
    <row r="2285" spans="1:7">
      <c r="A2285" s="45">
        <v>44708</v>
      </c>
      <c r="B2285" s="14" t="s">
        <v>719</v>
      </c>
      <c r="C2285" s="46">
        <v>762300</v>
      </c>
      <c r="D2285" s="46">
        <v>693000</v>
      </c>
      <c r="E2285" s="46">
        <v>69300</v>
      </c>
      <c r="F2285" s="17" t="s">
        <v>710</v>
      </c>
      <c r="G2285" s="9">
        <v>44737</v>
      </c>
    </row>
    <row r="2286" spans="1:7">
      <c r="A2286" s="45">
        <v>44712</v>
      </c>
      <c r="B2286" s="14" t="s">
        <v>82</v>
      </c>
      <c r="C2286" s="46">
        <v>759000</v>
      </c>
      <c r="D2286" s="46">
        <v>690000</v>
      </c>
      <c r="E2286" s="46">
        <v>69000</v>
      </c>
      <c r="F2286" s="17" t="s">
        <v>13</v>
      </c>
      <c r="G2286" s="9">
        <v>44727</v>
      </c>
    </row>
    <row r="2287" spans="1:7">
      <c r="A2287" s="45">
        <v>44712</v>
      </c>
      <c r="B2287" s="14" t="s">
        <v>2</v>
      </c>
      <c r="C2287" s="46">
        <v>26944500</v>
      </c>
      <c r="D2287" s="46">
        <v>24495000</v>
      </c>
      <c r="E2287" s="46">
        <v>2449500</v>
      </c>
      <c r="F2287" s="17" t="s">
        <v>611</v>
      </c>
      <c r="G2287" s="9">
        <v>44722</v>
      </c>
    </row>
    <row r="2288" spans="1:7">
      <c r="A2288" s="45">
        <v>44712</v>
      </c>
      <c r="B2288" s="14" t="s">
        <v>2</v>
      </c>
      <c r="C2288" s="46">
        <v>5186500</v>
      </c>
      <c r="D2288" s="46">
        <v>4715000</v>
      </c>
      <c r="E2288" s="46">
        <v>471500</v>
      </c>
      <c r="F2288" s="17" t="s">
        <v>646</v>
      </c>
      <c r="G2288" s="9">
        <v>44722</v>
      </c>
    </row>
    <row r="2289" spans="1:11">
      <c r="A2289" s="45">
        <v>44712</v>
      </c>
      <c r="B2289" s="14" t="s">
        <v>2</v>
      </c>
      <c r="C2289" s="46">
        <v>423500</v>
      </c>
      <c r="D2289" s="46">
        <v>385000</v>
      </c>
      <c r="E2289" s="46">
        <v>38500</v>
      </c>
      <c r="F2289" s="17" t="s">
        <v>612</v>
      </c>
      <c r="G2289" s="9">
        <v>44722</v>
      </c>
    </row>
    <row r="2290" spans="1:11">
      <c r="A2290" s="45">
        <v>44712</v>
      </c>
      <c r="B2290" s="14" t="s">
        <v>2</v>
      </c>
      <c r="C2290" s="46">
        <v>1478400</v>
      </c>
      <c r="D2290" s="46">
        <v>1344000</v>
      </c>
      <c r="E2290" s="46">
        <v>134400</v>
      </c>
      <c r="F2290" s="17" t="s">
        <v>714</v>
      </c>
      <c r="G2290" s="9">
        <v>44722</v>
      </c>
    </row>
    <row r="2291" spans="1:11">
      <c r="A2291" s="45">
        <v>44712</v>
      </c>
      <c r="B2291" s="14" t="s">
        <v>2</v>
      </c>
      <c r="C2291" s="46">
        <v>2481600</v>
      </c>
      <c r="D2291" s="46">
        <v>2256000</v>
      </c>
      <c r="E2291" s="46">
        <v>225600</v>
      </c>
      <c r="F2291" s="17" t="s">
        <v>606</v>
      </c>
      <c r="G2291" s="9">
        <v>44722</v>
      </c>
    </row>
    <row r="2292" spans="1:11">
      <c r="A2292" s="45">
        <v>44712</v>
      </c>
      <c r="B2292" s="14" t="s">
        <v>2</v>
      </c>
      <c r="C2292" s="46">
        <v>10555600</v>
      </c>
      <c r="D2292" s="46">
        <v>9596000</v>
      </c>
      <c r="E2292" s="46">
        <v>959600</v>
      </c>
      <c r="F2292" s="17" t="s">
        <v>424</v>
      </c>
      <c r="G2292" s="9">
        <v>44722</v>
      </c>
    </row>
    <row r="2293" spans="1:11">
      <c r="A2293" s="45">
        <v>44712</v>
      </c>
      <c r="B2293" s="14" t="s">
        <v>2</v>
      </c>
      <c r="C2293" s="46">
        <v>22309100</v>
      </c>
      <c r="D2293" s="46">
        <v>20281000</v>
      </c>
      <c r="E2293" s="46">
        <v>2028100</v>
      </c>
      <c r="F2293" s="17" t="s">
        <v>456</v>
      </c>
      <c r="G2293" s="9">
        <v>44722</v>
      </c>
    </row>
    <row r="2294" spans="1:11">
      <c r="A2294" s="45">
        <v>44712</v>
      </c>
      <c r="B2294" s="14" t="s">
        <v>2</v>
      </c>
      <c r="C2294" s="46">
        <v>254100</v>
      </c>
      <c r="D2294" s="46">
        <v>231000</v>
      </c>
      <c r="E2294" s="46">
        <v>23100</v>
      </c>
      <c r="F2294" s="17" t="s">
        <v>747</v>
      </c>
      <c r="G2294" s="9">
        <v>44722</v>
      </c>
    </row>
    <row r="2295" spans="1:11">
      <c r="A2295" s="45">
        <v>44712</v>
      </c>
      <c r="B2295" s="14" t="s">
        <v>432</v>
      </c>
      <c r="C2295" s="46">
        <v>126500</v>
      </c>
      <c r="D2295" s="46">
        <v>115000</v>
      </c>
      <c r="E2295" s="46">
        <v>11500</v>
      </c>
      <c r="F2295" s="17" t="s">
        <v>571</v>
      </c>
      <c r="G2295" s="9">
        <v>44732</v>
      </c>
    </row>
    <row r="2296" spans="1:11">
      <c r="A2296" s="45">
        <v>44712</v>
      </c>
      <c r="B2296" s="14" t="s">
        <v>432</v>
      </c>
      <c r="C2296" s="46">
        <v>759000</v>
      </c>
      <c r="D2296" s="46">
        <v>690000</v>
      </c>
      <c r="E2296" s="46">
        <v>69000</v>
      </c>
      <c r="F2296" s="17" t="s">
        <v>320</v>
      </c>
      <c r="G2296" s="9">
        <v>44732</v>
      </c>
    </row>
    <row r="2297" spans="1:11">
      <c r="A2297" s="45">
        <v>44712</v>
      </c>
      <c r="B2297" s="14" t="s">
        <v>432</v>
      </c>
      <c r="C2297" s="46">
        <v>3302200</v>
      </c>
      <c r="D2297" s="46">
        <v>3002000</v>
      </c>
      <c r="E2297" s="46">
        <v>300200</v>
      </c>
      <c r="F2297" s="17" t="s">
        <v>165</v>
      </c>
      <c r="G2297" s="9">
        <v>44732</v>
      </c>
    </row>
    <row r="2298" spans="1:11">
      <c r="A2298" s="45">
        <v>44712</v>
      </c>
      <c r="B2298" s="14" t="s">
        <v>432</v>
      </c>
      <c r="C2298" s="46">
        <v>1016400</v>
      </c>
      <c r="D2298" s="46">
        <v>924000</v>
      </c>
      <c r="E2298" s="46">
        <v>92400</v>
      </c>
      <c r="F2298" s="17" t="s">
        <v>702</v>
      </c>
      <c r="G2298" s="9">
        <v>44732</v>
      </c>
    </row>
    <row r="2299" spans="1:11">
      <c r="A2299" s="45">
        <v>44712</v>
      </c>
      <c r="B2299" s="14" t="s">
        <v>432</v>
      </c>
      <c r="C2299" s="46">
        <v>16262400</v>
      </c>
      <c r="D2299" s="46">
        <v>14784000</v>
      </c>
      <c r="E2299" s="46">
        <v>1478400</v>
      </c>
      <c r="F2299" s="17" t="s">
        <v>313</v>
      </c>
      <c r="G2299" s="9">
        <v>44732</v>
      </c>
    </row>
    <row r="2300" spans="1:11">
      <c r="A2300" s="45">
        <v>44712</v>
      </c>
      <c r="B2300" s="14" t="s">
        <v>726</v>
      </c>
      <c r="C2300" s="46">
        <v>6957500</v>
      </c>
      <c r="D2300" s="46">
        <v>6325000</v>
      </c>
      <c r="E2300" s="46">
        <v>632500</v>
      </c>
      <c r="F2300" s="17" t="s">
        <v>727</v>
      </c>
      <c r="G2300" s="9">
        <v>44727</v>
      </c>
    </row>
    <row r="2301" spans="1:11">
      <c r="A2301" s="45">
        <v>44712</v>
      </c>
      <c r="B2301" s="14" t="s">
        <v>750</v>
      </c>
      <c r="C2301" s="46">
        <v>9552604</v>
      </c>
      <c r="D2301" s="46">
        <v>8684185</v>
      </c>
      <c r="E2301" s="46">
        <v>868419</v>
      </c>
      <c r="F2301" s="17" t="s">
        <v>751</v>
      </c>
      <c r="G2301" s="9">
        <v>44722</v>
      </c>
    </row>
    <row r="2302" spans="1:11">
      <c r="A2302" s="45">
        <v>44712</v>
      </c>
      <c r="B2302" s="14" t="s">
        <v>728</v>
      </c>
      <c r="C2302" s="46">
        <v>1799600</v>
      </c>
      <c r="D2302" s="46">
        <v>1636000</v>
      </c>
      <c r="E2302" s="46">
        <v>163600</v>
      </c>
      <c r="F2302" s="17" t="s">
        <v>729</v>
      </c>
      <c r="G2302" s="9">
        <v>44727</v>
      </c>
    </row>
    <row r="2303" spans="1:11">
      <c r="A2303" s="45">
        <v>44712</v>
      </c>
      <c r="B2303" s="14" t="s">
        <v>155</v>
      </c>
      <c r="C2303" s="46">
        <v>770000</v>
      </c>
      <c r="D2303" s="46">
        <v>700000</v>
      </c>
      <c r="E2303" s="46">
        <v>70000</v>
      </c>
      <c r="F2303" s="17" t="s">
        <v>13</v>
      </c>
      <c r="G2303" s="9">
        <v>44728</v>
      </c>
    </row>
    <row r="2304" spans="1:11">
      <c r="A2304" s="45">
        <v>44712</v>
      </c>
      <c r="B2304" s="14" t="s">
        <v>627</v>
      </c>
      <c r="C2304" s="46">
        <v>4719000</v>
      </c>
      <c r="D2304" s="46">
        <v>4290000</v>
      </c>
      <c r="E2304" s="46">
        <v>429000</v>
      </c>
      <c r="F2304" s="17" t="s">
        <v>754</v>
      </c>
      <c r="G2304" s="9">
        <v>44734</v>
      </c>
      <c r="I2304" s="304" t="s">
        <v>748</v>
      </c>
      <c r="J2304" s="304"/>
      <c r="K2304" s="304"/>
    </row>
    <row r="2305" spans="1:19">
      <c r="A2305" s="45">
        <v>44712</v>
      </c>
      <c r="B2305" s="14" t="s">
        <v>449</v>
      </c>
      <c r="C2305" s="46">
        <v>5527500</v>
      </c>
      <c r="D2305" s="46">
        <v>5025000</v>
      </c>
      <c r="E2305" s="46">
        <v>502500</v>
      </c>
      <c r="F2305" s="17" t="s">
        <v>13</v>
      </c>
      <c r="G2305" s="9">
        <v>44734</v>
      </c>
      <c r="I2305" s="18" t="s">
        <v>46</v>
      </c>
      <c r="J2305" s="36" t="s">
        <v>47</v>
      </c>
      <c r="K2305" s="36" t="s">
        <v>48</v>
      </c>
    </row>
    <row r="2306" spans="1:19">
      <c r="A2306" s="45">
        <v>44712</v>
      </c>
      <c r="B2306" s="14" t="s">
        <v>730</v>
      </c>
      <c r="C2306" s="46">
        <v>17771600</v>
      </c>
      <c r="D2306" s="46">
        <v>16156000</v>
      </c>
      <c r="E2306" s="46">
        <v>1615600</v>
      </c>
      <c r="F2306" s="17" t="s">
        <v>457</v>
      </c>
      <c r="G2306" s="9">
        <v>44727</v>
      </c>
      <c r="I2306" s="18">
        <f>SUM(C2273:C2315)</f>
        <v>346256147</v>
      </c>
      <c r="J2306" s="18">
        <f>SUM(D2273:D2315)</f>
        <v>314778314</v>
      </c>
      <c r="K2306" s="18">
        <f>SUM(E2273:E2315)</f>
        <v>31477833</v>
      </c>
    </row>
    <row r="2307" spans="1:19">
      <c r="A2307" s="45">
        <v>44712</v>
      </c>
      <c r="B2307" s="14" t="s">
        <v>730</v>
      </c>
      <c r="C2307" s="46">
        <v>3665200</v>
      </c>
      <c r="D2307" s="46">
        <v>3332000</v>
      </c>
      <c r="E2307" s="46">
        <v>333200</v>
      </c>
      <c r="F2307" s="17" t="s">
        <v>612</v>
      </c>
      <c r="G2307" s="9">
        <v>44727</v>
      </c>
    </row>
    <row r="2308" spans="1:19">
      <c r="A2308" s="45">
        <v>44712</v>
      </c>
      <c r="B2308" s="14" t="s">
        <v>745</v>
      </c>
      <c r="C2308" s="46">
        <v>2502500</v>
      </c>
      <c r="D2308" s="46">
        <v>2275000</v>
      </c>
      <c r="E2308" s="46">
        <v>227500</v>
      </c>
      <c r="F2308" s="17" t="s">
        <v>746</v>
      </c>
      <c r="G2308" s="9">
        <v>44725</v>
      </c>
    </row>
    <row r="2309" spans="1:19">
      <c r="A2309" s="45">
        <v>44712</v>
      </c>
      <c r="B2309" s="14" t="s">
        <v>644</v>
      </c>
      <c r="C2309" s="46">
        <v>253000</v>
      </c>
      <c r="D2309" s="46">
        <v>230000</v>
      </c>
      <c r="E2309" s="46">
        <v>23000</v>
      </c>
      <c r="F2309" s="17" t="s">
        <v>684</v>
      </c>
      <c r="G2309" s="9">
        <v>44722</v>
      </c>
    </row>
    <row r="2310" spans="1:19">
      <c r="A2310" s="45">
        <v>44712</v>
      </c>
      <c r="B2310" s="14" t="s">
        <v>644</v>
      </c>
      <c r="C2310" s="46">
        <v>14784000</v>
      </c>
      <c r="D2310" s="46">
        <v>13440000</v>
      </c>
      <c r="E2310" s="46">
        <v>1344000</v>
      </c>
      <c r="F2310" s="17" t="s">
        <v>303</v>
      </c>
      <c r="G2310" s="9">
        <v>44722</v>
      </c>
    </row>
    <row r="2311" spans="1:19">
      <c r="A2311" s="45">
        <v>44712</v>
      </c>
      <c r="B2311" s="14" t="s">
        <v>752</v>
      </c>
      <c r="C2311" s="46">
        <v>940500</v>
      </c>
      <c r="D2311" s="46">
        <v>855000</v>
      </c>
      <c r="E2311" s="46">
        <v>85500</v>
      </c>
      <c r="F2311" s="17" t="s">
        <v>753</v>
      </c>
      <c r="G2311" s="9">
        <v>44726</v>
      </c>
    </row>
    <row r="2312" spans="1:19">
      <c r="A2312" s="45">
        <v>44712</v>
      </c>
      <c r="B2312" s="14" t="s">
        <v>385</v>
      </c>
      <c r="C2312" s="46">
        <v>35006400</v>
      </c>
      <c r="D2312" s="46">
        <v>31824000</v>
      </c>
      <c r="E2312" s="46">
        <v>3182400</v>
      </c>
      <c r="F2312" s="17" t="s">
        <v>387</v>
      </c>
      <c r="G2312" s="9">
        <v>44722</v>
      </c>
    </row>
    <row r="2313" spans="1:19">
      <c r="A2313" s="45">
        <v>44712</v>
      </c>
      <c r="B2313" s="14" t="s">
        <v>385</v>
      </c>
      <c r="C2313" s="46">
        <v>2319900</v>
      </c>
      <c r="D2313" s="46">
        <v>2109000</v>
      </c>
      <c r="E2313" s="46">
        <v>210900</v>
      </c>
      <c r="F2313" s="17" t="s">
        <v>386</v>
      </c>
      <c r="G2313" s="9">
        <v>44722</v>
      </c>
    </row>
    <row r="2314" spans="1:19">
      <c r="A2314" s="45">
        <v>44712</v>
      </c>
      <c r="B2314" s="14" t="s">
        <v>385</v>
      </c>
      <c r="C2314" s="46">
        <v>23580700</v>
      </c>
      <c r="D2314" s="46">
        <v>21437000</v>
      </c>
      <c r="E2314" s="46">
        <v>2143700</v>
      </c>
      <c r="F2314" s="17" t="s">
        <v>705</v>
      </c>
      <c r="G2314" s="9">
        <v>44722</v>
      </c>
    </row>
    <row r="2315" spans="1:19">
      <c r="A2315" s="119">
        <v>44712</v>
      </c>
      <c r="B2315" s="42" t="s">
        <v>385</v>
      </c>
      <c r="C2315" s="118">
        <v>10424700</v>
      </c>
      <c r="D2315" s="118">
        <v>9477000</v>
      </c>
      <c r="E2315" s="118">
        <v>947700</v>
      </c>
      <c r="F2315" s="51" t="s">
        <v>305</v>
      </c>
      <c r="G2315" s="10">
        <v>44722</v>
      </c>
      <c r="H2315" s="51"/>
      <c r="I2315" s="121"/>
      <c r="J2315" s="122"/>
      <c r="K2315" s="42"/>
      <c r="L2315" s="42"/>
      <c r="M2315" s="42"/>
      <c r="N2315" s="42"/>
      <c r="O2315" s="42"/>
      <c r="P2315" s="42"/>
      <c r="Q2315" s="42"/>
      <c r="R2315" s="42"/>
      <c r="S2315" s="42"/>
    </row>
    <row r="2316" spans="1:19">
      <c r="A2316" s="45">
        <v>44727</v>
      </c>
      <c r="B2316" s="14" t="s">
        <v>730</v>
      </c>
      <c r="C2316" s="46">
        <v>2117500</v>
      </c>
      <c r="D2316" s="46">
        <v>1925000</v>
      </c>
      <c r="E2316" s="46">
        <v>192500</v>
      </c>
      <c r="F2316" s="17" t="s">
        <v>612</v>
      </c>
      <c r="G2316" s="9">
        <v>44743</v>
      </c>
    </row>
    <row r="2317" spans="1:19">
      <c r="A2317" s="45">
        <v>44727</v>
      </c>
      <c r="B2317" s="14" t="s">
        <v>730</v>
      </c>
      <c r="C2317" s="46">
        <v>12119800</v>
      </c>
      <c r="D2317" s="46">
        <v>11018000</v>
      </c>
      <c r="E2317" s="46">
        <v>1101800</v>
      </c>
      <c r="F2317" s="17" t="s">
        <v>457</v>
      </c>
      <c r="G2317" s="9">
        <v>44743</v>
      </c>
    </row>
    <row r="2318" spans="1:19">
      <c r="A2318" s="45">
        <v>44727</v>
      </c>
      <c r="B2318" s="14" t="s">
        <v>2</v>
      </c>
      <c r="C2318" s="46">
        <v>5769500</v>
      </c>
      <c r="D2318" s="46">
        <v>5245000</v>
      </c>
      <c r="E2318" s="46">
        <v>524500</v>
      </c>
      <c r="F2318" s="17" t="s">
        <v>755</v>
      </c>
      <c r="G2318" s="9">
        <v>44742</v>
      </c>
    </row>
    <row r="2319" spans="1:19">
      <c r="A2319" s="45">
        <v>44727</v>
      </c>
      <c r="B2319" s="14" t="s">
        <v>2</v>
      </c>
      <c r="C2319" s="46">
        <v>22955075</v>
      </c>
      <c r="D2319" s="46">
        <v>20868250</v>
      </c>
      <c r="E2319" s="46">
        <v>2086825</v>
      </c>
      <c r="F2319" s="17" t="s">
        <v>456</v>
      </c>
      <c r="G2319" s="9">
        <v>44742</v>
      </c>
    </row>
    <row r="2320" spans="1:19">
      <c r="A2320" s="45">
        <v>44727</v>
      </c>
      <c r="B2320" s="14" t="s">
        <v>2</v>
      </c>
      <c r="C2320" s="46">
        <v>9045300</v>
      </c>
      <c r="D2320" s="46">
        <v>8223000</v>
      </c>
      <c r="E2320" s="46">
        <v>822300</v>
      </c>
      <c r="F2320" s="17" t="s">
        <v>424</v>
      </c>
      <c r="G2320" s="9">
        <v>44742</v>
      </c>
    </row>
    <row r="2321" spans="1:7">
      <c r="A2321" s="45">
        <v>44727</v>
      </c>
      <c r="B2321" s="14" t="s">
        <v>2</v>
      </c>
      <c r="C2321" s="46">
        <v>3375900</v>
      </c>
      <c r="D2321" s="46">
        <v>3069000</v>
      </c>
      <c r="E2321" s="46">
        <v>306900</v>
      </c>
      <c r="F2321" s="17" t="s">
        <v>756</v>
      </c>
      <c r="G2321" s="9">
        <v>44742</v>
      </c>
    </row>
    <row r="2322" spans="1:7">
      <c r="A2322" s="45">
        <v>44727</v>
      </c>
      <c r="B2322" s="14" t="s">
        <v>2</v>
      </c>
      <c r="C2322" s="46">
        <v>3177900</v>
      </c>
      <c r="D2322" s="46">
        <v>2889000</v>
      </c>
      <c r="E2322" s="46">
        <v>288900</v>
      </c>
      <c r="F2322" s="17" t="s">
        <v>757</v>
      </c>
      <c r="G2322" s="9">
        <v>44742</v>
      </c>
    </row>
    <row r="2323" spans="1:7">
      <c r="A2323" s="45">
        <v>44727</v>
      </c>
      <c r="B2323" s="14" t="s">
        <v>2</v>
      </c>
      <c r="C2323" s="46">
        <v>1232000</v>
      </c>
      <c r="D2323" s="46">
        <v>1120000</v>
      </c>
      <c r="E2323" s="46">
        <v>112000</v>
      </c>
      <c r="F2323" s="17" t="s">
        <v>714</v>
      </c>
      <c r="G2323" s="9">
        <v>44742</v>
      </c>
    </row>
    <row r="2324" spans="1:7">
      <c r="A2324" s="45">
        <v>44727</v>
      </c>
      <c r="B2324" s="14" t="s">
        <v>2</v>
      </c>
      <c r="C2324" s="46">
        <v>970200</v>
      </c>
      <c r="D2324" s="46">
        <v>882000</v>
      </c>
      <c r="E2324" s="46">
        <v>88200</v>
      </c>
      <c r="F2324" s="17" t="s">
        <v>612</v>
      </c>
      <c r="G2324" s="9">
        <v>44753</v>
      </c>
    </row>
    <row r="2325" spans="1:7">
      <c r="A2325" s="45">
        <v>44727</v>
      </c>
      <c r="B2325" s="14" t="s">
        <v>2</v>
      </c>
      <c r="C2325" s="46">
        <v>4427500</v>
      </c>
      <c r="D2325" s="46">
        <v>4025000</v>
      </c>
      <c r="E2325" s="46">
        <v>402500</v>
      </c>
      <c r="F2325" s="17" t="s">
        <v>646</v>
      </c>
      <c r="G2325" s="9">
        <v>44742</v>
      </c>
    </row>
    <row r="2326" spans="1:7">
      <c r="A2326" s="45">
        <v>44727</v>
      </c>
      <c r="B2326" s="14" t="s">
        <v>2</v>
      </c>
      <c r="C2326" s="46">
        <v>33649000</v>
      </c>
      <c r="D2326" s="46">
        <v>30590000</v>
      </c>
      <c r="E2326" s="46">
        <v>3059000</v>
      </c>
      <c r="F2326" s="17" t="s">
        <v>611</v>
      </c>
      <c r="G2326" s="9">
        <v>44742</v>
      </c>
    </row>
    <row r="2327" spans="1:7">
      <c r="A2327" s="45">
        <v>44737</v>
      </c>
      <c r="B2327" s="14" t="s">
        <v>719</v>
      </c>
      <c r="C2327" s="46">
        <v>762300</v>
      </c>
      <c r="D2327" s="46">
        <v>693000</v>
      </c>
      <c r="E2327" s="46">
        <v>69300</v>
      </c>
      <c r="F2327" s="17" t="s">
        <v>710</v>
      </c>
      <c r="G2327" s="9">
        <v>44757</v>
      </c>
    </row>
    <row r="2328" spans="1:7">
      <c r="A2328" s="45">
        <v>44739</v>
      </c>
      <c r="B2328" s="14" t="s">
        <v>740</v>
      </c>
      <c r="C2328" s="46">
        <v>3279360</v>
      </c>
      <c r="D2328" s="46">
        <v>2981236</v>
      </c>
      <c r="E2328" s="46">
        <v>298124</v>
      </c>
      <c r="F2328" s="17" t="s">
        <v>758</v>
      </c>
      <c r="G2328" s="9">
        <v>44740</v>
      </c>
    </row>
    <row r="2329" spans="1:7">
      <c r="A2329" s="45">
        <v>44739</v>
      </c>
      <c r="B2329" s="14" t="s">
        <v>738</v>
      </c>
      <c r="C2329" s="46">
        <v>8531890</v>
      </c>
      <c r="D2329" s="46">
        <v>7756263</v>
      </c>
      <c r="E2329" s="46">
        <v>775627</v>
      </c>
      <c r="F2329" s="17" t="s">
        <v>739</v>
      </c>
      <c r="G2329" s="9">
        <v>44743</v>
      </c>
    </row>
    <row r="2330" spans="1:7">
      <c r="A2330" s="45">
        <v>44742</v>
      </c>
      <c r="B2330" s="14" t="s">
        <v>761</v>
      </c>
      <c r="C2330" s="46">
        <v>770000</v>
      </c>
      <c r="D2330" s="46">
        <v>700000</v>
      </c>
      <c r="E2330" s="46">
        <v>70000</v>
      </c>
      <c r="F2330" s="17" t="s">
        <v>762</v>
      </c>
      <c r="G2330" s="9">
        <v>44746</v>
      </c>
    </row>
    <row r="2331" spans="1:7">
      <c r="A2331" s="45">
        <v>44742</v>
      </c>
      <c r="B2331" s="14" t="s">
        <v>82</v>
      </c>
      <c r="C2331" s="46">
        <v>880000</v>
      </c>
      <c r="D2331" s="46">
        <v>800000</v>
      </c>
      <c r="E2331" s="46">
        <v>80000</v>
      </c>
      <c r="F2331" s="17" t="s">
        <v>13</v>
      </c>
      <c r="G2331" s="9">
        <v>44757</v>
      </c>
    </row>
    <row r="2332" spans="1:7">
      <c r="A2332" s="45">
        <v>44742</v>
      </c>
      <c r="B2332" s="14" t="s">
        <v>155</v>
      </c>
      <c r="C2332" s="46">
        <v>616000</v>
      </c>
      <c r="D2332" s="46">
        <v>560000</v>
      </c>
      <c r="E2332" s="46">
        <v>56000</v>
      </c>
      <c r="F2332" s="17" t="s">
        <v>13</v>
      </c>
      <c r="G2332" s="9">
        <v>44757</v>
      </c>
    </row>
    <row r="2333" spans="1:7">
      <c r="A2333" s="45">
        <v>44742</v>
      </c>
      <c r="B2333" s="14" t="s">
        <v>449</v>
      </c>
      <c r="C2333" s="46">
        <v>5049000</v>
      </c>
      <c r="D2333" s="46">
        <v>4590000</v>
      </c>
      <c r="E2333" s="46">
        <v>459000</v>
      </c>
      <c r="F2333" s="17" t="s">
        <v>13</v>
      </c>
      <c r="G2333" s="9">
        <v>44760</v>
      </c>
    </row>
    <row r="2334" spans="1:7">
      <c r="A2334" s="45">
        <v>44742</v>
      </c>
      <c r="B2334" s="14" t="s">
        <v>726</v>
      </c>
      <c r="C2334" s="46">
        <v>6198500</v>
      </c>
      <c r="D2334" s="46">
        <v>5635000</v>
      </c>
      <c r="E2334" s="46">
        <v>563500</v>
      </c>
      <c r="F2334" s="17" t="s">
        <v>727</v>
      </c>
      <c r="G2334" s="9">
        <v>44757</v>
      </c>
    </row>
    <row r="2335" spans="1:7">
      <c r="A2335" s="45">
        <v>44742</v>
      </c>
      <c r="B2335" s="14" t="s">
        <v>671</v>
      </c>
      <c r="C2335" s="46">
        <v>2783000</v>
      </c>
      <c r="D2335" s="46">
        <v>2530000</v>
      </c>
      <c r="E2335" s="46">
        <v>253000</v>
      </c>
      <c r="F2335" s="17" t="s">
        <v>241</v>
      </c>
      <c r="G2335" s="9">
        <v>44757</v>
      </c>
    </row>
    <row r="2336" spans="1:7">
      <c r="A2336" s="45">
        <v>44742</v>
      </c>
      <c r="B2336" s="14" t="s">
        <v>432</v>
      </c>
      <c r="C2336" s="46">
        <v>1270500</v>
      </c>
      <c r="D2336" s="46">
        <v>1155000</v>
      </c>
      <c r="E2336" s="46">
        <v>115500</v>
      </c>
      <c r="F2336" s="17" t="s">
        <v>697</v>
      </c>
      <c r="G2336" s="9">
        <v>44764</v>
      </c>
    </row>
    <row r="2337" spans="1:7">
      <c r="A2337" s="45">
        <v>44742</v>
      </c>
      <c r="B2337" s="14" t="s">
        <v>432</v>
      </c>
      <c r="C2337" s="46">
        <v>1016400</v>
      </c>
      <c r="D2337" s="46">
        <v>924000</v>
      </c>
      <c r="E2337" s="46">
        <v>92400</v>
      </c>
      <c r="F2337" s="17" t="s">
        <v>280</v>
      </c>
      <c r="G2337" s="9">
        <v>44764</v>
      </c>
    </row>
    <row r="2338" spans="1:7">
      <c r="A2338" s="45">
        <v>44742</v>
      </c>
      <c r="B2338" s="14" t="s">
        <v>432</v>
      </c>
      <c r="C2338" s="46">
        <v>338800</v>
      </c>
      <c r="D2338" s="46">
        <v>308000</v>
      </c>
      <c r="E2338" s="46">
        <v>30800</v>
      </c>
      <c r="F2338" s="17" t="s">
        <v>763</v>
      </c>
      <c r="G2338" s="9">
        <v>44760</v>
      </c>
    </row>
    <row r="2339" spans="1:7">
      <c r="A2339" s="45">
        <v>44742</v>
      </c>
      <c r="B2339" s="14" t="s">
        <v>432</v>
      </c>
      <c r="C2339" s="46">
        <v>13207700</v>
      </c>
      <c r="D2339" s="46">
        <v>12007000</v>
      </c>
      <c r="E2339" s="46">
        <v>1200700</v>
      </c>
      <c r="F2339" s="17" t="s">
        <v>313</v>
      </c>
      <c r="G2339" s="9">
        <v>44764</v>
      </c>
    </row>
    <row r="2340" spans="1:7">
      <c r="A2340" s="45">
        <v>44742</v>
      </c>
      <c r="B2340" s="14" t="s">
        <v>432</v>
      </c>
      <c r="C2340" s="46">
        <v>1138500</v>
      </c>
      <c r="D2340" s="46">
        <v>1035000</v>
      </c>
      <c r="E2340" s="46">
        <v>103500</v>
      </c>
      <c r="F2340" s="17" t="s">
        <v>320</v>
      </c>
      <c r="G2340" s="9">
        <v>44760</v>
      </c>
    </row>
    <row r="2341" spans="1:7">
      <c r="A2341" s="45">
        <v>44742</v>
      </c>
      <c r="B2341" s="14" t="s">
        <v>432</v>
      </c>
      <c r="C2341" s="46">
        <v>253000</v>
      </c>
      <c r="D2341" s="46">
        <v>230000</v>
      </c>
      <c r="E2341" s="46">
        <v>23000</v>
      </c>
      <c r="F2341" s="17" t="s">
        <v>571</v>
      </c>
      <c r="G2341" s="9">
        <v>44760</v>
      </c>
    </row>
    <row r="2342" spans="1:7">
      <c r="A2342" s="45">
        <v>44742</v>
      </c>
      <c r="B2342" s="14" t="s">
        <v>644</v>
      </c>
      <c r="C2342" s="46">
        <v>202400</v>
      </c>
      <c r="D2342" s="46">
        <v>184000</v>
      </c>
      <c r="E2342" s="46">
        <v>18400</v>
      </c>
      <c r="F2342" s="17" t="s">
        <v>764</v>
      </c>
      <c r="G2342" s="9">
        <v>44750</v>
      </c>
    </row>
    <row r="2343" spans="1:7">
      <c r="A2343" s="45">
        <v>44742</v>
      </c>
      <c r="B2343" s="14" t="s">
        <v>644</v>
      </c>
      <c r="C2343" s="46">
        <v>15237200</v>
      </c>
      <c r="D2343" s="46">
        <v>13852000</v>
      </c>
      <c r="E2343" s="46">
        <v>1385200</v>
      </c>
      <c r="F2343" s="17" t="s">
        <v>765</v>
      </c>
      <c r="G2343" s="9">
        <v>44750</v>
      </c>
    </row>
    <row r="2344" spans="1:7">
      <c r="A2344" s="45">
        <v>44742</v>
      </c>
      <c r="B2344" s="14" t="s">
        <v>728</v>
      </c>
      <c r="C2344" s="46">
        <v>2024000</v>
      </c>
      <c r="D2344" s="46">
        <v>1840000</v>
      </c>
      <c r="E2344" s="46">
        <v>184000</v>
      </c>
      <c r="F2344" s="17" t="s">
        <v>729</v>
      </c>
      <c r="G2344" s="9">
        <v>44757</v>
      </c>
    </row>
    <row r="2345" spans="1:7">
      <c r="A2345" s="45">
        <v>44742</v>
      </c>
      <c r="B2345" s="14" t="s">
        <v>730</v>
      </c>
      <c r="C2345" s="46">
        <v>2251700</v>
      </c>
      <c r="D2345" s="46">
        <v>2047000</v>
      </c>
      <c r="E2345" s="46">
        <v>204700</v>
      </c>
      <c r="F2345" s="17" t="s">
        <v>612</v>
      </c>
      <c r="G2345" s="9">
        <v>44757</v>
      </c>
    </row>
    <row r="2346" spans="1:7">
      <c r="A2346" s="45">
        <v>44742</v>
      </c>
      <c r="B2346" s="14" t="s">
        <v>730</v>
      </c>
      <c r="C2346" s="46">
        <v>16016000</v>
      </c>
      <c r="D2346" s="46">
        <v>14560000</v>
      </c>
      <c r="E2346" s="46">
        <v>1456000</v>
      </c>
      <c r="F2346" s="17" t="s">
        <v>457</v>
      </c>
      <c r="G2346" s="9">
        <v>44757</v>
      </c>
    </row>
    <row r="2347" spans="1:7">
      <c r="A2347" s="45">
        <v>44742</v>
      </c>
      <c r="B2347" s="14" t="s">
        <v>2</v>
      </c>
      <c r="C2347" s="46">
        <v>2024000</v>
      </c>
      <c r="D2347" s="46">
        <v>1840000</v>
      </c>
      <c r="E2347" s="46">
        <v>184000</v>
      </c>
      <c r="F2347" s="17" t="s">
        <v>747</v>
      </c>
      <c r="G2347" s="9">
        <v>44753</v>
      </c>
    </row>
    <row r="2348" spans="1:7">
      <c r="A2348" s="45">
        <v>44742</v>
      </c>
      <c r="B2348" s="14" t="s">
        <v>2</v>
      </c>
      <c r="C2348" s="46">
        <v>3124649</v>
      </c>
      <c r="D2348" s="46">
        <v>2840590</v>
      </c>
      <c r="E2348" s="46">
        <v>284059</v>
      </c>
      <c r="F2348" s="17" t="s">
        <v>766</v>
      </c>
      <c r="G2348" s="9">
        <v>44753</v>
      </c>
    </row>
    <row r="2349" spans="1:7">
      <c r="A2349" s="45">
        <v>44742</v>
      </c>
      <c r="B2349" s="14" t="s">
        <v>2</v>
      </c>
      <c r="C2349" s="46">
        <v>36704800</v>
      </c>
      <c r="D2349" s="46">
        <v>33368000</v>
      </c>
      <c r="E2349" s="46">
        <v>3336800</v>
      </c>
      <c r="F2349" s="17" t="s">
        <v>456</v>
      </c>
      <c r="G2349" s="9">
        <v>44753</v>
      </c>
    </row>
    <row r="2350" spans="1:7">
      <c r="A2350" s="45">
        <v>44742</v>
      </c>
      <c r="B2350" s="14" t="s">
        <v>2</v>
      </c>
      <c r="C2350" s="46">
        <v>7428300</v>
      </c>
      <c r="D2350" s="46">
        <v>6753000</v>
      </c>
      <c r="E2350" s="46">
        <v>675300</v>
      </c>
      <c r="F2350" s="17" t="s">
        <v>424</v>
      </c>
      <c r="G2350" s="9">
        <v>44753</v>
      </c>
    </row>
    <row r="2351" spans="1:7">
      <c r="A2351" s="45">
        <v>44742</v>
      </c>
      <c r="B2351" s="14" t="s">
        <v>2</v>
      </c>
      <c r="C2351" s="46">
        <v>1012000</v>
      </c>
      <c r="D2351" s="46">
        <v>920000</v>
      </c>
      <c r="E2351" s="46">
        <v>92000</v>
      </c>
      <c r="F2351" s="17" t="s">
        <v>767</v>
      </c>
      <c r="G2351" s="9">
        <v>44753</v>
      </c>
    </row>
    <row r="2352" spans="1:7">
      <c r="A2352" s="45">
        <v>44742</v>
      </c>
      <c r="B2352" s="14" t="s">
        <v>2</v>
      </c>
      <c r="C2352" s="46">
        <v>3083300</v>
      </c>
      <c r="D2352" s="46">
        <v>2803000</v>
      </c>
      <c r="E2352" s="46">
        <v>280300</v>
      </c>
      <c r="F2352" s="17" t="s">
        <v>768</v>
      </c>
      <c r="G2352" s="9">
        <v>44753</v>
      </c>
    </row>
    <row r="2353" spans="1:19">
      <c r="A2353" s="45">
        <v>44742</v>
      </c>
      <c r="B2353" s="14" t="s">
        <v>2</v>
      </c>
      <c r="C2353" s="46">
        <v>1809500</v>
      </c>
      <c r="D2353" s="46">
        <v>1645000</v>
      </c>
      <c r="E2353" s="46">
        <v>164500</v>
      </c>
      <c r="F2353" s="17" t="s">
        <v>734</v>
      </c>
      <c r="G2353" s="9">
        <v>44753</v>
      </c>
    </row>
    <row r="2354" spans="1:19">
      <c r="A2354" s="45">
        <v>44742</v>
      </c>
      <c r="B2354" s="14" t="s">
        <v>2</v>
      </c>
      <c r="C2354" s="46">
        <v>1232000</v>
      </c>
      <c r="D2354" s="46">
        <v>1120000</v>
      </c>
      <c r="E2354" s="46">
        <v>112000</v>
      </c>
      <c r="F2354" s="17" t="s">
        <v>714</v>
      </c>
      <c r="G2354" s="9">
        <v>44753</v>
      </c>
      <c r="I2354" s="304" t="s">
        <v>759</v>
      </c>
      <c r="J2354" s="304"/>
      <c r="K2354" s="304"/>
    </row>
    <row r="2355" spans="1:19">
      <c r="A2355" s="45">
        <v>44742</v>
      </c>
      <c r="B2355" s="14" t="s">
        <v>2</v>
      </c>
      <c r="C2355" s="46">
        <v>1755600</v>
      </c>
      <c r="D2355" s="46">
        <v>1596000</v>
      </c>
      <c r="E2355" s="46">
        <v>159600</v>
      </c>
      <c r="F2355" s="17" t="s">
        <v>612</v>
      </c>
      <c r="G2355" s="9">
        <v>44753</v>
      </c>
      <c r="I2355" s="18" t="s">
        <v>46</v>
      </c>
      <c r="J2355" s="36" t="s">
        <v>47</v>
      </c>
      <c r="K2355" s="36" t="s">
        <v>48</v>
      </c>
    </row>
    <row r="2356" spans="1:19">
      <c r="A2356" s="45">
        <v>44742</v>
      </c>
      <c r="B2356" s="14" t="s">
        <v>2</v>
      </c>
      <c r="C2356" s="46">
        <v>5186500</v>
      </c>
      <c r="D2356" s="46">
        <v>4715000</v>
      </c>
      <c r="E2356" s="46">
        <v>471500</v>
      </c>
      <c r="F2356" s="17" t="s">
        <v>646</v>
      </c>
      <c r="G2356" s="9">
        <v>44753</v>
      </c>
      <c r="I2356" s="18">
        <f>SUM(C2316:C2366)</f>
        <v>365138395</v>
      </c>
      <c r="J2356" s="18">
        <f>SUM(D2316:D2366)</f>
        <v>331943994</v>
      </c>
      <c r="K2356" s="18">
        <f>SUM(E2316:E2366)</f>
        <v>33194401</v>
      </c>
    </row>
    <row r="2357" spans="1:19">
      <c r="A2357" s="45">
        <v>44742</v>
      </c>
      <c r="B2357" s="14" t="s">
        <v>2</v>
      </c>
      <c r="C2357" s="46">
        <v>28336000</v>
      </c>
      <c r="D2357" s="46">
        <v>25760000</v>
      </c>
      <c r="E2357" s="46">
        <v>2576000</v>
      </c>
      <c r="F2357" s="17" t="s">
        <v>611</v>
      </c>
      <c r="G2357" s="9">
        <v>44753</v>
      </c>
    </row>
    <row r="2358" spans="1:19">
      <c r="A2358" s="45">
        <v>44742</v>
      </c>
      <c r="B2358" s="14" t="s">
        <v>752</v>
      </c>
      <c r="C2358" s="46">
        <v>2403500</v>
      </c>
      <c r="D2358" s="46">
        <v>2185000</v>
      </c>
      <c r="E2358" s="46">
        <v>218500</v>
      </c>
      <c r="F2358" s="17" t="s">
        <v>753</v>
      </c>
      <c r="G2358" s="9">
        <v>44753</v>
      </c>
    </row>
    <row r="2359" spans="1:19">
      <c r="A2359" s="45">
        <v>44742</v>
      </c>
      <c r="B2359" s="14" t="s">
        <v>745</v>
      </c>
      <c r="C2359" s="46">
        <v>2640000</v>
      </c>
      <c r="D2359" s="46">
        <v>2400000</v>
      </c>
      <c r="E2359" s="46">
        <v>240000</v>
      </c>
      <c r="F2359" s="17" t="s">
        <v>746</v>
      </c>
      <c r="G2359" s="9">
        <v>44753</v>
      </c>
    </row>
    <row r="2360" spans="1:19">
      <c r="A2360" s="45">
        <v>44742</v>
      </c>
      <c r="B2360" s="14" t="s">
        <v>15</v>
      </c>
      <c r="C2360" s="46">
        <v>1801800</v>
      </c>
      <c r="D2360" s="46">
        <v>1638000</v>
      </c>
      <c r="E2360" s="46">
        <v>163800</v>
      </c>
      <c r="F2360" s="17" t="s">
        <v>459</v>
      </c>
      <c r="G2360" s="9">
        <v>44753</v>
      </c>
    </row>
    <row r="2361" spans="1:19">
      <c r="A2361" s="45">
        <v>44742</v>
      </c>
      <c r="B2361" s="14" t="s">
        <v>769</v>
      </c>
      <c r="C2361" s="46">
        <v>9781200</v>
      </c>
      <c r="D2361" s="46">
        <v>8892000</v>
      </c>
      <c r="E2361" s="46">
        <v>889200</v>
      </c>
      <c r="F2361" s="17" t="s">
        <v>305</v>
      </c>
      <c r="G2361" s="9">
        <v>44750</v>
      </c>
    </row>
    <row r="2362" spans="1:19">
      <c r="A2362" s="45">
        <v>44742</v>
      </c>
      <c r="B2362" s="14" t="s">
        <v>769</v>
      </c>
      <c r="C2362" s="46">
        <v>23166000</v>
      </c>
      <c r="D2362" s="46">
        <v>21060000</v>
      </c>
      <c r="E2362" s="46">
        <v>2106000</v>
      </c>
      <c r="F2362" s="17" t="s">
        <v>705</v>
      </c>
      <c r="G2362" s="9">
        <v>44750</v>
      </c>
    </row>
    <row r="2363" spans="1:19">
      <c r="A2363" s="45">
        <v>44742</v>
      </c>
      <c r="B2363" s="14" t="s">
        <v>769</v>
      </c>
      <c r="C2363" s="46">
        <v>2183500</v>
      </c>
      <c r="D2363" s="46">
        <v>1985000</v>
      </c>
      <c r="E2363" s="46">
        <v>198500</v>
      </c>
      <c r="F2363" s="17" t="s">
        <v>386</v>
      </c>
      <c r="G2363" s="9">
        <v>44750</v>
      </c>
    </row>
    <row r="2364" spans="1:19">
      <c r="A2364" s="45">
        <v>44742</v>
      </c>
      <c r="B2364" s="14" t="s">
        <v>769</v>
      </c>
      <c r="C2364" s="46">
        <v>32818500</v>
      </c>
      <c r="D2364" s="46">
        <v>29835000</v>
      </c>
      <c r="E2364" s="46">
        <v>2983500</v>
      </c>
      <c r="F2364" s="17" t="s">
        <v>387</v>
      </c>
      <c r="G2364" s="9">
        <v>44750</v>
      </c>
    </row>
    <row r="2365" spans="1:19">
      <c r="A2365" s="45">
        <v>44742</v>
      </c>
      <c r="B2365" s="14" t="s">
        <v>750</v>
      </c>
      <c r="C2365" s="46">
        <v>17304821</v>
      </c>
      <c r="D2365" s="46">
        <v>15731655</v>
      </c>
      <c r="E2365" s="46">
        <v>1573166</v>
      </c>
      <c r="F2365" s="17" t="s">
        <v>770</v>
      </c>
      <c r="G2365" s="9">
        <v>44753</v>
      </c>
    </row>
    <row r="2366" spans="1:19">
      <c r="A2366" s="119">
        <v>44742</v>
      </c>
      <c r="B2366" s="42" t="s">
        <v>771</v>
      </c>
      <c r="C2366" s="118">
        <v>676500</v>
      </c>
      <c r="D2366" s="118">
        <v>615000</v>
      </c>
      <c r="E2366" s="118">
        <v>61500</v>
      </c>
      <c r="F2366" s="51" t="s">
        <v>772</v>
      </c>
      <c r="G2366" s="10">
        <v>44795</v>
      </c>
      <c r="H2366" s="51"/>
      <c r="I2366" s="121"/>
      <c r="J2366" s="122"/>
      <c r="K2366" s="42"/>
      <c r="L2366" s="42"/>
      <c r="M2366" s="42"/>
      <c r="N2366" s="42"/>
      <c r="O2366" s="42"/>
      <c r="P2366" s="42"/>
      <c r="Q2366" s="42"/>
      <c r="R2366" s="42"/>
      <c r="S2366" s="42"/>
    </row>
    <row r="2367" spans="1:19">
      <c r="A2367" s="45">
        <v>44743</v>
      </c>
      <c r="B2367" s="14" t="s">
        <v>773</v>
      </c>
      <c r="C2367" s="46">
        <v>5500000</v>
      </c>
      <c r="D2367" s="46">
        <v>5000000</v>
      </c>
      <c r="E2367" s="46">
        <v>500000</v>
      </c>
      <c r="F2367" s="17" t="s">
        <v>774</v>
      </c>
      <c r="G2367" s="9">
        <v>44771</v>
      </c>
      <c r="H2367" s="17" t="s">
        <v>779</v>
      </c>
    </row>
    <row r="2368" spans="1:19">
      <c r="A2368" s="45">
        <v>44757</v>
      </c>
      <c r="B2368" s="14" t="s">
        <v>730</v>
      </c>
      <c r="C2368" s="46">
        <v>2202200</v>
      </c>
      <c r="D2368" s="46">
        <v>2002000</v>
      </c>
      <c r="E2368" s="46">
        <v>200200</v>
      </c>
      <c r="F2368" s="17" t="s">
        <v>612</v>
      </c>
      <c r="G2368" s="9">
        <v>44762</v>
      </c>
    </row>
    <row r="2369" spans="1:7">
      <c r="A2369" s="45">
        <v>44757</v>
      </c>
      <c r="B2369" s="14" t="s">
        <v>730</v>
      </c>
      <c r="C2369" s="46">
        <v>25220800</v>
      </c>
      <c r="D2369" s="46">
        <v>22928000</v>
      </c>
      <c r="E2369" s="46">
        <v>2292800</v>
      </c>
      <c r="F2369" s="17" t="s">
        <v>457</v>
      </c>
      <c r="G2369" s="9">
        <v>44762</v>
      </c>
    </row>
    <row r="2370" spans="1:7">
      <c r="A2370" s="45">
        <v>44757</v>
      </c>
      <c r="B2370" s="14" t="s">
        <v>2</v>
      </c>
      <c r="C2370" s="46">
        <v>35189000</v>
      </c>
      <c r="D2370" s="46">
        <v>31990000</v>
      </c>
      <c r="E2370" s="46">
        <v>3199000</v>
      </c>
      <c r="F2370" s="17" t="s">
        <v>456</v>
      </c>
      <c r="G2370" s="9">
        <v>44771</v>
      </c>
    </row>
    <row r="2371" spans="1:7">
      <c r="A2371" s="45">
        <v>44757</v>
      </c>
      <c r="B2371" s="14" t="s">
        <v>2</v>
      </c>
      <c r="C2371" s="46">
        <v>6721000</v>
      </c>
      <c r="D2371" s="46">
        <v>6110000</v>
      </c>
      <c r="E2371" s="46">
        <v>611000</v>
      </c>
      <c r="F2371" s="17" t="s">
        <v>424</v>
      </c>
      <c r="G2371" s="9">
        <v>44762</v>
      </c>
    </row>
    <row r="2372" spans="1:7">
      <c r="A2372" s="45">
        <v>44757</v>
      </c>
      <c r="B2372" s="14" t="s">
        <v>2</v>
      </c>
      <c r="C2372" s="46">
        <v>2739000</v>
      </c>
      <c r="D2372" s="46">
        <v>2490000</v>
      </c>
      <c r="E2372" s="46">
        <v>249000</v>
      </c>
      <c r="F2372" s="17" t="s">
        <v>756</v>
      </c>
      <c r="G2372" s="9">
        <v>44762</v>
      </c>
    </row>
    <row r="2373" spans="1:7">
      <c r="A2373" s="45">
        <v>44757</v>
      </c>
      <c r="B2373" s="14" t="s">
        <v>2</v>
      </c>
      <c r="C2373" s="46">
        <v>1720400</v>
      </c>
      <c r="D2373" s="46">
        <v>1564000</v>
      </c>
      <c r="E2373" s="46">
        <v>156400</v>
      </c>
      <c r="F2373" s="17" t="s">
        <v>757</v>
      </c>
      <c r="G2373" s="9">
        <v>44762</v>
      </c>
    </row>
    <row r="2374" spans="1:7">
      <c r="A2374" s="45">
        <v>44757</v>
      </c>
      <c r="B2374" s="14" t="s">
        <v>2</v>
      </c>
      <c r="C2374" s="46">
        <v>5109500</v>
      </c>
      <c r="D2374" s="46">
        <v>4645000</v>
      </c>
      <c r="E2374" s="46">
        <v>464500</v>
      </c>
      <c r="F2374" s="17" t="s">
        <v>734</v>
      </c>
      <c r="G2374" s="9">
        <v>44762</v>
      </c>
    </row>
    <row r="2375" spans="1:7">
      <c r="A2375" s="45">
        <v>44757</v>
      </c>
      <c r="B2375" s="14" t="s">
        <v>2</v>
      </c>
      <c r="C2375" s="46">
        <v>5531900</v>
      </c>
      <c r="D2375" s="46">
        <v>5029000</v>
      </c>
      <c r="E2375" s="46">
        <v>502900</v>
      </c>
      <c r="F2375" s="17" t="s">
        <v>315</v>
      </c>
      <c r="G2375" s="9">
        <v>44778</v>
      </c>
    </row>
    <row r="2376" spans="1:7">
      <c r="A2376" s="45">
        <v>44757</v>
      </c>
      <c r="B2376" s="14" t="s">
        <v>2</v>
      </c>
      <c r="C2376" s="46">
        <v>1108800</v>
      </c>
      <c r="D2376" s="46">
        <v>1008000</v>
      </c>
      <c r="E2376" s="46">
        <v>100800</v>
      </c>
      <c r="F2376" s="17" t="s">
        <v>714</v>
      </c>
      <c r="G2376" s="9">
        <v>44762</v>
      </c>
    </row>
    <row r="2377" spans="1:7">
      <c r="A2377" s="45">
        <v>44757</v>
      </c>
      <c r="B2377" s="14" t="s">
        <v>2</v>
      </c>
      <c r="C2377" s="46">
        <v>3289000</v>
      </c>
      <c r="D2377" s="46">
        <v>2990000</v>
      </c>
      <c r="E2377" s="46">
        <v>299000</v>
      </c>
      <c r="F2377" s="17" t="s">
        <v>646</v>
      </c>
      <c r="G2377" s="9">
        <v>44762</v>
      </c>
    </row>
    <row r="2378" spans="1:7">
      <c r="A2378" s="45">
        <v>44757</v>
      </c>
      <c r="B2378" s="14" t="s">
        <v>2</v>
      </c>
      <c r="C2378" s="46">
        <v>27197500</v>
      </c>
      <c r="D2378" s="46">
        <v>24725000</v>
      </c>
      <c r="E2378" s="46">
        <v>2472500</v>
      </c>
      <c r="F2378" s="17" t="s">
        <v>611</v>
      </c>
      <c r="G2378" s="9">
        <v>44762</v>
      </c>
    </row>
    <row r="2379" spans="1:7">
      <c r="A2379" s="45">
        <v>44767</v>
      </c>
      <c r="B2379" s="14" t="s">
        <v>719</v>
      </c>
      <c r="C2379" s="46">
        <v>1185800</v>
      </c>
      <c r="D2379" s="46">
        <v>1078000</v>
      </c>
      <c r="E2379" s="46">
        <v>107800</v>
      </c>
      <c r="F2379" s="17" t="s">
        <v>710</v>
      </c>
      <c r="G2379" s="9">
        <v>44785</v>
      </c>
    </row>
    <row r="2380" spans="1:7">
      <c r="A2380" s="45">
        <v>44769</v>
      </c>
      <c r="B2380" s="14" t="s">
        <v>738</v>
      </c>
      <c r="C2380" s="46">
        <v>8531890</v>
      </c>
      <c r="D2380" s="46">
        <v>7756263</v>
      </c>
      <c r="E2380" s="46">
        <v>775627</v>
      </c>
      <c r="F2380" s="17" t="s">
        <v>775</v>
      </c>
      <c r="G2380" s="9">
        <v>44782</v>
      </c>
    </row>
    <row r="2381" spans="1:7">
      <c r="A2381" s="45">
        <v>44769</v>
      </c>
      <c r="B2381" s="14" t="s">
        <v>740</v>
      </c>
      <c r="C2381" s="46">
        <v>3279360</v>
      </c>
      <c r="D2381" s="46">
        <v>2981236</v>
      </c>
      <c r="E2381" s="46">
        <v>298124</v>
      </c>
      <c r="F2381" s="17" t="s">
        <v>741</v>
      </c>
      <c r="G2381" s="9">
        <v>44770</v>
      </c>
    </row>
    <row r="2382" spans="1:7">
      <c r="A2382" s="45">
        <v>44773</v>
      </c>
      <c r="B2382" s="14" t="s">
        <v>776</v>
      </c>
      <c r="C2382" s="46">
        <v>1029600</v>
      </c>
      <c r="D2382" s="46">
        <v>936000</v>
      </c>
      <c r="E2382" s="46">
        <v>93600</v>
      </c>
      <c r="F2382" s="17" t="s">
        <v>777</v>
      </c>
      <c r="G2382" s="9">
        <v>44782</v>
      </c>
    </row>
    <row r="2383" spans="1:7">
      <c r="A2383" s="45">
        <v>44773</v>
      </c>
      <c r="B2383" s="14" t="s">
        <v>761</v>
      </c>
      <c r="C2383" s="46">
        <v>770000</v>
      </c>
      <c r="D2383" s="46">
        <v>700000</v>
      </c>
      <c r="E2383" s="46">
        <v>70000</v>
      </c>
      <c r="F2383" s="17" t="s">
        <v>762</v>
      </c>
      <c r="G2383" s="9">
        <v>44775</v>
      </c>
    </row>
    <row r="2384" spans="1:7">
      <c r="A2384" s="45">
        <v>44773</v>
      </c>
      <c r="B2384" s="14" t="s">
        <v>750</v>
      </c>
      <c r="C2384" s="46">
        <v>17462258</v>
      </c>
      <c r="D2384" s="46">
        <v>15874780</v>
      </c>
      <c r="E2384" s="46">
        <v>1587478</v>
      </c>
      <c r="F2384" s="17" t="s">
        <v>770</v>
      </c>
      <c r="G2384" s="9">
        <v>44783</v>
      </c>
    </row>
    <row r="2385" spans="1:7">
      <c r="A2385" s="45">
        <v>44773</v>
      </c>
      <c r="B2385" s="14" t="s">
        <v>2</v>
      </c>
      <c r="C2385" s="46">
        <v>3967700</v>
      </c>
      <c r="D2385" s="46">
        <v>3607000</v>
      </c>
      <c r="E2385" s="46">
        <v>360700</v>
      </c>
      <c r="F2385" s="17" t="s">
        <v>612</v>
      </c>
      <c r="G2385" s="9">
        <v>44783</v>
      </c>
    </row>
    <row r="2386" spans="1:7">
      <c r="A2386" s="45">
        <v>44773</v>
      </c>
      <c r="B2386" s="14" t="s">
        <v>2</v>
      </c>
      <c r="C2386" s="46">
        <v>18804500</v>
      </c>
      <c r="D2386" s="46">
        <v>17095000</v>
      </c>
      <c r="E2386" s="46">
        <v>1709500</v>
      </c>
      <c r="F2386" s="17" t="s">
        <v>766</v>
      </c>
      <c r="G2386" s="9">
        <v>44795</v>
      </c>
    </row>
    <row r="2387" spans="1:7">
      <c r="A2387" s="45">
        <v>44773</v>
      </c>
      <c r="B2387" s="14" t="s">
        <v>2</v>
      </c>
      <c r="C2387" s="46">
        <v>51673600</v>
      </c>
      <c r="D2387" s="46">
        <v>46976000</v>
      </c>
      <c r="E2387" s="46">
        <v>4697600</v>
      </c>
      <c r="F2387" s="17" t="s">
        <v>456</v>
      </c>
      <c r="G2387" s="9">
        <v>44781</v>
      </c>
    </row>
    <row r="2388" spans="1:7">
      <c r="A2388" s="45">
        <v>44773</v>
      </c>
      <c r="B2388" s="14" t="s">
        <v>2</v>
      </c>
      <c r="C2388" s="46">
        <v>8299500</v>
      </c>
      <c r="D2388" s="46">
        <v>7545000</v>
      </c>
      <c r="E2388" s="46">
        <v>754500</v>
      </c>
      <c r="F2388" s="17" t="s">
        <v>424</v>
      </c>
      <c r="G2388" s="9">
        <v>44781</v>
      </c>
    </row>
    <row r="2389" spans="1:7">
      <c r="A2389" s="45">
        <v>44773</v>
      </c>
      <c r="B2389" s="14" t="s">
        <v>2</v>
      </c>
      <c r="C2389" s="46">
        <v>5522000</v>
      </c>
      <c r="D2389" s="46">
        <v>5020000</v>
      </c>
      <c r="E2389" s="46">
        <v>502000</v>
      </c>
      <c r="F2389" s="17" t="s">
        <v>756</v>
      </c>
      <c r="G2389" s="9">
        <v>44781</v>
      </c>
    </row>
    <row r="2390" spans="1:7">
      <c r="A2390" s="45">
        <v>44773</v>
      </c>
      <c r="B2390" s="14" t="s">
        <v>2</v>
      </c>
      <c r="C2390" s="46">
        <v>1619200</v>
      </c>
      <c r="D2390" s="46">
        <v>1472000</v>
      </c>
      <c r="E2390" s="46">
        <v>147200</v>
      </c>
      <c r="F2390" s="17" t="s">
        <v>757</v>
      </c>
      <c r="G2390" s="9">
        <v>44781</v>
      </c>
    </row>
    <row r="2391" spans="1:7">
      <c r="A2391" s="45">
        <v>44773</v>
      </c>
      <c r="B2391" s="14" t="s">
        <v>2</v>
      </c>
      <c r="C2391" s="46">
        <v>4231700</v>
      </c>
      <c r="D2391" s="46">
        <v>3847000</v>
      </c>
      <c r="E2391" s="46">
        <v>384700</v>
      </c>
      <c r="F2391" s="17" t="s">
        <v>734</v>
      </c>
      <c r="G2391" s="9">
        <v>44781</v>
      </c>
    </row>
    <row r="2392" spans="1:7">
      <c r="A2392" s="45">
        <v>44773</v>
      </c>
      <c r="B2392" s="14" t="s">
        <v>2</v>
      </c>
      <c r="C2392" s="46">
        <v>35522300</v>
      </c>
      <c r="D2392" s="46">
        <v>32293000</v>
      </c>
      <c r="E2392" s="46">
        <v>3229300</v>
      </c>
      <c r="F2392" s="17" t="s">
        <v>315</v>
      </c>
      <c r="G2392" s="9">
        <v>44781</v>
      </c>
    </row>
    <row r="2393" spans="1:7">
      <c r="A2393" s="45">
        <v>44773</v>
      </c>
      <c r="B2393" s="14" t="s">
        <v>2</v>
      </c>
      <c r="C2393" s="46">
        <v>2587200</v>
      </c>
      <c r="D2393" s="46">
        <v>2352000</v>
      </c>
      <c r="E2393" s="46">
        <v>235200</v>
      </c>
      <c r="F2393" s="17" t="s">
        <v>714</v>
      </c>
      <c r="G2393" s="9">
        <v>44781</v>
      </c>
    </row>
    <row r="2394" spans="1:7">
      <c r="A2394" s="45">
        <v>44773</v>
      </c>
      <c r="B2394" s="14" t="s">
        <v>2</v>
      </c>
      <c r="C2394" s="46">
        <v>4680500</v>
      </c>
      <c r="D2394" s="46">
        <v>4255000</v>
      </c>
      <c r="E2394" s="46">
        <v>425500</v>
      </c>
      <c r="F2394" s="17" t="s">
        <v>646</v>
      </c>
      <c r="G2394" s="9">
        <v>44783</v>
      </c>
    </row>
    <row r="2395" spans="1:7">
      <c r="A2395" s="45">
        <v>44773</v>
      </c>
      <c r="B2395" s="14" t="s">
        <v>2</v>
      </c>
      <c r="C2395" s="46">
        <v>28968500</v>
      </c>
      <c r="D2395" s="46">
        <v>26335000</v>
      </c>
      <c r="E2395" s="46">
        <v>2633500</v>
      </c>
      <c r="F2395" s="17" t="s">
        <v>611</v>
      </c>
      <c r="G2395" s="9">
        <v>44783</v>
      </c>
    </row>
    <row r="2396" spans="1:7">
      <c r="A2396" s="45">
        <v>44773</v>
      </c>
      <c r="B2396" s="14" t="s">
        <v>745</v>
      </c>
      <c r="C2396" s="46">
        <v>2310000</v>
      </c>
      <c r="D2396" s="46">
        <v>2100000</v>
      </c>
      <c r="E2396" s="46">
        <v>210000</v>
      </c>
      <c r="F2396" s="17" t="s">
        <v>746</v>
      </c>
      <c r="G2396" s="9">
        <v>44784</v>
      </c>
    </row>
    <row r="2397" spans="1:7">
      <c r="A2397" s="45">
        <v>44773</v>
      </c>
      <c r="B2397" s="14" t="s">
        <v>771</v>
      </c>
      <c r="C2397" s="46">
        <v>1353000</v>
      </c>
      <c r="D2397" s="46">
        <v>1230000</v>
      </c>
      <c r="E2397" s="46">
        <v>123000</v>
      </c>
      <c r="F2397" s="17" t="s">
        <v>772</v>
      </c>
      <c r="G2397" s="9">
        <v>44795</v>
      </c>
    </row>
    <row r="2398" spans="1:7">
      <c r="A2398" s="45">
        <v>44773</v>
      </c>
      <c r="B2398" s="14" t="s">
        <v>644</v>
      </c>
      <c r="C2398" s="46">
        <v>10125500</v>
      </c>
      <c r="D2398" s="46">
        <v>9205000</v>
      </c>
      <c r="E2398" s="46">
        <v>920500</v>
      </c>
      <c r="F2398" s="17" t="s">
        <v>303</v>
      </c>
      <c r="G2398" s="9">
        <v>44783</v>
      </c>
    </row>
    <row r="2399" spans="1:7">
      <c r="A2399" s="45">
        <v>44773</v>
      </c>
      <c r="B2399" s="14" t="s">
        <v>644</v>
      </c>
      <c r="C2399" s="46">
        <v>3491400</v>
      </c>
      <c r="D2399" s="46">
        <v>3174000</v>
      </c>
      <c r="E2399" s="46">
        <v>317400</v>
      </c>
      <c r="F2399" s="17" t="s">
        <v>684</v>
      </c>
      <c r="G2399" s="9">
        <v>44783</v>
      </c>
    </row>
    <row r="2400" spans="1:7">
      <c r="A2400" s="45">
        <v>44773</v>
      </c>
      <c r="B2400" s="14" t="s">
        <v>728</v>
      </c>
      <c r="C2400" s="46">
        <v>2710400</v>
      </c>
      <c r="D2400" s="46">
        <v>2464000</v>
      </c>
      <c r="E2400" s="46">
        <v>246400</v>
      </c>
      <c r="F2400" s="17" t="s">
        <v>729</v>
      </c>
      <c r="G2400" s="9">
        <v>44785</v>
      </c>
    </row>
    <row r="2401" spans="1:11">
      <c r="A2401" s="45">
        <v>44773</v>
      </c>
      <c r="B2401" s="14" t="s">
        <v>671</v>
      </c>
      <c r="C2401" s="46">
        <v>101200</v>
      </c>
      <c r="D2401" s="46">
        <v>92000</v>
      </c>
      <c r="E2401" s="46">
        <v>9200</v>
      </c>
      <c r="F2401" s="17" t="s">
        <v>241</v>
      </c>
      <c r="G2401" s="9">
        <v>44789</v>
      </c>
    </row>
    <row r="2402" spans="1:11">
      <c r="A2402" s="45">
        <v>44773</v>
      </c>
      <c r="B2402" s="14" t="s">
        <v>726</v>
      </c>
      <c r="C2402" s="46">
        <v>5945500</v>
      </c>
      <c r="D2402" s="46">
        <v>5405000</v>
      </c>
      <c r="E2402" s="46">
        <v>540500</v>
      </c>
      <c r="F2402" s="17" t="s">
        <v>727</v>
      </c>
      <c r="G2402" s="9">
        <v>44785</v>
      </c>
    </row>
    <row r="2403" spans="1:11">
      <c r="A2403" s="45">
        <v>44773</v>
      </c>
      <c r="B2403" s="14" t="s">
        <v>155</v>
      </c>
      <c r="C2403" s="46">
        <v>2046000</v>
      </c>
      <c r="D2403" s="46">
        <v>1860000</v>
      </c>
      <c r="E2403" s="46">
        <v>186000</v>
      </c>
      <c r="F2403" s="17" t="s">
        <v>13</v>
      </c>
      <c r="G2403" s="9">
        <v>44785</v>
      </c>
    </row>
    <row r="2404" spans="1:11">
      <c r="A2404" s="45">
        <v>44773</v>
      </c>
      <c r="B2404" s="14" t="s">
        <v>449</v>
      </c>
      <c r="C2404" s="46">
        <v>5346000</v>
      </c>
      <c r="D2404" s="46">
        <v>4860000</v>
      </c>
      <c r="E2404" s="46">
        <v>486000</v>
      </c>
      <c r="F2404" s="17" t="s">
        <v>13</v>
      </c>
      <c r="G2404" s="9">
        <v>44792</v>
      </c>
      <c r="I2404" s="304" t="s">
        <v>760</v>
      </c>
      <c r="J2404" s="304"/>
      <c r="K2404" s="304"/>
    </row>
    <row r="2405" spans="1:11">
      <c r="A2405" s="45">
        <v>44773</v>
      </c>
      <c r="B2405" s="14" t="s">
        <v>15</v>
      </c>
      <c r="C2405" s="46">
        <v>12355200</v>
      </c>
      <c r="D2405" s="46">
        <v>11232000</v>
      </c>
      <c r="E2405" s="46">
        <v>1123200</v>
      </c>
      <c r="F2405" s="17" t="s">
        <v>262</v>
      </c>
      <c r="G2405" s="9">
        <v>44783</v>
      </c>
      <c r="I2405" s="18" t="s">
        <v>46</v>
      </c>
      <c r="J2405" s="36" t="s">
        <v>47</v>
      </c>
      <c r="K2405" s="36" t="s">
        <v>48</v>
      </c>
    </row>
    <row r="2406" spans="1:11">
      <c r="A2406" s="45">
        <v>44773</v>
      </c>
      <c r="B2406" s="14" t="s">
        <v>432</v>
      </c>
      <c r="C2406" s="46">
        <v>2541000</v>
      </c>
      <c r="D2406" s="46">
        <v>2310000</v>
      </c>
      <c r="E2406" s="46">
        <v>231000</v>
      </c>
      <c r="F2406" s="17" t="s">
        <v>702</v>
      </c>
      <c r="G2406" s="9">
        <v>44792</v>
      </c>
      <c r="I2406" s="18">
        <f>SUM(C2367:C2421)</f>
        <v>496957758</v>
      </c>
      <c r="J2406" s="18">
        <f>SUM(D2367:D2421)</f>
        <v>451779779</v>
      </c>
      <c r="K2406" s="18">
        <f>SUM(E2367:E2421)</f>
        <v>45177979</v>
      </c>
    </row>
    <row r="2407" spans="1:11">
      <c r="A2407" s="45">
        <v>44773</v>
      </c>
      <c r="B2407" s="14" t="s">
        <v>432</v>
      </c>
      <c r="C2407" s="46">
        <v>9032100</v>
      </c>
      <c r="D2407" s="46">
        <v>8211000</v>
      </c>
      <c r="E2407" s="46">
        <v>821100</v>
      </c>
      <c r="F2407" s="17" t="s">
        <v>165</v>
      </c>
      <c r="G2407" s="9">
        <v>44792</v>
      </c>
    </row>
    <row r="2408" spans="1:11">
      <c r="A2408" s="45">
        <v>44773</v>
      </c>
      <c r="B2408" s="14" t="s">
        <v>432</v>
      </c>
      <c r="C2408" s="46">
        <v>782100</v>
      </c>
      <c r="D2408" s="46">
        <v>711000</v>
      </c>
      <c r="E2408" s="46">
        <v>71100</v>
      </c>
      <c r="F2408" s="17" t="s">
        <v>588</v>
      </c>
      <c r="G2408" s="9">
        <v>44792</v>
      </c>
    </row>
    <row r="2409" spans="1:11">
      <c r="A2409" s="45">
        <v>44773</v>
      </c>
      <c r="B2409" s="14" t="s">
        <v>432</v>
      </c>
      <c r="C2409" s="46">
        <v>1023000</v>
      </c>
      <c r="D2409" s="46">
        <v>930000</v>
      </c>
      <c r="E2409" s="46">
        <v>93000</v>
      </c>
      <c r="F2409" s="17" t="s">
        <v>313</v>
      </c>
      <c r="G2409" s="9">
        <v>44792</v>
      </c>
    </row>
    <row r="2410" spans="1:11">
      <c r="A2410" s="45">
        <v>44773</v>
      </c>
      <c r="B2410" s="14" t="s">
        <v>432</v>
      </c>
      <c r="C2410" s="46">
        <v>3168000</v>
      </c>
      <c r="D2410" s="46">
        <v>2880000</v>
      </c>
      <c r="E2410" s="46">
        <v>288000</v>
      </c>
      <c r="F2410" s="17" t="s">
        <v>320</v>
      </c>
      <c r="G2410" s="9">
        <v>44792</v>
      </c>
    </row>
    <row r="2411" spans="1:11">
      <c r="A2411" s="45">
        <v>44773</v>
      </c>
      <c r="B2411" s="14" t="s">
        <v>730</v>
      </c>
      <c r="C2411" s="46">
        <v>2256100</v>
      </c>
      <c r="D2411" s="46">
        <v>2051000</v>
      </c>
      <c r="E2411" s="46">
        <v>205100</v>
      </c>
      <c r="F2411" s="17" t="s">
        <v>612</v>
      </c>
      <c r="G2411" s="9">
        <v>44783</v>
      </c>
    </row>
    <row r="2412" spans="1:11">
      <c r="A2412" s="45">
        <v>44773</v>
      </c>
      <c r="B2412" s="14" t="s">
        <v>730</v>
      </c>
      <c r="C2412" s="46">
        <v>23431100</v>
      </c>
      <c r="D2412" s="46">
        <v>21301000</v>
      </c>
      <c r="E2412" s="46">
        <v>2130100</v>
      </c>
      <c r="F2412" s="17" t="s">
        <v>457</v>
      </c>
      <c r="G2412" s="9">
        <v>44783</v>
      </c>
    </row>
    <row r="2413" spans="1:11">
      <c r="A2413" s="45">
        <v>44773</v>
      </c>
      <c r="B2413" s="14" t="s">
        <v>2</v>
      </c>
      <c r="C2413" s="46">
        <v>88000</v>
      </c>
      <c r="D2413" s="46">
        <v>80000</v>
      </c>
      <c r="E2413" s="46">
        <v>8000</v>
      </c>
      <c r="F2413" s="17" t="s">
        <v>780</v>
      </c>
      <c r="G2413" s="9">
        <v>44783</v>
      </c>
    </row>
    <row r="2414" spans="1:11">
      <c r="A2414" s="45">
        <v>44773</v>
      </c>
      <c r="B2414" s="14" t="s">
        <v>2</v>
      </c>
      <c r="C2414" s="46">
        <v>191400</v>
      </c>
      <c r="D2414" s="46">
        <v>174000</v>
      </c>
      <c r="E2414" s="46">
        <v>17400</v>
      </c>
      <c r="F2414" s="17" t="s">
        <v>781</v>
      </c>
      <c r="G2414" s="9">
        <v>44783</v>
      </c>
    </row>
    <row r="2415" spans="1:11">
      <c r="A2415" s="45">
        <v>44773</v>
      </c>
      <c r="B2415" s="14" t="s">
        <v>2</v>
      </c>
      <c r="C2415" s="46">
        <v>4268000</v>
      </c>
      <c r="D2415" s="46">
        <v>3880000</v>
      </c>
      <c r="E2415" s="46">
        <v>388000</v>
      </c>
      <c r="F2415" s="17" t="s">
        <v>747</v>
      </c>
      <c r="G2415" s="9">
        <v>44783</v>
      </c>
    </row>
    <row r="2416" spans="1:11">
      <c r="A2416" s="45">
        <v>44773</v>
      </c>
      <c r="B2416" s="14" t="s">
        <v>752</v>
      </c>
      <c r="C2416" s="46">
        <v>3239500</v>
      </c>
      <c r="D2416" s="46">
        <v>2945000</v>
      </c>
      <c r="E2416" s="46">
        <v>294500</v>
      </c>
      <c r="F2416" s="17" t="s">
        <v>753</v>
      </c>
      <c r="G2416" s="9">
        <v>44786</v>
      </c>
    </row>
    <row r="2417" spans="1:19">
      <c r="A2417" s="45">
        <v>44773</v>
      </c>
      <c r="B2417" s="14" t="s">
        <v>769</v>
      </c>
      <c r="C2417" s="46">
        <v>2751100</v>
      </c>
      <c r="D2417" s="46">
        <v>2501000</v>
      </c>
      <c r="E2417" s="46">
        <v>250100</v>
      </c>
      <c r="F2417" s="17" t="s">
        <v>782</v>
      </c>
      <c r="G2417" s="9">
        <v>44783</v>
      </c>
    </row>
    <row r="2418" spans="1:19">
      <c r="A2418" s="45">
        <v>44773</v>
      </c>
      <c r="B2418" s="14" t="s">
        <v>769</v>
      </c>
      <c r="C2418" s="46">
        <v>20720700</v>
      </c>
      <c r="D2418" s="46">
        <v>18837000</v>
      </c>
      <c r="E2418" s="46">
        <v>1883700</v>
      </c>
      <c r="F2418" s="17" t="s">
        <v>305</v>
      </c>
      <c r="G2418" s="9">
        <v>44783</v>
      </c>
    </row>
    <row r="2419" spans="1:19">
      <c r="A2419" s="45">
        <v>44773</v>
      </c>
      <c r="B2419" s="14" t="s">
        <v>769</v>
      </c>
      <c r="C2419" s="46">
        <v>24517350</v>
      </c>
      <c r="D2419" s="46">
        <v>22288500</v>
      </c>
      <c r="E2419" s="46">
        <v>2228850</v>
      </c>
      <c r="F2419" s="17" t="s">
        <v>705</v>
      </c>
      <c r="G2419" s="9">
        <v>44783</v>
      </c>
    </row>
    <row r="2420" spans="1:19">
      <c r="A2420" s="45">
        <v>44773</v>
      </c>
      <c r="B2420" s="14" t="s">
        <v>769</v>
      </c>
      <c r="C2420" s="46">
        <v>2354000</v>
      </c>
      <c r="D2420" s="46">
        <v>2140000</v>
      </c>
      <c r="E2420" s="46">
        <v>214000</v>
      </c>
      <c r="F2420" s="17" t="s">
        <v>386</v>
      </c>
      <c r="G2420" s="9">
        <v>44783</v>
      </c>
    </row>
    <row r="2421" spans="1:19">
      <c r="A2421" s="119">
        <v>44773</v>
      </c>
      <c r="B2421" s="42" t="s">
        <v>769</v>
      </c>
      <c r="C2421" s="118">
        <v>31145400</v>
      </c>
      <c r="D2421" s="118">
        <v>28314000</v>
      </c>
      <c r="E2421" s="118">
        <v>2831400</v>
      </c>
      <c r="F2421" s="51" t="s">
        <v>387</v>
      </c>
      <c r="G2421" s="10">
        <v>44783</v>
      </c>
      <c r="H2421" s="51"/>
      <c r="I2421" s="121"/>
      <c r="J2421" s="122"/>
      <c r="K2421" s="42"/>
      <c r="L2421" s="42"/>
      <c r="M2421" s="42"/>
      <c r="N2421" s="42"/>
      <c r="O2421" s="42"/>
      <c r="P2421" s="42"/>
      <c r="Q2421" s="42"/>
      <c r="R2421" s="42"/>
      <c r="S2421" s="42"/>
    </row>
    <row r="2422" spans="1:19">
      <c r="A2422" s="45">
        <v>44788</v>
      </c>
      <c r="B2422" s="14" t="s">
        <v>730</v>
      </c>
      <c r="C2422" s="46">
        <v>3503500</v>
      </c>
      <c r="D2422" s="46">
        <v>3185000</v>
      </c>
      <c r="E2422" s="46">
        <v>318500</v>
      </c>
      <c r="F2422" s="17" t="s">
        <v>612</v>
      </c>
      <c r="G2422" s="9">
        <v>44795</v>
      </c>
    </row>
    <row r="2423" spans="1:19">
      <c r="A2423" s="45">
        <v>44788</v>
      </c>
      <c r="B2423" s="14" t="s">
        <v>730</v>
      </c>
      <c r="C2423" s="46">
        <v>23427800</v>
      </c>
      <c r="D2423" s="46">
        <v>21298000</v>
      </c>
      <c r="E2423" s="46">
        <v>2129800</v>
      </c>
      <c r="F2423" s="17" t="s">
        <v>457</v>
      </c>
      <c r="G2423" s="9">
        <v>44795</v>
      </c>
    </row>
    <row r="2424" spans="1:19">
      <c r="A2424" s="45">
        <v>44788</v>
      </c>
      <c r="B2424" s="14" t="s">
        <v>2</v>
      </c>
      <c r="C2424" s="46">
        <v>7606500</v>
      </c>
      <c r="D2424" s="46">
        <v>6915000</v>
      </c>
      <c r="E2424" s="46">
        <v>691500</v>
      </c>
      <c r="F2424" s="17" t="s">
        <v>766</v>
      </c>
      <c r="G2424" s="9">
        <v>44795</v>
      </c>
    </row>
    <row r="2425" spans="1:19">
      <c r="A2425" s="45">
        <v>44788</v>
      </c>
      <c r="B2425" s="14" t="s">
        <v>2</v>
      </c>
      <c r="C2425" s="46">
        <v>53267610</v>
      </c>
      <c r="D2425" s="46">
        <v>48425100</v>
      </c>
      <c r="E2425" s="46">
        <v>4842510</v>
      </c>
      <c r="F2425" s="17" t="s">
        <v>456</v>
      </c>
      <c r="G2425" s="9">
        <v>44795</v>
      </c>
    </row>
    <row r="2426" spans="1:19">
      <c r="A2426" s="45">
        <v>44788</v>
      </c>
      <c r="B2426" s="14" t="s">
        <v>2</v>
      </c>
      <c r="C2426" s="46">
        <v>9009000</v>
      </c>
      <c r="D2426" s="46">
        <v>8190000</v>
      </c>
      <c r="E2426" s="46">
        <v>819000</v>
      </c>
      <c r="F2426" s="17" t="s">
        <v>424</v>
      </c>
      <c r="G2426" s="9">
        <v>44795</v>
      </c>
    </row>
    <row r="2427" spans="1:19">
      <c r="A2427" s="45">
        <v>44788</v>
      </c>
      <c r="B2427" s="14" t="s">
        <v>2</v>
      </c>
      <c r="C2427" s="46">
        <v>4857600</v>
      </c>
      <c r="D2427" s="46">
        <v>4416000</v>
      </c>
      <c r="E2427" s="46">
        <v>441600</v>
      </c>
      <c r="F2427" s="17" t="s">
        <v>734</v>
      </c>
      <c r="G2427" s="9">
        <v>44795</v>
      </c>
    </row>
    <row r="2428" spans="1:19">
      <c r="A2428" s="45">
        <v>44788</v>
      </c>
      <c r="B2428" s="14" t="s">
        <v>2</v>
      </c>
      <c r="C2428" s="46">
        <v>33704000</v>
      </c>
      <c r="D2428" s="46">
        <v>30640000</v>
      </c>
      <c r="E2428" s="46">
        <v>3064000</v>
      </c>
      <c r="F2428" s="17" t="s">
        <v>315</v>
      </c>
      <c r="G2428" s="9">
        <v>44795</v>
      </c>
    </row>
    <row r="2429" spans="1:19">
      <c r="A2429" s="45">
        <v>44788</v>
      </c>
      <c r="B2429" s="14" t="s">
        <v>2</v>
      </c>
      <c r="C2429" s="46">
        <v>2094400</v>
      </c>
      <c r="D2429" s="46">
        <v>1904000</v>
      </c>
      <c r="E2429" s="46">
        <v>190400</v>
      </c>
      <c r="F2429" s="17" t="s">
        <v>714</v>
      </c>
      <c r="G2429" s="9">
        <v>44795</v>
      </c>
    </row>
    <row r="2430" spans="1:19">
      <c r="A2430" s="45">
        <v>44788</v>
      </c>
      <c r="B2430" s="14" t="s">
        <v>2</v>
      </c>
      <c r="C2430" s="46">
        <v>1644500</v>
      </c>
      <c r="D2430" s="46">
        <v>1495000</v>
      </c>
      <c r="E2430" s="46">
        <v>149500</v>
      </c>
      <c r="F2430" s="17" t="s">
        <v>646</v>
      </c>
      <c r="G2430" s="9">
        <v>44795</v>
      </c>
    </row>
    <row r="2431" spans="1:19">
      <c r="A2431" s="45">
        <v>44788</v>
      </c>
      <c r="B2431" s="14" t="s">
        <v>2</v>
      </c>
      <c r="C2431" s="46">
        <v>27450500</v>
      </c>
      <c r="D2431" s="46">
        <v>24955000</v>
      </c>
      <c r="E2431" s="46">
        <v>2495500</v>
      </c>
      <c r="F2431" s="17" t="s">
        <v>611</v>
      </c>
      <c r="G2431" s="9">
        <v>44803</v>
      </c>
    </row>
    <row r="2432" spans="1:19">
      <c r="A2432" s="45">
        <v>44788</v>
      </c>
      <c r="B2432" s="14" t="s">
        <v>2</v>
      </c>
      <c r="C2432" s="46">
        <v>7716500</v>
      </c>
      <c r="D2432" s="46">
        <v>7015000</v>
      </c>
      <c r="E2432" s="46">
        <v>701500</v>
      </c>
      <c r="F2432" s="17" t="s">
        <v>756</v>
      </c>
      <c r="G2432" s="9">
        <v>44795</v>
      </c>
    </row>
    <row r="2433" spans="1:7">
      <c r="A2433" s="45">
        <v>44788</v>
      </c>
      <c r="B2433" s="14" t="s">
        <v>2</v>
      </c>
      <c r="C2433" s="46">
        <v>3997400</v>
      </c>
      <c r="D2433" s="46">
        <v>3634000</v>
      </c>
      <c r="E2433" s="46">
        <v>363400</v>
      </c>
      <c r="F2433" s="17" t="s">
        <v>757</v>
      </c>
      <c r="G2433" s="9">
        <v>44795</v>
      </c>
    </row>
    <row r="2434" spans="1:7">
      <c r="A2434" s="45" t="s">
        <v>783</v>
      </c>
      <c r="B2434" s="14" t="s">
        <v>740</v>
      </c>
      <c r="C2434" s="46">
        <v>3279360</v>
      </c>
      <c r="D2434" s="46">
        <v>2981236</v>
      </c>
      <c r="E2434" s="46">
        <v>298124</v>
      </c>
      <c r="F2434" s="17" t="s">
        <v>741</v>
      </c>
      <c r="G2434" s="9">
        <v>44799</v>
      </c>
    </row>
    <row r="2435" spans="1:7">
      <c r="A2435" s="45" t="s">
        <v>783</v>
      </c>
      <c r="B2435" s="14" t="s">
        <v>738</v>
      </c>
      <c r="C2435" s="46">
        <v>5959800</v>
      </c>
      <c r="D2435" s="46">
        <v>5418000</v>
      </c>
      <c r="E2435" s="46">
        <v>541800</v>
      </c>
      <c r="F2435" s="17" t="s">
        <v>790</v>
      </c>
      <c r="G2435" s="9">
        <v>44811</v>
      </c>
    </row>
    <row r="2436" spans="1:7">
      <c r="A2436" s="45" t="s">
        <v>783</v>
      </c>
      <c r="B2436" s="14" t="s">
        <v>738</v>
      </c>
      <c r="C2436" s="46">
        <v>8531890</v>
      </c>
      <c r="D2436" s="46">
        <v>7756263</v>
      </c>
      <c r="E2436" s="46">
        <v>775627</v>
      </c>
      <c r="F2436" s="17" t="s">
        <v>775</v>
      </c>
      <c r="G2436" s="9">
        <v>44810</v>
      </c>
    </row>
    <row r="2437" spans="1:7">
      <c r="A2437" s="45" t="s">
        <v>783</v>
      </c>
      <c r="B2437" s="14" t="s">
        <v>719</v>
      </c>
      <c r="C2437" s="46">
        <v>1863400</v>
      </c>
      <c r="D2437" s="46">
        <v>1694000</v>
      </c>
      <c r="E2437" s="46">
        <v>169400</v>
      </c>
      <c r="F2437" s="17" t="s">
        <v>710</v>
      </c>
      <c r="G2437" s="9">
        <v>44820</v>
      </c>
    </row>
    <row r="2438" spans="1:7">
      <c r="A2438" s="45">
        <v>44802</v>
      </c>
      <c r="B2438" s="14" t="s">
        <v>79</v>
      </c>
      <c r="C2438" s="46">
        <v>924000</v>
      </c>
      <c r="D2438" s="46">
        <v>840000</v>
      </c>
      <c r="E2438" s="46">
        <v>84000</v>
      </c>
      <c r="F2438" s="17" t="s">
        <v>13</v>
      </c>
      <c r="G2438" s="9">
        <v>44807</v>
      </c>
    </row>
    <row r="2439" spans="1:7">
      <c r="A2439" s="45">
        <v>44804</v>
      </c>
      <c r="B2439" s="14" t="s">
        <v>769</v>
      </c>
      <c r="C2439" s="46">
        <v>2420000</v>
      </c>
      <c r="D2439" s="46">
        <v>2200000</v>
      </c>
      <c r="E2439" s="46">
        <v>220000</v>
      </c>
      <c r="F2439" s="17" t="s">
        <v>800</v>
      </c>
      <c r="G2439" s="9">
        <v>44812</v>
      </c>
    </row>
    <row r="2440" spans="1:7">
      <c r="A2440" s="45">
        <v>44804</v>
      </c>
      <c r="B2440" s="14" t="s">
        <v>769</v>
      </c>
      <c r="C2440" s="46">
        <v>9335700</v>
      </c>
      <c r="D2440" s="46">
        <v>8487000</v>
      </c>
      <c r="E2440" s="46">
        <v>848700</v>
      </c>
      <c r="F2440" s="17" t="s">
        <v>801</v>
      </c>
      <c r="G2440" s="9">
        <v>44812</v>
      </c>
    </row>
    <row r="2441" spans="1:7">
      <c r="A2441" s="45">
        <v>44804</v>
      </c>
      <c r="B2441" s="14" t="s">
        <v>761</v>
      </c>
      <c r="C2441" s="46">
        <v>770000</v>
      </c>
      <c r="D2441" s="46">
        <v>700000</v>
      </c>
      <c r="E2441" s="46">
        <v>70000</v>
      </c>
      <c r="F2441" s="17" t="s">
        <v>799</v>
      </c>
      <c r="G2441" s="9">
        <v>44809</v>
      </c>
    </row>
    <row r="2442" spans="1:7">
      <c r="A2442" s="45">
        <v>44804</v>
      </c>
      <c r="B2442" s="14" t="s">
        <v>726</v>
      </c>
      <c r="C2442" s="46">
        <v>8728500</v>
      </c>
      <c r="D2442" s="46">
        <v>7935000</v>
      </c>
      <c r="E2442" s="46">
        <v>793500</v>
      </c>
      <c r="F2442" s="17" t="s">
        <v>727</v>
      </c>
      <c r="G2442" s="9">
        <v>44819</v>
      </c>
    </row>
    <row r="2443" spans="1:7">
      <c r="A2443" s="45">
        <v>44804</v>
      </c>
      <c r="B2443" s="14" t="s">
        <v>769</v>
      </c>
      <c r="C2443" s="46">
        <v>15315300</v>
      </c>
      <c r="D2443" s="46">
        <v>13923000</v>
      </c>
      <c r="E2443" s="46">
        <v>1392300</v>
      </c>
      <c r="F2443" s="17" t="s">
        <v>305</v>
      </c>
      <c r="G2443" s="9">
        <v>44812</v>
      </c>
    </row>
    <row r="2444" spans="1:7">
      <c r="A2444" s="45">
        <v>44804</v>
      </c>
      <c r="B2444" s="14" t="s">
        <v>769</v>
      </c>
      <c r="C2444" s="46">
        <v>22200750</v>
      </c>
      <c r="D2444" s="46">
        <v>20182500</v>
      </c>
      <c r="E2444" s="46">
        <v>2018250</v>
      </c>
      <c r="F2444" s="17" t="s">
        <v>705</v>
      </c>
      <c r="G2444" s="9">
        <v>44812</v>
      </c>
    </row>
    <row r="2445" spans="1:7">
      <c r="A2445" s="45">
        <v>44804</v>
      </c>
      <c r="B2445" s="14" t="s">
        <v>769</v>
      </c>
      <c r="C2445" s="46">
        <v>2271500</v>
      </c>
      <c r="D2445" s="46">
        <v>2065000</v>
      </c>
      <c r="E2445" s="46">
        <v>206500</v>
      </c>
      <c r="F2445" s="17" t="s">
        <v>386</v>
      </c>
      <c r="G2445" s="9">
        <v>44812</v>
      </c>
    </row>
    <row r="2446" spans="1:7">
      <c r="A2446" s="45">
        <v>44804</v>
      </c>
      <c r="B2446" s="14" t="s">
        <v>769</v>
      </c>
      <c r="C2446" s="46">
        <v>36293400</v>
      </c>
      <c r="D2446" s="46">
        <v>32994000</v>
      </c>
      <c r="E2446" s="46">
        <v>3299400</v>
      </c>
      <c r="F2446" s="17" t="s">
        <v>387</v>
      </c>
      <c r="G2446" s="9">
        <v>44812</v>
      </c>
    </row>
    <row r="2447" spans="1:7">
      <c r="A2447" s="45">
        <v>44804</v>
      </c>
      <c r="B2447" s="14" t="s">
        <v>749</v>
      </c>
      <c r="C2447" s="46">
        <v>1518000</v>
      </c>
      <c r="D2447" s="46">
        <v>1380000</v>
      </c>
      <c r="E2447" s="46">
        <v>138000</v>
      </c>
      <c r="F2447" s="17" t="s">
        <v>13</v>
      </c>
      <c r="G2447" s="9">
        <v>44806</v>
      </c>
    </row>
    <row r="2448" spans="1:7">
      <c r="A2448" s="45">
        <v>44804</v>
      </c>
      <c r="B2448" s="14" t="s">
        <v>2</v>
      </c>
      <c r="C2448" s="46">
        <v>27324000</v>
      </c>
      <c r="D2448" s="46">
        <v>24840000</v>
      </c>
      <c r="E2448" s="46">
        <v>2484000</v>
      </c>
      <c r="F2448" s="17" t="s">
        <v>611</v>
      </c>
      <c r="G2448" s="9">
        <v>44812</v>
      </c>
    </row>
    <row r="2449" spans="1:7">
      <c r="A2449" s="45">
        <v>44804</v>
      </c>
      <c r="B2449" s="14" t="s">
        <v>2</v>
      </c>
      <c r="C2449" s="46">
        <v>9740500</v>
      </c>
      <c r="D2449" s="46">
        <v>8855000</v>
      </c>
      <c r="E2449" s="46">
        <v>885500</v>
      </c>
      <c r="F2449" s="17" t="s">
        <v>646</v>
      </c>
      <c r="G2449" s="9">
        <v>44812</v>
      </c>
    </row>
    <row r="2450" spans="1:7">
      <c r="A2450" s="45">
        <v>44804</v>
      </c>
      <c r="B2450" s="14" t="s">
        <v>2</v>
      </c>
      <c r="C2450" s="46">
        <v>985600</v>
      </c>
      <c r="D2450" s="46">
        <v>896000</v>
      </c>
      <c r="E2450" s="46">
        <v>89600</v>
      </c>
      <c r="F2450" s="17" t="s">
        <v>714</v>
      </c>
      <c r="G2450" s="9">
        <v>44812</v>
      </c>
    </row>
    <row r="2451" spans="1:7">
      <c r="A2451" s="45">
        <v>44804</v>
      </c>
      <c r="B2451" s="14" t="s">
        <v>2</v>
      </c>
      <c r="C2451" s="46">
        <v>726000</v>
      </c>
      <c r="D2451" s="46">
        <v>660000</v>
      </c>
      <c r="E2451" s="46">
        <v>66000</v>
      </c>
      <c r="F2451" s="17" t="s">
        <v>784</v>
      </c>
      <c r="G2451" s="9">
        <v>44812</v>
      </c>
    </row>
    <row r="2452" spans="1:7">
      <c r="A2452" s="45">
        <v>44804</v>
      </c>
      <c r="B2452" s="14" t="s">
        <v>2</v>
      </c>
      <c r="C2452" s="46">
        <v>29659300</v>
      </c>
      <c r="D2452" s="46">
        <v>26963000</v>
      </c>
      <c r="E2452" s="46">
        <v>2696300</v>
      </c>
      <c r="F2452" s="17" t="s">
        <v>315</v>
      </c>
      <c r="G2452" s="9">
        <v>44812</v>
      </c>
    </row>
    <row r="2453" spans="1:7">
      <c r="A2453" s="45">
        <v>44804</v>
      </c>
      <c r="B2453" s="14" t="s">
        <v>2</v>
      </c>
      <c r="C2453" s="46">
        <v>5420800</v>
      </c>
      <c r="D2453" s="46">
        <v>4928000</v>
      </c>
      <c r="E2453" s="46">
        <v>492800</v>
      </c>
      <c r="F2453" s="17" t="s">
        <v>734</v>
      </c>
      <c r="G2453" s="9">
        <v>44812</v>
      </c>
    </row>
    <row r="2454" spans="1:7">
      <c r="A2454" s="45">
        <v>44804</v>
      </c>
      <c r="B2454" s="14" t="s">
        <v>2</v>
      </c>
      <c r="C2454" s="46">
        <v>3592600</v>
      </c>
      <c r="D2454" s="46">
        <v>3266000</v>
      </c>
      <c r="E2454" s="46">
        <v>326600</v>
      </c>
      <c r="F2454" s="17" t="s">
        <v>757</v>
      </c>
      <c r="G2454" s="9">
        <v>44812</v>
      </c>
    </row>
    <row r="2455" spans="1:7">
      <c r="A2455" s="45">
        <v>44804</v>
      </c>
      <c r="B2455" s="14" t="s">
        <v>2</v>
      </c>
      <c r="C2455" s="46">
        <v>5280000</v>
      </c>
      <c r="D2455" s="46">
        <v>4800000</v>
      </c>
      <c r="E2455" s="46">
        <v>480000</v>
      </c>
      <c r="F2455" s="17" t="s">
        <v>756</v>
      </c>
      <c r="G2455" s="9">
        <v>44812</v>
      </c>
    </row>
    <row r="2456" spans="1:7">
      <c r="A2456" s="45">
        <v>44804</v>
      </c>
      <c r="B2456" s="14" t="s">
        <v>2</v>
      </c>
      <c r="C2456" s="46">
        <v>8375400</v>
      </c>
      <c r="D2456" s="46">
        <v>7614000</v>
      </c>
      <c r="E2456" s="46">
        <v>761400</v>
      </c>
      <c r="F2456" s="17" t="s">
        <v>424</v>
      </c>
      <c r="G2456" s="9">
        <v>44812</v>
      </c>
    </row>
    <row r="2457" spans="1:7">
      <c r="A2457" s="45">
        <v>44804</v>
      </c>
      <c r="B2457" s="14" t="s">
        <v>2</v>
      </c>
      <c r="C2457" s="46">
        <v>37710200</v>
      </c>
      <c r="D2457" s="46">
        <v>34282000</v>
      </c>
      <c r="E2457" s="46">
        <v>3428200</v>
      </c>
      <c r="F2457" s="17" t="s">
        <v>456</v>
      </c>
      <c r="G2457" s="9">
        <v>44812</v>
      </c>
    </row>
    <row r="2458" spans="1:7">
      <c r="A2458" s="45">
        <v>44804</v>
      </c>
      <c r="B2458" s="14" t="s">
        <v>2</v>
      </c>
      <c r="C2458" s="46">
        <v>7463500</v>
      </c>
      <c r="D2458" s="46">
        <v>6785000</v>
      </c>
      <c r="E2458" s="46">
        <v>678500</v>
      </c>
      <c r="F2458" s="17" t="s">
        <v>766</v>
      </c>
      <c r="G2458" s="9">
        <v>44812</v>
      </c>
    </row>
    <row r="2459" spans="1:7">
      <c r="A2459" s="45">
        <v>44804</v>
      </c>
      <c r="B2459" s="14" t="s">
        <v>2</v>
      </c>
      <c r="C2459" s="46">
        <v>4312000</v>
      </c>
      <c r="D2459" s="46">
        <v>3920000</v>
      </c>
      <c r="E2459" s="46">
        <v>392000</v>
      </c>
      <c r="F2459" s="17" t="s">
        <v>747</v>
      </c>
      <c r="G2459" s="9">
        <v>44812</v>
      </c>
    </row>
    <row r="2460" spans="1:7">
      <c r="A2460" s="45">
        <v>44804</v>
      </c>
      <c r="B2460" s="14" t="s">
        <v>2</v>
      </c>
      <c r="C2460" s="46">
        <v>313500</v>
      </c>
      <c r="D2460" s="46">
        <v>285000</v>
      </c>
      <c r="E2460" s="46">
        <v>28500</v>
      </c>
      <c r="F2460" s="17" t="s">
        <v>781</v>
      </c>
      <c r="G2460" s="9">
        <v>44812</v>
      </c>
    </row>
    <row r="2461" spans="1:7">
      <c r="A2461" s="45">
        <v>44804</v>
      </c>
      <c r="B2461" s="14" t="s">
        <v>2</v>
      </c>
      <c r="C2461" s="46">
        <v>88000</v>
      </c>
      <c r="D2461" s="46">
        <v>80000</v>
      </c>
      <c r="E2461" s="46">
        <v>8000</v>
      </c>
      <c r="F2461" s="17" t="s">
        <v>780</v>
      </c>
      <c r="G2461" s="9">
        <v>44812</v>
      </c>
    </row>
    <row r="2462" spans="1:7">
      <c r="A2462" s="45">
        <v>44804</v>
      </c>
      <c r="B2462" s="14" t="s">
        <v>2</v>
      </c>
      <c r="C2462" s="46">
        <v>88000</v>
      </c>
      <c r="D2462" s="46">
        <v>80000</v>
      </c>
      <c r="E2462" s="46">
        <v>8000</v>
      </c>
      <c r="F2462" s="17" t="s">
        <v>785</v>
      </c>
      <c r="G2462" s="9">
        <v>44812</v>
      </c>
    </row>
    <row r="2463" spans="1:7">
      <c r="A2463" s="45">
        <v>44804</v>
      </c>
      <c r="B2463" s="14" t="s">
        <v>2</v>
      </c>
      <c r="C2463" s="46">
        <v>3942400</v>
      </c>
      <c r="D2463" s="46">
        <v>3584000</v>
      </c>
      <c r="E2463" s="46">
        <v>358400</v>
      </c>
      <c r="F2463" s="17" t="s">
        <v>612</v>
      </c>
      <c r="G2463" s="9">
        <v>44812</v>
      </c>
    </row>
    <row r="2464" spans="1:7">
      <c r="A2464" s="45">
        <v>44804</v>
      </c>
      <c r="B2464" s="14" t="s">
        <v>750</v>
      </c>
      <c r="C2464" s="46">
        <v>14905138</v>
      </c>
      <c r="D2464" s="46">
        <v>13550125</v>
      </c>
      <c r="E2464" s="46">
        <v>1355013</v>
      </c>
      <c r="F2464" s="17" t="s">
        <v>770</v>
      </c>
      <c r="G2464" s="9">
        <v>44817</v>
      </c>
    </row>
    <row r="2465" spans="1:11">
      <c r="A2465" s="45">
        <v>44804</v>
      </c>
      <c r="B2465" s="14" t="s">
        <v>15</v>
      </c>
      <c r="C2465" s="46">
        <v>13127400</v>
      </c>
      <c r="D2465" s="46">
        <v>11934000</v>
      </c>
      <c r="E2465" s="46">
        <v>1193400</v>
      </c>
      <c r="F2465" s="17" t="s">
        <v>802</v>
      </c>
      <c r="G2465" s="9">
        <v>44812</v>
      </c>
    </row>
    <row r="2466" spans="1:11">
      <c r="A2466" s="45">
        <v>44804</v>
      </c>
      <c r="B2466" s="14" t="s">
        <v>745</v>
      </c>
      <c r="C2466" s="46">
        <v>220000</v>
      </c>
      <c r="D2466" s="46">
        <v>200000</v>
      </c>
      <c r="E2466" s="46">
        <v>20000</v>
      </c>
      <c r="F2466" s="17" t="s">
        <v>746</v>
      </c>
      <c r="G2466" s="9">
        <v>44812</v>
      </c>
    </row>
    <row r="2467" spans="1:11">
      <c r="A2467" s="45">
        <v>44804</v>
      </c>
      <c r="B2467" s="14" t="s">
        <v>752</v>
      </c>
      <c r="C2467" s="46">
        <v>1985500</v>
      </c>
      <c r="D2467" s="46">
        <v>1805000</v>
      </c>
      <c r="E2467" s="46">
        <v>180500</v>
      </c>
      <c r="F2467" s="17" t="s">
        <v>803</v>
      </c>
      <c r="G2467" s="9">
        <v>44811</v>
      </c>
    </row>
    <row r="2468" spans="1:11">
      <c r="A2468" s="45">
        <v>44804</v>
      </c>
      <c r="B2468" s="14" t="s">
        <v>730</v>
      </c>
      <c r="C2468" s="46">
        <v>28101700</v>
      </c>
      <c r="D2468" s="46">
        <v>25547000</v>
      </c>
      <c r="E2468" s="46">
        <v>2554700</v>
      </c>
      <c r="F2468" s="17" t="s">
        <v>457</v>
      </c>
      <c r="G2468" s="9">
        <v>44818</v>
      </c>
      <c r="I2468" s="304" t="s">
        <v>778</v>
      </c>
      <c r="J2468" s="304"/>
      <c r="K2468" s="304"/>
    </row>
    <row r="2469" spans="1:11">
      <c r="A2469" s="45">
        <v>44804</v>
      </c>
      <c r="B2469" s="14" t="s">
        <v>730</v>
      </c>
      <c r="C2469" s="46">
        <v>3041500</v>
      </c>
      <c r="D2469" s="46">
        <v>2765000</v>
      </c>
      <c r="E2469" s="46">
        <v>276500</v>
      </c>
      <c r="F2469" s="17" t="s">
        <v>612</v>
      </c>
      <c r="G2469" s="9">
        <v>44818</v>
      </c>
      <c r="I2469" s="18" t="s">
        <v>46</v>
      </c>
      <c r="J2469" s="36" t="s">
        <v>47</v>
      </c>
      <c r="K2469" s="36" t="s">
        <v>48</v>
      </c>
    </row>
    <row r="2470" spans="1:11">
      <c r="A2470" s="45">
        <v>44804</v>
      </c>
      <c r="B2470" s="14" t="s">
        <v>644</v>
      </c>
      <c r="C2470" s="46">
        <v>12837000</v>
      </c>
      <c r="D2470" s="46">
        <v>11670000</v>
      </c>
      <c r="E2470" s="46">
        <v>1167000</v>
      </c>
      <c r="F2470" s="17" t="s">
        <v>303</v>
      </c>
      <c r="G2470" s="9">
        <v>44812</v>
      </c>
      <c r="I2470" s="18">
        <f>SUM(C2422:C2484)</f>
        <v>558372146</v>
      </c>
      <c r="J2470" s="18">
        <f>SUM(D2422:D2484)</f>
        <v>507611040</v>
      </c>
      <c r="K2470" s="18">
        <f>SUM(E2422:E2484)</f>
        <v>50761106</v>
      </c>
    </row>
    <row r="2471" spans="1:11">
      <c r="A2471" s="45">
        <v>44804</v>
      </c>
      <c r="B2471" s="14" t="s">
        <v>644</v>
      </c>
      <c r="C2471" s="46">
        <v>4629900</v>
      </c>
      <c r="D2471" s="46">
        <v>4209000</v>
      </c>
      <c r="E2471" s="46">
        <v>420900</v>
      </c>
      <c r="F2471" s="17" t="s">
        <v>684</v>
      </c>
      <c r="G2471" s="9">
        <v>44812</v>
      </c>
    </row>
    <row r="2472" spans="1:11">
      <c r="A2472" s="45">
        <v>44804</v>
      </c>
      <c r="B2472" s="14" t="s">
        <v>432</v>
      </c>
      <c r="C2472" s="46">
        <v>1138500</v>
      </c>
      <c r="D2472" s="46">
        <v>1035000</v>
      </c>
      <c r="E2472" s="46">
        <v>103500</v>
      </c>
      <c r="F2472" s="17" t="s">
        <v>320</v>
      </c>
      <c r="G2472" s="9">
        <v>44825</v>
      </c>
    </row>
    <row r="2473" spans="1:11">
      <c r="A2473" s="45">
        <v>44804</v>
      </c>
      <c r="B2473" s="14" t="s">
        <v>432</v>
      </c>
      <c r="C2473" s="46">
        <v>126500</v>
      </c>
      <c r="D2473" s="46">
        <v>115000</v>
      </c>
      <c r="E2473" s="46">
        <v>11500</v>
      </c>
      <c r="F2473" s="17" t="s">
        <v>571</v>
      </c>
      <c r="G2473" s="9">
        <v>44823</v>
      </c>
    </row>
    <row r="2474" spans="1:11">
      <c r="A2474" s="45">
        <v>44804</v>
      </c>
      <c r="B2474" s="14" t="s">
        <v>432</v>
      </c>
      <c r="C2474" s="46">
        <v>592900</v>
      </c>
      <c r="D2474" s="46">
        <v>539000</v>
      </c>
      <c r="E2474" s="46">
        <v>53900</v>
      </c>
      <c r="F2474" s="17" t="s">
        <v>588</v>
      </c>
      <c r="G2474" s="9">
        <v>44823</v>
      </c>
    </row>
    <row r="2475" spans="1:11">
      <c r="A2475" s="45">
        <v>44804</v>
      </c>
      <c r="B2475" s="14" t="s">
        <v>432</v>
      </c>
      <c r="C2475" s="46">
        <v>17482300</v>
      </c>
      <c r="D2475" s="46">
        <v>15893000</v>
      </c>
      <c r="E2475" s="46">
        <v>1589300</v>
      </c>
      <c r="F2475" s="17" t="s">
        <v>165</v>
      </c>
      <c r="G2475" s="9">
        <v>44825</v>
      </c>
    </row>
    <row r="2476" spans="1:11">
      <c r="A2476" s="45">
        <v>44804</v>
      </c>
      <c r="B2476" s="14" t="s">
        <v>432</v>
      </c>
      <c r="C2476" s="46">
        <v>423500</v>
      </c>
      <c r="D2476" s="46">
        <v>385000</v>
      </c>
      <c r="E2476" s="46">
        <v>38500</v>
      </c>
      <c r="F2476" s="17" t="s">
        <v>702</v>
      </c>
      <c r="G2476" s="9">
        <v>44823</v>
      </c>
    </row>
    <row r="2477" spans="1:11">
      <c r="A2477" s="45">
        <v>44804</v>
      </c>
      <c r="B2477" s="14" t="s">
        <v>728</v>
      </c>
      <c r="C2477" s="46">
        <v>3744400</v>
      </c>
      <c r="D2477" s="46">
        <v>3404000</v>
      </c>
      <c r="E2477" s="46">
        <v>340400</v>
      </c>
      <c r="F2477" s="17" t="s">
        <v>729</v>
      </c>
      <c r="G2477" s="9">
        <v>44819</v>
      </c>
    </row>
    <row r="2478" spans="1:11">
      <c r="A2478" s="45">
        <v>44804</v>
      </c>
      <c r="B2478" s="14" t="s">
        <v>671</v>
      </c>
      <c r="C2478" s="46">
        <v>544500</v>
      </c>
      <c r="D2478" s="46">
        <v>495000</v>
      </c>
      <c r="E2478" s="46">
        <v>49500</v>
      </c>
      <c r="F2478" s="17" t="s">
        <v>786</v>
      </c>
      <c r="G2478" s="9">
        <v>44819</v>
      </c>
    </row>
    <row r="2479" spans="1:11">
      <c r="A2479" s="45">
        <v>44804</v>
      </c>
      <c r="B2479" s="14" t="s">
        <v>671</v>
      </c>
      <c r="C2479" s="46">
        <v>202400</v>
      </c>
      <c r="D2479" s="46">
        <v>184000</v>
      </c>
      <c r="E2479" s="46">
        <v>18400</v>
      </c>
      <c r="F2479" s="17" t="s">
        <v>241</v>
      </c>
      <c r="G2479" s="9">
        <v>44819</v>
      </c>
    </row>
    <row r="2480" spans="1:11">
      <c r="A2480" s="45">
        <v>44804</v>
      </c>
      <c r="B2480" s="14" t="s">
        <v>155</v>
      </c>
      <c r="C2480" s="46">
        <v>3135000</v>
      </c>
      <c r="D2480" s="46">
        <v>2850000</v>
      </c>
      <c r="E2480" s="46">
        <v>285000</v>
      </c>
      <c r="F2480" s="17" t="s">
        <v>13</v>
      </c>
      <c r="G2480" s="9">
        <v>44820</v>
      </c>
    </row>
    <row r="2481" spans="1:19">
      <c r="A2481" s="45">
        <v>44804</v>
      </c>
      <c r="B2481" s="14" t="s">
        <v>82</v>
      </c>
      <c r="C2481" s="46">
        <v>2420000</v>
      </c>
      <c r="D2481" s="46">
        <v>2200000</v>
      </c>
      <c r="E2481" s="46">
        <v>220000</v>
      </c>
      <c r="F2481" s="17" t="s">
        <v>13</v>
      </c>
      <c r="G2481" s="9">
        <v>44819</v>
      </c>
      <c r="H2481" s="17" t="s">
        <v>789</v>
      </c>
    </row>
    <row r="2482" spans="1:19">
      <c r="A2482" s="45">
        <v>44804</v>
      </c>
      <c r="B2482" s="14" t="s">
        <v>686</v>
      </c>
      <c r="C2482" s="46">
        <v>2860000</v>
      </c>
      <c r="D2482" s="46">
        <v>2600000</v>
      </c>
      <c r="E2482" s="46">
        <v>260000</v>
      </c>
      <c r="F2482" s="17" t="s">
        <v>13</v>
      </c>
      <c r="G2482" s="9">
        <v>44819</v>
      </c>
    </row>
    <row r="2483" spans="1:19">
      <c r="A2483" s="45">
        <v>44804</v>
      </c>
      <c r="B2483" s="14" t="s">
        <v>449</v>
      </c>
      <c r="C2483" s="46">
        <v>3751000</v>
      </c>
      <c r="D2483" s="46">
        <v>3410000</v>
      </c>
      <c r="E2483" s="46">
        <v>341000</v>
      </c>
      <c r="F2483" s="17" t="s">
        <v>13</v>
      </c>
      <c r="G2483" s="9">
        <v>44834</v>
      </c>
    </row>
    <row r="2484" spans="1:19">
      <c r="A2484" s="119">
        <v>44804</v>
      </c>
      <c r="B2484" s="42" t="s">
        <v>787</v>
      </c>
      <c r="C2484" s="118">
        <v>390298</v>
      </c>
      <c r="D2484" s="118">
        <v>354816</v>
      </c>
      <c r="E2484" s="118">
        <v>35482</v>
      </c>
      <c r="F2484" s="51" t="s">
        <v>792</v>
      </c>
      <c r="G2484" s="10">
        <v>44817</v>
      </c>
      <c r="H2484" s="51"/>
      <c r="I2484" s="121"/>
      <c r="J2484" s="122"/>
      <c r="K2484" s="42"/>
      <c r="L2484" s="42"/>
      <c r="M2484" s="42"/>
      <c r="N2484" s="42"/>
      <c r="O2484" s="42"/>
      <c r="P2484" s="42"/>
      <c r="Q2484" s="42"/>
      <c r="R2484" s="42"/>
      <c r="S2484" s="42"/>
    </row>
    <row r="2485" spans="1:19">
      <c r="A2485" s="45">
        <v>44819</v>
      </c>
      <c r="B2485" s="14" t="s">
        <v>730</v>
      </c>
      <c r="C2485" s="46">
        <v>2687300</v>
      </c>
      <c r="D2485" s="46">
        <v>2443000</v>
      </c>
      <c r="E2485" s="46">
        <v>244300</v>
      </c>
      <c r="F2485" s="17" t="s">
        <v>612</v>
      </c>
      <c r="G2485" s="9">
        <v>44824</v>
      </c>
    </row>
    <row r="2486" spans="1:19">
      <c r="A2486" s="45">
        <v>44819</v>
      </c>
      <c r="B2486" s="14" t="s">
        <v>730</v>
      </c>
      <c r="C2486" s="46">
        <v>18839700</v>
      </c>
      <c r="D2486" s="46">
        <v>17127000</v>
      </c>
      <c r="E2486" s="46">
        <v>1712700</v>
      </c>
      <c r="F2486" s="17" t="s">
        <v>457</v>
      </c>
      <c r="G2486" s="9">
        <v>44824</v>
      </c>
    </row>
    <row r="2487" spans="1:19">
      <c r="A2487" s="45">
        <v>44819</v>
      </c>
      <c r="B2487" s="14" t="s">
        <v>2</v>
      </c>
      <c r="C2487" s="46">
        <v>7150000</v>
      </c>
      <c r="D2487" s="46">
        <v>6500000</v>
      </c>
      <c r="E2487" s="46">
        <v>650000</v>
      </c>
      <c r="F2487" s="17" t="s">
        <v>766</v>
      </c>
      <c r="G2487" s="9">
        <v>44824</v>
      </c>
    </row>
    <row r="2488" spans="1:19">
      <c r="A2488" s="45">
        <v>44819</v>
      </c>
      <c r="B2488" s="14" t="s">
        <v>2</v>
      </c>
      <c r="C2488" s="46">
        <v>23326600</v>
      </c>
      <c r="D2488" s="46">
        <v>21206000</v>
      </c>
      <c r="E2488" s="46">
        <v>2120600</v>
      </c>
      <c r="F2488" s="17" t="s">
        <v>456</v>
      </c>
      <c r="G2488" s="9">
        <v>44824</v>
      </c>
    </row>
    <row r="2489" spans="1:19">
      <c r="A2489" s="45">
        <v>44819</v>
      </c>
      <c r="B2489" s="14" t="s">
        <v>2</v>
      </c>
      <c r="C2489" s="46">
        <v>5874000</v>
      </c>
      <c r="D2489" s="46">
        <v>5340000</v>
      </c>
      <c r="E2489" s="46">
        <v>534000</v>
      </c>
      <c r="F2489" s="17" t="s">
        <v>424</v>
      </c>
      <c r="G2489" s="9">
        <v>44824</v>
      </c>
    </row>
    <row r="2490" spans="1:19">
      <c r="A2490" s="45">
        <v>44819</v>
      </c>
      <c r="B2490" s="14" t="s">
        <v>2</v>
      </c>
      <c r="C2490" s="46">
        <v>5423000</v>
      </c>
      <c r="D2490" s="46">
        <v>4930000</v>
      </c>
      <c r="E2490" s="46">
        <v>493000</v>
      </c>
      <c r="F2490" s="17" t="s">
        <v>756</v>
      </c>
      <c r="G2490" s="9">
        <v>44824</v>
      </c>
    </row>
    <row r="2491" spans="1:19">
      <c r="A2491" s="45">
        <v>44819</v>
      </c>
      <c r="B2491" s="14" t="s">
        <v>2</v>
      </c>
      <c r="C2491" s="46">
        <v>2580600</v>
      </c>
      <c r="D2491" s="46">
        <v>2346000</v>
      </c>
      <c r="E2491" s="46">
        <v>234600</v>
      </c>
      <c r="F2491" s="17" t="s">
        <v>757</v>
      </c>
      <c r="G2491" s="9">
        <v>44824</v>
      </c>
    </row>
    <row r="2492" spans="1:19">
      <c r="A2492" s="45">
        <v>44819</v>
      </c>
      <c r="B2492" s="14" t="s">
        <v>2</v>
      </c>
      <c r="C2492" s="46">
        <v>6044500</v>
      </c>
      <c r="D2492" s="46">
        <v>5495000</v>
      </c>
      <c r="E2492" s="46">
        <v>549500</v>
      </c>
      <c r="F2492" s="17" t="s">
        <v>734</v>
      </c>
      <c r="G2492" s="9">
        <v>44824</v>
      </c>
    </row>
    <row r="2493" spans="1:19">
      <c r="A2493" s="45">
        <v>44819</v>
      </c>
      <c r="B2493" s="14" t="s">
        <v>2</v>
      </c>
      <c r="C2493" s="46">
        <v>7337000</v>
      </c>
      <c r="D2493" s="46">
        <v>6670000</v>
      </c>
      <c r="E2493" s="46">
        <v>667000</v>
      </c>
      <c r="F2493" s="17" t="s">
        <v>646</v>
      </c>
      <c r="G2493" s="9">
        <v>44824</v>
      </c>
    </row>
    <row r="2494" spans="1:19">
      <c r="A2494" s="45">
        <v>44819</v>
      </c>
      <c r="B2494" s="14" t="s">
        <v>2</v>
      </c>
      <c r="C2494" s="46">
        <v>22011000</v>
      </c>
      <c r="D2494" s="46">
        <v>20010000</v>
      </c>
      <c r="E2494" s="46">
        <v>2001000</v>
      </c>
      <c r="F2494" s="17" t="s">
        <v>611</v>
      </c>
      <c r="G2494" s="9">
        <v>44834</v>
      </c>
    </row>
    <row r="2495" spans="1:19">
      <c r="A2495" s="45">
        <v>44819</v>
      </c>
      <c r="B2495" s="14" t="s">
        <v>2</v>
      </c>
      <c r="C2495" s="46">
        <v>12707200</v>
      </c>
      <c r="D2495" s="46">
        <v>11552000</v>
      </c>
      <c r="E2495" s="46">
        <v>1155200</v>
      </c>
      <c r="F2495" s="17" t="s">
        <v>315</v>
      </c>
      <c r="G2495" s="9">
        <v>44824</v>
      </c>
    </row>
    <row r="2496" spans="1:19">
      <c r="A2496" s="45">
        <v>44829</v>
      </c>
      <c r="B2496" s="14" t="s">
        <v>719</v>
      </c>
      <c r="C2496" s="46">
        <v>1522400</v>
      </c>
      <c r="D2496" s="46">
        <v>1384000</v>
      </c>
      <c r="E2496" s="46">
        <v>138400</v>
      </c>
      <c r="F2496" s="17" t="s">
        <v>710</v>
      </c>
      <c r="G2496" s="9">
        <v>44851</v>
      </c>
    </row>
    <row r="2497" spans="1:7">
      <c r="A2497" s="45">
        <v>44830</v>
      </c>
      <c r="B2497" s="14" t="s">
        <v>740</v>
      </c>
      <c r="C2497" s="46">
        <v>3279360</v>
      </c>
      <c r="D2497" s="46">
        <v>2981236</v>
      </c>
      <c r="E2497" s="46">
        <v>298124</v>
      </c>
      <c r="F2497" s="17" t="s">
        <v>741</v>
      </c>
      <c r="G2497" s="9">
        <v>44833</v>
      </c>
    </row>
    <row r="2498" spans="1:7">
      <c r="A2498" s="45">
        <v>44830</v>
      </c>
      <c r="B2498" s="14" t="s">
        <v>738</v>
      </c>
      <c r="C2498" s="46">
        <v>8531890</v>
      </c>
      <c r="D2498" s="46">
        <v>7756263</v>
      </c>
      <c r="E2498" s="46">
        <v>775627</v>
      </c>
      <c r="F2498" s="17" t="s">
        <v>775</v>
      </c>
      <c r="G2498" s="9">
        <v>44839</v>
      </c>
    </row>
    <row r="2499" spans="1:7">
      <c r="A2499" s="45">
        <v>44830</v>
      </c>
      <c r="B2499" s="14" t="s">
        <v>738</v>
      </c>
      <c r="C2499" s="46">
        <f>SUM(D2499:E2499)</f>
        <v>4546630</v>
      </c>
      <c r="D2499" s="46">
        <v>4133300</v>
      </c>
      <c r="E2499" s="46">
        <v>413330</v>
      </c>
      <c r="F2499" s="17" t="s">
        <v>790</v>
      </c>
      <c r="G2499" s="9">
        <v>44839</v>
      </c>
    </row>
    <row r="2500" spans="1:7">
      <c r="A2500" s="45">
        <v>44834</v>
      </c>
      <c r="B2500" s="14" t="s">
        <v>769</v>
      </c>
      <c r="C2500" s="46">
        <v>10810800</v>
      </c>
      <c r="D2500" s="46">
        <v>9828000</v>
      </c>
      <c r="E2500" s="46">
        <v>982800</v>
      </c>
      <c r="F2500" s="17" t="s">
        <v>305</v>
      </c>
      <c r="G2500" s="9">
        <v>44841</v>
      </c>
    </row>
    <row r="2501" spans="1:7">
      <c r="A2501" s="45">
        <v>44834</v>
      </c>
      <c r="B2501" s="14" t="s">
        <v>769</v>
      </c>
      <c r="C2501" s="46">
        <v>19433700</v>
      </c>
      <c r="D2501" s="46">
        <v>17667000</v>
      </c>
      <c r="E2501" s="46">
        <v>1766700</v>
      </c>
      <c r="F2501" s="17" t="s">
        <v>705</v>
      </c>
      <c r="G2501" s="9">
        <v>44841</v>
      </c>
    </row>
    <row r="2502" spans="1:7">
      <c r="A2502" s="45">
        <v>44834</v>
      </c>
      <c r="B2502" s="14" t="s">
        <v>769</v>
      </c>
      <c r="C2502" s="46">
        <v>2323200</v>
      </c>
      <c r="D2502" s="46">
        <v>2112000</v>
      </c>
      <c r="E2502" s="46">
        <v>211200</v>
      </c>
      <c r="F2502" s="17" t="s">
        <v>386</v>
      </c>
      <c r="G2502" s="9">
        <v>44841</v>
      </c>
    </row>
    <row r="2503" spans="1:7">
      <c r="A2503" s="45">
        <v>44834</v>
      </c>
      <c r="B2503" s="14" t="s">
        <v>769</v>
      </c>
      <c r="C2503" s="46">
        <v>28056600</v>
      </c>
      <c r="D2503" s="46">
        <v>25506000</v>
      </c>
      <c r="E2503" s="46">
        <v>2550600</v>
      </c>
      <c r="F2503" s="17" t="s">
        <v>387</v>
      </c>
      <c r="G2503" s="9">
        <v>44841</v>
      </c>
    </row>
    <row r="2504" spans="1:7">
      <c r="A2504" s="45">
        <v>44834</v>
      </c>
      <c r="B2504" s="14" t="s">
        <v>769</v>
      </c>
      <c r="C2504" s="46">
        <v>2420000</v>
      </c>
      <c r="D2504" s="46">
        <v>2200000</v>
      </c>
      <c r="E2504" s="46">
        <v>220000</v>
      </c>
      <c r="F2504" s="17" t="s">
        <v>814</v>
      </c>
      <c r="G2504" s="9">
        <v>44841</v>
      </c>
    </row>
    <row r="2505" spans="1:7">
      <c r="A2505" s="45">
        <v>44834</v>
      </c>
      <c r="B2505" s="14" t="s">
        <v>769</v>
      </c>
      <c r="C2505" s="46">
        <v>9335700</v>
      </c>
      <c r="D2505" s="46">
        <v>8487000</v>
      </c>
      <c r="E2505" s="46">
        <v>848700</v>
      </c>
      <c r="F2505" s="17" t="s">
        <v>815</v>
      </c>
      <c r="G2505" s="9">
        <v>44841</v>
      </c>
    </row>
    <row r="2506" spans="1:7">
      <c r="A2506" s="45">
        <v>44834</v>
      </c>
      <c r="B2506" s="14" t="s">
        <v>750</v>
      </c>
      <c r="C2506" s="46">
        <v>17040051</v>
      </c>
      <c r="D2506" s="46">
        <v>15490955</v>
      </c>
      <c r="E2506" s="46">
        <v>1549096</v>
      </c>
      <c r="F2506" s="17" t="s">
        <v>810</v>
      </c>
      <c r="G2506" s="9">
        <v>44845</v>
      </c>
    </row>
    <row r="2507" spans="1:7">
      <c r="A2507" s="45">
        <v>44834</v>
      </c>
      <c r="B2507" s="14" t="s">
        <v>787</v>
      </c>
      <c r="C2507" s="46">
        <v>550000</v>
      </c>
      <c r="D2507" s="46">
        <v>500000</v>
      </c>
      <c r="E2507" s="46">
        <v>50000</v>
      </c>
      <c r="F2507" s="17" t="s">
        <v>809</v>
      </c>
      <c r="G2507" s="9">
        <v>44845</v>
      </c>
    </row>
    <row r="2508" spans="1:7">
      <c r="A2508" s="45">
        <v>44834</v>
      </c>
      <c r="B2508" s="14" t="s">
        <v>761</v>
      </c>
      <c r="C2508" s="46">
        <v>770000</v>
      </c>
      <c r="D2508" s="46">
        <v>700000</v>
      </c>
      <c r="E2508" s="46">
        <v>70000</v>
      </c>
      <c r="F2508" s="17" t="s">
        <v>813</v>
      </c>
      <c r="G2508" s="9">
        <v>44839</v>
      </c>
    </row>
    <row r="2509" spans="1:7">
      <c r="A2509" s="45">
        <v>44834</v>
      </c>
      <c r="B2509" s="14" t="s">
        <v>2</v>
      </c>
      <c r="C2509" s="46">
        <v>1355200</v>
      </c>
      <c r="D2509" s="46">
        <v>1232000</v>
      </c>
      <c r="E2509" s="46">
        <v>123200</v>
      </c>
      <c r="F2509" s="17" t="s">
        <v>612</v>
      </c>
      <c r="G2509" s="9">
        <v>44854</v>
      </c>
    </row>
    <row r="2510" spans="1:7">
      <c r="A2510" s="45">
        <v>44834</v>
      </c>
      <c r="B2510" s="14" t="s">
        <v>2</v>
      </c>
      <c r="C2510" s="46">
        <v>88000</v>
      </c>
      <c r="D2510" s="46">
        <v>80000</v>
      </c>
      <c r="E2510" s="46">
        <v>8000</v>
      </c>
      <c r="F2510" s="17" t="s">
        <v>785</v>
      </c>
      <c r="G2510" s="9">
        <v>44845</v>
      </c>
    </row>
    <row r="2511" spans="1:7">
      <c r="A2511" s="45">
        <v>44834</v>
      </c>
      <c r="B2511" s="14" t="s">
        <v>2</v>
      </c>
      <c r="C2511" s="46">
        <v>616000</v>
      </c>
      <c r="D2511" s="46">
        <v>560000</v>
      </c>
      <c r="E2511" s="46">
        <v>56000</v>
      </c>
      <c r="F2511" s="17" t="s">
        <v>747</v>
      </c>
      <c r="G2511" s="9">
        <v>44845</v>
      </c>
    </row>
    <row r="2512" spans="1:7">
      <c r="A2512" s="45">
        <v>44834</v>
      </c>
      <c r="B2512" s="14" t="s">
        <v>2</v>
      </c>
      <c r="C2512" s="46">
        <v>7694500</v>
      </c>
      <c r="D2512" s="46">
        <v>6995000</v>
      </c>
      <c r="E2512" s="46">
        <v>699500</v>
      </c>
      <c r="F2512" s="17" t="s">
        <v>766</v>
      </c>
      <c r="G2512" s="9">
        <v>44845</v>
      </c>
    </row>
    <row r="2513" spans="1:11">
      <c r="A2513" s="45">
        <v>44834</v>
      </c>
      <c r="B2513" s="14" t="s">
        <v>2</v>
      </c>
      <c r="C2513" s="46">
        <v>20741600</v>
      </c>
      <c r="D2513" s="46">
        <v>18856000</v>
      </c>
      <c r="E2513" s="46">
        <v>1885600</v>
      </c>
      <c r="F2513" s="17" t="s">
        <v>456</v>
      </c>
      <c r="G2513" s="9">
        <v>44845</v>
      </c>
    </row>
    <row r="2514" spans="1:11">
      <c r="A2514" s="45">
        <v>44834</v>
      </c>
      <c r="B2514" s="14" t="s">
        <v>2</v>
      </c>
      <c r="C2514" s="46">
        <v>6540600</v>
      </c>
      <c r="D2514" s="46">
        <v>5946000</v>
      </c>
      <c r="E2514" s="46">
        <v>594600</v>
      </c>
      <c r="F2514" s="17" t="s">
        <v>424</v>
      </c>
      <c r="G2514" s="9">
        <v>44845</v>
      </c>
    </row>
    <row r="2515" spans="1:11">
      <c r="A2515" s="45">
        <v>44834</v>
      </c>
      <c r="B2515" s="14" t="s">
        <v>2</v>
      </c>
      <c r="C2515" s="46">
        <v>4554000</v>
      </c>
      <c r="D2515" s="46">
        <v>4140000</v>
      </c>
      <c r="E2515" s="46">
        <v>414000</v>
      </c>
      <c r="F2515" s="17" t="s">
        <v>756</v>
      </c>
      <c r="G2515" s="9">
        <v>44845</v>
      </c>
    </row>
    <row r="2516" spans="1:11">
      <c r="A2516" s="45">
        <v>44834</v>
      </c>
      <c r="B2516" s="14" t="s">
        <v>2</v>
      </c>
      <c r="C2516" s="46">
        <v>1416800</v>
      </c>
      <c r="D2516" s="46">
        <v>1288000</v>
      </c>
      <c r="E2516" s="46">
        <v>128800</v>
      </c>
      <c r="F2516" s="17" t="s">
        <v>757</v>
      </c>
      <c r="G2516" s="9">
        <v>44845</v>
      </c>
    </row>
    <row r="2517" spans="1:11">
      <c r="A2517" s="45">
        <v>44834</v>
      </c>
      <c r="B2517" s="14" t="s">
        <v>2</v>
      </c>
      <c r="C2517" s="46">
        <v>2961200</v>
      </c>
      <c r="D2517" s="46">
        <v>2692000</v>
      </c>
      <c r="E2517" s="46">
        <v>269200</v>
      </c>
      <c r="F2517" s="17" t="s">
        <v>734</v>
      </c>
      <c r="G2517" s="9">
        <v>44845</v>
      </c>
    </row>
    <row r="2518" spans="1:11">
      <c r="A2518" s="45">
        <v>44834</v>
      </c>
      <c r="B2518" s="14" t="s">
        <v>2</v>
      </c>
      <c r="C2518" s="46">
        <v>8122400</v>
      </c>
      <c r="D2518" s="46">
        <v>7384000</v>
      </c>
      <c r="E2518" s="46">
        <v>738400</v>
      </c>
      <c r="F2518" s="17" t="s">
        <v>315</v>
      </c>
      <c r="G2518" s="9">
        <v>44845</v>
      </c>
    </row>
    <row r="2519" spans="1:11">
      <c r="A2519" s="45">
        <v>44834</v>
      </c>
      <c r="B2519" s="14" t="s">
        <v>2</v>
      </c>
      <c r="C2519" s="46">
        <v>9993500</v>
      </c>
      <c r="D2519" s="46">
        <v>9085000</v>
      </c>
      <c r="E2519" s="46">
        <v>908500</v>
      </c>
      <c r="F2519" s="17" t="s">
        <v>646</v>
      </c>
      <c r="G2519" s="9">
        <v>44845</v>
      </c>
    </row>
    <row r="2520" spans="1:11">
      <c r="A2520" s="45">
        <v>44834</v>
      </c>
      <c r="B2520" s="14" t="s">
        <v>2</v>
      </c>
      <c r="C2520" s="46">
        <v>26312000</v>
      </c>
      <c r="D2520" s="46">
        <v>23920000</v>
      </c>
      <c r="E2520" s="46">
        <v>2392000</v>
      </c>
      <c r="F2520" s="17" t="s">
        <v>611</v>
      </c>
      <c r="G2520" s="9">
        <v>44845</v>
      </c>
    </row>
    <row r="2521" spans="1:11">
      <c r="A2521" s="45">
        <v>44834</v>
      </c>
      <c r="B2521" s="14" t="s">
        <v>730</v>
      </c>
      <c r="C2521" s="46">
        <v>1670900</v>
      </c>
      <c r="D2521" s="46">
        <v>1519000</v>
      </c>
      <c r="E2521" s="46">
        <v>151900</v>
      </c>
      <c r="F2521" s="17" t="s">
        <v>612</v>
      </c>
      <c r="G2521" s="9">
        <v>44846</v>
      </c>
    </row>
    <row r="2522" spans="1:11">
      <c r="A2522" s="45">
        <v>44834</v>
      </c>
      <c r="B2522" s="14" t="s">
        <v>730</v>
      </c>
      <c r="C2522" s="46">
        <v>16094100</v>
      </c>
      <c r="D2522" s="46">
        <v>14631000</v>
      </c>
      <c r="E2522" s="46">
        <v>1463100</v>
      </c>
      <c r="F2522" s="17" t="s">
        <v>457</v>
      </c>
      <c r="G2522" s="9">
        <v>44846</v>
      </c>
    </row>
    <row r="2523" spans="1:11">
      <c r="A2523" s="45">
        <v>44834</v>
      </c>
      <c r="B2523" s="14" t="s">
        <v>644</v>
      </c>
      <c r="C2523" s="46">
        <v>885500</v>
      </c>
      <c r="D2523" s="46">
        <v>805000</v>
      </c>
      <c r="E2523" s="46">
        <v>80500</v>
      </c>
      <c r="F2523" s="17" t="s">
        <v>684</v>
      </c>
      <c r="G2523" s="9">
        <v>44841</v>
      </c>
    </row>
    <row r="2524" spans="1:11">
      <c r="A2524" s="45">
        <v>44834</v>
      </c>
      <c r="B2524" s="14" t="s">
        <v>644</v>
      </c>
      <c r="C2524" s="46">
        <v>11218900</v>
      </c>
      <c r="D2524" s="46">
        <v>10199000</v>
      </c>
      <c r="E2524" s="46">
        <v>1019900</v>
      </c>
      <c r="F2524" s="17" t="s">
        <v>303</v>
      </c>
      <c r="G2524" s="9">
        <v>44841</v>
      </c>
    </row>
    <row r="2525" spans="1:11">
      <c r="A2525" s="45">
        <v>44834</v>
      </c>
      <c r="B2525" s="14" t="s">
        <v>432</v>
      </c>
      <c r="C2525" s="46">
        <v>8252200</v>
      </c>
      <c r="D2525" s="46">
        <v>7502000</v>
      </c>
      <c r="E2525" s="46">
        <v>750200</v>
      </c>
      <c r="F2525" s="17" t="s">
        <v>165</v>
      </c>
      <c r="G2525" s="9">
        <v>44853</v>
      </c>
    </row>
    <row r="2526" spans="1:11">
      <c r="A2526" s="45">
        <v>44834</v>
      </c>
      <c r="B2526" s="14" t="s">
        <v>432</v>
      </c>
      <c r="C2526" s="46">
        <v>592900</v>
      </c>
      <c r="D2526" s="46">
        <v>539000</v>
      </c>
      <c r="E2526" s="46">
        <v>53900</v>
      </c>
      <c r="F2526" s="17" t="s">
        <v>588</v>
      </c>
      <c r="G2526" s="9">
        <v>44853</v>
      </c>
    </row>
    <row r="2527" spans="1:11">
      <c r="A2527" s="45">
        <v>44834</v>
      </c>
      <c r="B2527" s="14" t="s">
        <v>432</v>
      </c>
      <c r="C2527" s="46">
        <v>1138500</v>
      </c>
      <c r="D2527" s="46">
        <v>1035000</v>
      </c>
      <c r="E2527" s="46">
        <v>103500</v>
      </c>
      <c r="F2527" s="17" t="s">
        <v>571</v>
      </c>
      <c r="G2527" s="9">
        <v>44853</v>
      </c>
    </row>
    <row r="2528" spans="1:11">
      <c r="A2528" s="45">
        <v>44834</v>
      </c>
      <c r="B2528" s="14" t="s">
        <v>432</v>
      </c>
      <c r="C2528" s="46">
        <v>4174500</v>
      </c>
      <c r="D2528" s="46">
        <v>3795000</v>
      </c>
      <c r="E2528" s="46">
        <v>379500</v>
      </c>
      <c r="F2528" s="17" t="s">
        <v>320</v>
      </c>
      <c r="G2528" s="9">
        <v>44853</v>
      </c>
      <c r="I2528" s="304" t="s">
        <v>788</v>
      </c>
      <c r="J2528" s="304"/>
      <c r="K2528" s="304"/>
    </row>
    <row r="2529" spans="1:19">
      <c r="A2529" s="45">
        <v>44834</v>
      </c>
      <c r="B2529" s="14" t="s">
        <v>15</v>
      </c>
      <c r="C2529" s="46">
        <v>10167300</v>
      </c>
      <c r="D2529" s="46">
        <v>9243000</v>
      </c>
      <c r="E2529" s="46">
        <v>924300</v>
      </c>
      <c r="F2529" s="17" t="s">
        <v>459</v>
      </c>
      <c r="G2529" s="9">
        <v>44845</v>
      </c>
      <c r="I2529" s="18" t="s">
        <v>46</v>
      </c>
      <c r="J2529" s="36" t="s">
        <v>47</v>
      </c>
      <c r="K2529" s="36" t="s">
        <v>48</v>
      </c>
    </row>
    <row r="2530" spans="1:19">
      <c r="A2530" s="45">
        <v>44834</v>
      </c>
      <c r="B2530" s="14" t="s">
        <v>726</v>
      </c>
      <c r="C2530" s="46">
        <v>5060000</v>
      </c>
      <c r="D2530" s="46">
        <v>4600000</v>
      </c>
      <c r="E2530" s="46">
        <v>460000</v>
      </c>
      <c r="F2530" s="17" t="s">
        <v>727</v>
      </c>
      <c r="G2530" s="9">
        <v>44848</v>
      </c>
      <c r="I2530" s="18">
        <f>SUM(C2485:C2538)</f>
        <v>389992631</v>
      </c>
      <c r="J2530" s="18">
        <f>SUM(D2485:D2538)</f>
        <v>354538754</v>
      </c>
      <c r="K2530" s="18">
        <f>SUM(E2485:E2538)</f>
        <v>35453877</v>
      </c>
    </row>
    <row r="2531" spans="1:19">
      <c r="A2531" s="45">
        <v>44834</v>
      </c>
      <c r="B2531" s="14" t="s">
        <v>752</v>
      </c>
      <c r="C2531" s="46">
        <v>836000</v>
      </c>
      <c r="D2531" s="46">
        <v>760000</v>
      </c>
      <c r="E2531" s="46">
        <v>76000</v>
      </c>
      <c r="F2531" s="17" t="s">
        <v>753</v>
      </c>
      <c r="G2531" s="9">
        <v>44845</v>
      </c>
    </row>
    <row r="2532" spans="1:19">
      <c r="A2532" s="45">
        <v>44834</v>
      </c>
      <c r="B2532" s="14" t="s">
        <v>671</v>
      </c>
      <c r="C2532" s="46">
        <v>1265000</v>
      </c>
      <c r="D2532" s="46">
        <v>1150000</v>
      </c>
      <c r="E2532" s="46">
        <v>115000</v>
      </c>
      <c r="F2532" s="17" t="s">
        <v>786</v>
      </c>
      <c r="G2532" s="9">
        <v>44848</v>
      </c>
    </row>
    <row r="2533" spans="1:19">
      <c r="A2533" s="45">
        <v>44834</v>
      </c>
      <c r="B2533" s="14" t="s">
        <v>728</v>
      </c>
      <c r="C2533" s="46">
        <v>404800</v>
      </c>
      <c r="D2533" s="46">
        <v>368000</v>
      </c>
      <c r="E2533" s="46">
        <v>36800</v>
      </c>
      <c r="F2533" s="17" t="s">
        <v>729</v>
      </c>
      <c r="G2533" s="9">
        <v>44848</v>
      </c>
    </row>
    <row r="2534" spans="1:19">
      <c r="A2534" s="45">
        <v>44834</v>
      </c>
      <c r="B2534" s="14" t="s">
        <v>449</v>
      </c>
      <c r="C2534" s="46">
        <v>4163500</v>
      </c>
      <c r="D2534" s="46">
        <v>3785000</v>
      </c>
      <c r="E2534" s="46">
        <v>378500</v>
      </c>
      <c r="F2534" s="17" t="s">
        <v>13</v>
      </c>
      <c r="G2534" s="9">
        <v>44865</v>
      </c>
    </row>
    <row r="2535" spans="1:19">
      <c r="A2535" s="45">
        <v>44834</v>
      </c>
      <c r="B2535" s="14" t="s">
        <v>63</v>
      </c>
      <c r="C2535" s="46">
        <v>264000</v>
      </c>
      <c r="D2535" s="46">
        <v>240000</v>
      </c>
      <c r="E2535" s="46">
        <v>24000</v>
      </c>
      <c r="F2535" s="17" t="s">
        <v>13</v>
      </c>
      <c r="G2535" s="9">
        <v>44841</v>
      </c>
    </row>
    <row r="2536" spans="1:19">
      <c r="A2536" s="45">
        <v>44834</v>
      </c>
      <c r="B2536" s="14" t="s">
        <v>686</v>
      </c>
      <c r="C2536" s="46">
        <v>5769500</v>
      </c>
      <c r="D2536" s="46">
        <v>5245000</v>
      </c>
      <c r="E2536" s="46">
        <v>524500</v>
      </c>
      <c r="F2536" s="17" t="s">
        <v>13</v>
      </c>
      <c r="G2536" s="9">
        <v>44851</v>
      </c>
    </row>
    <row r="2537" spans="1:19">
      <c r="A2537" s="45">
        <v>44834</v>
      </c>
      <c r="B2537" s="14" t="s">
        <v>82</v>
      </c>
      <c r="C2537" s="46">
        <v>2585000</v>
      </c>
      <c r="D2537" s="46">
        <v>2350000</v>
      </c>
      <c r="E2537" s="46">
        <v>235000</v>
      </c>
      <c r="F2537" s="17" t="s">
        <v>13</v>
      </c>
      <c r="G2537" s="9">
        <v>44851</v>
      </c>
      <c r="H2537" s="17" t="s">
        <v>796</v>
      </c>
    </row>
    <row r="2538" spans="1:19">
      <c r="A2538" s="119">
        <v>44834</v>
      </c>
      <c r="B2538" s="42" t="s">
        <v>155</v>
      </c>
      <c r="C2538" s="118">
        <v>2453000</v>
      </c>
      <c r="D2538" s="118">
        <v>2230000</v>
      </c>
      <c r="E2538" s="118">
        <v>223000</v>
      </c>
      <c r="F2538" s="51" t="s">
        <v>13</v>
      </c>
      <c r="G2538" s="10">
        <v>44858</v>
      </c>
      <c r="H2538" s="51"/>
      <c r="I2538" s="121"/>
      <c r="J2538" s="122"/>
      <c r="K2538" s="42"/>
      <c r="L2538" s="42"/>
      <c r="M2538" s="42"/>
      <c r="N2538" s="42"/>
      <c r="O2538" s="42"/>
      <c r="P2538" s="42"/>
      <c r="Q2538" s="42"/>
      <c r="R2538" s="42"/>
      <c r="S2538" s="42"/>
    </row>
    <row r="2539" spans="1:19">
      <c r="A2539" s="45" t="s">
        <v>797</v>
      </c>
      <c r="B2539" s="14" t="s">
        <v>730</v>
      </c>
      <c r="C2539" s="46">
        <v>677600</v>
      </c>
      <c r="D2539" s="46">
        <v>616000</v>
      </c>
      <c r="E2539" s="46">
        <v>61600</v>
      </c>
      <c r="F2539" s="17" t="s">
        <v>612</v>
      </c>
      <c r="G2539" s="9">
        <v>44854</v>
      </c>
    </row>
    <row r="2540" spans="1:19">
      <c r="A2540" s="45" t="s">
        <v>797</v>
      </c>
      <c r="B2540" s="14" t="s">
        <v>730</v>
      </c>
      <c r="C2540" s="46">
        <v>8648200</v>
      </c>
      <c r="D2540" s="46">
        <v>7862000</v>
      </c>
      <c r="E2540" s="46">
        <v>786200</v>
      </c>
      <c r="F2540" s="17" t="s">
        <v>457</v>
      </c>
      <c r="G2540" s="9">
        <v>44854</v>
      </c>
    </row>
    <row r="2541" spans="1:19">
      <c r="A2541" s="45" t="s">
        <v>797</v>
      </c>
      <c r="B2541" s="14" t="s">
        <v>2</v>
      </c>
      <c r="C2541" s="46">
        <v>6325000</v>
      </c>
      <c r="D2541" s="46">
        <v>5750000</v>
      </c>
      <c r="E2541" s="46">
        <v>575000</v>
      </c>
      <c r="F2541" s="17" t="s">
        <v>766</v>
      </c>
      <c r="G2541" s="9">
        <v>44854</v>
      </c>
    </row>
    <row r="2542" spans="1:19">
      <c r="A2542" s="45" t="s">
        <v>797</v>
      </c>
      <c r="B2542" s="14" t="s">
        <v>2</v>
      </c>
      <c r="C2542" s="46">
        <v>17878080</v>
      </c>
      <c r="D2542" s="46">
        <v>16252800</v>
      </c>
      <c r="E2542" s="46">
        <v>1625280</v>
      </c>
      <c r="F2542" s="17" t="s">
        <v>456</v>
      </c>
      <c r="G2542" s="9">
        <v>44865</v>
      </c>
    </row>
    <row r="2543" spans="1:19">
      <c r="A2543" s="45" t="s">
        <v>797</v>
      </c>
      <c r="B2543" s="14" t="s">
        <v>2</v>
      </c>
      <c r="C2543" s="46">
        <v>7631800</v>
      </c>
      <c r="D2543" s="46">
        <v>6938000</v>
      </c>
      <c r="E2543" s="46">
        <v>693800</v>
      </c>
      <c r="F2543" s="17" t="s">
        <v>424</v>
      </c>
      <c r="G2543" s="9">
        <v>44854</v>
      </c>
    </row>
    <row r="2544" spans="1:19">
      <c r="A2544" s="45" t="s">
        <v>797</v>
      </c>
      <c r="B2544" s="14" t="s">
        <v>2</v>
      </c>
      <c r="C2544" s="46">
        <v>2783000</v>
      </c>
      <c r="D2544" s="46">
        <v>2530000</v>
      </c>
      <c r="E2544" s="46">
        <v>253000</v>
      </c>
      <c r="F2544" s="17" t="s">
        <v>756</v>
      </c>
      <c r="G2544" s="9">
        <v>44854</v>
      </c>
    </row>
    <row r="2545" spans="1:7">
      <c r="A2545" s="45" t="s">
        <v>797</v>
      </c>
      <c r="B2545" s="14" t="s">
        <v>2</v>
      </c>
      <c r="C2545" s="46">
        <v>1821600</v>
      </c>
      <c r="D2545" s="46">
        <v>1656000</v>
      </c>
      <c r="E2545" s="46">
        <v>165600</v>
      </c>
      <c r="F2545" s="17" t="s">
        <v>757</v>
      </c>
      <c r="G2545" s="9">
        <v>44854</v>
      </c>
    </row>
    <row r="2546" spans="1:7">
      <c r="A2546" s="45" t="s">
        <v>797</v>
      </c>
      <c r="B2546" s="14" t="s">
        <v>2</v>
      </c>
      <c r="C2546" s="46">
        <v>5535200</v>
      </c>
      <c r="D2546" s="46">
        <v>5032000</v>
      </c>
      <c r="E2546" s="46">
        <v>503200</v>
      </c>
      <c r="F2546" s="17" t="s">
        <v>734</v>
      </c>
      <c r="G2546" s="9">
        <v>44854</v>
      </c>
    </row>
    <row r="2547" spans="1:7">
      <c r="A2547" s="45" t="s">
        <v>797</v>
      </c>
      <c r="B2547" s="14" t="s">
        <v>2</v>
      </c>
      <c r="C2547" s="46">
        <v>4560600</v>
      </c>
      <c r="D2547" s="46">
        <v>4146000</v>
      </c>
      <c r="E2547" s="46">
        <v>414600</v>
      </c>
      <c r="F2547" s="17" t="s">
        <v>315</v>
      </c>
      <c r="G2547" s="9">
        <v>44854</v>
      </c>
    </row>
    <row r="2548" spans="1:7">
      <c r="A2548" s="45" t="s">
        <v>797</v>
      </c>
      <c r="B2548" s="14" t="s">
        <v>2</v>
      </c>
      <c r="C2548" s="46">
        <v>14294500</v>
      </c>
      <c r="D2548" s="46">
        <v>12995000</v>
      </c>
      <c r="E2548" s="46">
        <v>1299500</v>
      </c>
      <c r="F2548" s="17" t="s">
        <v>646</v>
      </c>
      <c r="G2548" s="9">
        <v>44865</v>
      </c>
    </row>
    <row r="2549" spans="1:7">
      <c r="A2549" s="45" t="s">
        <v>797</v>
      </c>
      <c r="B2549" s="14" t="s">
        <v>2</v>
      </c>
      <c r="C2549" s="46">
        <v>29854000</v>
      </c>
      <c r="D2549" s="46">
        <v>27140000</v>
      </c>
      <c r="E2549" s="46">
        <v>2714000</v>
      </c>
      <c r="F2549" s="17" t="s">
        <v>611</v>
      </c>
      <c r="G2549" s="9">
        <v>44865</v>
      </c>
    </row>
    <row r="2550" spans="1:7">
      <c r="A2550" s="45">
        <v>44860</v>
      </c>
      <c r="B2550" s="14" t="s">
        <v>738</v>
      </c>
      <c r="C2550" s="46">
        <v>4888070</v>
      </c>
      <c r="D2550" s="46">
        <v>4443700</v>
      </c>
      <c r="E2550" s="46">
        <v>444370</v>
      </c>
      <c r="F2550" s="17" t="s">
        <v>798</v>
      </c>
      <c r="G2550" s="9">
        <v>44869</v>
      </c>
    </row>
    <row r="2551" spans="1:7">
      <c r="A2551" s="45">
        <v>44860</v>
      </c>
      <c r="B2551" s="14" t="s">
        <v>738</v>
      </c>
      <c r="C2551" s="46">
        <v>8531890</v>
      </c>
      <c r="D2551" s="46">
        <v>7756263</v>
      </c>
      <c r="E2551" s="46">
        <v>775627</v>
      </c>
      <c r="F2551" s="17" t="s">
        <v>775</v>
      </c>
      <c r="G2551" s="9">
        <v>44869</v>
      </c>
    </row>
    <row r="2552" spans="1:7">
      <c r="A2552" s="45">
        <v>44860</v>
      </c>
      <c r="B2552" s="14" t="s">
        <v>740</v>
      </c>
      <c r="C2552" s="46">
        <v>3279360</v>
      </c>
      <c r="D2552" s="46">
        <v>2981236</v>
      </c>
      <c r="E2552" s="46">
        <v>298124</v>
      </c>
      <c r="F2552" s="17" t="s">
        <v>741</v>
      </c>
      <c r="G2552" s="9">
        <v>44861</v>
      </c>
    </row>
    <row r="2553" spans="1:7">
      <c r="A2553" s="45">
        <v>44860</v>
      </c>
      <c r="B2553" s="14" t="s">
        <v>719</v>
      </c>
      <c r="C2553" s="46">
        <v>1354100</v>
      </c>
      <c r="D2553" s="46">
        <v>1231000</v>
      </c>
      <c r="E2553" s="46">
        <v>123100</v>
      </c>
      <c r="F2553" s="17" t="s">
        <v>710</v>
      </c>
      <c r="G2553" s="9">
        <v>44883</v>
      </c>
    </row>
    <row r="2554" spans="1:7">
      <c r="A2554" s="45">
        <v>44865</v>
      </c>
      <c r="B2554" s="14" t="s">
        <v>2</v>
      </c>
      <c r="C2554" s="46">
        <v>11005500</v>
      </c>
      <c r="D2554" s="46">
        <v>10005000</v>
      </c>
      <c r="E2554" s="46">
        <v>1000500</v>
      </c>
      <c r="F2554" s="17" t="s">
        <v>646</v>
      </c>
      <c r="G2554" s="9">
        <v>44875</v>
      </c>
    </row>
    <row r="2555" spans="1:7">
      <c r="A2555" s="45">
        <v>44865</v>
      </c>
      <c r="B2555" s="14" t="s">
        <v>2</v>
      </c>
      <c r="C2555" s="46">
        <v>27450500</v>
      </c>
      <c r="D2555" s="46">
        <v>24955000</v>
      </c>
      <c r="E2555" s="46">
        <v>2495500</v>
      </c>
      <c r="F2555" s="17" t="s">
        <v>611</v>
      </c>
      <c r="G2555" s="9">
        <v>44875</v>
      </c>
    </row>
    <row r="2556" spans="1:7">
      <c r="A2556" s="45">
        <v>44865</v>
      </c>
      <c r="B2556" s="14" t="s">
        <v>2</v>
      </c>
      <c r="C2556" s="46">
        <v>17068040</v>
      </c>
      <c r="D2556" s="46">
        <v>15516400</v>
      </c>
      <c r="E2556" s="46">
        <v>1551640</v>
      </c>
      <c r="F2556" s="17" t="s">
        <v>456</v>
      </c>
      <c r="G2556" s="9">
        <v>44875</v>
      </c>
    </row>
    <row r="2557" spans="1:7">
      <c r="A2557" s="45">
        <v>44865</v>
      </c>
      <c r="B2557" s="14" t="s">
        <v>2</v>
      </c>
      <c r="C2557" s="46">
        <v>2625700</v>
      </c>
      <c r="D2557" s="46">
        <v>2387000</v>
      </c>
      <c r="E2557" s="46">
        <v>238700</v>
      </c>
      <c r="F2557" s="17" t="s">
        <v>612</v>
      </c>
      <c r="G2557" s="9">
        <v>44875</v>
      </c>
    </row>
    <row r="2558" spans="1:7">
      <c r="A2558" s="45">
        <v>44865</v>
      </c>
      <c r="B2558" s="14" t="s">
        <v>2</v>
      </c>
      <c r="C2558" s="46">
        <v>492800</v>
      </c>
      <c r="D2558" s="46">
        <v>448000</v>
      </c>
      <c r="E2558" s="46">
        <v>44800</v>
      </c>
      <c r="F2558" s="17" t="s">
        <v>804</v>
      </c>
      <c r="G2558" s="9">
        <v>44875</v>
      </c>
    </row>
    <row r="2559" spans="1:7">
      <c r="A2559" s="45">
        <v>44865</v>
      </c>
      <c r="B2559" s="14" t="s">
        <v>2</v>
      </c>
      <c r="C2559" s="46">
        <v>5225000</v>
      </c>
      <c r="D2559" s="46">
        <v>4750000</v>
      </c>
      <c r="E2559" s="46">
        <v>475000</v>
      </c>
      <c r="F2559" s="17" t="s">
        <v>766</v>
      </c>
      <c r="G2559" s="9">
        <v>44875</v>
      </c>
    </row>
    <row r="2560" spans="1:7">
      <c r="A2560" s="45">
        <v>44865</v>
      </c>
      <c r="B2560" s="14" t="s">
        <v>2</v>
      </c>
      <c r="C2560" s="46">
        <v>9818600</v>
      </c>
      <c r="D2560" s="46">
        <v>8926000</v>
      </c>
      <c r="E2560" s="46">
        <v>892600</v>
      </c>
      <c r="F2560" s="17" t="s">
        <v>424</v>
      </c>
      <c r="G2560" s="9">
        <v>44875</v>
      </c>
    </row>
    <row r="2561" spans="1:7">
      <c r="A2561" s="45">
        <v>44865</v>
      </c>
      <c r="B2561" s="14" t="s">
        <v>2</v>
      </c>
      <c r="C2561" s="46">
        <v>3833500</v>
      </c>
      <c r="D2561" s="46">
        <v>3485000</v>
      </c>
      <c r="E2561" s="46">
        <v>348500</v>
      </c>
      <c r="F2561" s="17" t="s">
        <v>756</v>
      </c>
      <c r="G2561" s="9">
        <v>44875</v>
      </c>
    </row>
    <row r="2562" spans="1:7">
      <c r="A2562" s="45">
        <v>44865</v>
      </c>
      <c r="B2562" s="14" t="s">
        <v>2</v>
      </c>
      <c r="C2562" s="46">
        <v>1518000</v>
      </c>
      <c r="D2562" s="46">
        <v>1380000</v>
      </c>
      <c r="E2562" s="46">
        <v>138000</v>
      </c>
      <c r="F2562" s="17" t="s">
        <v>757</v>
      </c>
      <c r="G2562" s="9">
        <v>44875</v>
      </c>
    </row>
    <row r="2563" spans="1:7">
      <c r="A2563" s="45">
        <v>44865</v>
      </c>
      <c r="B2563" s="14" t="s">
        <v>2</v>
      </c>
      <c r="C2563" s="46">
        <v>1355200</v>
      </c>
      <c r="D2563" s="46">
        <v>1232000</v>
      </c>
      <c r="E2563" s="46">
        <v>123200</v>
      </c>
      <c r="F2563" s="17" t="s">
        <v>714</v>
      </c>
      <c r="G2563" s="9">
        <v>44875</v>
      </c>
    </row>
    <row r="2564" spans="1:7">
      <c r="A2564" s="45">
        <v>44865</v>
      </c>
      <c r="B2564" s="14" t="s">
        <v>2</v>
      </c>
      <c r="C2564" s="46">
        <v>3757600</v>
      </c>
      <c r="D2564" s="46">
        <v>3416000</v>
      </c>
      <c r="E2564" s="46">
        <v>341600</v>
      </c>
      <c r="F2564" s="17" t="s">
        <v>734</v>
      </c>
      <c r="G2564" s="9">
        <v>44875</v>
      </c>
    </row>
    <row r="2565" spans="1:7">
      <c r="A2565" s="45">
        <v>44865</v>
      </c>
      <c r="B2565" s="14" t="s">
        <v>2</v>
      </c>
      <c r="C2565" s="46">
        <v>3568400</v>
      </c>
      <c r="D2565" s="46">
        <v>3244000</v>
      </c>
      <c r="E2565" s="46">
        <v>324400</v>
      </c>
      <c r="F2565" s="17" t="s">
        <v>315</v>
      </c>
      <c r="G2565" s="9">
        <v>44875</v>
      </c>
    </row>
    <row r="2566" spans="1:7">
      <c r="A2566" s="45">
        <v>44865</v>
      </c>
      <c r="B2566" s="14" t="s">
        <v>644</v>
      </c>
      <c r="C2566" s="46">
        <v>1113200</v>
      </c>
      <c r="D2566" s="46">
        <v>1012000</v>
      </c>
      <c r="E2566" s="46">
        <v>101200</v>
      </c>
      <c r="F2566" s="17" t="s">
        <v>684</v>
      </c>
      <c r="G2566" s="9">
        <v>44875</v>
      </c>
    </row>
    <row r="2567" spans="1:7">
      <c r="A2567" s="45">
        <v>44865</v>
      </c>
      <c r="B2567" s="14" t="s">
        <v>644</v>
      </c>
      <c r="C2567" s="46">
        <v>10611700</v>
      </c>
      <c r="D2567" s="46">
        <v>9647000</v>
      </c>
      <c r="E2567" s="46">
        <v>964700</v>
      </c>
      <c r="F2567" s="17" t="s">
        <v>303</v>
      </c>
      <c r="G2567" s="9">
        <v>44875</v>
      </c>
    </row>
    <row r="2568" spans="1:7">
      <c r="A2568" s="45">
        <v>44865</v>
      </c>
      <c r="B2568" s="14" t="s">
        <v>769</v>
      </c>
      <c r="C2568" s="46">
        <v>13899600</v>
      </c>
      <c r="D2568" s="46">
        <v>12636000</v>
      </c>
      <c r="E2568" s="46">
        <v>1263600</v>
      </c>
      <c r="F2568" s="17" t="s">
        <v>305</v>
      </c>
      <c r="G2568" s="9">
        <v>44875</v>
      </c>
    </row>
    <row r="2569" spans="1:7">
      <c r="A2569" s="45">
        <v>44865</v>
      </c>
      <c r="B2569" s="14" t="s">
        <v>769</v>
      </c>
      <c r="C2569" s="46">
        <v>19433700</v>
      </c>
      <c r="D2569" s="46">
        <v>17667000</v>
      </c>
      <c r="E2569" s="46">
        <v>1766700</v>
      </c>
      <c r="F2569" s="17" t="s">
        <v>705</v>
      </c>
      <c r="G2569" s="9">
        <v>44875</v>
      </c>
    </row>
    <row r="2570" spans="1:7">
      <c r="A2570" s="45">
        <v>44865</v>
      </c>
      <c r="B2570" s="14" t="s">
        <v>769</v>
      </c>
      <c r="C2570" s="46">
        <v>2956800</v>
      </c>
      <c r="D2570" s="46">
        <v>2688000</v>
      </c>
      <c r="E2570" s="46">
        <v>268800</v>
      </c>
      <c r="F2570" s="17" t="s">
        <v>386</v>
      </c>
      <c r="G2570" s="9">
        <v>44875</v>
      </c>
    </row>
    <row r="2571" spans="1:7">
      <c r="A2571" s="45">
        <v>44865</v>
      </c>
      <c r="B2571" s="14" t="s">
        <v>769</v>
      </c>
      <c r="C2571" s="46">
        <v>39897000</v>
      </c>
      <c r="D2571" s="46">
        <v>36270000</v>
      </c>
      <c r="E2571" s="46">
        <v>3627000</v>
      </c>
      <c r="F2571" s="17" t="s">
        <v>387</v>
      </c>
      <c r="G2571" s="9">
        <v>44875</v>
      </c>
    </row>
    <row r="2572" spans="1:7">
      <c r="A2572" s="45">
        <v>44865</v>
      </c>
      <c r="B2572" s="14" t="s">
        <v>769</v>
      </c>
      <c r="C2572" s="46">
        <v>9335700</v>
      </c>
      <c r="D2572" s="46">
        <v>8487000</v>
      </c>
      <c r="E2572" s="46">
        <v>848700</v>
      </c>
      <c r="F2572" s="17" t="s">
        <v>794</v>
      </c>
      <c r="G2572" s="9">
        <v>44875</v>
      </c>
    </row>
    <row r="2573" spans="1:7">
      <c r="A2573" s="45">
        <v>44865</v>
      </c>
      <c r="B2573" s="14" t="s">
        <v>769</v>
      </c>
      <c r="C2573" s="46">
        <v>2420000</v>
      </c>
      <c r="D2573" s="46">
        <v>2200000</v>
      </c>
      <c r="E2573" s="46">
        <v>220000</v>
      </c>
      <c r="F2573" s="17" t="s">
        <v>793</v>
      </c>
      <c r="G2573" s="9">
        <v>44875</v>
      </c>
    </row>
    <row r="2574" spans="1:7">
      <c r="A2574" s="45">
        <v>44865</v>
      </c>
      <c r="B2574" s="14" t="s">
        <v>730</v>
      </c>
      <c r="C2574" s="46">
        <v>2371600</v>
      </c>
      <c r="D2574" s="46">
        <v>2156000</v>
      </c>
      <c r="E2574" s="46">
        <v>215600</v>
      </c>
      <c r="F2574" s="17" t="s">
        <v>612</v>
      </c>
      <c r="G2574" s="9">
        <v>44886</v>
      </c>
    </row>
    <row r="2575" spans="1:7">
      <c r="A2575" s="45">
        <v>44865</v>
      </c>
      <c r="B2575" s="14" t="s">
        <v>730</v>
      </c>
      <c r="C2575" s="46">
        <v>10692000</v>
      </c>
      <c r="D2575" s="46">
        <v>9720000</v>
      </c>
      <c r="E2575" s="46">
        <v>972000</v>
      </c>
      <c r="F2575" s="17" t="s">
        <v>457</v>
      </c>
      <c r="G2575" s="9">
        <v>44886</v>
      </c>
    </row>
    <row r="2576" spans="1:7">
      <c r="A2576" s="45">
        <v>44865</v>
      </c>
      <c r="B2576" s="14" t="s">
        <v>432</v>
      </c>
      <c r="C2576" s="46">
        <v>1016400</v>
      </c>
      <c r="D2576" s="46">
        <v>924000</v>
      </c>
      <c r="E2576" s="46">
        <v>92400</v>
      </c>
      <c r="F2576" s="17" t="s">
        <v>702</v>
      </c>
      <c r="G2576" s="9">
        <v>44886</v>
      </c>
    </row>
    <row r="2577" spans="1:11">
      <c r="A2577" s="45">
        <v>44865</v>
      </c>
      <c r="B2577" s="14" t="s">
        <v>432</v>
      </c>
      <c r="C2577" s="46">
        <v>508200</v>
      </c>
      <c r="D2577" s="46">
        <v>462000</v>
      </c>
      <c r="E2577" s="46">
        <v>46200</v>
      </c>
      <c r="F2577" s="17" t="s">
        <v>811</v>
      </c>
      <c r="G2577" s="9">
        <v>44883</v>
      </c>
    </row>
    <row r="2578" spans="1:11">
      <c r="A2578" s="45">
        <v>44865</v>
      </c>
      <c r="B2578" s="14" t="s">
        <v>432</v>
      </c>
      <c r="C2578" s="46">
        <v>15321900</v>
      </c>
      <c r="D2578" s="46">
        <v>13929000</v>
      </c>
      <c r="E2578" s="46">
        <v>1392900</v>
      </c>
      <c r="F2578" s="17" t="s">
        <v>165</v>
      </c>
      <c r="G2578" s="9">
        <v>44886</v>
      </c>
    </row>
    <row r="2579" spans="1:11">
      <c r="A2579" s="45">
        <v>44865</v>
      </c>
      <c r="B2579" s="14" t="s">
        <v>432</v>
      </c>
      <c r="C2579" s="46">
        <v>423500</v>
      </c>
      <c r="D2579" s="46">
        <v>385000</v>
      </c>
      <c r="E2579" s="46">
        <v>38500</v>
      </c>
      <c r="F2579" s="17" t="s">
        <v>588</v>
      </c>
      <c r="G2579" s="9">
        <v>44883</v>
      </c>
    </row>
    <row r="2580" spans="1:11">
      <c r="A2580" s="45">
        <v>44865</v>
      </c>
      <c r="B2580" s="14" t="s">
        <v>432</v>
      </c>
      <c r="C2580" s="46">
        <v>126500</v>
      </c>
      <c r="D2580" s="46">
        <v>115000</v>
      </c>
      <c r="E2580" s="46">
        <v>11500</v>
      </c>
      <c r="F2580" s="17" t="s">
        <v>571</v>
      </c>
      <c r="G2580" s="9">
        <v>44883</v>
      </c>
    </row>
    <row r="2581" spans="1:11">
      <c r="A2581" s="45">
        <v>44865</v>
      </c>
      <c r="B2581" s="14" t="s">
        <v>432</v>
      </c>
      <c r="C2581" s="46">
        <v>6325000</v>
      </c>
      <c r="D2581" s="46">
        <v>5750000</v>
      </c>
      <c r="E2581" s="46">
        <v>575000</v>
      </c>
      <c r="F2581" s="17" t="s">
        <v>320</v>
      </c>
      <c r="G2581" s="9">
        <v>44886</v>
      </c>
    </row>
    <row r="2582" spans="1:11">
      <c r="A2582" s="45">
        <v>44865</v>
      </c>
      <c r="B2582" s="14" t="s">
        <v>812</v>
      </c>
      <c r="C2582" s="46">
        <v>17411667</v>
      </c>
      <c r="D2582" s="46">
        <v>15828788</v>
      </c>
      <c r="E2582" s="46">
        <v>1582879</v>
      </c>
      <c r="F2582" s="17" t="s">
        <v>817</v>
      </c>
      <c r="G2582" s="9">
        <v>44890</v>
      </c>
    </row>
    <row r="2583" spans="1:11">
      <c r="A2583" s="45">
        <v>44865</v>
      </c>
      <c r="B2583" s="14" t="s">
        <v>750</v>
      </c>
      <c r="C2583" s="46">
        <v>17815188</v>
      </c>
      <c r="D2583" s="46">
        <v>16195625</v>
      </c>
      <c r="E2583" s="46">
        <v>1619563</v>
      </c>
      <c r="F2583" s="17" t="s">
        <v>770</v>
      </c>
      <c r="G2583" s="9">
        <v>44875</v>
      </c>
    </row>
    <row r="2584" spans="1:11">
      <c r="A2584" s="45">
        <v>44865</v>
      </c>
      <c r="B2584" s="14" t="s">
        <v>787</v>
      </c>
      <c r="C2584" s="46">
        <v>550000</v>
      </c>
      <c r="D2584" s="46">
        <v>500000</v>
      </c>
      <c r="E2584" s="46">
        <v>50000</v>
      </c>
      <c r="F2584" s="17" t="s">
        <v>795</v>
      </c>
      <c r="G2584" s="9">
        <v>44875</v>
      </c>
    </row>
    <row r="2585" spans="1:11">
      <c r="A2585" s="45">
        <v>44865</v>
      </c>
      <c r="B2585" s="14" t="s">
        <v>15</v>
      </c>
      <c r="C2585" s="46">
        <v>19176300</v>
      </c>
      <c r="D2585" s="46">
        <v>17433000</v>
      </c>
      <c r="E2585" s="46">
        <v>1743300</v>
      </c>
      <c r="F2585" s="17" t="s">
        <v>459</v>
      </c>
      <c r="G2585" s="9">
        <v>44875</v>
      </c>
    </row>
    <row r="2586" spans="1:11">
      <c r="A2586" s="45">
        <v>44865</v>
      </c>
      <c r="B2586" s="14" t="s">
        <v>805</v>
      </c>
      <c r="C2586" s="46">
        <v>4592500</v>
      </c>
      <c r="D2586" s="46">
        <v>4175000</v>
      </c>
      <c r="E2586" s="46">
        <v>417500</v>
      </c>
      <c r="F2586" s="17" t="s">
        <v>727</v>
      </c>
      <c r="G2586" s="9">
        <v>44880</v>
      </c>
    </row>
    <row r="2587" spans="1:11">
      <c r="A2587" s="45">
        <v>44865</v>
      </c>
      <c r="B2587" s="14" t="s">
        <v>728</v>
      </c>
      <c r="C2587" s="46">
        <v>1416800</v>
      </c>
      <c r="D2587" s="46">
        <v>1288000</v>
      </c>
      <c r="E2587" s="46">
        <v>128800</v>
      </c>
      <c r="F2587" s="17" t="s">
        <v>729</v>
      </c>
      <c r="G2587" s="9">
        <v>44880</v>
      </c>
    </row>
    <row r="2588" spans="1:11">
      <c r="A2588" s="45">
        <v>44865</v>
      </c>
      <c r="B2588" s="14" t="s">
        <v>671</v>
      </c>
      <c r="C2588" s="46">
        <v>885500</v>
      </c>
      <c r="D2588" s="46">
        <v>805000</v>
      </c>
      <c r="E2588" s="46">
        <v>80500</v>
      </c>
      <c r="F2588" s="17" t="s">
        <v>786</v>
      </c>
      <c r="G2588" s="9">
        <v>44880</v>
      </c>
    </row>
    <row r="2589" spans="1:11">
      <c r="A2589" s="45">
        <v>44865</v>
      </c>
      <c r="B2589" s="14" t="s">
        <v>671</v>
      </c>
      <c r="C2589" s="46">
        <v>202400</v>
      </c>
      <c r="D2589" s="46">
        <v>184000</v>
      </c>
      <c r="E2589" s="46">
        <v>18400</v>
      </c>
      <c r="F2589" s="17" t="s">
        <v>241</v>
      </c>
      <c r="G2589" s="9">
        <v>44880</v>
      </c>
      <c r="I2589" s="304" t="s">
        <v>791</v>
      </c>
      <c r="J2589" s="304"/>
      <c r="K2589" s="304"/>
    </row>
    <row r="2590" spans="1:11">
      <c r="A2590" s="45">
        <v>44865</v>
      </c>
      <c r="B2590" s="14" t="s">
        <v>749</v>
      </c>
      <c r="C2590" s="46">
        <v>704000</v>
      </c>
      <c r="D2590" s="46">
        <v>640000</v>
      </c>
      <c r="E2590" s="46">
        <v>64000</v>
      </c>
      <c r="F2590" s="17" t="s">
        <v>13</v>
      </c>
      <c r="G2590" s="9">
        <v>44869</v>
      </c>
      <c r="I2590" s="18" t="s">
        <v>46</v>
      </c>
      <c r="J2590" s="36" t="s">
        <v>47</v>
      </c>
      <c r="K2590" s="36" t="s">
        <v>48</v>
      </c>
    </row>
    <row r="2591" spans="1:11">
      <c r="A2591" s="45">
        <v>44865</v>
      </c>
      <c r="B2591" s="14" t="s">
        <v>70</v>
      </c>
      <c r="F2591" s="17" t="s">
        <v>13</v>
      </c>
      <c r="G2591" s="31" t="s">
        <v>827</v>
      </c>
      <c r="I2591" s="18">
        <f>SUM(C2539:C2598)</f>
        <v>420229495</v>
      </c>
      <c r="J2591" s="18">
        <f>SUM(D2539:D2598)</f>
        <v>382026812</v>
      </c>
      <c r="K2591" s="18">
        <f>SUM(E2539:E2598)</f>
        <v>38202683</v>
      </c>
    </row>
    <row r="2592" spans="1:11">
      <c r="A2592" s="45">
        <v>44865</v>
      </c>
      <c r="B2592" s="14" t="s">
        <v>449</v>
      </c>
      <c r="C2592" s="46">
        <v>3520000</v>
      </c>
      <c r="D2592" s="46">
        <v>3200000</v>
      </c>
      <c r="E2592" s="46">
        <v>320000</v>
      </c>
      <c r="F2592" s="17" t="s">
        <v>13</v>
      </c>
      <c r="G2592" s="9">
        <v>44879</v>
      </c>
    </row>
    <row r="2593" spans="1:19">
      <c r="A2593" s="45">
        <v>44865</v>
      </c>
      <c r="B2593" s="14" t="s">
        <v>82</v>
      </c>
      <c r="C2593" s="46">
        <v>3443000</v>
      </c>
      <c r="D2593" s="46">
        <v>3130000</v>
      </c>
      <c r="E2593" s="46">
        <v>313000</v>
      </c>
      <c r="F2593" s="17" t="s">
        <v>13</v>
      </c>
      <c r="G2593" s="9">
        <v>44880</v>
      </c>
    </row>
    <row r="2594" spans="1:19">
      <c r="A2594" s="45">
        <v>44865</v>
      </c>
      <c r="B2594" s="14" t="s">
        <v>752</v>
      </c>
      <c r="C2594" s="46">
        <v>940500</v>
      </c>
      <c r="D2594" s="46">
        <v>855000</v>
      </c>
      <c r="E2594" s="46">
        <v>85500</v>
      </c>
      <c r="F2594" s="17" t="s">
        <v>753</v>
      </c>
      <c r="G2594" s="9">
        <v>44876</v>
      </c>
    </row>
    <row r="2595" spans="1:19">
      <c r="A2595" s="45">
        <v>44865</v>
      </c>
      <c r="B2595" s="14" t="s">
        <v>155</v>
      </c>
      <c r="C2595" s="46">
        <v>2827000</v>
      </c>
      <c r="D2595" s="46">
        <v>2570000</v>
      </c>
      <c r="E2595" s="46">
        <v>257000</v>
      </c>
      <c r="F2595" s="17" t="s">
        <v>13</v>
      </c>
      <c r="G2595" s="9">
        <v>44880</v>
      </c>
    </row>
    <row r="2596" spans="1:19">
      <c r="A2596" s="45">
        <v>44865</v>
      </c>
      <c r="B2596" s="14" t="s">
        <v>155</v>
      </c>
      <c r="C2596" s="46">
        <v>2904000</v>
      </c>
      <c r="D2596" s="46">
        <v>2640000</v>
      </c>
      <c r="E2596" s="46">
        <v>264000</v>
      </c>
      <c r="F2596" s="17" t="s">
        <v>806</v>
      </c>
      <c r="G2596" s="9">
        <v>44880</v>
      </c>
    </row>
    <row r="2597" spans="1:19">
      <c r="A2597" s="45">
        <v>44865</v>
      </c>
      <c r="B2597" s="14" t="s">
        <v>761</v>
      </c>
      <c r="C2597" s="46">
        <v>770000</v>
      </c>
      <c r="D2597" s="46">
        <v>700000</v>
      </c>
      <c r="E2597" s="46">
        <v>70000</v>
      </c>
      <c r="F2597" s="17" t="s">
        <v>762</v>
      </c>
      <c r="G2597" s="9">
        <v>44866</v>
      </c>
    </row>
    <row r="2598" spans="1:19">
      <c r="A2598" s="119">
        <v>44865</v>
      </c>
      <c r="B2598" s="42" t="s">
        <v>79</v>
      </c>
      <c r="C2598" s="118">
        <v>836000</v>
      </c>
      <c r="D2598" s="118">
        <v>760000</v>
      </c>
      <c r="E2598" s="118">
        <v>76000</v>
      </c>
      <c r="F2598" s="51" t="s">
        <v>13</v>
      </c>
      <c r="G2598" s="10">
        <v>44866</v>
      </c>
      <c r="H2598" s="51"/>
      <c r="I2598" s="121"/>
      <c r="J2598" s="122"/>
      <c r="K2598" s="42"/>
      <c r="L2598" s="42"/>
      <c r="M2598" s="42"/>
      <c r="N2598" s="42"/>
      <c r="O2598" s="42"/>
      <c r="P2598" s="42"/>
      <c r="Q2598" s="42"/>
      <c r="R2598" s="42"/>
      <c r="S2598" s="42"/>
    </row>
    <row r="2599" spans="1:19">
      <c r="A2599" s="45">
        <v>44880</v>
      </c>
      <c r="B2599" s="14" t="s">
        <v>730</v>
      </c>
      <c r="C2599" s="46">
        <v>2710400</v>
      </c>
      <c r="D2599" s="46">
        <v>2464000</v>
      </c>
      <c r="E2599" s="46">
        <v>246400</v>
      </c>
      <c r="F2599" s="17" t="s">
        <v>612</v>
      </c>
      <c r="G2599" s="9">
        <v>44915</v>
      </c>
    </row>
    <row r="2600" spans="1:19">
      <c r="A2600" s="45">
        <v>44880</v>
      </c>
      <c r="B2600" s="14" t="s">
        <v>730</v>
      </c>
      <c r="C2600" s="46">
        <v>11704000</v>
      </c>
      <c r="D2600" s="46">
        <v>10640000</v>
      </c>
      <c r="E2600" s="46">
        <v>1064000</v>
      </c>
      <c r="F2600" s="17" t="s">
        <v>457</v>
      </c>
      <c r="G2600" s="9">
        <v>44915</v>
      </c>
    </row>
    <row r="2601" spans="1:19">
      <c r="A2601" s="45">
        <v>44880</v>
      </c>
      <c r="B2601" s="14" t="s">
        <v>2</v>
      </c>
      <c r="C2601" s="46">
        <v>4466000</v>
      </c>
      <c r="D2601" s="46">
        <v>4060000</v>
      </c>
      <c r="E2601" s="46">
        <v>406000</v>
      </c>
      <c r="F2601" s="17" t="s">
        <v>766</v>
      </c>
      <c r="G2601" s="9">
        <v>44886</v>
      </c>
    </row>
    <row r="2602" spans="1:19">
      <c r="A2602" s="45">
        <v>44880</v>
      </c>
      <c r="B2602" s="14" t="s">
        <v>2</v>
      </c>
      <c r="C2602" s="46">
        <v>15605150</v>
      </c>
      <c r="D2602" s="46">
        <v>14186500</v>
      </c>
      <c r="E2602" s="46">
        <v>1418650</v>
      </c>
      <c r="F2602" s="17" t="s">
        <v>456</v>
      </c>
      <c r="G2602" s="9">
        <v>44895</v>
      </c>
    </row>
    <row r="2603" spans="1:19">
      <c r="A2603" s="45">
        <v>44880</v>
      </c>
      <c r="B2603" s="14" t="s">
        <v>2</v>
      </c>
      <c r="C2603" s="46">
        <v>7780300</v>
      </c>
      <c r="D2603" s="46">
        <v>7073000</v>
      </c>
      <c r="E2603" s="46">
        <v>707300</v>
      </c>
      <c r="F2603" s="17" t="s">
        <v>424</v>
      </c>
      <c r="G2603" s="9">
        <v>44895</v>
      </c>
    </row>
    <row r="2604" spans="1:19">
      <c r="A2604" s="45">
        <v>44880</v>
      </c>
      <c r="B2604" s="14" t="s">
        <v>2</v>
      </c>
      <c r="C2604" s="46">
        <v>3162500</v>
      </c>
      <c r="D2604" s="46">
        <v>2875000</v>
      </c>
      <c r="E2604" s="46">
        <v>287500</v>
      </c>
      <c r="F2604" s="17" t="s">
        <v>756</v>
      </c>
      <c r="G2604" s="9">
        <v>44895</v>
      </c>
    </row>
    <row r="2605" spans="1:19">
      <c r="A2605" s="45">
        <v>44880</v>
      </c>
      <c r="B2605" s="14" t="s">
        <v>2</v>
      </c>
      <c r="C2605" s="46">
        <v>730400</v>
      </c>
      <c r="D2605" s="46">
        <v>664000</v>
      </c>
      <c r="E2605" s="46">
        <v>66400</v>
      </c>
      <c r="F2605" s="17" t="s">
        <v>757</v>
      </c>
      <c r="G2605" s="9">
        <v>44895</v>
      </c>
    </row>
    <row r="2606" spans="1:19">
      <c r="A2606" s="45">
        <v>44880</v>
      </c>
      <c r="B2606" s="14" t="s">
        <v>2</v>
      </c>
      <c r="C2606" s="46">
        <v>1232000</v>
      </c>
      <c r="D2606" s="46">
        <v>1120000</v>
      </c>
      <c r="E2606" s="46">
        <v>112000</v>
      </c>
      <c r="F2606" s="17" t="s">
        <v>714</v>
      </c>
      <c r="G2606" s="9">
        <v>44895</v>
      </c>
    </row>
    <row r="2607" spans="1:19">
      <c r="A2607" s="45">
        <v>44880</v>
      </c>
      <c r="B2607" s="14" t="s">
        <v>2</v>
      </c>
      <c r="C2607" s="46">
        <v>2995300</v>
      </c>
      <c r="D2607" s="46">
        <v>2723000</v>
      </c>
      <c r="E2607" s="46">
        <v>272300</v>
      </c>
      <c r="F2607" s="17" t="s">
        <v>734</v>
      </c>
      <c r="G2607" s="9">
        <v>44895</v>
      </c>
    </row>
    <row r="2608" spans="1:19">
      <c r="A2608" s="45">
        <v>44880</v>
      </c>
      <c r="B2608" s="14" t="s">
        <v>2</v>
      </c>
      <c r="C2608" s="46">
        <v>4236100</v>
      </c>
      <c r="D2608" s="46">
        <v>3851000</v>
      </c>
      <c r="E2608" s="46">
        <v>385100</v>
      </c>
      <c r="F2608" s="17" t="s">
        <v>315</v>
      </c>
      <c r="G2608" s="9">
        <v>44895</v>
      </c>
    </row>
    <row r="2609" spans="1:7">
      <c r="A2609" s="45">
        <v>44880</v>
      </c>
      <c r="B2609" s="14" t="s">
        <v>2</v>
      </c>
      <c r="C2609" s="46">
        <v>7463500</v>
      </c>
      <c r="D2609" s="46">
        <v>6785000</v>
      </c>
      <c r="E2609" s="46">
        <v>678500</v>
      </c>
      <c r="F2609" s="17" t="s">
        <v>646</v>
      </c>
      <c r="G2609" s="9">
        <v>44886</v>
      </c>
    </row>
    <row r="2610" spans="1:7">
      <c r="A2610" s="45">
        <v>44880</v>
      </c>
      <c r="B2610" s="14" t="s">
        <v>2</v>
      </c>
      <c r="C2610" s="46">
        <v>27956500</v>
      </c>
      <c r="D2610" s="46">
        <v>25415000</v>
      </c>
      <c r="E2610" s="46">
        <v>2541500</v>
      </c>
      <c r="F2610" s="17" t="s">
        <v>611</v>
      </c>
      <c r="G2610" s="9">
        <v>44895</v>
      </c>
    </row>
    <row r="2611" spans="1:7">
      <c r="A2611" s="45">
        <v>44890</v>
      </c>
      <c r="B2611" s="14" t="s">
        <v>740</v>
      </c>
      <c r="C2611" s="46">
        <v>3279360</v>
      </c>
      <c r="D2611" s="46">
        <v>2981236</v>
      </c>
      <c r="E2611" s="46">
        <v>298124</v>
      </c>
      <c r="F2611" s="17" t="s">
        <v>832</v>
      </c>
      <c r="G2611" s="9">
        <v>44894</v>
      </c>
    </row>
    <row r="2612" spans="1:7">
      <c r="A2612" s="45">
        <v>44890</v>
      </c>
      <c r="B2612" s="14" t="s">
        <v>738</v>
      </c>
      <c r="C2612" s="46">
        <v>4467100</v>
      </c>
      <c r="D2612" s="46">
        <v>4061000</v>
      </c>
      <c r="E2612" s="46">
        <v>406100</v>
      </c>
      <c r="F2612" s="17" t="s">
        <v>823</v>
      </c>
      <c r="G2612" s="9">
        <v>44896</v>
      </c>
    </row>
    <row r="2613" spans="1:7">
      <c r="A2613" s="45">
        <v>44890</v>
      </c>
      <c r="B2613" s="14" t="s">
        <v>738</v>
      </c>
      <c r="C2613" s="46">
        <v>8531890</v>
      </c>
      <c r="D2613" s="46">
        <v>7756263</v>
      </c>
      <c r="E2613" s="46">
        <v>775627</v>
      </c>
      <c r="F2613" s="17" t="s">
        <v>822</v>
      </c>
      <c r="G2613" s="9">
        <v>44896</v>
      </c>
    </row>
    <row r="2614" spans="1:7">
      <c r="A2614" s="45">
        <v>44890</v>
      </c>
      <c r="B2614" s="14" t="s">
        <v>719</v>
      </c>
      <c r="C2614" s="46">
        <f>SUM(D2614:E2614)</f>
        <v>1397000</v>
      </c>
      <c r="D2614" s="46">
        <v>1270000</v>
      </c>
      <c r="E2614" s="46">
        <v>127000</v>
      </c>
      <c r="F2614" s="17" t="s">
        <v>710</v>
      </c>
      <c r="G2614" s="9">
        <v>44911</v>
      </c>
    </row>
    <row r="2615" spans="1:7">
      <c r="A2615" s="45">
        <v>44895</v>
      </c>
      <c r="B2615" s="14" t="s">
        <v>742</v>
      </c>
      <c r="C2615" s="46">
        <v>2970000</v>
      </c>
      <c r="D2615" s="46">
        <v>2700000</v>
      </c>
      <c r="E2615" s="46">
        <v>270000</v>
      </c>
      <c r="F2615" s="17" t="s">
        <v>743</v>
      </c>
      <c r="G2615" s="9">
        <v>44894</v>
      </c>
    </row>
    <row r="2616" spans="1:7">
      <c r="A2616" s="45">
        <v>44895</v>
      </c>
      <c r="B2616" s="14" t="s">
        <v>769</v>
      </c>
      <c r="C2616" s="46">
        <v>9885700</v>
      </c>
      <c r="D2616" s="46">
        <v>8987000</v>
      </c>
      <c r="E2616" s="46">
        <v>898700</v>
      </c>
      <c r="F2616" s="17" t="s">
        <v>834</v>
      </c>
      <c r="G2616" s="9">
        <v>44904</v>
      </c>
    </row>
    <row r="2617" spans="1:7">
      <c r="A2617" s="45">
        <v>44895</v>
      </c>
      <c r="B2617" s="14" t="s">
        <v>769</v>
      </c>
      <c r="C2617" s="46">
        <v>884400</v>
      </c>
      <c r="D2617" s="46">
        <v>804000</v>
      </c>
      <c r="E2617" s="46">
        <v>80400</v>
      </c>
      <c r="F2617" s="17" t="s">
        <v>816</v>
      </c>
      <c r="G2617" s="9">
        <v>44904</v>
      </c>
    </row>
    <row r="2618" spans="1:7">
      <c r="A2618" s="45">
        <v>44895</v>
      </c>
      <c r="B2618" s="14" t="s">
        <v>761</v>
      </c>
      <c r="C2618" s="46">
        <v>770000</v>
      </c>
      <c r="D2618" s="46">
        <v>700000</v>
      </c>
      <c r="E2618" s="46">
        <v>70000</v>
      </c>
      <c r="F2618" s="17" t="s">
        <v>833</v>
      </c>
      <c r="G2618" s="9">
        <v>44896</v>
      </c>
    </row>
    <row r="2619" spans="1:7">
      <c r="A2619" s="45">
        <v>44895</v>
      </c>
      <c r="B2619" s="14" t="s">
        <v>787</v>
      </c>
      <c r="C2619" s="46">
        <v>164993</v>
      </c>
      <c r="D2619" s="46">
        <v>149994</v>
      </c>
      <c r="E2619" s="46">
        <v>14999</v>
      </c>
      <c r="F2619" s="17" t="s">
        <v>795</v>
      </c>
      <c r="G2619" s="9">
        <v>44907</v>
      </c>
    </row>
    <row r="2620" spans="1:7">
      <c r="A2620" s="45">
        <v>44895</v>
      </c>
      <c r="B2620" s="14" t="s">
        <v>812</v>
      </c>
      <c r="C2620" s="46">
        <f>D2620+E2620</f>
        <v>22697593</v>
      </c>
      <c r="D2620" s="46">
        <v>20634175</v>
      </c>
      <c r="E2620" s="46">
        <v>2063418</v>
      </c>
      <c r="F2620" s="17" t="s">
        <v>817</v>
      </c>
      <c r="G2620" s="9">
        <v>44918</v>
      </c>
    </row>
    <row r="2621" spans="1:7">
      <c r="A2621" s="45">
        <v>44895</v>
      </c>
      <c r="B2621" s="14" t="s">
        <v>750</v>
      </c>
      <c r="C2621" s="46">
        <v>15221294</v>
      </c>
      <c r="D2621" s="46">
        <v>13837540</v>
      </c>
      <c r="E2621" s="46">
        <v>1383754</v>
      </c>
      <c r="F2621" s="17" t="s">
        <v>770</v>
      </c>
      <c r="G2621" s="9">
        <v>44907</v>
      </c>
    </row>
    <row r="2622" spans="1:7">
      <c r="A2622" s="45">
        <v>44895</v>
      </c>
      <c r="B2622" s="14" t="s">
        <v>2</v>
      </c>
      <c r="C2622" s="46">
        <v>34439625</v>
      </c>
      <c r="D2622" s="46">
        <v>31308750</v>
      </c>
      <c r="E2622" s="46">
        <v>3130875</v>
      </c>
      <c r="F2622" s="17" t="s">
        <v>611</v>
      </c>
      <c r="G2622" s="9">
        <v>44907</v>
      </c>
    </row>
    <row r="2623" spans="1:7">
      <c r="A2623" s="45">
        <v>44895</v>
      </c>
      <c r="B2623" s="14" t="s">
        <v>2</v>
      </c>
      <c r="C2623" s="46">
        <v>9614000</v>
      </c>
      <c r="D2623" s="46">
        <v>8740000</v>
      </c>
      <c r="E2623" s="46">
        <v>874000</v>
      </c>
      <c r="F2623" s="17" t="s">
        <v>646</v>
      </c>
      <c r="G2623" s="9">
        <v>44907</v>
      </c>
    </row>
    <row r="2624" spans="1:7">
      <c r="A2624" s="45">
        <v>44895</v>
      </c>
      <c r="B2624" s="14" t="s">
        <v>2</v>
      </c>
      <c r="C2624" s="46">
        <v>3258200</v>
      </c>
      <c r="D2624" s="46">
        <v>2962000</v>
      </c>
      <c r="E2624" s="46">
        <v>296200</v>
      </c>
      <c r="F2624" s="17" t="s">
        <v>315</v>
      </c>
      <c r="G2624" s="9">
        <v>44907</v>
      </c>
    </row>
    <row r="2625" spans="1:7">
      <c r="A2625" s="45">
        <v>44895</v>
      </c>
      <c r="B2625" s="14" t="s">
        <v>2</v>
      </c>
      <c r="C2625" s="46">
        <v>2868800</v>
      </c>
      <c r="D2625" s="46">
        <v>2608000</v>
      </c>
      <c r="E2625" s="46">
        <v>260800</v>
      </c>
      <c r="F2625" s="17" t="s">
        <v>734</v>
      </c>
      <c r="G2625" s="9">
        <v>44907</v>
      </c>
    </row>
    <row r="2626" spans="1:7">
      <c r="A2626" s="45">
        <v>44895</v>
      </c>
      <c r="B2626" s="14" t="s">
        <v>2</v>
      </c>
      <c r="C2626" s="46">
        <v>862400</v>
      </c>
      <c r="D2626" s="46">
        <v>784000</v>
      </c>
      <c r="E2626" s="46">
        <v>78400</v>
      </c>
      <c r="F2626" s="17" t="s">
        <v>714</v>
      </c>
      <c r="G2626" s="9">
        <v>44907</v>
      </c>
    </row>
    <row r="2627" spans="1:7">
      <c r="A2627" s="45">
        <v>44895</v>
      </c>
      <c r="B2627" s="14" t="s">
        <v>2</v>
      </c>
      <c r="C2627" s="46">
        <v>1348600</v>
      </c>
      <c r="D2627" s="46">
        <v>1226000</v>
      </c>
      <c r="E2627" s="46">
        <v>122600</v>
      </c>
      <c r="F2627" s="17" t="s">
        <v>757</v>
      </c>
      <c r="G2627" s="9">
        <v>44907</v>
      </c>
    </row>
    <row r="2628" spans="1:7">
      <c r="A2628" s="45">
        <v>44895</v>
      </c>
      <c r="B2628" s="14" t="s">
        <v>2</v>
      </c>
      <c r="C2628" s="46">
        <v>2128500</v>
      </c>
      <c r="D2628" s="46">
        <v>1935000</v>
      </c>
      <c r="E2628" s="46">
        <v>193500</v>
      </c>
      <c r="F2628" s="17" t="s">
        <v>756</v>
      </c>
      <c r="G2628" s="9">
        <v>44907</v>
      </c>
    </row>
    <row r="2629" spans="1:7">
      <c r="A2629" s="45">
        <v>44895</v>
      </c>
      <c r="B2629" s="14" t="s">
        <v>2</v>
      </c>
      <c r="C2629" s="46">
        <v>10264650</v>
      </c>
      <c r="D2629" s="46">
        <v>9331500</v>
      </c>
      <c r="E2629" s="46">
        <v>933150</v>
      </c>
      <c r="F2629" s="17" t="s">
        <v>424</v>
      </c>
      <c r="G2629" s="9">
        <v>44907</v>
      </c>
    </row>
    <row r="2630" spans="1:7">
      <c r="A2630" s="45">
        <v>44895</v>
      </c>
      <c r="B2630" s="14" t="s">
        <v>2</v>
      </c>
      <c r="C2630" s="46">
        <v>11798160</v>
      </c>
      <c r="D2630" s="46">
        <v>10725600</v>
      </c>
      <c r="E2630" s="46">
        <v>1072560</v>
      </c>
      <c r="F2630" s="17" t="s">
        <v>456</v>
      </c>
      <c r="G2630" s="9">
        <v>44907</v>
      </c>
    </row>
    <row r="2631" spans="1:7">
      <c r="A2631" s="45">
        <v>44895</v>
      </c>
      <c r="B2631" s="14" t="s">
        <v>2</v>
      </c>
      <c r="C2631" s="46">
        <v>4290000</v>
      </c>
      <c r="D2631" s="46">
        <v>3900000</v>
      </c>
      <c r="E2631" s="46">
        <v>390000</v>
      </c>
      <c r="F2631" s="17" t="s">
        <v>766</v>
      </c>
      <c r="G2631" s="9">
        <v>44907</v>
      </c>
    </row>
    <row r="2632" spans="1:7">
      <c r="A2632" s="45">
        <v>44895</v>
      </c>
      <c r="B2632" s="14" t="s">
        <v>2</v>
      </c>
      <c r="C2632" s="46">
        <v>123200</v>
      </c>
      <c r="D2632" s="46">
        <v>112000</v>
      </c>
      <c r="E2632" s="46">
        <v>11200</v>
      </c>
      <c r="F2632" s="17" t="s">
        <v>804</v>
      </c>
      <c r="G2632" s="9">
        <v>44907</v>
      </c>
    </row>
    <row r="2633" spans="1:7">
      <c r="A2633" s="45">
        <v>44895</v>
      </c>
      <c r="B2633" s="14" t="s">
        <v>2</v>
      </c>
      <c r="C2633" s="46">
        <v>352000</v>
      </c>
      <c r="D2633" s="46">
        <v>320000</v>
      </c>
      <c r="E2633" s="46">
        <v>32000</v>
      </c>
      <c r="F2633" s="17" t="s">
        <v>747</v>
      </c>
      <c r="G2633" s="9">
        <v>44907</v>
      </c>
    </row>
    <row r="2634" spans="1:7">
      <c r="A2634" s="45">
        <v>44895</v>
      </c>
      <c r="B2634" s="14" t="s">
        <v>2</v>
      </c>
      <c r="C2634" s="46">
        <v>169400</v>
      </c>
      <c r="D2634" s="46">
        <v>154000</v>
      </c>
      <c r="E2634" s="46">
        <v>15400</v>
      </c>
      <c r="F2634" s="17" t="s">
        <v>818</v>
      </c>
      <c r="G2634" s="9">
        <v>44907</v>
      </c>
    </row>
    <row r="2635" spans="1:7">
      <c r="A2635" s="45">
        <v>44895</v>
      </c>
      <c r="B2635" s="14" t="s">
        <v>2</v>
      </c>
      <c r="C2635" s="46">
        <v>2494800</v>
      </c>
      <c r="D2635" s="46">
        <v>2268000</v>
      </c>
      <c r="E2635" s="46">
        <v>226800</v>
      </c>
      <c r="F2635" s="17" t="s">
        <v>612</v>
      </c>
      <c r="G2635" s="9">
        <v>44907</v>
      </c>
    </row>
    <row r="2636" spans="1:7">
      <c r="A2636" s="45">
        <v>44895</v>
      </c>
      <c r="B2636" s="14" t="s">
        <v>432</v>
      </c>
      <c r="C2636" s="46">
        <v>4163500</v>
      </c>
      <c r="D2636" s="46">
        <v>3785000</v>
      </c>
      <c r="E2636" s="46">
        <v>378500</v>
      </c>
      <c r="F2636" s="17" t="s">
        <v>320</v>
      </c>
      <c r="G2636" s="9">
        <v>44916</v>
      </c>
    </row>
    <row r="2637" spans="1:7">
      <c r="A2637" s="45">
        <v>44895</v>
      </c>
      <c r="B2637" s="14" t="s">
        <v>432</v>
      </c>
      <c r="C2637" s="46">
        <v>338800</v>
      </c>
      <c r="D2637" s="46">
        <v>308000</v>
      </c>
      <c r="E2637" s="46">
        <v>30800</v>
      </c>
      <c r="F2637" s="17" t="s">
        <v>811</v>
      </c>
      <c r="G2637" s="9">
        <v>44911</v>
      </c>
    </row>
    <row r="2638" spans="1:7">
      <c r="A2638" s="45">
        <v>44895</v>
      </c>
      <c r="B2638" s="14" t="s">
        <v>432</v>
      </c>
      <c r="C2638" s="46">
        <v>508200</v>
      </c>
      <c r="D2638" s="46">
        <v>462000</v>
      </c>
      <c r="E2638" s="46">
        <v>46200</v>
      </c>
      <c r="F2638" s="17" t="s">
        <v>702</v>
      </c>
      <c r="G2638" s="9">
        <v>44907</v>
      </c>
    </row>
    <row r="2639" spans="1:7">
      <c r="A2639" s="45">
        <v>44895</v>
      </c>
      <c r="B2639" s="14" t="s">
        <v>432</v>
      </c>
      <c r="C2639" s="46">
        <v>19616300</v>
      </c>
      <c r="D2639" s="46">
        <v>17833000</v>
      </c>
      <c r="E2639" s="46">
        <v>1783300</v>
      </c>
      <c r="F2639" s="17" t="s">
        <v>165</v>
      </c>
      <c r="G2639" s="9">
        <v>44916</v>
      </c>
    </row>
    <row r="2640" spans="1:7">
      <c r="A2640" s="45">
        <v>44895</v>
      </c>
      <c r="B2640" s="14" t="s">
        <v>730</v>
      </c>
      <c r="C2640" s="46">
        <v>12533400</v>
      </c>
      <c r="D2640" s="46">
        <v>11394000</v>
      </c>
      <c r="E2640" s="46">
        <v>1139400</v>
      </c>
      <c r="F2640" s="17" t="s">
        <v>457</v>
      </c>
      <c r="G2640" s="9">
        <v>44907</v>
      </c>
    </row>
    <row r="2641" spans="1:11">
      <c r="A2641" s="45">
        <v>44895</v>
      </c>
      <c r="B2641" s="14" t="s">
        <v>730</v>
      </c>
      <c r="C2641" s="46">
        <v>1778700</v>
      </c>
      <c r="D2641" s="46">
        <v>1617000</v>
      </c>
      <c r="E2641" s="46">
        <v>161700</v>
      </c>
      <c r="F2641" s="17" t="s">
        <v>612</v>
      </c>
      <c r="G2641" s="9">
        <v>44907</v>
      </c>
    </row>
    <row r="2642" spans="1:11">
      <c r="A2642" s="45">
        <v>44895</v>
      </c>
      <c r="B2642" s="14" t="s">
        <v>644</v>
      </c>
      <c r="C2642" s="46">
        <v>10131000</v>
      </c>
      <c r="D2642" s="46">
        <v>9210000</v>
      </c>
      <c r="E2642" s="46">
        <v>921000</v>
      </c>
      <c r="F2642" s="17" t="s">
        <v>303</v>
      </c>
      <c r="G2642" s="9">
        <v>44904</v>
      </c>
    </row>
    <row r="2643" spans="1:11">
      <c r="A2643" s="45">
        <v>44895</v>
      </c>
      <c r="B2643" s="14" t="s">
        <v>644</v>
      </c>
      <c r="C2643" s="46">
        <v>337700</v>
      </c>
      <c r="D2643" s="46">
        <v>307000</v>
      </c>
      <c r="E2643" s="46">
        <v>30700</v>
      </c>
      <c r="F2643" s="17" t="s">
        <v>684</v>
      </c>
      <c r="G2643" s="9">
        <v>44904</v>
      </c>
    </row>
    <row r="2644" spans="1:11">
      <c r="A2644" s="45">
        <v>44895</v>
      </c>
      <c r="B2644" s="14" t="s">
        <v>15</v>
      </c>
      <c r="C2644" s="46">
        <v>26383500</v>
      </c>
      <c r="D2644" s="46">
        <v>23985000</v>
      </c>
      <c r="E2644" s="46">
        <v>2398500</v>
      </c>
      <c r="F2644" s="17" t="s">
        <v>459</v>
      </c>
      <c r="G2644" s="9">
        <v>44907</v>
      </c>
    </row>
    <row r="2645" spans="1:11">
      <c r="A2645" s="45">
        <v>44895</v>
      </c>
      <c r="B2645" s="14" t="s">
        <v>752</v>
      </c>
      <c r="C2645" s="46">
        <v>1149500</v>
      </c>
      <c r="D2645" s="46">
        <v>1045000</v>
      </c>
      <c r="E2645" s="46">
        <v>104500</v>
      </c>
      <c r="F2645" s="17" t="s">
        <v>753</v>
      </c>
      <c r="G2645" s="9">
        <v>44904</v>
      </c>
    </row>
    <row r="2646" spans="1:11">
      <c r="A2646" s="45">
        <v>44895</v>
      </c>
      <c r="B2646" s="14" t="s">
        <v>819</v>
      </c>
      <c r="C2646" s="46">
        <v>303600</v>
      </c>
      <c r="D2646" s="46">
        <v>276000</v>
      </c>
      <c r="E2646" s="46">
        <v>27600</v>
      </c>
      <c r="F2646" s="17" t="s">
        <v>820</v>
      </c>
      <c r="G2646" s="9">
        <v>44903</v>
      </c>
      <c r="H2646" s="35" t="s">
        <v>836</v>
      </c>
    </row>
    <row r="2647" spans="1:11">
      <c r="A2647" s="45">
        <v>44895</v>
      </c>
      <c r="B2647" s="14" t="s">
        <v>728</v>
      </c>
      <c r="C2647" s="46">
        <v>809600</v>
      </c>
      <c r="D2647" s="46">
        <v>736000</v>
      </c>
      <c r="E2647" s="46">
        <v>73600</v>
      </c>
      <c r="F2647" s="17" t="s">
        <v>729</v>
      </c>
      <c r="G2647" s="9">
        <v>44910</v>
      </c>
    </row>
    <row r="2648" spans="1:11">
      <c r="A2648" s="45">
        <v>44895</v>
      </c>
      <c r="B2648" s="14" t="s">
        <v>671</v>
      </c>
      <c r="C2648" s="46">
        <v>202400</v>
      </c>
      <c r="D2648" s="46">
        <v>184000</v>
      </c>
      <c r="E2648" s="46">
        <v>18400</v>
      </c>
      <c r="F2648" s="17" t="s">
        <v>241</v>
      </c>
      <c r="G2648" s="9">
        <v>44915</v>
      </c>
    </row>
    <row r="2649" spans="1:11">
      <c r="A2649" s="45">
        <v>44895</v>
      </c>
      <c r="B2649" s="14" t="s">
        <v>449</v>
      </c>
      <c r="C2649" s="46">
        <v>2959000</v>
      </c>
      <c r="D2649" s="46">
        <v>2690000</v>
      </c>
      <c r="E2649" s="46">
        <v>269000</v>
      </c>
      <c r="F2649" s="17" t="s">
        <v>13</v>
      </c>
      <c r="G2649" s="9">
        <v>44914</v>
      </c>
      <c r="I2649" s="304" t="s">
        <v>807</v>
      </c>
      <c r="J2649" s="304"/>
      <c r="K2649" s="304"/>
    </row>
    <row r="2650" spans="1:11">
      <c r="A2650" s="45">
        <v>44895</v>
      </c>
      <c r="B2650" s="14" t="s">
        <v>70</v>
      </c>
      <c r="F2650" s="17" t="s">
        <v>13</v>
      </c>
      <c r="G2650" s="31" t="s">
        <v>827</v>
      </c>
      <c r="I2650" s="18" t="s">
        <v>46</v>
      </c>
      <c r="J2650" s="36" t="s">
        <v>47</v>
      </c>
      <c r="K2650" s="36" t="s">
        <v>48</v>
      </c>
    </row>
    <row r="2651" spans="1:11">
      <c r="A2651" s="45">
        <v>44895</v>
      </c>
      <c r="B2651" s="14" t="s">
        <v>79</v>
      </c>
      <c r="C2651" s="46">
        <v>93500</v>
      </c>
      <c r="D2651" s="46">
        <v>85000</v>
      </c>
      <c r="E2651" s="46">
        <v>8500</v>
      </c>
      <c r="F2651" s="17" t="s">
        <v>13</v>
      </c>
      <c r="G2651" s="9">
        <v>44900</v>
      </c>
      <c r="I2651" s="18">
        <f>SUM(C2599:C2658)</f>
        <v>397431990</v>
      </c>
      <c r="J2651" s="18">
        <f>SUM(D2599:D2658)</f>
        <v>361301808</v>
      </c>
      <c r="K2651" s="18">
        <f>SUM(E2599:E2658)</f>
        <v>36130182</v>
      </c>
    </row>
    <row r="2652" spans="1:11">
      <c r="A2652" s="45">
        <v>44895</v>
      </c>
      <c r="B2652" s="14" t="s">
        <v>63</v>
      </c>
      <c r="C2652" s="46">
        <v>352000</v>
      </c>
      <c r="D2652" s="46">
        <v>320000</v>
      </c>
      <c r="E2652" s="46">
        <v>32000</v>
      </c>
      <c r="F2652" s="17" t="s">
        <v>13</v>
      </c>
      <c r="G2652" s="9">
        <v>44900</v>
      </c>
    </row>
    <row r="2653" spans="1:11">
      <c r="A2653" s="45">
        <v>44895</v>
      </c>
      <c r="B2653" s="14" t="s">
        <v>82</v>
      </c>
      <c r="C2653" s="46">
        <v>660000</v>
      </c>
      <c r="D2653" s="46">
        <v>600000</v>
      </c>
      <c r="E2653" s="46">
        <v>60000</v>
      </c>
      <c r="F2653" s="17" t="s">
        <v>13</v>
      </c>
      <c r="G2653" s="9">
        <v>44910</v>
      </c>
      <c r="H2653" s="17" t="s">
        <v>824</v>
      </c>
    </row>
    <row r="2654" spans="1:11">
      <c r="A2654" s="45">
        <v>44895</v>
      </c>
      <c r="B2654" s="14" t="s">
        <v>155</v>
      </c>
      <c r="C2654" s="46">
        <v>1430000</v>
      </c>
      <c r="D2654" s="46">
        <v>1300000</v>
      </c>
      <c r="E2654" s="46">
        <v>130000</v>
      </c>
      <c r="F2654" s="17" t="s">
        <v>13</v>
      </c>
      <c r="G2654" s="9">
        <v>44910</v>
      </c>
    </row>
    <row r="2655" spans="1:11">
      <c r="A2655" s="45">
        <v>44895</v>
      </c>
      <c r="B2655" s="14" t="s">
        <v>769</v>
      </c>
      <c r="C2655" s="46">
        <v>30630600</v>
      </c>
      <c r="D2655" s="46">
        <v>27846000</v>
      </c>
      <c r="E2655" s="46">
        <v>2784600</v>
      </c>
      <c r="F2655" s="17" t="s">
        <v>387</v>
      </c>
      <c r="G2655" s="9">
        <v>44904</v>
      </c>
    </row>
    <row r="2656" spans="1:11">
      <c r="A2656" s="45">
        <v>44895</v>
      </c>
      <c r="B2656" s="14" t="s">
        <v>769</v>
      </c>
      <c r="C2656" s="46">
        <v>2015200</v>
      </c>
      <c r="D2656" s="46">
        <v>1832000</v>
      </c>
      <c r="E2656" s="46">
        <v>183200</v>
      </c>
      <c r="F2656" s="17" t="s">
        <v>386</v>
      </c>
      <c r="G2656" s="9">
        <v>44904</v>
      </c>
    </row>
    <row r="2657" spans="1:19">
      <c r="A2657" s="45">
        <v>44895</v>
      </c>
      <c r="B2657" s="14" t="s">
        <v>769</v>
      </c>
      <c r="C2657" s="46">
        <v>20752875</v>
      </c>
      <c r="D2657" s="46">
        <v>18866250</v>
      </c>
      <c r="E2657" s="46">
        <v>1886625</v>
      </c>
      <c r="F2657" s="17" t="s">
        <v>705</v>
      </c>
      <c r="G2657" s="9">
        <v>44904</v>
      </c>
    </row>
    <row r="2658" spans="1:19">
      <c r="A2658" s="119">
        <v>44895</v>
      </c>
      <c r="B2658" s="42" t="s">
        <v>769</v>
      </c>
      <c r="C2658" s="118">
        <v>15958800</v>
      </c>
      <c r="D2658" s="118">
        <v>14508000</v>
      </c>
      <c r="E2658" s="118">
        <v>1450800</v>
      </c>
      <c r="F2658" s="51" t="s">
        <v>305</v>
      </c>
      <c r="G2658" s="10">
        <v>44904</v>
      </c>
      <c r="H2658" s="51"/>
      <c r="I2658" s="121"/>
      <c r="J2658" s="122"/>
      <c r="K2658" s="42"/>
      <c r="L2658" s="42"/>
      <c r="M2658" s="42"/>
      <c r="N2658" s="42"/>
      <c r="O2658" s="42"/>
      <c r="P2658" s="42"/>
      <c r="Q2658" s="42"/>
      <c r="R2658" s="42"/>
      <c r="S2658" s="42"/>
    </row>
    <row r="2659" spans="1:19">
      <c r="A2659" s="45">
        <v>44900</v>
      </c>
      <c r="B2659" s="14" t="s">
        <v>805</v>
      </c>
      <c r="C2659" s="46">
        <v>7370000</v>
      </c>
      <c r="D2659" s="46">
        <v>6700000</v>
      </c>
      <c r="E2659" s="46">
        <v>670000</v>
      </c>
      <c r="F2659" s="17" t="s">
        <v>727</v>
      </c>
      <c r="G2659" s="9">
        <v>44910</v>
      </c>
    </row>
    <row r="2660" spans="1:19">
      <c r="A2660" s="45">
        <v>44909</v>
      </c>
      <c r="B2660" s="14" t="s">
        <v>738</v>
      </c>
      <c r="C2660" s="46">
        <v>6222400</v>
      </c>
      <c r="D2660" s="46">
        <v>5656727</v>
      </c>
      <c r="E2660" s="46">
        <v>565673</v>
      </c>
      <c r="F2660" s="17" t="s">
        <v>798</v>
      </c>
      <c r="G2660" s="9">
        <v>44915</v>
      </c>
    </row>
    <row r="2661" spans="1:19">
      <c r="A2661" s="45">
        <v>44909</v>
      </c>
      <c r="B2661" s="14" t="s">
        <v>738</v>
      </c>
      <c r="C2661" s="46">
        <v>8531960</v>
      </c>
      <c r="D2661" s="46">
        <v>7756327</v>
      </c>
      <c r="E2661" s="46">
        <v>775633</v>
      </c>
      <c r="F2661" s="17" t="s">
        <v>775</v>
      </c>
      <c r="G2661" s="9">
        <v>44915</v>
      </c>
    </row>
    <row r="2662" spans="1:19">
      <c r="A2662" s="45">
        <v>44910</v>
      </c>
      <c r="B2662" s="14" t="s">
        <v>730</v>
      </c>
      <c r="C2662" s="46">
        <v>2117500</v>
      </c>
      <c r="D2662" s="46">
        <v>1925000</v>
      </c>
      <c r="E2662" s="46">
        <v>192500</v>
      </c>
      <c r="F2662" s="17" t="s">
        <v>612</v>
      </c>
      <c r="G2662" s="9">
        <v>44915</v>
      </c>
    </row>
    <row r="2663" spans="1:19">
      <c r="A2663" s="45">
        <v>44910</v>
      </c>
      <c r="B2663" s="14" t="s">
        <v>730</v>
      </c>
      <c r="C2663" s="46">
        <v>13543200</v>
      </c>
      <c r="D2663" s="46">
        <v>12312000</v>
      </c>
      <c r="E2663" s="46">
        <v>1231200</v>
      </c>
      <c r="F2663" s="17" t="s">
        <v>457</v>
      </c>
      <c r="G2663" s="9">
        <v>44915</v>
      </c>
    </row>
    <row r="2664" spans="1:19">
      <c r="A2664" s="45">
        <v>44910</v>
      </c>
      <c r="B2664" s="14" t="s">
        <v>2</v>
      </c>
      <c r="C2664" s="46">
        <v>4757500</v>
      </c>
      <c r="D2664" s="46">
        <v>4325000</v>
      </c>
      <c r="E2664" s="46">
        <v>432500</v>
      </c>
      <c r="F2664" s="17" t="s">
        <v>766</v>
      </c>
      <c r="G2664" s="9">
        <v>44915</v>
      </c>
    </row>
    <row r="2665" spans="1:19">
      <c r="A2665" s="45">
        <v>44910</v>
      </c>
      <c r="B2665" s="14" t="s">
        <v>2</v>
      </c>
      <c r="C2665" s="46">
        <v>12041700</v>
      </c>
      <c r="D2665" s="46">
        <v>10947000</v>
      </c>
      <c r="E2665" s="46">
        <v>1094700</v>
      </c>
      <c r="F2665" s="17" t="s">
        <v>456</v>
      </c>
      <c r="G2665" s="9">
        <v>44915</v>
      </c>
    </row>
    <row r="2666" spans="1:19">
      <c r="A2666" s="45">
        <v>44910</v>
      </c>
      <c r="B2666" s="14" t="s">
        <v>2</v>
      </c>
      <c r="C2666" s="46">
        <v>11889900</v>
      </c>
      <c r="D2666" s="46">
        <v>10809000</v>
      </c>
      <c r="E2666" s="46">
        <v>1080900</v>
      </c>
      <c r="F2666" s="17" t="s">
        <v>424</v>
      </c>
      <c r="G2666" s="9">
        <v>44915</v>
      </c>
    </row>
    <row r="2667" spans="1:19">
      <c r="A2667" s="45">
        <v>44910</v>
      </c>
      <c r="B2667" s="14" t="s">
        <v>2</v>
      </c>
      <c r="C2667" s="46">
        <v>990000</v>
      </c>
      <c r="D2667" s="46">
        <v>900000</v>
      </c>
      <c r="E2667" s="46">
        <v>90000</v>
      </c>
      <c r="F2667" s="17" t="s">
        <v>829</v>
      </c>
      <c r="G2667" s="9">
        <v>44925</v>
      </c>
    </row>
    <row r="2668" spans="1:19">
      <c r="A2668" s="45">
        <v>44910</v>
      </c>
      <c r="B2668" s="14" t="s">
        <v>2</v>
      </c>
      <c r="C2668" s="46">
        <v>1872200</v>
      </c>
      <c r="D2668" s="46">
        <v>1702000</v>
      </c>
      <c r="E2668" s="46">
        <v>170200</v>
      </c>
      <c r="F2668" s="17" t="s">
        <v>828</v>
      </c>
      <c r="G2668" s="9">
        <v>44915</v>
      </c>
    </row>
    <row r="2669" spans="1:19">
      <c r="A2669" s="45">
        <v>44910</v>
      </c>
      <c r="B2669" s="14" t="s">
        <v>2</v>
      </c>
      <c r="C2669" s="46">
        <v>1355200</v>
      </c>
      <c r="D2669" s="46">
        <v>1232000</v>
      </c>
      <c r="E2669" s="46">
        <v>123200</v>
      </c>
      <c r="F2669" s="17" t="s">
        <v>831</v>
      </c>
      <c r="G2669" s="9">
        <v>44925</v>
      </c>
    </row>
    <row r="2670" spans="1:19">
      <c r="A2670" s="45">
        <v>44910</v>
      </c>
      <c r="B2670" s="14" t="s">
        <v>2</v>
      </c>
      <c r="C2670" s="46">
        <v>3217500</v>
      </c>
      <c r="D2670" s="46">
        <v>2925000</v>
      </c>
      <c r="E2670" s="46">
        <v>292500</v>
      </c>
      <c r="F2670" s="17" t="s">
        <v>830</v>
      </c>
      <c r="G2670" s="9">
        <v>44925</v>
      </c>
    </row>
    <row r="2671" spans="1:19">
      <c r="A2671" s="45">
        <v>44910</v>
      </c>
      <c r="B2671" s="14" t="s">
        <v>2</v>
      </c>
      <c r="C2671" s="46">
        <v>4134900</v>
      </c>
      <c r="D2671" s="46">
        <v>3759000</v>
      </c>
      <c r="E2671" s="46">
        <v>375900</v>
      </c>
      <c r="F2671" s="17" t="s">
        <v>315</v>
      </c>
      <c r="G2671" s="9">
        <v>44915</v>
      </c>
    </row>
    <row r="2672" spans="1:19">
      <c r="A2672" s="45">
        <v>44910</v>
      </c>
      <c r="B2672" s="14" t="s">
        <v>2</v>
      </c>
      <c r="C2672" s="46">
        <v>10626000</v>
      </c>
      <c r="D2672" s="46">
        <v>9660000</v>
      </c>
      <c r="E2672" s="46">
        <v>966000</v>
      </c>
      <c r="F2672" s="17" t="s">
        <v>646</v>
      </c>
      <c r="G2672" s="9">
        <v>44925</v>
      </c>
    </row>
    <row r="2673" spans="1:8">
      <c r="A2673" s="45">
        <v>44910</v>
      </c>
      <c r="B2673" s="14" t="s">
        <v>2</v>
      </c>
      <c r="C2673" s="46">
        <v>34597750</v>
      </c>
      <c r="D2673" s="46">
        <v>31452500</v>
      </c>
      <c r="E2673" s="46">
        <v>3145250</v>
      </c>
      <c r="F2673" s="17" t="s">
        <v>611</v>
      </c>
      <c r="G2673" s="9">
        <v>44925</v>
      </c>
    </row>
    <row r="2674" spans="1:8">
      <c r="A2674" s="45">
        <v>44896</v>
      </c>
      <c r="B2674" s="14" t="s">
        <v>825</v>
      </c>
      <c r="C2674" s="46">
        <v>1100000</v>
      </c>
      <c r="D2674" s="46">
        <v>1000000</v>
      </c>
      <c r="E2674" s="46">
        <v>100000</v>
      </c>
      <c r="F2674" s="17" t="s">
        <v>826</v>
      </c>
      <c r="G2674" s="9">
        <v>44922</v>
      </c>
    </row>
    <row r="2675" spans="1:8">
      <c r="A2675" s="45">
        <v>44918</v>
      </c>
      <c r="B2675" s="14" t="s">
        <v>79</v>
      </c>
      <c r="C2675" s="46">
        <f>D2675+E2675</f>
        <v>159500</v>
      </c>
      <c r="D2675" s="46">
        <v>145000</v>
      </c>
      <c r="E2675" s="46">
        <v>14500</v>
      </c>
      <c r="F2675" s="17" t="s">
        <v>13</v>
      </c>
      <c r="G2675" s="9">
        <v>44918</v>
      </c>
    </row>
    <row r="2676" spans="1:8">
      <c r="A2676" s="45">
        <v>44921</v>
      </c>
      <c r="B2676" s="14" t="s">
        <v>740</v>
      </c>
      <c r="C2676" s="46">
        <v>3279360</v>
      </c>
      <c r="D2676" s="46">
        <v>2981236</v>
      </c>
      <c r="E2676" s="46">
        <v>298124</v>
      </c>
      <c r="F2676" s="17" t="s">
        <v>741</v>
      </c>
      <c r="G2676" s="9">
        <v>44922</v>
      </c>
    </row>
    <row r="2677" spans="1:8">
      <c r="A2677" s="45">
        <v>44925</v>
      </c>
      <c r="B2677" s="14" t="s">
        <v>719</v>
      </c>
      <c r="C2677" s="46">
        <f>SUM(D2677:E2677)</f>
        <v>1016400</v>
      </c>
      <c r="D2677" s="46">
        <v>924000</v>
      </c>
      <c r="E2677" s="46">
        <v>92400</v>
      </c>
      <c r="F2677" s="17" t="s">
        <v>710</v>
      </c>
      <c r="G2677" s="9">
        <v>44939</v>
      </c>
    </row>
    <row r="2678" spans="1:8">
      <c r="A2678" s="45">
        <v>44926</v>
      </c>
      <c r="B2678" s="14" t="s">
        <v>761</v>
      </c>
      <c r="C2678" s="46">
        <v>770000</v>
      </c>
      <c r="D2678" s="46">
        <v>700000</v>
      </c>
      <c r="E2678" s="46">
        <v>70000</v>
      </c>
      <c r="F2678" s="17" t="s">
        <v>852</v>
      </c>
      <c r="G2678" s="9">
        <v>44930</v>
      </c>
    </row>
    <row r="2679" spans="1:8">
      <c r="A2679" s="45">
        <v>44926</v>
      </c>
      <c r="B2679" s="14" t="s">
        <v>155</v>
      </c>
      <c r="C2679" s="46">
        <v>8955540</v>
      </c>
      <c r="D2679" s="46">
        <v>8141400</v>
      </c>
      <c r="E2679" s="46">
        <v>814140</v>
      </c>
      <c r="F2679" s="17" t="s">
        <v>13</v>
      </c>
      <c r="G2679" s="9">
        <v>44946</v>
      </c>
    </row>
    <row r="2680" spans="1:8">
      <c r="A2680" s="45">
        <v>44926</v>
      </c>
      <c r="B2680" s="14" t="s">
        <v>63</v>
      </c>
      <c r="C2680" s="46">
        <v>1474000</v>
      </c>
      <c r="D2680" s="46">
        <v>1340000</v>
      </c>
      <c r="E2680" s="46">
        <v>134000</v>
      </c>
      <c r="F2680" s="17" t="s">
        <v>838</v>
      </c>
      <c r="G2680" s="9">
        <v>44931</v>
      </c>
    </row>
    <row r="2681" spans="1:8">
      <c r="A2681" s="45">
        <v>44926</v>
      </c>
      <c r="B2681" s="14" t="s">
        <v>449</v>
      </c>
      <c r="C2681" s="46">
        <v>3577200</v>
      </c>
      <c r="D2681" s="46">
        <v>3252000</v>
      </c>
      <c r="E2681" s="46">
        <v>325200</v>
      </c>
      <c r="F2681" s="17" t="s">
        <v>13</v>
      </c>
      <c r="G2681" s="9">
        <v>44944</v>
      </c>
    </row>
    <row r="2682" spans="1:8">
      <c r="A2682" s="45">
        <v>44926</v>
      </c>
      <c r="B2682" s="14" t="s">
        <v>825</v>
      </c>
      <c r="C2682" s="46">
        <v>10626000</v>
      </c>
      <c r="D2682" s="46">
        <v>9660000</v>
      </c>
      <c r="E2682" s="46">
        <v>966000</v>
      </c>
      <c r="F2682" s="17" t="s">
        <v>13</v>
      </c>
      <c r="G2682" s="9">
        <v>44939</v>
      </c>
    </row>
    <row r="2683" spans="1:8">
      <c r="A2683" s="45">
        <v>44926</v>
      </c>
      <c r="B2683" s="14" t="s">
        <v>749</v>
      </c>
      <c r="C2683" s="46">
        <v>363000</v>
      </c>
      <c r="D2683" s="46">
        <v>330000</v>
      </c>
      <c r="E2683" s="46">
        <v>33000</v>
      </c>
      <c r="F2683" s="17" t="s">
        <v>13</v>
      </c>
      <c r="G2683" s="9">
        <v>44932</v>
      </c>
    </row>
    <row r="2684" spans="1:8">
      <c r="A2684" s="45">
        <v>44926</v>
      </c>
      <c r="B2684" s="14" t="s">
        <v>82</v>
      </c>
      <c r="C2684" s="46">
        <v>3113000</v>
      </c>
      <c r="D2684" s="46">
        <v>2830000</v>
      </c>
      <c r="E2684" s="46">
        <v>283000</v>
      </c>
      <c r="F2684" s="17" t="s">
        <v>13</v>
      </c>
      <c r="G2684" s="9">
        <v>44942</v>
      </c>
      <c r="H2684" s="17" t="s">
        <v>848</v>
      </c>
    </row>
    <row r="2685" spans="1:8">
      <c r="A2685" s="45">
        <v>44926</v>
      </c>
      <c r="B2685" s="14" t="s">
        <v>805</v>
      </c>
      <c r="C2685" s="46">
        <v>8448000</v>
      </c>
      <c r="D2685" s="46">
        <v>7680000</v>
      </c>
      <c r="E2685" s="46">
        <v>768000</v>
      </c>
      <c r="F2685" s="17" t="s">
        <v>727</v>
      </c>
      <c r="G2685" s="9">
        <v>44939</v>
      </c>
    </row>
    <row r="2686" spans="1:8">
      <c r="A2686" s="45">
        <v>44926</v>
      </c>
      <c r="B2686" s="14" t="s">
        <v>671</v>
      </c>
      <c r="C2686" s="46">
        <v>202400</v>
      </c>
      <c r="D2686" s="46">
        <v>184000</v>
      </c>
      <c r="E2686" s="46">
        <v>18400</v>
      </c>
      <c r="F2686" s="17" t="s">
        <v>241</v>
      </c>
      <c r="G2686" s="9">
        <v>44960</v>
      </c>
    </row>
    <row r="2687" spans="1:8">
      <c r="A2687" s="45">
        <v>44926</v>
      </c>
      <c r="B2687" s="14" t="s">
        <v>728</v>
      </c>
      <c r="C2687" s="46">
        <v>809600</v>
      </c>
      <c r="D2687" s="46">
        <v>736000</v>
      </c>
      <c r="E2687" s="46">
        <v>73600</v>
      </c>
      <c r="F2687" s="17" t="s">
        <v>729</v>
      </c>
      <c r="G2687" s="9">
        <v>44939</v>
      </c>
    </row>
    <row r="2688" spans="1:8">
      <c r="A2688" s="45">
        <v>44926</v>
      </c>
      <c r="B2688" s="14" t="s">
        <v>819</v>
      </c>
      <c r="C2688" s="46">
        <v>607200</v>
      </c>
      <c r="D2688" s="46">
        <v>552000</v>
      </c>
      <c r="E2688" s="46">
        <v>55200</v>
      </c>
      <c r="F2688" s="17" t="s">
        <v>820</v>
      </c>
      <c r="G2688" s="9">
        <v>44942</v>
      </c>
    </row>
    <row r="2689" spans="1:7">
      <c r="A2689" s="45">
        <v>44926</v>
      </c>
      <c r="B2689" s="14" t="s">
        <v>752</v>
      </c>
      <c r="C2689" s="46">
        <v>1881000</v>
      </c>
      <c r="D2689" s="46">
        <v>1710000</v>
      </c>
      <c r="E2689" s="46">
        <v>171000</v>
      </c>
      <c r="F2689" s="17" t="s">
        <v>753</v>
      </c>
      <c r="G2689" s="9">
        <v>44937</v>
      </c>
    </row>
    <row r="2690" spans="1:7">
      <c r="A2690" s="45">
        <v>44926</v>
      </c>
      <c r="B2690" s="14" t="s">
        <v>15</v>
      </c>
      <c r="C2690" s="46">
        <v>25611300</v>
      </c>
      <c r="D2690" s="46">
        <v>23283000</v>
      </c>
      <c r="E2690" s="46">
        <v>2328300</v>
      </c>
      <c r="F2690" s="17" t="s">
        <v>459</v>
      </c>
      <c r="G2690" s="9">
        <v>44936</v>
      </c>
    </row>
    <row r="2691" spans="1:7">
      <c r="A2691" s="45">
        <v>44926</v>
      </c>
      <c r="B2691" s="14" t="s">
        <v>432</v>
      </c>
      <c r="C2691" s="46">
        <v>14713600</v>
      </c>
      <c r="D2691" s="46">
        <v>13376000</v>
      </c>
      <c r="E2691" s="46">
        <v>1337600</v>
      </c>
      <c r="F2691" s="17" t="s">
        <v>165</v>
      </c>
      <c r="G2691" s="9">
        <v>44946</v>
      </c>
    </row>
    <row r="2692" spans="1:7">
      <c r="A2692" s="45">
        <v>44926</v>
      </c>
      <c r="B2692" s="14" t="s">
        <v>432</v>
      </c>
      <c r="C2692" s="46">
        <v>423500</v>
      </c>
      <c r="D2692" s="46">
        <v>385000</v>
      </c>
      <c r="E2692" s="46">
        <v>38500</v>
      </c>
      <c r="F2692" s="17" t="s">
        <v>702</v>
      </c>
      <c r="G2692" s="9">
        <v>44944</v>
      </c>
    </row>
    <row r="2693" spans="1:7">
      <c r="A2693" s="45">
        <v>44926</v>
      </c>
      <c r="B2693" s="14" t="s">
        <v>432</v>
      </c>
      <c r="C2693" s="46">
        <v>592900</v>
      </c>
      <c r="D2693" s="46">
        <v>539000</v>
      </c>
      <c r="E2693" s="46">
        <v>53900</v>
      </c>
      <c r="F2693" s="17" t="s">
        <v>588</v>
      </c>
      <c r="G2693" s="9">
        <v>44946</v>
      </c>
    </row>
    <row r="2694" spans="1:7">
      <c r="A2694" s="45">
        <v>44926</v>
      </c>
      <c r="B2694" s="14" t="s">
        <v>432</v>
      </c>
      <c r="C2694" s="46">
        <v>1439900</v>
      </c>
      <c r="D2694" s="46">
        <v>1309000</v>
      </c>
      <c r="E2694" s="46">
        <v>130900</v>
      </c>
      <c r="F2694" s="17" t="s">
        <v>811</v>
      </c>
      <c r="G2694" s="9">
        <v>44946</v>
      </c>
    </row>
    <row r="2695" spans="1:7">
      <c r="A2695" s="45">
        <v>44926</v>
      </c>
      <c r="B2695" s="14" t="s">
        <v>432</v>
      </c>
      <c r="C2695" s="46">
        <v>1518000</v>
      </c>
      <c r="D2695" s="46">
        <v>1380000</v>
      </c>
      <c r="E2695" s="46">
        <v>138000</v>
      </c>
      <c r="F2695" s="17" t="s">
        <v>320</v>
      </c>
      <c r="G2695" s="9">
        <v>44946</v>
      </c>
    </row>
    <row r="2696" spans="1:7">
      <c r="A2696" s="45">
        <v>44926</v>
      </c>
      <c r="B2696" s="14" t="s">
        <v>644</v>
      </c>
      <c r="C2696" s="46">
        <v>10542400</v>
      </c>
      <c r="D2696" s="46">
        <v>9584000</v>
      </c>
      <c r="E2696" s="46">
        <v>958400</v>
      </c>
      <c r="F2696" s="17" t="s">
        <v>303</v>
      </c>
      <c r="G2696" s="9">
        <v>44936</v>
      </c>
    </row>
    <row r="2697" spans="1:7">
      <c r="A2697" s="45">
        <v>44926</v>
      </c>
      <c r="B2697" s="14" t="s">
        <v>730</v>
      </c>
      <c r="C2697" s="46">
        <v>4143700</v>
      </c>
      <c r="D2697" s="46">
        <v>3767000</v>
      </c>
      <c r="E2697" s="46">
        <v>376700</v>
      </c>
      <c r="F2697" s="17" t="s">
        <v>612</v>
      </c>
      <c r="G2697" s="9">
        <v>44937</v>
      </c>
    </row>
    <row r="2698" spans="1:7">
      <c r="A2698" s="45">
        <v>44926</v>
      </c>
      <c r="B2698" s="14" t="s">
        <v>730</v>
      </c>
      <c r="C2698" s="46">
        <v>13841300</v>
      </c>
      <c r="D2698" s="46">
        <v>12583000</v>
      </c>
      <c r="E2698" s="46">
        <v>1258300</v>
      </c>
      <c r="F2698" s="17" t="s">
        <v>457</v>
      </c>
      <c r="G2698" s="9">
        <v>44937</v>
      </c>
    </row>
    <row r="2699" spans="1:7">
      <c r="A2699" s="45">
        <v>44926</v>
      </c>
      <c r="B2699" s="14" t="s">
        <v>2</v>
      </c>
      <c r="C2699" s="46">
        <v>6514200</v>
      </c>
      <c r="D2699" s="46">
        <v>5922000</v>
      </c>
      <c r="E2699" s="46">
        <v>592200</v>
      </c>
      <c r="F2699" s="17" t="s">
        <v>612</v>
      </c>
      <c r="G2699" s="9">
        <v>44936</v>
      </c>
    </row>
    <row r="2700" spans="1:7">
      <c r="A2700" s="45">
        <v>44926</v>
      </c>
      <c r="B2700" s="14" t="s">
        <v>2</v>
      </c>
      <c r="C2700" s="46">
        <v>1056000</v>
      </c>
      <c r="D2700" s="46">
        <v>960000</v>
      </c>
      <c r="E2700" s="46">
        <v>96000</v>
      </c>
      <c r="F2700" s="17" t="s">
        <v>747</v>
      </c>
      <c r="G2700" s="9">
        <v>44936</v>
      </c>
    </row>
    <row r="2701" spans="1:7">
      <c r="A2701" s="45">
        <v>44926</v>
      </c>
      <c r="B2701" s="14" t="s">
        <v>2</v>
      </c>
      <c r="C2701" s="46">
        <v>246400</v>
      </c>
      <c r="D2701" s="46">
        <v>224000</v>
      </c>
      <c r="E2701" s="46">
        <v>22400</v>
      </c>
      <c r="F2701" s="17" t="s">
        <v>804</v>
      </c>
      <c r="G2701" s="9">
        <v>44936</v>
      </c>
    </row>
    <row r="2702" spans="1:7">
      <c r="A2702" s="45">
        <v>44926</v>
      </c>
      <c r="B2702" s="14" t="s">
        <v>2</v>
      </c>
      <c r="C2702" s="46">
        <v>4669500</v>
      </c>
      <c r="D2702" s="46">
        <v>4245000</v>
      </c>
      <c r="E2702" s="46">
        <v>424500</v>
      </c>
      <c r="F2702" s="17" t="s">
        <v>766</v>
      </c>
      <c r="G2702" s="9">
        <v>44936</v>
      </c>
    </row>
    <row r="2703" spans="1:7">
      <c r="A2703" s="45">
        <v>44926</v>
      </c>
      <c r="B2703" s="14" t="s">
        <v>2</v>
      </c>
      <c r="C2703" s="46">
        <v>17006000</v>
      </c>
      <c r="D2703" s="46">
        <v>15460000</v>
      </c>
      <c r="E2703" s="46">
        <v>1546000</v>
      </c>
      <c r="F2703" s="17" t="s">
        <v>456</v>
      </c>
      <c r="G2703" s="9">
        <v>44936</v>
      </c>
    </row>
    <row r="2704" spans="1:7">
      <c r="A2704" s="45">
        <v>44926</v>
      </c>
      <c r="B2704" s="14" t="s">
        <v>2</v>
      </c>
      <c r="C2704" s="46">
        <v>16734300</v>
      </c>
      <c r="D2704" s="46">
        <v>15213000</v>
      </c>
      <c r="E2704" s="46">
        <v>1521300</v>
      </c>
      <c r="F2704" s="17" t="s">
        <v>424</v>
      </c>
      <c r="G2704" s="9">
        <v>44936</v>
      </c>
    </row>
    <row r="2705" spans="1:19">
      <c r="A2705" s="45">
        <v>44926</v>
      </c>
      <c r="B2705" s="14" t="s">
        <v>2</v>
      </c>
      <c r="C2705" s="46">
        <v>632500</v>
      </c>
      <c r="D2705" s="46">
        <v>575000</v>
      </c>
      <c r="E2705" s="46">
        <v>57500</v>
      </c>
      <c r="F2705" s="17" t="s">
        <v>756</v>
      </c>
      <c r="G2705" s="9">
        <v>44936</v>
      </c>
    </row>
    <row r="2706" spans="1:19">
      <c r="A2706" s="45">
        <v>44926</v>
      </c>
      <c r="B2706" s="14" t="s">
        <v>2</v>
      </c>
      <c r="C2706" s="46">
        <v>2934800</v>
      </c>
      <c r="D2706" s="46">
        <v>2668000</v>
      </c>
      <c r="E2706" s="46">
        <v>266800</v>
      </c>
      <c r="F2706" s="17" t="s">
        <v>757</v>
      </c>
      <c r="G2706" s="9">
        <v>44936</v>
      </c>
    </row>
    <row r="2707" spans="1:19">
      <c r="A2707" s="45">
        <v>44926</v>
      </c>
      <c r="B2707" s="14" t="s">
        <v>2</v>
      </c>
      <c r="C2707" s="46">
        <v>1355200</v>
      </c>
      <c r="D2707" s="46">
        <v>1232000</v>
      </c>
      <c r="E2707" s="46">
        <v>123200</v>
      </c>
      <c r="F2707" s="17" t="s">
        <v>714</v>
      </c>
      <c r="G2707" s="9">
        <v>44936</v>
      </c>
    </row>
    <row r="2708" spans="1:19">
      <c r="A2708" s="45">
        <v>44926</v>
      </c>
      <c r="B2708" s="14" t="s">
        <v>2</v>
      </c>
      <c r="C2708" s="46">
        <v>4202000</v>
      </c>
      <c r="D2708" s="46">
        <v>3820000</v>
      </c>
      <c r="E2708" s="46">
        <v>382000</v>
      </c>
      <c r="F2708" s="17" t="s">
        <v>734</v>
      </c>
      <c r="G2708" s="9">
        <v>44936</v>
      </c>
    </row>
    <row r="2709" spans="1:19">
      <c r="A2709" s="45">
        <v>44926</v>
      </c>
      <c r="B2709" s="14" t="s">
        <v>2</v>
      </c>
      <c r="C2709" s="46">
        <v>4296600</v>
      </c>
      <c r="D2709" s="46">
        <v>3906000</v>
      </c>
      <c r="E2709" s="46">
        <v>390600</v>
      </c>
      <c r="F2709" s="17" t="s">
        <v>315</v>
      </c>
      <c r="G2709" s="9">
        <v>44936</v>
      </c>
      <c r="I2709" s="304" t="s">
        <v>808</v>
      </c>
      <c r="J2709" s="304"/>
      <c r="K2709" s="304"/>
    </row>
    <row r="2710" spans="1:19">
      <c r="A2710" s="45">
        <v>44926</v>
      </c>
      <c r="B2710" s="14" t="s">
        <v>2</v>
      </c>
      <c r="C2710" s="46">
        <v>11258500</v>
      </c>
      <c r="D2710" s="46">
        <v>10235000</v>
      </c>
      <c r="E2710" s="46">
        <v>1023500</v>
      </c>
      <c r="F2710" s="17" t="s">
        <v>646</v>
      </c>
      <c r="G2710" s="9">
        <v>44936</v>
      </c>
      <c r="I2710" s="18" t="s">
        <v>46</v>
      </c>
      <c r="J2710" s="36" t="s">
        <v>47</v>
      </c>
      <c r="K2710" s="36" t="s">
        <v>48</v>
      </c>
    </row>
    <row r="2711" spans="1:19">
      <c r="A2711" s="45">
        <v>44926</v>
      </c>
      <c r="B2711" s="14" t="s">
        <v>2</v>
      </c>
      <c r="C2711" s="46">
        <v>34075937</v>
      </c>
      <c r="D2711" s="46">
        <v>30978125</v>
      </c>
      <c r="E2711" s="46">
        <v>3097812</v>
      </c>
      <c r="F2711" s="17" t="s">
        <v>611</v>
      </c>
      <c r="G2711" s="9">
        <v>44936</v>
      </c>
      <c r="I2711" s="18">
        <f>SUM(C2659:C2732)</f>
        <v>1219231470</v>
      </c>
      <c r="J2711" s="18">
        <f>SUM(D2659:D2732)</f>
        <v>1108392245</v>
      </c>
      <c r="K2711" s="18">
        <f>SUM(E2659:E2732)</f>
        <v>110839225</v>
      </c>
    </row>
    <row r="2712" spans="1:19">
      <c r="A2712" s="45">
        <v>44926</v>
      </c>
      <c r="B2712" s="14" t="s">
        <v>769</v>
      </c>
      <c r="C2712" s="46">
        <v>13513500</v>
      </c>
      <c r="D2712" s="46">
        <v>12285000</v>
      </c>
      <c r="E2712" s="46">
        <v>1228500</v>
      </c>
      <c r="F2712" s="17" t="s">
        <v>305</v>
      </c>
      <c r="G2712" s="9">
        <v>44936</v>
      </c>
    </row>
    <row r="2713" spans="1:19">
      <c r="A2713" s="45">
        <v>44926</v>
      </c>
      <c r="B2713" s="14" t="s">
        <v>769</v>
      </c>
      <c r="C2713" s="46">
        <v>21750300</v>
      </c>
      <c r="D2713" s="46">
        <v>19773000</v>
      </c>
      <c r="E2713" s="46">
        <v>1977300</v>
      </c>
      <c r="F2713" s="17" t="s">
        <v>705</v>
      </c>
      <c r="G2713" s="9">
        <v>44936</v>
      </c>
    </row>
    <row r="2714" spans="1:19">
      <c r="A2714" s="45">
        <v>44926</v>
      </c>
      <c r="B2714" s="14" t="s">
        <v>769</v>
      </c>
      <c r="C2714" s="46">
        <v>2316600</v>
      </c>
      <c r="D2714" s="46">
        <v>2106000</v>
      </c>
      <c r="E2714" s="46">
        <v>210600</v>
      </c>
      <c r="F2714" s="17" t="s">
        <v>386</v>
      </c>
      <c r="G2714" s="9">
        <v>44936</v>
      </c>
    </row>
    <row r="2715" spans="1:19">
      <c r="A2715" s="45">
        <v>44926</v>
      </c>
      <c r="B2715" s="14" t="s">
        <v>769</v>
      </c>
      <c r="C2715" s="46">
        <v>56370600</v>
      </c>
      <c r="D2715" s="46">
        <v>51246000</v>
      </c>
      <c r="E2715" s="46">
        <v>5124600</v>
      </c>
      <c r="F2715" s="17" t="s">
        <v>387</v>
      </c>
      <c r="G2715" s="9">
        <v>44936</v>
      </c>
    </row>
    <row r="2716" spans="1:19">
      <c r="A2716" s="45">
        <v>44926</v>
      </c>
      <c r="B2716" s="14" t="s">
        <v>769</v>
      </c>
      <c r="C2716" s="46">
        <v>10023200</v>
      </c>
      <c r="D2716" s="46">
        <v>9112000</v>
      </c>
      <c r="E2716" s="46">
        <v>911200</v>
      </c>
      <c r="F2716" s="17" t="s">
        <v>856</v>
      </c>
      <c r="G2716" s="9">
        <v>44936</v>
      </c>
    </row>
    <row r="2717" spans="1:19">
      <c r="A2717" s="45">
        <v>44926</v>
      </c>
      <c r="B2717" s="14" t="s">
        <v>812</v>
      </c>
      <c r="C2717" s="46">
        <v>7221181</v>
      </c>
      <c r="D2717" s="46">
        <v>6564710</v>
      </c>
      <c r="E2717" s="46">
        <v>656471</v>
      </c>
      <c r="F2717" s="17" t="s">
        <v>837</v>
      </c>
      <c r="G2717" s="9">
        <v>44951</v>
      </c>
    </row>
    <row r="2718" spans="1:19">
      <c r="A2718" s="45" t="s">
        <v>835</v>
      </c>
      <c r="B2718" s="14" t="s">
        <v>750</v>
      </c>
      <c r="C2718" s="46">
        <v>11769142</v>
      </c>
      <c r="D2718" s="46">
        <v>10699220</v>
      </c>
      <c r="E2718" s="46">
        <v>1069922</v>
      </c>
      <c r="F2718" s="17" t="s">
        <v>770</v>
      </c>
      <c r="G2718" s="9">
        <v>44936</v>
      </c>
    </row>
    <row r="2719" spans="1:19">
      <c r="A2719" s="127" t="s">
        <v>840</v>
      </c>
      <c r="B2719" s="2" t="s">
        <v>841</v>
      </c>
      <c r="C2719" s="128">
        <v>68697970</v>
      </c>
      <c r="D2719" s="128">
        <v>62452700</v>
      </c>
      <c r="E2719" s="128">
        <v>6245270</v>
      </c>
      <c r="F2719" s="129" t="s">
        <v>409</v>
      </c>
      <c r="G2719" s="130">
        <v>44936</v>
      </c>
      <c r="H2719" s="129"/>
      <c r="I2719" s="131">
        <v>100000000</v>
      </c>
      <c r="J2719" s="132"/>
      <c r="K2719" s="2"/>
      <c r="L2719" s="2"/>
      <c r="M2719" s="2"/>
      <c r="N2719" s="2"/>
      <c r="O2719" s="2"/>
      <c r="P2719" s="2"/>
      <c r="Q2719" s="2"/>
      <c r="R2719" s="2"/>
      <c r="S2719" s="2"/>
    </row>
    <row r="2720" spans="1:19">
      <c r="A2720" s="127" t="s">
        <v>842</v>
      </c>
      <c r="B2720" s="2" t="s">
        <v>841</v>
      </c>
      <c r="C2720" s="128">
        <v>33824340</v>
      </c>
      <c r="D2720" s="128">
        <v>30749400</v>
      </c>
      <c r="E2720" s="128">
        <v>3074940</v>
      </c>
      <c r="F2720" s="129" t="s">
        <v>409</v>
      </c>
      <c r="G2720" s="130">
        <v>44943</v>
      </c>
      <c r="H2720" s="129"/>
      <c r="I2720" s="131">
        <v>150000000</v>
      </c>
      <c r="J2720" s="132"/>
      <c r="K2720" s="2"/>
      <c r="L2720" s="2"/>
      <c r="M2720" s="2"/>
      <c r="N2720" s="2"/>
      <c r="O2720" s="2"/>
      <c r="P2720" s="2"/>
      <c r="Q2720" s="2"/>
      <c r="R2720" s="2"/>
      <c r="S2720" s="2"/>
    </row>
    <row r="2721" spans="1:19">
      <c r="A2721" s="127" t="s">
        <v>821</v>
      </c>
      <c r="B2721" s="2" t="s">
        <v>841</v>
      </c>
      <c r="C2721" s="128">
        <v>56470700</v>
      </c>
      <c r="D2721" s="128">
        <v>51337000</v>
      </c>
      <c r="E2721" s="128">
        <v>5133700</v>
      </c>
      <c r="F2721" s="129" t="s">
        <v>409</v>
      </c>
      <c r="G2721" s="130">
        <v>44952</v>
      </c>
      <c r="H2721" s="129"/>
      <c r="I2721" s="131">
        <v>113787380</v>
      </c>
      <c r="J2721" s="132" t="s">
        <v>851</v>
      </c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:19">
      <c r="A2722" s="127" t="s">
        <v>839</v>
      </c>
      <c r="B2722" s="2" t="s">
        <v>841</v>
      </c>
      <c r="C2722" s="128">
        <v>52935300</v>
      </c>
      <c r="D2722" s="128">
        <v>48123000</v>
      </c>
      <c r="E2722" s="128">
        <v>4812300</v>
      </c>
      <c r="F2722" s="129" t="s">
        <v>409</v>
      </c>
      <c r="G2722" s="2"/>
      <c r="H2722" s="129"/>
      <c r="I2722" s="131"/>
      <c r="J2722" s="132"/>
      <c r="K2722" s="2"/>
      <c r="L2722" s="2"/>
      <c r="M2722" s="2"/>
      <c r="N2722" s="2"/>
      <c r="O2722" s="2"/>
      <c r="P2722" s="2"/>
      <c r="Q2722" s="2"/>
      <c r="R2722" s="2"/>
      <c r="S2722" s="2"/>
    </row>
    <row r="2723" spans="1:19">
      <c r="A2723" s="127" t="s">
        <v>843</v>
      </c>
      <c r="B2723" s="2" t="s">
        <v>841</v>
      </c>
      <c r="C2723" s="128">
        <v>47881350</v>
      </c>
      <c r="D2723" s="128">
        <v>43528500</v>
      </c>
      <c r="E2723" s="128">
        <v>4352850</v>
      </c>
      <c r="F2723" s="129" t="s">
        <v>409</v>
      </c>
      <c r="G2723" s="2"/>
      <c r="H2723" s="129"/>
      <c r="I2723" s="131"/>
      <c r="J2723" s="132"/>
      <c r="K2723" s="2"/>
      <c r="L2723" s="2"/>
      <c r="M2723" s="2"/>
      <c r="N2723" s="2"/>
      <c r="O2723" s="2"/>
      <c r="P2723" s="2"/>
      <c r="Q2723" s="2"/>
      <c r="R2723" s="2"/>
      <c r="S2723" s="2"/>
    </row>
    <row r="2724" spans="1:19">
      <c r="A2724" s="127" t="s">
        <v>844</v>
      </c>
      <c r="B2724" s="2" t="s">
        <v>841</v>
      </c>
      <c r="C2724" s="128">
        <v>62926820</v>
      </c>
      <c r="D2724" s="128">
        <v>57206200</v>
      </c>
      <c r="E2724" s="128">
        <v>5720620</v>
      </c>
      <c r="F2724" s="129" t="s">
        <v>409</v>
      </c>
      <c r="G2724" s="2"/>
      <c r="H2724" s="129"/>
      <c r="I2724" s="131"/>
      <c r="J2724" s="132"/>
      <c r="K2724" s="2"/>
      <c r="L2724" s="2"/>
      <c r="M2724" s="2"/>
      <c r="N2724" s="2"/>
      <c r="O2724" s="2"/>
      <c r="P2724" s="2"/>
      <c r="Q2724" s="2"/>
      <c r="R2724" s="2"/>
      <c r="S2724" s="2"/>
    </row>
    <row r="2725" spans="1:19">
      <c r="A2725" s="127" t="s">
        <v>835</v>
      </c>
      <c r="B2725" s="2" t="s">
        <v>841</v>
      </c>
      <c r="C2725" s="128">
        <v>41050900</v>
      </c>
      <c r="D2725" s="128">
        <v>37319000</v>
      </c>
      <c r="E2725" s="128">
        <v>3731900</v>
      </c>
      <c r="F2725" s="129" t="s">
        <v>409</v>
      </c>
      <c r="G2725" s="2"/>
      <c r="H2725" s="129"/>
      <c r="I2725" s="131"/>
      <c r="J2725" s="13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:19">
      <c r="A2726" s="133" t="s">
        <v>840</v>
      </c>
      <c r="B2726" s="134" t="s">
        <v>845</v>
      </c>
      <c r="C2726" s="135">
        <v>42303030</v>
      </c>
      <c r="D2726" s="135">
        <v>38457300</v>
      </c>
      <c r="E2726" s="135">
        <v>3845730</v>
      </c>
      <c r="F2726" s="136" t="s">
        <v>409</v>
      </c>
      <c r="G2726" s="137">
        <v>44938</v>
      </c>
      <c r="H2726" s="136"/>
      <c r="I2726" s="138">
        <v>70000000</v>
      </c>
      <c r="J2726" s="139"/>
      <c r="K2726" s="134"/>
      <c r="L2726" s="134"/>
      <c r="M2726" s="134"/>
      <c r="N2726" s="134"/>
      <c r="O2726" s="134"/>
      <c r="P2726" s="134"/>
      <c r="Q2726" s="134"/>
      <c r="R2726" s="134"/>
      <c r="S2726" s="134"/>
    </row>
    <row r="2727" spans="1:19">
      <c r="A2727" s="133" t="s">
        <v>842</v>
      </c>
      <c r="B2727" s="134" t="s">
        <v>845</v>
      </c>
      <c r="C2727" s="135">
        <v>57013880</v>
      </c>
      <c r="D2727" s="135">
        <v>51830800</v>
      </c>
      <c r="E2727" s="135">
        <v>5183080</v>
      </c>
      <c r="F2727" s="136" t="s">
        <v>409</v>
      </c>
      <c r="G2727" s="137">
        <v>44939</v>
      </c>
      <c r="H2727" s="136"/>
      <c r="I2727" s="138">
        <v>68500000</v>
      </c>
      <c r="J2727" s="139"/>
      <c r="K2727" s="134"/>
      <c r="L2727" s="134"/>
      <c r="M2727" s="134"/>
      <c r="N2727" s="134"/>
      <c r="O2727" s="134"/>
      <c r="P2727" s="134"/>
      <c r="Q2727" s="134"/>
      <c r="R2727" s="134"/>
      <c r="S2727" s="134"/>
    </row>
    <row r="2728" spans="1:19">
      <c r="A2728" s="133" t="s">
        <v>821</v>
      </c>
      <c r="B2728" s="134" t="s">
        <v>845</v>
      </c>
      <c r="C2728" s="135">
        <v>48051850</v>
      </c>
      <c r="D2728" s="135">
        <v>43683500</v>
      </c>
      <c r="E2728" s="135">
        <v>4368350</v>
      </c>
      <c r="F2728" s="136" t="s">
        <v>409</v>
      </c>
      <c r="G2728" s="137">
        <v>44943</v>
      </c>
      <c r="H2728" s="136"/>
      <c r="I2728" s="138">
        <v>72000000</v>
      </c>
      <c r="J2728" s="139"/>
      <c r="K2728" s="134"/>
      <c r="L2728" s="134"/>
      <c r="M2728" s="134"/>
      <c r="N2728" s="134"/>
      <c r="O2728" s="134"/>
      <c r="P2728" s="134"/>
      <c r="Q2728" s="134"/>
      <c r="R2728" s="134"/>
      <c r="S2728" s="134"/>
    </row>
    <row r="2729" spans="1:19">
      <c r="A2729" s="133" t="s">
        <v>839</v>
      </c>
      <c r="B2729" s="134" t="s">
        <v>845</v>
      </c>
      <c r="C2729" s="135">
        <v>52423250</v>
      </c>
      <c r="D2729" s="135">
        <v>47657500</v>
      </c>
      <c r="E2729" s="135">
        <v>4765750</v>
      </c>
      <c r="F2729" s="136" t="s">
        <v>409</v>
      </c>
      <c r="G2729" s="137">
        <v>44944</v>
      </c>
      <c r="H2729" s="136"/>
      <c r="I2729" s="138">
        <v>66499670</v>
      </c>
      <c r="J2729" s="139"/>
      <c r="K2729" s="134"/>
      <c r="L2729" s="134"/>
      <c r="M2729" s="134"/>
      <c r="N2729" s="134"/>
      <c r="O2729" s="134"/>
      <c r="P2729" s="134"/>
      <c r="Q2729" s="134"/>
      <c r="R2729" s="134"/>
      <c r="S2729" s="134"/>
    </row>
    <row r="2730" spans="1:19">
      <c r="A2730" s="133" t="s">
        <v>843</v>
      </c>
      <c r="B2730" s="134" t="s">
        <v>845</v>
      </c>
      <c r="C2730" s="135">
        <v>61334900</v>
      </c>
      <c r="D2730" s="135">
        <v>55759000</v>
      </c>
      <c r="E2730" s="135">
        <v>5575900</v>
      </c>
      <c r="F2730" s="136" t="s">
        <v>409</v>
      </c>
      <c r="G2730" s="137">
        <v>44944</v>
      </c>
      <c r="H2730" s="136"/>
      <c r="I2730" s="138">
        <v>78021450</v>
      </c>
      <c r="J2730" s="139"/>
      <c r="K2730" s="134"/>
      <c r="L2730" s="134"/>
      <c r="M2730" s="134"/>
      <c r="N2730" s="134"/>
      <c r="O2730" s="134"/>
      <c r="P2730" s="134"/>
      <c r="Q2730" s="134"/>
      <c r="R2730" s="134"/>
      <c r="S2730" s="134"/>
    </row>
    <row r="2731" spans="1:19">
      <c r="A2731" s="133" t="s">
        <v>844</v>
      </c>
      <c r="B2731" s="134" t="s">
        <v>845</v>
      </c>
      <c r="C2731" s="135">
        <v>55562540</v>
      </c>
      <c r="D2731" s="135">
        <v>50511400</v>
      </c>
      <c r="E2731" s="135">
        <v>5051140</v>
      </c>
      <c r="F2731" s="136" t="s">
        <v>409</v>
      </c>
      <c r="G2731" s="137">
        <v>44945</v>
      </c>
      <c r="H2731" s="136"/>
      <c r="I2731" s="138">
        <v>30000000</v>
      </c>
      <c r="J2731" s="139" t="s">
        <v>849</v>
      </c>
      <c r="K2731" s="134"/>
      <c r="L2731" s="134"/>
      <c r="M2731" s="134"/>
      <c r="N2731" s="134"/>
      <c r="O2731" s="134"/>
      <c r="P2731" s="134"/>
      <c r="Q2731" s="134"/>
      <c r="R2731" s="134"/>
      <c r="S2731" s="134"/>
    </row>
    <row r="2732" spans="1:19">
      <c r="A2732" s="140" t="s">
        <v>835</v>
      </c>
      <c r="B2732" s="141" t="s">
        <v>845</v>
      </c>
      <c r="C2732" s="142">
        <v>68331670</v>
      </c>
      <c r="D2732" s="142">
        <v>62119700</v>
      </c>
      <c r="E2732" s="142">
        <v>6211970</v>
      </c>
      <c r="F2732" s="143" t="s">
        <v>409</v>
      </c>
      <c r="G2732" s="141"/>
      <c r="H2732" s="143"/>
      <c r="I2732" s="144"/>
      <c r="J2732" s="145"/>
      <c r="K2732" s="141"/>
      <c r="L2732" s="141"/>
      <c r="M2732" s="141"/>
      <c r="N2732" s="141"/>
      <c r="O2732" s="141"/>
      <c r="P2732" s="141"/>
      <c r="Q2732" s="141"/>
      <c r="R2732" s="141"/>
      <c r="S2732" s="141"/>
    </row>
    <row r="2733" spans="1:19">
      <c r="A2733" s="45">
        <v>44941</v>
      </c>
      <c r="B2733" s="14" t="s">
        <v>730</v>
      </c>
      <c r="C2733" s="46">
        <v>5667200</v>
      </c>
      <c r="D2733" s="46">
        <v>5152000</v>
      </c>
      <c r="E2733" s="46">
        <v>515200</v>
      </c>
      <c r="F2733" s="17" t="s">
        <v>612</v>
      </c>
      <c r="G2733" s="9">
        <v>44945</v>
      </c>
    </row>
    <row r="2734" spans="1:19">
      <c r="A2734" s="45">
        <v>44941</v>
      </c>
      <c r="B2734" s="14" t="s">
        <v>730</v>
      </c>
      <c r="C2734" s="46">
        <v>10321300</v>
      </c>
      <c r="D2734" s="46">
        <v>9383000</v>
      </c>
      <c r="E2734" s="46">
        <v>938300</v>
      </c>
      <c r="F2734" s="17" t="s">
        <v>457</v>
      </c>
      <c r="G2734" s="9">
        <v>44945</v>
      </c>
    </row>
    <row r="2735" spans="1:19">
      <c r="A2735" s="45">
        <v>44941</v>
      </c>
      <c r="B2735" s="14" t="s">
        <v>2</v>
      </c>
      <c r="C2735" s="46">
        <v>4273500</v>
      </c>
      <c r="D2735" s="46">
        <v>3885000</v>
      </c>
      <c r="E2735" s="46">
        <v>388500</v>
      </c>
      <c r="F2735" s="17" t="s">
        <v>766</v>
      </c>
      <c r="G2735" s="9">
        <v>44956</v>
      </c>
    </row>
    <row r="2736" spans="1:19">
      <c r="A2736" s="45">
        <v>44941</v>
      </c>
      <c r="B2736" s="14" t="s">
        <v>2</v>
      </c>
      <c r="C2736" s="46">
        <v>12874400</v>
      </c>
      <c r="D2736" s="46">
        <v>11704000</v>
      </c>
      <c r="E2736" s="46">
        <v>1170400</v>
      </c>
      <c r="F2736" s="17" t="s">
        <v>456</v>
      </c>
      <c r="G2736" s="9">
        <v>44956</v>
      </c>
    </row>
    <row r="2737" spans="1:7">
      <c r="A2737" s="45">
        <v>44941</v>
      </c>
      <c r="B2737" s="14" t="s">
        <v>2</v>
      </c>
      <c r="C2737" s="46">
        <v>15645300</v>
      </c>
      <c r="D2737" s="46">
        <v>14223000</v>
      </c>
      <c r="E2737" s="46">
        <v>1422300</v>
      </c>
      <c r="F2737" s="17" t="s">
        <v>424</v>
      </c>
      <c r="G2737" s="9">
        <v>44946</v>
      </c>
    </row>
    <row r="2738" spans="1:7">
      <c r="A2738" s="45">
        <v>44941</v>
      </c>
      <c r="B2738" s="14" t="s">
        <v>2</v>
      </c>
      <c r="C2738" s="46">
        <v>1584000</v>
      </c>
      <c r="D2738" s="46">
        <v>1440000</v>
      </c>
      <c r="E2738" s="46">
        <v>144000</v>
      </c>
      <c r="F2738" s="17" t="s">
        <v>756</v>
      </c>
      <c r="G2738" s="9">
        <v>44946</v>
      </c>
    </row>
    <row r="2739" spans="1:7">
      <c r="A2739" s="45">
        <v>44941</v>
      </c>
      <c r="B2739" s="14" t="s">
        <v>2</v>
      </c>
      <c r="C2739" s="46">
        <v>1452000</v>
      </c>
      <c r="D2739" s="46">
        <v>1320000</v>
      </c>
      <c r="E2739" s="46">
        <v>132000</v>
      </c>
      <c r="F2739" s="17" t="s">
        <v>714</v>
      </c>
      <c r="G2739" s="9">
        <v>44956</v>
      </c>
    </row>
    <row r="2740" spans="1:7">
      <c r="A2740" s="45">
        <v>44941</v>
      </c>
      <c r="B2740" s="14" t="s">
        <v>2</v>
      </c>
      <c r="C2740" s="46">
        <v>4620000</v>
      </c>
      <c r="D2740" s="46">
        <v>4200000</v>
      </c>
      <c r="E2740" s="46">
        <v>420000</v>
      </c>
      <c r="F2740" s="17" t="s">
        <v>306</v>
      </c>
      <c r="G2740" s="9">
        <v>44956</v>
      </c>
    </row>
    <row r="2741" spans="1:7">
      <c r="A2741" s="45">
        <v>44941</v>
      </c>
      <c r="B2741" s="14" t="s">
        <v>2</v>
      </c>
      <c r="C2741" s="46">
        <v>3247200</v>
      </c>
      <c r="D2741" s="46">
        <v>2952000</v>
      </c>
      <c r="E2741" s="46">
        <v>295200</v>
      </c>
      <c r="F2741" s="17" t="s">
        <v>734</v>
      </c>
      <c r="G2741" s="9">
        <v>44956</v>
      </c>
    </row>
    <row r="2742" spans="1:7">
      <c r="A2742" s="45">
        <v>44941</v>
      </c>
      <c r="B2742" s="14" t="s">
        <v>2</v>
      </c>
      <c r="C2742" s="46">
        <v>3335200</v>
      </c>
      <c r="D2742" s="46">
        <v>3032000</v>
      </c>
      <c r="E2742" s="46">
        <v>303200</v>
      </c>
      <c r="F2742" s="17" t="s">
        <v>315</v>
      </c>
      <c r="G2742" s="9">
        <v>44956</v>
      </c>
    </row>
    <row r="2743" spans="1:7">
      <c r="A2743" s="45">
        <v>44941</v>
      </c>
      <c r="B2743" s="14" t="s">
        <v>2</v>
      </c>
      <c r="C2743" s="46">
        <v>6468000</v>
      </c>
      <c r="D2743" s="46">
        <v>5880000</v>
      </c>
      <c r="E2743" s="46">
        <v>588000</v>
      </c>
      <c r="F2743" s="17" t="s">
        <v>646</v>
      </c>
      <c r="G2743" s="9">
        <v>44946</v>
      </c>
    </row>
    <row r="2744" spans="1:7">
      <c r="A2744" s="45">
        <v>44941</v>
      </c>
      <c r="B2744" s="14" t="s">
        <v>2</v>
      </c>
      <c r="C2744" s="46">
        <v>9636000</v>
      </c>
      <c r="D2744" s="46">
        <v>8760000</v>
      </c>
      <c r="E2744" s="46">
        <v>876000</v>
      </c>
      <c r="F2744" s="17" t="s">
        <v>611</v>
      </c>
      <c r="G2744" s="9">
        <v>44946</v>
      </c>
    </row>
    <row r="2745" spans="1:7">
      <c r="A2745" s="45">
        <v>44951</v>
      </c>
      <c r="B2745" s="14" t="s">
        <v>644</v>
      </c>
      <c r="C2745" s="46">
        <v>112200</v>
      </c>
      <c r="D2745" s="46">
        <v>102000</v>
      </c>
      <c r="E2745" s="46">
        <v>10200</v>
      </c>
      <c r="F2745" s="17" t="s">
        <v>641</v>
      </c>
      <c r="G2745" s="9">
        <v>44967</v>
      </c>
    </row>
    <row r="2746" spans="1:7">
      <c r="A2746" s="45">
        <v>44952</v>
      </c>
      <c r="B2746" s="14" t="s">
        <v>719</v>
      </c>
      <c r="C2746" s="46">
        <v>360800</v>
      </c>
      <c r="D2746" s="46">
        <v>328000</v>
      </c>
      <c r="E2746" s="46">
        <v>32800</v>
      </c>
      <c r="F2746" s="17" t="s">
        <v>710</v>
      </c>
      <c r="G2746" s="9">
        <v>44981</v>
      </c>
    </row>
    <row r="2747" spans="1:7">
      <c r="A2747" s="45">
        <v>44952</v>
      </c>
      <c r="B2747" s="14" t="s">
        <v>738</v>
      </c>
      <c r="C2747" s="46">
        <v>15480440</v>
      </c>
      <c r="D2747" s="46">
        <v>14073128</v>
      </c>
      <c r="E2747" s="46">
        <v>1407312</v>
      </c>
      <c r="F2747" s="17" t="s">
        <v>850</v>
      </c>
      <c r="G2747" s="9">
        <v>44963</v>
      </c>
    </row>
    <row r="2748" spans="1:7">
      <c r="A2748" s="45">
        <v>44952</v>
      </c>
      <c r="B2748" s="14" t="s">
        <v>740</v>
      </c>
      <c r="C2748" s="46">
        <v>3279360</v>
      </c>
      <c r="D2748" s="46">
        <v>2981236</v>
      </c>
      <c r="E2748" s="46">
        <v>298124</v>
      </c>
      <c r="F2748" s="17" t="s">
        <v>862</v>
      </c>
      <c r="G2748" s="9">
        <v>44957</v>
      </c>
    </row>
    <row r="2749" spans="1:7">
      <c r="A2749" s="45">
        <v>44957</v>
      </c>
      <c r="B2749" s="14" t="s">
        <v>761</v>
      </c>
      <c r="C2749" s="46">
        <v>770000</v>
      </c>
      <c r="D2749" s="46">
        <v>700000</v>
      </c>
      <c r="E2749" s="46">
        <v>70000</v>
      </c>
      <c r="F2749" s="17" t="s">
        <v>864</v>
      </c>
      <c r="G2749" s="9">
        <v>44966</v>
      </c>
    </row>
    <row r="2750" spans="1:7">
      <c r="A2750" s="45">
        <v>44957</v>
      </c>
      <c r="B2750" s="14" t="s">
        <v>750</v>
      </c>
      <c r="C2750" s="46">
        <v>973500</v>
      </c>
      <c r="D2750" s="46">
        <v>885000</v>
      </c>
      <c r="E2750" s="46">
        <v>88500</v>
      </c>
      <c r="F2750" s="17" t="s">
        <v>853</v>
      </c>
      <c r="G2750" s="9">
        <v>44967</v>
      </c>
    </row>
    <row r="2751" spans="1:7">
      <c r="A2751" s="45">
        <v>44957</v>
      </c>
      <c r="B2751" s="14" t="s">
        <v>812</v>
      </c>
      <c r="C2751" s="46">
        <v>5555684.2000000002</v>
      </c>
      <c r="D2751" s="46">
        <v>5050622</v>
      </c>
      <c r="E2751" s="46">
        <v>505062.2</v>
      </c>
      <c r="F2751" s="17" t="s">
        <v>837</v>
      </c>
      <c r="G2751" s="9">
        <v>44981</v>
      </c>
    </row>
    <row r="2752" spans="1:7">
      <c r="A2752" s="45">
        <v>44957</v>
      </c>
      <c r="B2752" s="14" t="s">
        <v>825</v>
      </c>
      <c r="C2752" s="46">
        <v>550000</v>
      </c>
      <c r="D2752" s="46">
        <v>500000</v>
      </c>
      <c r="E2752" s="46">
        <v>50000</v>
      </c>
      <c r="F2752" s="17" t="s">
        <v>13</v>
      </c>
      <c r="G2752" s="9">
        <v>44958</v>
      </c>
    </row>
    <row r="2753" spans="1:8">
      <c r="A2753" s="45">
        <v>44957</v>
      </c>
      <c r="B2753" s="14" t="s">
        <v>155</v>
      </c>
      <c r="C2753" s="46">
        <v>2981000</v>
      </c>
      <c r="D2753" s="46">
        <v>2710000</v>
      </c>
      <c r="E2753" s="46">
        <v>271000</v>
      </c>
      <c r="F2753" s="17" t="s">
        <v>13</v>
      </c>
      <c r="G2753" s="9">
        <v>44972</v>
      </c>
    </row>
    <row r="2754" spans="1:8">
      <c r="A2754" s="45">
        <v>44957</v>
      </c>
      <c r="B2754" s="14" t="s">
        <v>805</v>
      </c>
      <c r="C2754" s="46">
        <v>8976000</v>
      </c>
      <c r="D2754" s="46">
        <v>8160000</v>
      </c>
      <c r="E2754" s="46">
        <v>816000</v>
      </c>
      <c r="F2754" s="17" t="s">
        <v>727</v>
      </c>
      <c r="G2754" s="9">
        <v>44972</v>
      </c>
    </row>
    <row r="2755" spans="1:8">
      <c r="A2755" s="45">
        <v>44957</v>
      </c>
      <c r="B2755" s="14" t="s">
        <v>432</v>
      </c>
      <c r="C2755" s="46">
        <v>721600</v>
      </c>
      <c r="D2755" s="46">
        <v>656000</v>
      </c>
      <c r="E2755" s="46">
        <v>65600</v>
      </c>
      <c r="F2755" s="17" t="s">
        <v>702</v>
      </c>
      <c r="G2755" s="9">
        <v>44972</v>
      </c>
    </row>
    <row r="2756" spans="1:8">
      <c r="A2756" s="45">
        <v>44957</v>
      </c>
      <c r="B2756" s="14" t="s">
        <v>432</v>
      </c>
      <c r="C2756" s="46">
        <v>721600</v>
      </c>
      <c r="D2756" s="46">
        <v>656000</v>
      </c>
      <c r="E2756" s="46">
        <v>65600</v>
      </c>
      <c r="F2756" s="17" t="s">
        <v>811</v>
      </c>
      <c r="G2756" s="9">
        <v>44979</v>
      </c>
    </row>
    <row r="2757" spans="1:8">
      <c r="A2757" s="45">
        <v>44957</v>
      </c>
      <c r="B2757" s="14" t="s">
        <v>432</v>
      </c>
      <c r="C2757" s="46">
        <v>4540800</v>
      </c>
      <c r="D2757" s="46">
        <v>4128000</v>
      </c>
      <c r="E2757" s="46">
        <v>412800</v>
      </c>
      <c r="F2757" s="17" t="s">
        <v>857</v>
      </c>
      <c r="G2757" s="9">
        <v>44979</v>
      </c>
    </row>
    <row r="2758" spans="1:8">
      <c r="A2758" s="45">
        <v>44957</v>
      </c>
      <c r="B2758" s="14" t="s">
        <v>432</v>
      </c>
      <c r="C2758" s="46">
        <v>3834600</v>
      </c>
      <c r="D2758" s="46">
        <v>3486000</v>
      </c>
      <c r="E2758" s="46">
        <v>348600</v>
      </c>
      <c r="F2758" s="17" t="s">
        <v>165</v>
      </c>
      <c r="G2758" s="9">
        <v>44979</v>
      </c>
    </row>
    <row r="2759" spans="1:8">
      <c r="A2759" s="45">
        <v>44957</v>
      </c>
      <c r="B2759" s="14" t="s">
        <v>436</v>
      </c>
      <c r="C2759" s="46">
        <v>1172600</v>
      </c>
      <c r="D2759" s="46">
        <v>1066000</v>
      </c>
      <c r="E2759" s="46">
        <v>106600</v>
      </c>
      <c r="F2759" s="17" t="s">
        <v>588</v>
      </c>
      <c r="G2759" s="9">
        <v>44967</v>
      </c>
      <c r="H2759" s="17" t="s">
        <v>861</v>
      </c>
    </row>
    <row r="2760" spans="1:8">
      <c r="A2760" s="45">
        <v>44957</v>
      </c>
      <c r="B2760" s="14" t="s">
        <v>432</v>
      </c>
      <c r="C2760" s="46">
        <v>3960000</v>
      </c>
      <c r="D2760" s="46">
        <v>3600000</v>
      </c>
      <c r="E2760" s="46">
        <v>360000</v>
      </c>
      <c r="F2760" s="17" t="s">
        <v>255</v>
      </c>
      <c r="G2760" s="9">
        <v>44979</v>
      </c>
    </row>
    <row r="2761" spans="1:8">
      <c r="A2761" s="45">
        <v>44957</v>
      </c>
      <c r="B2761" s="14" t="s">
        <v>432</v>
      </c>
      <c r="C2761" s="46">
        <v>2197800</v>
      </c>
      <c r="D2761" s="46">
        <v>1998000</v>
      </c>
      <c r="E2761" s="46">
        <v>199800</v>
      </c>
      <c r="F2761" s="17" t="s">
        <v>757</v>
      </c>
      <c r="G2761" s="9">
        <v>44979</v>
      </c>
    </row>
    <row r="2762" spans="1:8">
      <c r="A2762" s="45">
        <v>44957</v>
      </c>
      <c r="B2762" s="14" t="s">
        <v>432</v>
      </c>
      <c r="C2762" s="46">
        <v>1188000</v>
      </c>
      <c r="D2762" s="46">
        <v>1080000</v>
      </c>
      <c r="E2762" s="46">
        <v>108000</v>
      </c>
      <c r="F2762" s="17" t="s">
        <v>320</v>
      </c>
      <c r="G2762" s="9">
        <v>44979</v>
      </c>
    </row>
    <row r="2763" spans="1:8">
      <c r="A2763" s="45">
        <v>44957</v>
      </c>
      <c r="B2763" s="14" t="s">
        <v>730</v>
      </c>
      <c r="C2763" s="46">
        <v>3716900</v>
      </c>
      <c r="D2763" s="46">
        <v>3379000</v>
      </c>
      <c r="E2763" s="46">
        <v>337900</v>
      </c>
      <c r="F2763" s="17" t="s">
        <v>612</v>
      </c>
      <c r="G2763" s="9">
        <v>44967</v>
      </c>
    </row>
    <row r="2764" spans="1:8">
      <c r="A2764" s="45">
        <v>44957</v>
      </c>
      <c r="B2764" s="14" t="s">
        <v>730</v>
      </c>
      <c r="C2764" s="46">
        <v>8369900</v>
      </c>
      <c r="D2764" s="46">
        <v>7609000</v>
      </c>
      <c r="E2764" s="46">
        <v>760900</v>
      </c>
      <c r="F2764" s="17" t="s">
        <v>457</v>
      </c>
      <c r="G2764" s="9">
        <v>44967</v>
      </c>
    </row>
    <row r="2765" spans="1:8">
      <c r="A2765" s="45">
        <v>44957</v>
      </c>
      <c r="B2765" s="14" t="s">
        <v>2</v>
      </c>
      <c r="C2765" s="46">
        <v>6741900</v>
      </c>
      <c r="D2765" s="46">
        <v>6129000</v>
      </c>
      <c r="E2765" s="46">
        <v>612900</v>
      </c>
      <c r="F2765" s="17" t="s">
        <v>858</v>
      </c>
      <c r="G2765" s="9">
        <v>44967</v>
      </c>
    </row>
    <row r="2766" spans="1:8">
      <c r="A2766" s="45">
        <v>44957</v>
      </c>
      <c r="B2766" s="14" t="s">
        <v>2</v>
      </c>
      <c r="C2766" s="46">
        <v>5088600</v>
      </c>
      <c r="D2766" s="46">
        <v>4626000</v>
      </c>
      <c r="E2766" s="46">
        <v>462600</v>
      </c>
      <c r="F2766" s="17" t="s">
        <v>859</v>
      </c>
      <c r="G2766" s="9">
        <v>44967</v>
      </c>
    </row>
    <row r="2767" spans="1:8">
      <c r="A2767" s="45">
        <v>44957</v>
      </c>
      <c r="B2767" s="14" t="s">
        <v>2</v>
      </c>
      <c r="C2767" s="46">
        <v>128700</v>
      </c>
      <c r="D2767" s="46">
        <v>117000</v>
      </c>
      <c r="E2767" s="46">
        <v>11700</v>
      </c>
      <c r="F2767" s="17" t="s">
        <v>860</v>
      </c>
      <c r="G2767" s="9">
        <v>44967</v>
      </c>
    </row>
    <row r="2768" spans="1:8">
      <c r="A2768" s="45">
        <v>44957</v>
      </c>
      <c r="B2768" s="14" t="s">
        <v>2</v>
      </c>
      <c r="C2768" s="46">
        <v>5027000</v>
      </c>
      <c r="D2768" s="46">
        <v>4570000</v>
      </c>
      <c r="E2768" s="46">
        <v>457000</v>
      </c>
      <c r="F2768" s="17" t="s">
        <v>766</v>
      </c>
      <c r="G2768" s="9">
        <v>44967</v>
      </c>
    </row>
    <row r="2769" spans="1:19">
      <c r="A2769" s="45">
        <v>44957</v>
      </c>
      <c r="B2769" s="14" t="s">
        <v>2</v>
      </c>
      <c r="C2769" s="46">
        <v>13272490</v>
      </c>
      <c r="D2769" s="46">
        <v>12065900</v>
      </c>
      <c r="E2769" s="46">
        <v>1206590</v>
      </c>
      <c r="F2769" s="17" t="s">
        <v>456</v>
      </c>
      <c r="G2769" s="9">
        <v>44967</v>
      </c>
    </row>
    <row r="2770" spans="1:19">
      <c r="A2770" s="45">
        <v>44957</v>
      </c>
      <c r="B2770" s="14" t="s">
        <v>2</v>
      </c>
      <c r="C2770" s="46">
        <v>17011500</v>
      </c>
      <c r="D2770" s="46">
        <v>15465000</v>
      </c>
      <c r="E2770" s="46">
        <v>1546500</v>
      </c>
      <c r="F2770" s="17" t="s">
        <v>424</v>
      </c>
      <c r="G2770" s="9">
        <v>44967</v>
      </c>
    </row>
    <row r="2771" spans="1:19">
      <c r="A2771" s="45">
        <v>44957</v>
      </c>
      <c r="B2771" s="14" t="s">
        <v>2</v>
      </c>
      <c r="C2771" s="46">
        <v>2376000</v>
      </c>
      <c r="D2771" s="46">
        <v>2160000</v>
      </c>
      <c r="E2771" s="46">
        <v>216000</v>
      </c>
      <c r="F2771" s="17" t="s">
        <v>756</v>
      </c>
      <c r="G2771" s="9">
        <v>44967</v>
      </c>
    </row>
    <row r="2772" spans="1:19">
      <c r="A2772" s="45">
        <v>44957</v>
      </c>
      <c r="B2772" s="14" t="s">
        <v>2</v>
      </c>
      <c r="C2772" s="46">
        <v>1584000</v>
      </c>
      <c r="D2772" s="46">
        <v>1440000</v>
      </c>
      <c r="E2772" s="46">
        <v>144000</v>
      </c>
      <c r="F2772" s="17" t="s">
        <v>714</v>
      </c>
      <c r="G2772" s="9">
        <v>44967</v>
      </c>
    </row>
    <row r="2773" spans="1:19">
      <c r="A2773" s="45">
        <v>44957</v>
      </c>
      <c r="B2773" s="14" t="s">
        <v>2</v>
      </c>
      <c r="C2773" s="46">
        <v>3542000</v>
      </c>
      <c r="D2773" s="46">
        <v>3220000</v>
      </c>
      <c r="E2773" s="46">
        <v>322000</v>
      </c>
      <c r="F2773" s="17" t="s">
        <v>306</v>
      </c>
      <c r="G2773" s="9">
        <v>44967</v>
      </c>
    </row>
    <row r="2774" spans="1:19">
      <c r="A2774" s="45">
        <v>44957</v>
      </c>
      <c r="B2774" s="14" t="s">
        <v>2</v>
      </c>
      <c r="C2774" s="46">
        <v>3405600</v>
      </c>
      <c r="D2774" s="46">
        <v>3096000</v>
      </c>
      <c r="E2774" s="46">
        <v>309600</v>
      </c>
      <c r="F2774" s="17" t="s">
        <v>734</v>
      </c>
      <c r="G2774" s="9">
        <v>44967</v>
      </c>
    </row>
    <row r="2775" spans="1:19">
      <c r="A2775" s="45">
        <v>44957</v>
      </c>
      <c r="B2775" s="14" t="s">
        <v>2</v>
      </c>
      <c r="C2775" s="46">
        <v>3404500</v>
      </c>
      <c r="D2775" s="46">
        <v>3095000</v>
      </c>
      <c r="E2775" s="46">
        <v>309500</v>
      </c>
      <c r="F2775" s="17" t="s">
        <v>315</v>
      </c>
      <c r="G2775" s="9">
        <v>44967</v>
      </c>
    </row>
    <row r="2776" spans="1:19">
      <c r="A2776" s="45">
        <v>44957</v>
      </c>
      <c r="B2776" s="14" t="s">
        <v>2</v>
      </c>
      <c r="C2776" s="46">
        <v>2508000</v>
      </c>
      <c r="D2776" s="46">
        <v>2280000</v>
      </c>
      <c r="E2776" s="46">
        <v>228000</v>
      </c>
      <c r="F2776" s="17" t="s">
        <v>646</v>
      </c>
      <c r="G2776" s="9">
        <v>44967</v>
      </c>
    </row>
    <row r="2777" spans="1:19">
      <c r="A2777" s="45">
        <v>44957</v>
      </c>
      <c r="B2777" s="14" t="s">
        <v>2</v>
      </c>
      <c r="C2777" s="46">
        <v>6336000</v>
      </c>
      <c r="D2777" s="46">
        <v>5760000</v>
      </c>
      <c r="E2777" s="46">
        <v>576000</v>
      </c>
      <c r="F2777" s="17" t="s">
        <v>611</v>
      </c>
      <c r="G2777" s="9">
        <v>44967</v>
      </c>
    </row>
    <row r="2778" spans="1:19">
      <c r="A2778" s="45">
        <v>44957</v>
      </c>
      <c r="B2778" s="14" t="s">
        <v>752</v>
      </c>
      <c r="C2778" s="46">
        <v>1320000</v>
      </c>
      <c r="D2778" s="46">
        <v>1200000</v>
      </c>
      <c r="E2778" s="46">
        <v>120000</v>
      </c>
      <c r="F2778" s="17" t="s">
        <v>753</v>
      </c>
      <c r="G2778" s="9">
        <v>44967</v>
      </c>
    </row>
    <row r="2779" spans="1:19">
      <c r="A2779" s="45">
        <v>44957</v>
      </c>
      <c r="B2779" s="14" t="s">
        <v>15</v>
      </c>
      <c r="C2779" s="46">
        <v>13420000</v>
      </c>
      <c r="D2779" s="46">
        <v>12200000</v>
      </c>
      <c r="E2779" s="46">
        <v>1220000</v>
      </c>
      <c r="F2779" s="17" t="s">
        <v>459</v>
      </c>
      <c r="G2779" s="9">
        <v>44967</v>
      </c>
    </row>
    <row r="2780" spans="1:19">
      <c r="A2780" s="45">
        <v>44957</v>
      </c>
      <c r="B2780" s="14" t="s">
        <v>769</v>
      </c>
      <c r="C2780" s="46">
        <v>14896200</v>
      </c>
      <c r="D2780" s="46">
        <v>13542000</v>
      </c>
      <c r="E2780" s="46">
        <v>1354200</v>
      </c>
      <c r="F2780" s="17" t="s">
        <v>305</v>
      </c>
      <c r="G2780" s="9">
        <v>44967</v>
      </c>
    </row>
    <row r="2781" spans="1:19">
      <c r="A2781" s="45">
        <v>44957</v>
      </c>
      <c r="B2781" s="14" t="s">
        <v>769</v>
      </c>
      <c r="C2781" s="46">
        <v>23597200</v>
      </c>
      <c r="D2781" s="46">
        <v>21452000</v>
      </c>
      <c r="E2781" s="46">
        <v>2145200</v>
      </c>
      <c r="F2781" s="17" t="s">
        <v>705</v>
      </c>
      <c r="G2781" s="9">
        <v>44967</v>
      </c>
    </row>
    <row r="2782" spans="1:19">
      <c r="A2782" s="45">
        <v>44957</v>
      </c>
      <c r="B2782" s="14" t="s">
        <v>769</v>
      </c>
      <c r="C2782" s="46">
        <v>2959000</v>
      </c>
      <c r="D2782" s="46">
        <v>2690000</v>
      </c>
      <c r="E2782" s="46">
        <v>269000</v>
      </c>
      <c r="F2782" s="17" t="s">
        <v>386</v>
      </c>
      <c r="G2782" s="9">
        <v>44967</v>
      </c>
      <c r="I2782" s="304" t="s">
        <v>545</v>
      </c>
      <c r="J2782" s="304"/>
      <c r="K2782" s="304"/>
    </row>
    <row r="2783" spans="1:19">
      <c r="A2783" s="45">
        <v>44957</v>
      </c>
      <c r="B2783" s="14" t="s">
        <v>769</v>
      </c>
      <c r="C2783" s="46">
        <v>50152300</v>
      </c>
      <c r="D2783" s="46">
        <v>45593000</v>
      </c>
      <c r="E2783" s="46">
        <v>4559300</v>
      </c>
      <c r="F2783" s="17" t="s">
        <v>387</v>
      </c>
      <c r="G2783" s="9">
        <v>44967</v>
      </c>
      <c r="I2783" s="18" t="s">
        <v>46</v>
      </c>
      <c r="J2783" s="36" t="s">
        <v>47</v>
      </c>
      <c r="K2783" s="36" t="s">
        <v>48</v>
      </c>
    </row>
    <row r="2784" spans="1:19">
      <c r="A2784" s="119">
        <v>44957</v>
      </c>
      <c r="B2784" s="42" t="s">
        <v>769</v>
      </c>
      <c r="C2784" s="118">
        <v>10570450</v>
      </c>
      <c r="D2784" s="118">
        <v>9609500</v>
      </c>
      <c r="E2784" s="118">
        <v>960950</v>
      </c>
      <c r="F2784" s="51" t="s">
        <v>863</v>
      </c>
      <c r="G2784" s="10">
        <v>44967</v>
      </c>
      <c r="H2784" s="51"/>
      <c r="I2784" s="18">
        <f>SUM(C2733:C2784)</f>
        <v>335928324.19999999</v>
      </c>
      <c r="J2784" s="18">
        <f>SUM(D2733:D2784)</f>
        <v>305389386</v>
      </c>
      <c r="K2784" s="18">
        <f>SUM(E2733:E2784)</f>
        <v>30538938.199999999</v>
      </c>
      <c r="L2784" s="42"/>
      <c r="M2784" s="42"/>
      <c r="N2784" s="42"/>
      <c r="O2784" s="42"/>
      <c r="P2784" s="42"/>
      <c r="Q2784" s="42"/>
      <c r="R2784" s="42"/>
      <c r="S2784" s="42"/>
    </row>
    <row r="2785" spans="1:7">
      <c r="A2785" s="45">
        <v>44965</v>
      </c>
      <c r="B2785" s="14" t="s">
        <v>740</v>
      </c>
      <c r="C2785" s="46">
        <v>3279380</v>
      </c>
      <c r="D2785" s="46">
        <v>2981255</v>
      </c>
      <c r="E2785" s="46">
        <v>298125</v>
      </c>
      <c r="F2785" s="17" t="s">
        <v>862</v>
      </c>
      <c r="G2785" s="9">
        <v>44970</v>
      </c>
    </row>
    <row r="2786" spans="1:7">
      <c r="A2786" s="45">
        <v>44972</v>
      </c>
      <c r="B2786" s="14" t="s">
        <v>730</v>
      </c>
      <c r="C2786" s="46">
        <v>3766400</v>
      </c>
      <c r="D2786" s="46">
        <v>3424000</v>
      </c>
      <c r="E2786" s="46">
        <v>342400</v>
      </c>
      <c r="F2786" s="17" t="s">
        <v>612</v>
      </c>
      <c r="G2786" s="9">
        <v>44995</v>
      </c>
    </row>
    <row r="2787" spans="1:7">
      <c r="A2787" s="45">
        <v>44972</v>
      </c>
      <c r="B2787" s="14" t="s">
        <v>730</v>
      </c>
      <c r="C2787" s="46">
        <v>5361400</v>
      </c>
      <c r="D2787" s="46">
        <v>4874000</v>
      </c>
      <c r="E2787" s="46">
        <v>487400</v>
      </c>
      <c r="F2787" s="17" t="s">
        <v>457</v>
      </c>
      <c r="G2787" s="9">
        <v>44995</v>
      </c>
    </row>
    <row r="2788" spans="1:7">
      <c r="A2788" s="45">
        <v>44972</v>
      </c>
      <c r="B2788" s="14" t="s">
        <v>2</v>
      </c>
      <c r="C2788" s="46">
        <v>5219500</v>
      </c>
      <c r="D2788" s="46">
        <v>4745000</v>
      </c>
      <c r="E2788" s="46">
        <v>474500</v>
      </c>
      <c r="F2788" s="17" t="s">
        <v>766</v>
      </c>
      <c r="G2788" s="9">
        <v>44985</v>
      </c>
    </row>
    <row r="2789" spans="1:7">
      <c r="A2789" s="45">
        <v>44972</v>
      </c>
      <c r="B2789" s="14" t="s">
        <v>2</v>
      </c>
      <c r="C2789" s="46">
        <v>10171150</v>
      </c>
      <c r="D2789" s="46">
        <v>9246500</v>
      </c>
      <c r="E2789" s="46">
        <v>924650</v>
      </c>
      <c r="F2789" s="17" t="s">
        <v>456</v>
      </c>
      <c r="G2789" s="9">
        <v>44985</v>
      </c>
    </row>
    <row r="2790" spans="1:7">
      <c r="A2790" s="45">
        <v>44972</v>
      </c>
      <c r="B2790" s="14" t="s">
        <v>2</v>
      </c>
      <c r="C2790" s="46">
        <v>16837700</v>
      </c>
      <c r="D2790" s="46">
        <v>15307000</v>
      </c>
      <c r="E2790" s="46">
        <v>1530700</v>
      </c>
      <c r="F2790" s="17" t="s">
        <v>424</v>
      </c>
      <c r="G2790" s="9">
        <v>44985</v>
      </c>
    </row>
    <row r="2791" spans="1:7">
      <c r="A2791" s="45">
        <v>44972</v>
      </c>
      <c r="B2791" s="14" t="s">
        <v>2</v>
      </c>
      <c r="C2791" s="46">
        <v>1980000</v>
      </c>
      <c r="D2791" s="46">
        <v>1800000</v>
      </c>
      <c r="E2791" s="46">
        <v>180000</v>
      </c>
      <c r="F2791" s="17" t="s">
        <v>756</v>
      </c>
      <c r="G2791" s="9">
        <v>44985</v>
      </c>
    </row>
    <row r="2792" spans="1:7">
      <c r="A2792" s="45">
        <v>44972</v>
      </c>
      <c r="B2792" s="14" t="s">
        <v>2</v>
      </c>
      <c r="C2792" s="46">
        <v>1320000</v>
      </c>
      <c r="D2792" s="46">
        <v>1200000</v>
      </c>
      <c r="E2792" s="46">
        <v>120000</v>
      </c>
      <c r="F2792" s="17" t="s">
        <v>714</v>
      </c>
      <c r="G2792" s="9">
        <v>44985</v>
      </c>
    </row>
    <row r="2793" spans="1:7">
      <c r="A2793" s="45">
        <v>44972</v>
      </c>
      <c r="B2793" s="14" t="s">
        <v>2</v>
      </c>
      <c r="C2793" s="46">
        <v>3168000</v>
      </c>
      <c r="D2793" s="46">
        <v>2880000</v>
      </c>
      <c r="E2793" s="46">
        <v>288000</v>
      </c>
      <c r="F2793" s="17" t="s">
        <v>306</v>
      </c>
      <c r="G2793" s="9">
        <v>44985</v>
      </c>
    </row>
    <row r="2794" spans="1:7">
      <c r="A2794" s="45">
        <v>44972</v>
      </c>
      <c r="B2794" s="14" t="s">
        <v>2</v>
      </c>
      <c r="C2794" s="46">
        <v>3537600</v>
      </c>
      <c r="D2794" s="46">
        <v>3216000</v>
      </c>
      <c r="E2794" s="46">
        <v>321600</v>
      </c>
      <c r="F2794" s="17" t="s">
        <v>734</v>
      </c>
      <c r="G2794" s="9">
        <v>44995</v>
      </c>
    </row>
    <row r="2795" spans="1:7">
      <c r="A2795" s="45">
        <v>44972</v>
      </c>
      <c r="B2795" s="14" t="s">
        <v>2</v>
      </c>
      <c r="C2795" s="46">
        <v>2916100</v>
      </c>
      <c r="D2795" s="46">
        <v>2651000</v>
      </c>
      <c r="E2795" s="46">
        <v>265100</v>
      </c>
      <c r="F2795" s="17" t="s">
        <v>315</v>
      </c>
      <c r="G2795" s="9">
        <v>44985</v>
      </c>
    </row>
    <row r="2796" spans="1:7">
      <c r="A2796" s="45">
        <v>44972</v>
      </c>
      <c r="B2796" s="14" t="s">
        <v>2</v>
      </c>
      <c r="C2796" s="46">
        <v>6336000</v>
      </c>
      <c r="D2796" s="46">
        <v>5760000</v>
      </c>
      <c r="E2796" s="46">
        <v>576000</v>
      </c>
      <c r="F2796" s="17" t="s">
        <v>646</v>
      </c>
      <c r="G2796" s="9">
        <v>44985</v>
      </c>
    </row>
    <row r="2797" spans="1:7">
      <c r="A2797" s="45">
        <v>44972</v>
      </c>
      <c r="B2797" s="14" t="s">
        <v>2</v>
      </c>
      <c r="C2797" s="46">
        <v>3300000</v>
      </c>
      <c r="D2797" s="46">
        <v>3000000</v>
      </c>
      <c r="E2797" s="46">
        <v>300000</v>
      </c>
      <c r="F2797" s="17" t="s">
        <v>611</v>
      </c>
      <c r="G2797" s="9">
        <v>44985</v>
      </c>
    </row>
    <row r="2798" spans="1:7">
      <c r="A2798" s="45">
        <v>44981</v>
      </c>
      <c r="B2798" s="14" t="s">
        <v>738</v>
      </c>
      <c r="C2798" s="46">
        <v>15724630</v>
      </c>
      <c r="D2798" s="46">
        <v>14295120</v>
      </c>
      <c r="E2798" s="46">
        <v>1429510</v>
      </c>
      <c r="F2798" s="17" t="s">
        <v>872</v>
      </c>
      <c r="G2798" s="9">
        <v>44988</v>
      </c>
    </row>
    <row r="2799" spans="1:7">
      <c r="A2799" s="45">
        <v>44982</v>
      </c>
      <c r="B2799" s="14" t="s">
        <v>719</v>
      </c>
      <c r="C2799" s="46">
        <v>1082400</v>
      </c>
      <c r="D2799" s="46">
        <v>984000</v>
      </c>
      <c r="E2799" s="46">
        <v>98400</v>
      </c>
      <c r="F2799" s="17" t="s">
        <v>710</v>
      </c>
      <c r="G2799" s="9">
        <v>45002</v>
      </c>
    </row>
    <row r="2800" spans="1:7">
      <c r="A2800" s="45">
        <v>44985</v>
      </c>
      <c r="B2800" s="14" t="s">
        <v>750</v>
      </c>
      <c r="C2800" s="46">
        <v>1122000</v>
      </c>
      <c r="D2800" s="46">
        <v>1020000</v>
      </c>
      <c r="E2800" s="46">
        <v>102000</v>
      </c>
      <c r="F2800" s="17" t="s">
        <v>853</v>
      </c>
      <c r="G2800" s="9">
        <v>44995</v>
      </c>
    </row>
    <row r="2801" spans="1:7">
      <c r="A2801" s="45">
        <v>44985</v>
      </c>
      <c r="B2801" s="14" t="s">
        <v>761</v>
      </c>
      <c r="C2801" s="46">
        <v>770000</v>
      </c>
      <c r="D2801" s="46">
        <v>700000</v>
      </c>
      <c r="E2801" s="46">
        <v>70000</v>
      </c>
      <c r="F2801" s="17" t="s">
        <v>762</v>
      </c>
      <c r="G2801" s="9">
        <v>44994</v>
      </c>
    </row>
    <row r="2802" spans="1:7">
      <c r="A2802" s="45">
        <v>44985</v>
      </c>
      <c r="B2802" s="14" t="s">
        <v>82</v>
      </c>
      <c r="C2802" s="46">
        <v>352000</v>
      </c>
      <c r="D2802" s="46">
        <v>320000</v>
      </c>
      <c r="E2802" s="46">
        <v>32000</v>
      </c>
      <c r="F2802" s="17" t="s">
        <v>13</v>
      </c>
      <c r="G2802" s="9">
        <v>45000</v>
      </c>
    </row>
    <row r="2803" spans="1:7">
      <c r="A2803" s="45">
        <v>44985</v>
      </c>
      <c r="B2803" s="14" t="s">
        <v>805</v>
      </c>
      <c r="C2803" s="46">
        <v>7788000</v>
      </c>
      <c r="D2803" s="46">
        <v>7080000</v>
      </c>
      <c r="E2803" s="46">
        <v>708000</v>
      </c>
      <c r="F2803" s="17" t="s">
        <v>727</v>
      </c>
      <c r="G2803" s="9">
        <v>45000</v>
      </c>
    </row>
    <row r="2804" spans="1:7">
      <c r="A2804" s="45">
        <v>44985</v>
      </c>
      <c r="B2804" s="14" t="s">
        <v>728</v>
      </c>
      <c r="C2804" s="46">
        <v>213400</v>
      </c>
      <c r="D2804" s="46">
        <v>194000</v>
      </c>
      <c r="E2804" s="46">
        <v>19400</v>
      </c>
      <c r="F2804" s="17" t="s">
        <v>729</v>
      </c>
      <c r="G2804" s="9">
        <v>45000</v>
      </c>
    </row>
    <row r="2805" spans="1:7">
      <c r="A2805" s="45">
        <v>44985</v>
      </c>
      <c r="B2805" s="14" t="s">
        <v>671</v>
      </c>
      <c r="C2805" s="46">
        <v>106700</v>
      </c>
      <c r="D2805" s="46">
        <v>97000</v>
      </c>
      <c r="E2805" s="46">
        <v>9700</v>
      </c>
      <c r="F2805" s="17" t="s">
        <v>241</v>
      </c>
      <c r="G2805" s="9">
        <v>45000</v>
      </c>
    </row>
    <row r="2806" spans="1:7">
      <c r="A2806" s="45">
        <v>44985</v>
      </c>
      <c r="B2806" s="14" t="s">
        <v>436</v>
      </c>
      <c r="C2806" s="46">
        <v>541200</v>
      </c>
      <c r="D2806" s="46">
        <v>492000</v>
      </c>
      <c r="E2806" s="46">
        <v>49200</v>
      </c>
      <c r="F2806" s="17" t="s">
        <v>588</v>
      </c>
      <c r="G2806" s="9">
        <v>44995</v>
      </c>
    </row>
    <row r="2807" spans="1:7">
      <c r="A2807" s="45">
        <v>44985</v>
      </c>
      <c r="B2807" s="14" t="s">
        <v>432</v>
      </c>
      <c r="C2807" s="46">
        <v>528000</v>
      </c>
      <c r="D2807" s="46">
        <v>480000</v>
      </c>
      <c r="E2807" s="46">
        <v>48000</v>
      </c>
      <c r="F2807" s="17" t="s">
        <v>165</v>
      </c>
      <c r="G2807" s="9">
        <v>45007</v>
      </c>
    </row>
    <row r="2808" spans="1:7">
      <c r="A2808" s="45">
        <v>44985</v>
      </c>
      <c r="B2808" s="14" t="s">
        <v>432</v>
      </c>
      <c r="C2808" s="46">
        <v>631400</v>
      </c>
      <c r="D2808" s="46">
        <v>574000</v>
      </c>
      <c r="E2808" s="46">
        <v>57400</v>
      </c>
      <c r="F2808" s="17" t="s">
        <v>811</v>
      </c>
      <c r="G2808" s="9">
        <v>45005</v>
      </c>
    </row>
    <row r="2809" spans="1:7">
      <c r="A2809" s="45">
        <v>44985</v>
      </c>
      <c r="B2809" s="14" t="s">
        <v>432</v>
      </c>
      <c r="C2809" s="46">
        <v>2508000</v>
      </c>
      <c r="D2809" s="46">
        <v>2280000</v>
      </c>
      <c r="E2809" s="46">
        <v>228000</v>
      </c>
      <c r="F2809" s="17" t="s">
        <v>255</v>
      </c>
      <c r="G2809" s="9">
        <v>45005</v>
      </c>
    </row>
    <row r="2810" spans="1:7">
      <c r="A2810" s="45">
        <v>44985</v>
      </c>
      <c r="B2810" s="14" t="s">
        <v>432</v>
      </c>
      <c r="C2810" s="46">
        <v>1493800</v>
      </c>
      <c r="D2810" s="46">
        <v>1358000</v>
      </c>
      <c r="E2810" s="46">
        <v>135800</v>
      </c>
      <c r="F2810" s="17" t="s">
        <v>757</v>
      </c>
      <c r="G2810" s="9">
        <v>45005</v>
      </c>
    </row>
    <row r="2811" spans="1:7">
      <c r="A2811" s="45">
        <v>44985</v>
      </c>
      <c r="B2811" s="14" t="s">
        <v>432</v>
      </c>
      <c r="C2811" s="46">
        <v>4374150</v>
      </c>
      <c r="D2811" s="46">
        <v>3976500</v>
      </c>
      <c r="E2811" s="46">
        <v>397650</v>
      </c>
      <c r="F2811" s="17" t="s">
        <v>857</v>
      </c>
      <c r="G2811" s="9">
        <v>45005</v>
      </c>
    </row>
    <row r="2812" spans="1:7">
      <c r="A2812" s="45">
        <v>44985</v>
      </c>
      <c r="B2812" s="14" t="s">
        <v>432</v>
      </c>
      <c r="C2812" s="46">
        <v>132000</v>
      </c>
      <c r="D2812" s="46">
        <v>120000</v>
      </c>
      <c r="E2812" s="46">
        <v>12000</v>
      </c>
      <c r="F2812" s="17" t="s">
        <v>320</v>
      </c>
      <c r="G2812" s="9">
        <v>45007</v>
      </c>
    </row>
    <row r="2813" spans="1:7">
      <c r="A2813" s="45">
        <v>44985</v>
      </c>
      <c r="B2813" s="14" t="s">
        <v>432</v>
      </c>
      <c r="C2813" s="46">
        <v>924000</v>
      </c>
      <c r="D2813" s="46">
        <v>840000</v>
      </c>
      <c r="E2813" s="46">
        <v>84000</v>
      </c>
      <c r="F2813" s="17" t="s">
        <v>571</v>
      </c>
      <c r="G2813" s="9">
        <v>45007</v>
      </c>
    </row>
    <row r="2814" spans="1:7">
      <c r="A2814" s="45">
        <v>44985</v>
      </c>
      <c r="B2814" s="14" t="s">
        <v>730</v>
      </c>
      <c r="C2814" s="46">
        <v>3286800</v>
      </c>
      <c r="D2814" s="46">
        <v>2988000</v>
      </c>
      <c r="E2814" s="46">
        <v>298800</v>
      </c>
      <c r="F2814" s="17" t="s">
        <v>612</v>
      </c>
      <c r="G2814" s="9">
        <v>44995</v>
      </c>
    </row>
    <row r="2815" spans="1:7">
      <c r="A2815" s="45">
        <v>44985</v>
      </c>
      <c r="B2815" s="14" t="s">
        <v>730</v>
      </c>
      <c r="C2815" s="46">
        <v>4161300</v>
      </c>
      <c r="D2815" s="46">
        <v>3783000</v>
      </c>
      <c r="E2815" s="46">
        <v>378300</v>
      </c>
      <c r="F2815" s="17" t="s">
        <v>457</v>
      </c>
      <c r="G2815" s="9">
        <v>44995</v>
      </c>
    </row>
    <row r="2816" spans="1:7">
      <c r="A2816" s="45">
        <v>44985</v>
      </c>
      <c r="B2816" s="14" t="s">
        <v>2</v>
      </c>
      <c r="C2816" s="46">
        <v>2861100</v>
      </c>
      <c r="D2816" s="46">
        <v>2601000</v>
      </c>
      <c r="E2816" s="46">
        <v>260100</v>
      </c>
      <c r="F2816" s="17" t="s">
        <v>858</v>
      </c>
      <c r="G2816" s="9">
        <v>44995</v>
      </c>
    </row>
    <row r="2817" spans="1:7">
      <c r="A2817" s="45">
        <v>44985</v>
      </c>
      <c r="B2817" s="14" t="s">
        <v>2</v>
      </c>
      <c r="C2817" s="46">
        <v>1883200</v>
      </c>
      <c r="D2817" s="46">
        <v>1712000</v>
      </c>
      <c r="E2817" s="46">
        <v>171200</v>
      </c>
      <c r="F2817" s="17" t="s">
        <v>859</v>
      </c>
      <c r="G2817" s="9">
        <v>45005</v>
      </c>
    </row>
    <row r="2818" spans="1:7">
      <c r="A2818" s="45">
        <v>44985</v>
      </c>
      <c r="B2818" s="14" t="s">
        <v>2</v>
      </c>
      <c r="C2818" s="46">
        <v>2640000</v>
      </c>
      <c r="D2818" s="46">
        <v>2400000</v>
      </c>
      <c r="E2818" s="46">
        <v>240000</v>
      </c>
      <c r="F2818" s="17" t="s">
        <v>865</v>
      </c>
      <c r="G2818" s="9">
        <v>44995</v>
      </c>
    </row>
    <row r="2819" spans="1:7">
      <c r="A2819" s="45">
        <v>44985</v>
      </c>
      <c r="B2819" s="14" t="s">
        <v>2</v>
      </c>
      <c r="C2819" s="46">
        <v>4653000</v>
      </c>
      <c r="D2819" s="46">
        <v>4230000</v>
      </c>
      <c r="E2819" s="46">
        <v>423000</v>
      </c>
      <c r="F2819" s="17" t="s">
        <v>766</v>
      </c>
      <c r="G2819" s="9">
        <v>44995</v>
      </c>
    </row>
    <row r="2820" spans="1:7">
      <c r="A2820" s="45">
        <v>44985</v>
      </c>
      <c r="B2820" s="14" t="s">
        <v>2</v>
      </c>
      <c r="C2820" s="46">
        <v>6633000</v>
      </c>
      <c r="D2820" s="46">
        <v>6030000</v>
      </c>
      <c r="E2820" s="46">
        <v>603000</v>
      </c>
      <c r="F2820" s="17" t="s">
        <v>456</v>
      </c>
      <c r="G2820" s="9">
        <v>44995</v>
      </c>
    </row>
    <row r="2821" spans="1:7">
      <c r="A2821" s="45">
        <v>44985</v>
      </c>
      <c r="B2821" s="14" t="s">
        <v>2</v>
      </c>
      <c r="C2821" s="46">
        <v>13691700</v>
      </c>
      <c r="D2821" s="46">
        <v>12447000</v>
      </c>
      <c r="E2821" s="46">
        <v>1244700</v>
      </c>
      <c r="F2821" s="17" t="s">
        <v>424</v>
      </c>
      <c r="G2821" s="9">
        <v>44995</v>
      </c>
    </row>
    <row r="2822" spans="1:7">
      <c r="A2822" s="45">
        <v>44985</v>
      </c>
      <c r="B2822" s="14" t="s">
        <v>2</v>
      </c>
      <c r="C2822" s="46">
        <v>1716000</v>
      </c>
      <c r="D2822" s="46">
        <v>1560000</v>
      </c>
      <c r="E2822" s="46">
        <v>156000</v>
      </c>
      <c r="F2822" s="17" t="s">
        <v>756</v>
      </c>
      <c r="G2822" s="9">
        <v>44995</v>
      </c>
    </row>
    <row r="2823" spans="1:7">
      <c r="A2823" s="45">
        <v>44985</v>
      </c>
      <c r="B2823" s="14" t="s">
        <v>2</v>
      </c>
      <c r="C2823" s="46">
        <v>1320000</v>
      </c>
      <c r="D2823" s="46">
        <v>1200000</v>
      </c>
      <c r="E2823" s="46">
        <v>120000</v>
      </c>
      <c r="F2823" s="17" t="s">
        <v>714</v>
      </c>
      <c r="G2823" s="9">
        <v>44995</v>
      </c>
    </row>
    <row r="2824" spans="1:7">
      <c r="A2824" s="45">
        <v>44985</v>
      </c>
      <c r="B2824" s="14" t="s">
        <v>2</v>
      </c>
      <c r="C2824" s="46">
        <v>1848000</v>
      </c>
      <c r="D2824" s="46">
        <v>1680000</v>
      </c>
      <c r="E2824" s="46">
        <v>168000</v>
      </c>
      <c r="F2824" s="17" t="s">
        <v>306</v>
      </c>
      <c r="G2824" s="9">
        <v>44995</v>
      </c>
    </row>
    <row r="2825" spans="1:7">
      <c r="A2825" s="45">
        <v>44985</v>
      </c>
      <c r="B2825" s="14" t="s">
        <v>2</v>
      </c>
      <c r="C2825" s="46">
        <v>4041400</v>
      </c>
      <c r="D2825" s="46">
        <v>3674000</v>
      </c>
      <c r="E2825" s="46">
        <v>367400</v>
      </c>
      <c r="F2825" s="17" t="s">
        <v>734</v>
      </c>
      <c r="G2825" s="9">
        <v>44995</v>
      </c>
    </row>
    <row r="2826" spans="1:7">
      <c r="A2826" s="45">
        <v>44985</v>
      </c>
      <c r="B2826" s="14" t="s">
        <v>2</v>
      </c>
      <c r="C2826" s="46">
        <v>3369300</v>
      </c>
      <c r="D2826" s="46">
        <v>3063000</v>
      </c>
      <c r="E2826" s="46">
        <v>306300</v>
      </c>
      <c r="F2826" s="17" t="s">
        <v>315</v>
      </c>
      <c r="G2826" s="9">
        <v>44995</v>
      </c>
    </row>
    <row r="2827" spans="1:7">
      <c r="A2827" s="45">
        <v>44985</v>
      </c>
      <c r="B2827" s="14" t="s">
        <v>2</v>
      </c>
      <c r="C2827" s="46">
        <v>5412000</v>
      </c>
      <c r="D2827" s="46">
        <v>4920000</v>
      </c>
      <c r="E2827" s="46">
        <v>492000</v>
      </c>
      <c r="F2827" s="17" t="s">
        <v>646</v>
      </c>
      <c r="G2827" s="9">
        <v>44995</v>
      </c>
    </row>
    <row r="2828" spans="1:7">
      <c r="A2828" s="45">
        <v>44985</v>
      </c>
      <c r="B2828" s="14" t="s">
        <v>2</v>
      </c>
      <c r="C2828" s="46">
        <v>7920000</v>
      </c>
      <c r="D2828" s="46">
        <v>7200000</v>
      </c>
      <c r="E2828" s="46">
        <v>720000</v>
      </c>
      <c r="F2828" s="17" t="s">
        <v>611</v>
      </c>
      <c r="G2828" s="9">
        <v>44995</v>
      </c>
    </row>
    <row r="2829" spans="1:7">
      <c r="A2829" s="45">
        <v>44985</v>
      </c>
      <c r="B2829" s="14" t="s">
        <v>752</v>
      </c>
      <c r="C2829" s="46">
        <v>1650000</v>
      </c>
      <c r="D2829" s="46">
        <v>1500000</v>
      </c>
      <c r="E2829" s="46">
        <v>150000</v>
      </c>
      <c r="F2829" s="17" t="s">
        <v>753</v>
      </c>
      <c r="G2829" s="9">
        <v>44995</v>
      </c>
    </row>
    <row r="2830" spans="1:7">
      <c r="A2830" s="45">
        <v>44985</v>
      </c>
      <c r="B2830" s="14" t="s">
        <v>15</v>
      </c>
      <c r="C2830" s="46">
        <v>10333400</v>
      </c>
      <c r="D2830" s="46">
        <v>9394000</v>
      </c>
      <c r="E2830" s="46">
        <v>939400</v>
      </c>
      <c r="F2830" s="17" t="s">
        <v>459</v>
      </c>
      <c r="G2830" s="9">
        <v>44995</v>
      </c>
    </row>
    <row r="2831" spans="1:7">
      <c r="A2831" s="45">
        <v>44985</v>
      </c>
      <c r="B2831" s="14" t="s">
        <v>769</v>
      </c>
      <c r="C2831" s="46">
        <v>13151600</v>
      </c>
      <c r="D2831" s="46">
        <v>11956000</v>
      </c>
      <c r="E2831" s="46">
        <v>1195600</v>
      </c>
      <c r="F2831" s="17" t="s">
        <v>305</v>
      </c>
      <c r="G2831" s="9">
        <v>44995</v>
      </c>
    </row>
    <row r="2832" spans="1:7">
      <c r="A2832" s="45">
        <v>44985</v>
      </c>
      <c r="B2832" s="14" t="s">
        <v>769</v>
      </c>
      <c r="C2832" s="46">
        <v>21472000</v>
      </c>
      <c r="D2832" s="46">
        <v>19520000</v>
      </c>
      <c r="E2832" s="46">
        <v>1952000</v>
      </c>
      <c r="F2832" s="17" t="s">
        <v>705</v>
      </c>
      <c r="G2832" s="9">
        <v>44995</v>
      </c>
    </row>
    <row r="2833" spans="1:19">
      <c r="A2833" s="45">
        <v>44985</v>
      </c>
      <c r="B2833" s="14" t="s">
        <v>769</v>
      </c>
      <c r="C2833" s="46">
        <v>1949200</v>
      </c>
      <c r="D2833" s="46">
        <v>1772000</v>
      </c>
      <c r="E2833" s="46">
        <v>177200</v>
      </c>
      <c r="F2833" s="17" t="s">
        <v>386</v>
      </c>
      <c r="G2833" s="9">
        <v>44995</v>
      </c>
    </row>
    <row r="2834" spans="1:19">
      <c r="A2834" s="45">
        <v>44985</v>
      </c>
      <c r="B2834" s="14" t="s">
        <v>769</v>
      </c>
      <c r="C2834" s="46">
        <v>46240700</v>
      </c>
      <c r="D2834" s="46">
        <v>42037000</v>
      </c>
      <c r="E2834" s="46">
        <v>4203700</v>
      </c>
      <c r="F2834" s="17" t="s">
        <v>387</v>
      </c>
      <c r="G2834" s="9">
        <v>44995</v>
      </c>
      <c r="I2834" s="304" t="s">
        <v>854</v>
      </c>
      <c r="J2834" s="304"/>
      <c r="K2834" s="304"/>
    </row>
    <row r="2835" spans="1:19">
      <c r="A2835" s="45">
        <v>44985</v>
      </c>
      <c r="B2835" s="14" t="s">
        <v>769</v>
      </c>
      <c r="C2835" s="46">
        <v>10651850</v>
      </c>
      <c r="D2835" s="46">
        <v>9683500</v>
      </c>
      <c r="E2835" s="46">
        <v>968350</v>
      </c>
      <c r="F2835" s="17" t="s">
        <v>877</v>
      </c>
      <c r="G2835" s="9">
        <v>44995</v>
      </c>
      <c r="I2835" s="18" t="s">
        <v>46</v>
      </c>
      <c r="J2835" s="36" t="s">
        <v>47</v>
      </c>
      <c r="K2835" s="36" t="s">
        <v>48</v>
      </c>
    </row>
    <row r="2836" spans="1:19">
      <c r="A2836" s="45">
        <v>44985</v>
      </c>
      <c r="B2836" s="14" t="s">
        <v>812</v>
      </c>
      <c r="C2836" s="46">
        <v>427747</v>
      </c>
      <c r="D2836" s="46">
        <v>388861</v>
      </c>
      <c r="E2836" s="46">
        <v>38886</v>
      </c>
      <c r="F2836" s="17" t="s">
        <v>837</v>
      </c>
      <c r="G2836" s="9">
        <v>45009</v>
      </c>
      <c r="I2836" s="18">
        <f>SUM(C2785:C2837)</f>
        <v>280617005</v>
      </c>
      <c r="J2836" s="18">
        <f>SUM(D2785:D2837)</f>
        <v>255106371</v>
      </c>
      <c r="K2836" s="18">
        <f>SUM(E2785:E2837)</f>
        <v>25510634</v>
      </c>
    </row>
    <row r="2837" spans="1:19">
      <c r="A2837" s="119">
        <v>44985</v>
      </c>
      <c r="B2837" s="42" t="s">
        <v>866</v>
      </c>
      <c r="C2837" s="118">
        <v>3818798</v>
      </c>
      <c r="D2837" s="118">
        <v>3471635</v>
      </c>
      <c r="E2837" s="118">
        <v>347163</v>
      </c>
      <c r="F2837" s="51" t="s">
        <v>867</v>
      </c>
      <c r="G2837" s="10">
        <v>44991</v>
      </c>
      <c r="H2837" s="51"/>
      <c r="I2837" s="121"/>
      <c r="J2837" s="122"/>
      <c r="K2837" s="42"/>
      <c r="L2837" s="42"/>
      <c r="M2837" s="42"/>
      <c r="N2837" s="42"/>
      <c r="O2837" s="42"/>
      <c r="P2837" s="42"/>
      <c r="Q2837" s="42"/>
      <c r="R2837" s="42"/>
      <c r="S2837" s="42"/>
    </row>
    <row r="2838" spans="1:19">
      <c r="A2838" s="45">
        <v>45000</v>
      </c>
      <c r="B2838" s="14" t="s">
        <v>730</v>
      </c>
      <c r="C2838" s="46">
        <v>3042600</v>
      </c>
      <c r="D2838" s="46">
        <v>2766000</v>
      </c>
      <c r="E2838" s="46">
        <v>276600</v>
      </c>
      <c r="F2838" s="17" t="s">
        <v>612</v>
      </c>
      <c r="G2838" s="9">
        <v>45013</v>
      </c>
    </row>
    <row r="2839" spans="1:19">
      <c r="A2839" s="45">
        <v>45000</v>
      </c>
      <c r="B2839" s="14" t="s">
        <v>730</v>
      </c>
      <c r="C2839" s="46">
        <v>6050000</v>
      </c>
      <c r="D2839" s="46">
        <v>5500000</v>
      </c>
      <c r="E2839" s="46">
        <v>550000</v>
      </c>
      <c r="F2839" s="17" t="s">
        <v>457</v>
      </c>
      <c r="G2839" s="9">
        <v>45013</v>
      </c>
    </row>
    <row r="2840" spans="1:19">
      <c r="A2840" s="45">
        <v>45000</v>
      </c>
      <c r="B2840" s="14" t="s">
        <v>2</v>
      </c>
      <c r="C2840" s="46">
        <v>4471500</v>
      </c>
      <c r="D2840" s="46">
        <v>4065000</v>
      </c>
      <c r="E2840" s="46">
        <v>406500</v>
      </c>
      <c r="F2840" s="17" t="s">
        <v>766</v>
      </c>
      <c r="G2840" s="9">
        <v>45015</v>
      </c>
    </row>
    <row r="2841" spans="1:19">
      <c r="A2841" s="45">
        <v>45000</v>
      </c>
      <c r="B2841" s="14" t="s">
        <v>2</v>
      </c>
      <c r="C2841" s="46">
        <v>8684500</v>
      </c>
      <c r="D2841" s="46">
        <v>7895000</v>
      </c>
      <c r="E2841" s="46">
        <v>789500</v>
      </c>
      <c r="F2841" s="17" t="s">
        <v>456</v>
      </c>
      <c r="G2841" s="9">
        <v>45015</v>
      </c>
    </row>
    <row r="2842" spans="1:19">
      <c r="A2842" s="45">
        <v>45000</v>
      </c>
      <c r="B2842" s="14" t="s">
        <v>2</v>
      </c>
      <c r="C2842" s="46">
        <v>19152100</v>
      </c>
      <c r="D2842" s="46">
        <v>17411000</v>
      </c>
      <c r="E2842" s="46">
        <v>1741100</v>
      </c>
      <c r="F2842" s="17" t="s">
        <v>424</v>
      </c>
      <c r="G2842" s="9">
        <v>45015</v>
      </c>
    </row>
    <row r="2843" spans="1:19">
      <c r="A2843" s="45">
        <v>45000</v>
      </c>
      <c r="B2843" s="14" t="s">
        <v>2</v>
      </c>
      <c r="C2843" s="46">
        <v>660000</v>
      </c>
      <c r="D2843" s="46">
        <v>600000</v>
      </c>
      <c r="E2843" s="46">
        <v>60000</v>
      </c>
      <c r="F2843" s="17" t="s">
        <v>756</v>
      </c>
      <c r="G2843" s="9">
        <v>45015</v>
      </c>
    </row>
    <row r="2844" spans="1:19">
      <c r="A2844" s="45">
        <v>45000</v>
      </c>
      <c r="B2844" s="14" t="s">
        <v>2</v>
      </c>
      <c r="C2844" s="46">
        <v>1452000</v>
      </c>
      <c r="D2844" s="46">
        <v>1320000</v>
      </c>
      <c r="E2844" s="46">
        <v>132000</v>
      </c>
      <c r="F2844" s="17" t="s">
        <v>868</v>
      </c>
      <c r="G2844" s="9">
        <v>45015</v>
      </c>
    </row>
    <row r="2845" spans="1:19">
      <c r="A2845" s="45">
        <v>45000</v>
      </c>
      <c r="B2845" s="14" t="s">
        <v>2</v>
      </c>
      <c r="C2845" s="46">
        <v>4774000</v>
      </c>
      <c r="D2845" s="46">
        <v>4340000</v>
      </c>
      <c r="E2845" s="46">
        <v>434000</v>
      </c>
      <c r="F2845" s="17" t="s">
        <v>306</v>
      </c>
      <c r="G2845" s="9">
        <v>45015</v>
      </c>
    </row>
    <row r="2846" spans="1:19">
      <c r="A2846" s="45">
        <v>45000</v>
      </c>
      <c r="B2846" s="14" t="s">
        <v>2</v>
      </c>
      <c r="C2846" s="46">
        <v>4884000</v>
      </c>
      <c r="D2846" s="46">
        <v>4440000</v>
      </c>
      <c r="E2846" s="46">
        <v>444000</v>
      </c>
      <c r="F2846" s="17" t="s">
        <v>734</v>
      </c>
      <c r="G2846" s="9">
        <v>45036</v>
      </c>
    </row>
    <row r="2847" spans="1:19">
      <c r="A2847" s="45">
        <v>45000</v>
      </c>
      <c r="B2847" s="14" t="s">
        <v>2</v>
      </c>
      <c r="C2847" s="46">
        <v>2819300</v>
      </c>
      <c r="D2847" s="46">
        <v>2563000</v>
      </c>
      <c r="E2847" s="46">
        <v>256300</v>
      </c>
      <c r="F2847" s="17" t="s">
        <v>315</v>
      </c>
      <c r="G2847" s="9">
        <v>45015</v>
      </c>
    </row>
    <row r="2848" spans="1:19">
      <c r="A2848" s="45">
        <v>45000</v>
      </c>
      <c r="B2848" s="14" t="s">
        <v>2</v>
      </c>
      <c r="C2848" s="46">
        <v>12012000</v>
      </c>
      <c r="D2848" s="46">
        <v>10920000</v>
      </c>
      <c r="E2848" s="46">
        <v>1092000</v>
      </c>
      <c r="F2848" s="17" t="s">
        <v>646</v>
      </c>
      <c r="G2848" s="9">
        <v>45015</v>
      </c>
    </row>
    <row r="2849" spans="1:15">
      <c r="A2849" s="45">
        <v>45000</v>
      </c>
      <c r="B2849" s="14" t="s">
        <v>2</v>
      </c>
      <c r="C2849" s="46">
        <v>6600000</v>
      </c>
      <c r="D2849" s="46">
        <v>6000000</v>
      </c>
      <c r="E2849" s="46">
        <v>600000</v>
      </c>
      <c r="F2849" s="17" t="s">
        <v>611</v>
      </c>
      <c r="G2849" s="9">
        <v>45015</v>
      </c>
    </row>
    <row r="2850" spans="1:15">
      <c r="A2850" s="45" t="s">
        <v>873</v>
      </c>
      <c r="B2850" s="148" t="s">
        <v>79</v>
      </c>
      <c r="C2850" s="46">
        <v>1320000</v>
      </c>
      <c r="D2850" s="46">
        <v>1200000</v>
      </c>
      <c r="E2850" s="46">
        <v>120000</v>
      </c>
      <c r="F2850" s="17" t="s">
        <v>13</v>
      </c>
      <c r="G2850" s="9">
        <v>45013</v>
      </c>
    </row>
    <row r="2851" spans="1:15">
      <c r="A2851" s="45" t="s">
        <v>874</v>
      </c>
      <c r="B2851" s="148" t="s">
        <v>719</v>
      </c>
      <c r="C2851" s="46">
        <v>631400</v>
      </c>
      <c r="D2851" s="46">
        <v>574000</v>
      </c>
      <c r="E2851" s="46">
        <v>57400</v>
      </c>
      <c r="F2851" s="17" t="s">
        <v>710</v>
      </c>
      <c r="G2851" s="9">
        <v>45030</v>
      </c>
    </row>
    <row r="2852" spans="1:15">
      <c r="A2852" s="45" t="s">
        <v>875</v>
      </c>
      <c r="B2852" s="14" t="s">
        <v>738</v>
      </c>
      <c r="C2852" s="46">
        <v>15372930</v>
      </c>
      <c r="D2852" s="46">
        <v>13975390</v>
      </c>
      <c r="E2852" s="46">
        <v>1397540</v>
      </c>
      <c r="F2852" s="17" t="s">
        <v>850</v>
      </c>
      <c r="G2852" s="9">
        <v>45016</v>
      </c>
    </row>
    <row r="2853" spans="1:15">
      <c r="A2853" s="45">
        <v>45016</v>
      </c>
      <c r="B2853" s="14" t="s">
        <v>769</v>
      </c>
      <c r="C2853" s="46">
        <v>10376850</v>
      </c>
      <c r="D2853" s="46">
        <v>9433500</v>
      </c>
      <c r="E2853" s="46">
        <v>943350</v>
      </c>
      <c r="F2853" s="17" t="s">
        <v>888</v>
      </c>
      <c r="G2853" s="9">
        <v>45026</v>
      </c>
      <c r="N2853" s="150"/>
      <c r="O2853" s="46"/>
    </row>
    <row r="2854" spans="1:15">
      <c r="A2854" s="45">
        <v>45016</v>
      </c>
      <c r="B2854" s="14" t="s">
        <v>769</v>
      </c>
      <c r="C2854" s="46">
        <v>51130200</v>
      </c>
      <c r="D2854" s="46">
        <v>46482000</v>
      </c>
      <c r="E2854" s="46">
        <v>4648200</v>
      </c>
      <c r="F2854" s="17" t="s">
        <v>387</v>
      </c>
      <c r="G2854" s="9">
        <v>45026</v>
      </c>
      <c r="N2854" s="150"/>
      <c r="O2854" s="46"/>
    </row>
    <row r="2855" spans="1:15">
      <c r="A2855" s="45">
        <v>45016</v>
      </c>
      <c r="B2855" s="14" t="s">
        <v>769</v>
      </c>
      <c r="C2855" s="46">
        <v>2217600</v>
      </c>
      <c r="D2855" s="46">
        <v>2016000</v>
      </c>
      <c r="E2855" s="46">
        <v>201600</v>
      </c>
      <c r="F2855" s="17" t="s">
        <v>386</v>
      </c>
      <c r="G2855" s="9">
        <v>45026</v>
      </c>
      <c r="N2855" s="150"/>
      <c r="O2855" s="46"/>
    </row>
    <row r="2856" spans="1:15">
      <c r="A2856" s="45">
        <v>45016</v>
      </c>
      <c r="B2856" s="14" t="s">
        <v>769</v>
      </c>
      <c r="C2856" s="46">
        <v>23216600</v>
      </c>
      <c r="D2856" s="46">
        <v>21106000</v>
      </c>
      <c r="E2856" s="46">
        <v>2110600</v>
      </c>
      <c r="F2856" s="17" t="s">
        <v>705</v>
      </c>
      <c r="G2856" s="9">
        <v>45026</v>
      </c>
      <c r="N2856" s="150"/>
      <c r="O2856" s="46"/>
    </row>
    <row r="2857" spans="1:15">
      <c r="A2857" s="45">
        <v>45016</v>
      </c>
      <c r="B2857" s="14" t="s">
        <v>769</v>
      </c>
      <c r="C2857" s="46">
        <v>13285800</v>
      </c>
      <c r="D2857" s="46">
        <v>12078000</v>
      </c>
      <c r="E2857" s="46">
        <v>1207800</v>
      </c>
      <c r="F2857" s="17" t="s">
        <v>305</v>
      </c>
      <c r="G2857" s="9">
        <v>45026</v>
      </c>
      <c r="N2857" s="150"/>
      <c r="O2857" s="46"/>
    </row>
    <row r="2858" spans="1:15">
      <c r="A2858" s="45">
        <v>45016</v>
      </c>
      <c r="B2858" s="14" t="s">
        <v>15</v>
      </c>
      <c r="C2858" s="46">
        <v>10333400</v>
      </c>
      <c r="D2858" s="46">
        <v>9394000</v>
      </c>
      <c r="E2858" s="46">
        <v>939400</v>
      </c>
      <c r="F2858" s="17" t="s">
        <v>459</v>
      </c>
      <c r="G2858" s="9">
        <v>45026</v>
      </c>
      <c r="N2858" s="150"/>
      <c r="O2858" s="46"/>
    </row>
    <row r="2859" spans="1:15">
      <c r="A2859" s="45">
        <v>45016</v>
      </c>
      <c r="B2859" s="14" t="s">
        <v>752</v>
      </c>
      <c r="C2859" s="46">
        <v>3300000</v>
      </c>
      <c r="D2859" s="46">
        <v>3000000</v>
      </c>
      <c r="E2859" s="46">
        <v>300000</v>
      </c>
      <c r="F2859" s="17" t="s">
        <v>753</v>
      </c>
      <c r="G2859" s="9">
        <v>45026</v>
      </c>
      <c r="N2859" s="150"/>
      <c r="O2859" s="46"/>
    </row>
    <row r="2860" spans="1:15">
      <c r="A2860" s="45">
        <v>45016</v>
      </c>
      <c r="B2860" s="14" t="s">
        <v>2</v>
      </c>
      <c r="C2860" s="46">
        <v>6550500</v>
      </c>
      <c r="D2860" s="46">
        <v>5955000</v>
      </c>
      <c r="E2860" s="46">
        <v>595500</v>
      </c>
      <c r="F2860" s="17" t="s">
        <v>611</v>
      </c>
      <c r="G2860" s="9">
        <v>45026</v>
      </c>
      <c r="N2860" s="150"/>
      <c r="O2860" s="46"/>
    </row>
    <row r="2861" spans="1:15">
      <c r="A2861" s="45">
        <v>45016</v>
      </c>
      <c r="B2861" s="14" t="s">
        <v>2</v>
      </c>
      <c r="C2861" s="46">
        <v>12540000</v>
      </c>
      <c r="D2861" s="46">
        <v>11400000</v>
      </c>
      <c r="E2861" s="46">
        <v>1140000</v>
      </c>
      <c r="F2861" s="17" t="s">
        <v>646</v>
      </c>
      <c r="G2861" s="9">
        <v>45026</v>
      </c>
      <c r="N2861" s="150"/>
      <c r="O2861" s="46"/>
    </row>
    <row r="2862" spans="1:15">
      <c r="A2862" s="45">
        <v>45016</v>
      </c>
      <c r="B2862" s="14" t="s">
        <v>2</v>
      </c>
      <c r="C2862" s="46">
        <v>2959000</v>
      </c>
      <c r="D2862" s="46">
        <v>2690000</v>
      </c>
      <c r="E2862" s="46">
        <v>269000</v>
      </c>
      <c r="F2862" s="17" t="s">
        <v>315</v>
      </c>
      <c r="G2862" s="9">
        <v>45026</v>
      </c>
      <c r="N2862" s="150"/>
      <c r="O2862" s="46"/>
    </row>
    <row r="2863" spans="1:15">
      <c r="A2863" s="45">
        <v>45016</v>
      </c>
      <c r="B2863" s="14" t="s">
        <v>2</v>
      </c>
      <c r="C2863" s="46">
        <v>7243280</v>
      </c>
      <c r="D2863" s="46">
        <v>6584800</v>
      </c>
      <c r="E2863" s="46">
        <v>658480</v>
      </c>
      <c r="F2863" s="17" t="s">
        <v>734</v>
      </c>
      <c r="G2863" s="9">
        <v>45026</v>
      </c>
      <c r="N2863" s="150"/>
      <c r="O2863" s="46"/>
    </row>
    <row r="2864" spans="1:15">
      <c r="A2864" s="45">
        <v>45016</v>
      </c>
      <c r="B2864" s="14" t="s">
        <v>2</v>
      </c>
      <c r="C2864" s="46">
        <v>1452000</v>
      </c>
      <c r="D2864" s="46">
        <v>1320000</v>
      </c>
      <c r="E2864" s="46">
        <v>132000</v>
      </c>
      <c r="F2864" s="17" t="s">
        <v>714</v>
      </c>
      <c r="G2864" s="9">
        <v>45026</v>
      </c>
      <c r="N2864" s="150"/>
      <c r="O2864" s="46"/>
    </row>
    <row r="2865" spans="1:15">
      <c r="A2865" s="45">
        <v>45016</v>
      </c>
      <c r="B2865" s="14" t="s">
        <v>2</v>
      </c>
      <c r="C2865" s="46">
        <v>1980000</v>
      </c>
      <c r="D2865" s="46">
        <v>1800000</v>
      </c>
      <c r="E2865" s="46">
        <v>180000</v>
      </c>
      <c r="F2865" s="17" t="s">
        <v>306</v>
      </c>
      <c r="G2865" s="9">
        <v>45026</v>
      </c>
      <c r="N2865" s="150"/>
      <c r="O2865" s="46"/>
    </row>
    <row r="2866" spans="1:15">
      <c r="A2866" s="45">
        <v>45016</v>
      </c>
      <c r="B2866" s="14" t="s">
        <v>2</v>
      </c>
      <c r="C2866" s="46">
        <v>792000</v>
      </c>
      <c r="D2866" s="46">
        <v>720000</v>
      </c>
      <c r="E2866" s="46">
        <v>72000</v>
      </c>
      <c r="F2866" s="17" t="s">
        <v>756</v>
      </c>
      <c r="G2866" s="9">
        <v>45026</v>
      </c>
      <c r="N2866" s="150"/>
      <c r="O2866" s="46"/>
    </row>
    <row r="2867" spans="1:15">
      <c r="A2867" s="45">
        <v>45016</v>
      </c>
      <c r="B2867" s="14" t="s">
        <v>2</v>
      </c>
      <c r="C2867" s="46">
        <v>17842550</v>
      </c>
      <c r="D2867" s="46">
        <v>16220500</v>
      </c>
      <c r="E2867" s="46">
        <v>1622050</v>
      </c>
      <c r="F2867" s="17" t="s">
        <v>424</v>
      </c>
      <c r="G2867" s="9">
        <v>45026</v>
      </c>
      <c r="N2867" s="150"/>
      <c r="O2867" s="46"/>
    </row>
    <row r="2868" spans="1:15">
      <c r="A2868" s="45">
        <v>45016</v>
      </c>
      <c r="B2868" s="14" t="s">
        <v>2</v>
      </c>
      <c r="C2868" s="46">
        <v>6875000</v>
      </c>
      <c r="D2868" s="46">
        <v>6250000</v>
      </c>
      <c r="E2868" s="46">
        <v>625000</v>
      </c>
      <c r="F2868" s="17" t="s">
        <v>456</v>
      </c>
      <c r="G2868" s="9">
        <v>45026</v>
      </c>
      <c r="N2868" s="150"/>
      <c r="O2868" s="46"/>
    </row>
    <row r="2869" spans="1:15">
      <c r="A2869" s="45">
        <v>45016</v>
      </c>
      <c r="B2869" s="14" t="s">
        <v>2</v>
      </c>
      <c r="C2869" s="46">
        <v>4350500</v>
      </c>
      <c r="D2869" s="46">
        <v>3955000</v>
      </c>
      <c r="E2869" s="46">
        <v>395500</v>
      </c>
      <c r="F2869" s="17" t="s">
        <v>766</v>
      </c>
      <c r="G2869" s="9">
        <v>45026</v>
      </c>
      <c r="N2869" s="150"/>
      <c r="O2869" s="46"/>
    </row>
    <row r="2870" spans="1:15">
      <c r="A2870" s="45">
        <v>45016</v>
      </c>
      <c r="B2870" s="14" t="s">
        <v>2</v>
      </c>
      <c r="C2870" s="46">
        <v>462000</v>
      </c>
      <c r="D2870" s="46">
        <v>420000</v>
      </c>
      <c r="E2870" s="46">
        <v>42000</v>
      </c>
      <c r="F2870" s="17" t="s">
        <v>878</v>
      </c>
      <c r="G2870" s="9">
        <v>45036</v>
      </c>
      <c r="N2870" s="150"/>
      <c r="O2870" s="46"/>
    </row>
    <row r="2871" spans="1:15">
      <c r="A2871" s="45">
        <v>45016</v>
      </c>
      <c r="B2871" s="14" t="s">
        <v>2</v>
      </c>
      <c r="C2871" s="46">
        <v>5505500</v>
      </c>
      <c r="D2871" s="46">
        <v>5005000</v>
      </c>
      <c r="E2871" s="46">
        <v>500500</v>
      </c>
      <c r="F2871" s="17" t="s">
        <v>879</v>
      </c>
      <c r="G2871" s="9">
        <v>45026</v>
      </c>
      <c r="N2871" s="150"/>
      <c r="O2871" s="46"/>
    </row>
    <row r="2872" spans="1:15">
      <c r="A2872" s="45">
        <v>45016</v>
      </c>
      <c r="B2872" s="14" t="s">
        <v>2</v>
      </c>
      <c r="C2872" s="46">
        <v>154000</v>
      </c>
      <c r="D2872" s="46">
        <v>140000</v>
      </c>
      <c r="E2872" s="46">
        <v>14000</v>
      </c>
      <c r="F2872" s="17" t="s">
        <v>880</v>
      </c>
      <c r="G2872" s="9">
        <v>45036</v>
      </c>
      <c r="N2872" s="150"/>
      <c r="O2872" s="46"/>
    </row>
    <row r="2873" spans="1:15">
      <c r="A2873" s="45">
        <v>45016</v>
      </c>
      <c r="B2873" s="14" t="s">
        <v>2</v>
      </c>
      <c r="C2873" s="46">
        <v>3797200</v>
      </c>
      <c r="D2873" s="46">
        <v>3452000</v>
      </c>
      <c r="E2873" s="46">
        <v>345200</v>
      </c>
      <c r="F2873" s="17" t="s">
        <v>858</v>
      </c>
      <c r="G2873" s="9">
        <v>45026</v>
      </c>
      <c r="N2873" s="150"/>
      <c r="O2873" s="46"/>
    </row>
    <row r="2874" spans="1:15">
      <c r="A2874" s="45">
        <v>45016</v>
      </c>
      <c r="B2874" s="14" t="s">
        <v>2</v>
      </c>
      <c r="C2874" s="46">
        <v>1466300</v>
      </c>
      <c r="D2874" s="46">
        <v>1333000</v>
      </c>
      <c r="E2874" s="46">
        <v>133300</v>
      </c>
      <c r="F2874" s="17" t="s">
        <v>859</v>
      </c>
      <c r="G2874" s="9">
        <v>45026</v>
      </c>
      <c r="N2874" s="150"/>
      <c r="O2874" s="46"/>
    </row>
    <row r="2875" spans="1:15">
      <c r="A2875" s="45">
        <v>45016</v>
      </c>
      <c r="B2875" s="14" t="s">
        <v>730</v>
      </c>
      <c r="C2875" s="46">
        <v>11216700</v>
      </c>
      <c r="D2875" s="46">
        <v>10197000</v>
      </c>
      <c r="E2875" s="46">
        <v>1019700</v>
      </c>
      <c r="F2875" s="17" t="s">
        <v>457</v>
      </c>
      <c r="G2875" s="9">
        <v>45026</v>
      </c>
      <c r="N2875" s="150"/>
      <c r="O2875" s="46"/>
    </row>
    <row r="2876" spans="1:15">
      <c r="A2876" s="45">
        <v>45016</v>
      </c>
      <c r="B2876" s="14" t="s">
        <v>730</v>
      </c>
      <c r="C2876" s="46">
        <v>2741200</v>
      </c>
      <c r="D2876" s="46">
        <v>2492000</v>
      </c>
      <c r="E2876" s="46">
        <v>249200</v>
      </c>
      <c r="F2876" s="17" t="s">
        <v>612</v>
      </c>
      <c r="G2876" s="9">
        <v>45026</v>
      </c>
      <c r="N2876" s="150"/>
      <c r="O2876" s="46"/>
    </row>
    <row r="2877" spans="1:15">
      <c r="A2877" s="45">
        <v>45016</v>
      </c>
      <c r="B2877" s="14" t="s">
        <v>436</v>
      </c>
      <c r="C2877" s="46">
        <v>320100</v>
      </c>
      <c r="D2877" s="46">
        <v>291000</v>
      </c>
      <c r="E2877" s="46">
        <v>29100</v>
      </c>
      <c r="F2877" s="17" t="s">
        <v>588</v>
      </c>
      <c r="G2877" s="9">
        <v>45026</v>
      </c>
      <c r="N2877" s="150"/>
      <c r="O2877" s="46"/>
    </row>
    <row r="2878" spans="1:15">
      <c r="A2878" s="45">
        <v>45016</v>
      </c>
      <c r="B2878" s="14" t="s">
        <v>671</v>
      </c>
      <c r="C2878" s="46">
        <v>121000</v>
      </c>
      <c r="D2878" s="46">
        <v>110000</v>
      </c>
      <c r="E2878" s="46">
        <v>11000</v>
      </c>
      <c r="F2878" s="17" t="s">
        <v>241</v>
      </c>
      <c r="G2878" s="9">
        <v>45030</v>
      </c>
      <c r="N2878" s="150"/>
      <c r="O2878" s="46"/>
    </row>
    <row r="2879" spans="1:15">
      <c r="A2879" s="45">
        <v>45016</v>
      </c>
      <c r="B2879" s="14" t="s">
        <v>728</v>
      </c>
      <c r="C2879" s="46">
        <v>426800</v>
      </c>
      <c r="D2879" s="46">
        <v>388000</v>
      </c>
      <c r="E2879" s="46">
        <v>38800</v>
      </c>
      <c r="F2879" s="17" t="s">
        <v>729</v>
      </c>
      <c r="G2879" s="9">
        <v>45030</v>
      </c>
      <c r="N2879" s="150"/>
      <c r="O2879" s="46"/>
    </row>
    <row r="2880" spans="1:15">
      <c r="A2880" s="45">
        <v>45016</v>
      </c>
      <c r="B2880" s="14" t="s">
        <v>805</v>
      </c>
      <c r="C2880" s="46">
        <v>7524000</v>
      </c>
      <c r="D2880" s="46">
        <v>6840000</v>
      </c>
      <c r="E2880" s="46">
        <v>684000</v>
      </c>
      <c r="F2880" s="17" t="s">
        <v>727</v>
      </c>
      <c r="G2880" s="9">
        <v>45030</v>
      </c>
      <c r="N2880" s="150"/>
      <c r="O2880" s="46"/>
    </row>
    <row r="2881" spans="1:19">
      <c r="A2881" s="45">
        <v>45016</v>
      </c>
      <c r="B2881" s="14" t="s">
        <v>155</v>
      </c>
      <c r="C2881" s="46">
        <v>880000</v>
      </c>
      <c r="D2881" s="46">
        <v>800000</v>
      </c>
      <c r="E2881" s="46">
        <v>80000</v>
      </c>
      <c r="F2881" s="17" t="s">
        <v>13</v>
      </c>
      <c r="G2881" s="9">
        <v>45034</v>
      </c>
      <c r="N2881" s="150"/>
      <c r="O2881" s="46"/>
    </row>
    <row r="2882" spans="1:19">
      <c r="A2882" s="45">
        <v>45016</v>
      </c>
      <c r="B2882" s="14" t="s">
        <v>825</v>
      </c>
      <c r="C2882" s="46">
        <v>2376000</v>
      </c>
      <c r="D2882" s="46">
        <v>2160000</v>
      </c>
      <c r="E2882" s="46">
        <v>216000</v>
      </c>
      <c r="F2882" s="17" t="s">
        <v>13</v>
      </c>
      <c r="G2882" s="9">
        <v>45019</v>
      </c>
      <c r="N2882" s="150"/>
      <c r="O2882" s="46"/>
    </row>
    <row r="2883" spans="1:19">
      <c r="A2883" s="45">
        <v>45016</v>
      </c>
      <c r="B2883" s="14" t="s">
        <v>432</v>
      </c>
      <c r="C2883" s="46">
        <v>1777600</v>
      </c>
      <c r="D2883" s="46">
        <v>1616000</v>
      </c>
      <c r="E2883" s="46">
        <v>161600</v>
      </c>
      <c r="F2883" s="17" t="s">
        <v>857</v>
      </c>
      <c r="G2883" s="9">
        <v>45037</v>
      </c>
      <c r="N2883" s="150"/>
      <c r="O2883" s="46"/>
    </row>
    <row r="2884" spans="1:19">
      <c r="A2884" s="45">
        <v>45016</v>
      </c>
      <c r="B2884" s="14" t="s">
        <v>432</v>
      </c>
      <c r="C2884" s="46">
        <v>757900</v>
      </c>
      <c r="D2884" s="46">
        <v>689000</v>
      </c>
      <c r="E2884" s="46">
        <v>68900</v>
      </c>
      <c r="F2884" s="17" t="s">
        <v>757</v>
      </c>
      <c r="G2884" s="9">
        <v>45037</v>
      </c>
      <c r="N2884" s="150"/>
      <c r="O2884" s="46"/>
    </row>
    <row r="2885" spans="1:19">
      <c r="A2885" s="45">
        <v>45016</v>
      </c>
      <c r="B2885" s="14" t="s">
        <v>432</v>
      </c>
      <c r="C2885" s="46">
        <v>1980000</v>
      </c>
      <c r="D2885" s="46">
        <v>1800000</v>
      </c>
      <c r="E2885" s="46">
        <v>180000</v>
      </c>
      <c r="F2885" s="17" t="s">
        <v>255</v>
      </c>
      <c r="G2885" s="9">
        <v>45035</v>
      </c>
      <c r="N2885" s="150"/>
      <c r="O2885" s="46"/>
    </row>
    <row r="2886" spans="1:19">
      <c r="A2886" s="45">
        <v>45016</v>
      </c>
      <c r="B2886" s="14" t="s">
        <v>432</v>
      </c>
      <c r="C2886" s="46">
        <v>902000</v>
      </c>
      <c r="D2886" s="46">
        <v>820000</v>
      </c>
      <c r="E2886" s="46">
        <v>82000</v>
      </c>
      <c r="F2886" s="17" t="s">
        <v>881</v>
      </c>
      <c r="G2886" s="9">
        <v>45037</v>
      </c>
      <c r="I2886" s="304" t="s">
        <v>855</v>
      </c>
      <c r="J2886" s="304"/>
      <c r="K2886" s="304"/>
      <c r="N2886" s="150"/>
      <c r="O2886" s="46"/>
    </row>
    <row r="2887" spans="1:19">
      <c r="A2887" s="45">
        <v>45016</v>
      </c>
      <c r="B2887" s="14" t="s">
        <v>432</v>
      </c>
      <c r="C2887" s="46">
        <v>1887600</v>
      </c>
      <c r="D2887" s="46">
        <v>1716000</v>
      </c>
      <c r="E2887" s="46">
        <v>171600</v>
      </c>
      <c r="F2887" s="17" t="s">
        <v>165</v>
      </c>
      <c r="G2887" s="9">
        <v>45037</v>
      </c>
      <c r="I2887" s="18" t="s">
        <v>46</v>
      </c>
      <c r="J2887" s="36" t="s">
        <v>47</v>
      </c>
      <c r="K2887" s="36" t="s">
        <v>48</v>
      </c>
      <c r="N2887" s="150"/>
      <c r="O2887" s="46"/>
    </row>
    <row r="2888" spans="1:19">
      <c r="A2888" s="119"/>
      <c r="B2888" s="42"/>
      <c r="C2888" s="118"/>
      <c r="D2888" s="118"/>
      <c r="E2888" s="118"/>
      <c r="F2888" s="51"/>
      <c r="G2888" s="42"/>
      <c r="H2888" s="51"/>
      <c r="I2888" s="18">
        <f>SUM(C2838:C2888)</f>
        <v>312667510</v>
      </c>
      <c r="J2888" s="18">
        <f>SUM(D2838:D2888)</f>
        <v>284243190</v>
      </c>
      <c r="K2888" s="18">
        <f>SUM(E2838:E2888)</f>
        <v>28424320</v>
      </c>
      <c r="L2888" s="42"/>
      <c r="M2888" s="42"/>
      <c r="N2888" s="42"/>
      <c r="O2888" s="42"/>
      <c r="P2888" s="42"/>
      <c r="Q2888" s="42"/>
      <c r="R2888" s="42"/>
      <c r="S2888" s="42"/>
    </row>
    <row r="2889" spans="1:19">
      <c r="A2889" s="45">
        <v>45031</v>
      </c>
      <c r="B2889" s="14" t="s">
        <v>730</v>
      </c>
      <c r="C2889" s="46">
        <v>531300</v>
      </c>
      <c r="D2889" s="46">
        <v>483000</v>
      </c>
      <c r="E2889" s="46">
        <v>48300</v>
      </c>
      <c r="F2889" s="17" t="s">
        <v>882</v>
      </c>
      <c r="G2889" s="9">
        <v>45036</v>
      </c>
    </row>
    <row r="2890" spans="1:19">
      <c r="A2890" s="45">
        <v>45031</v>
      </c>
      <c r="B2890" s="14" t="s">
        <v>730</v>
      </c>
      <c r="C2890" s="46">
        <v>11805200</v>
      </c>
      <c r="D2890" s="46">
        <v>10732000</v>
      </c>
      <c r="E2890" s="46">
        <v>1073200</v>
      </c>
      <c r="F2890" s="17" t="s">
        <v>457</v>
      </c>
      <c r="G2890" s="9">
        <v>45036</v>
      </c>
    </row>
    <row r="2891" spans="1:19">
      <c r="A2891" s="45">
        <v>45031</v>
      </c>
      <c r="B2891" s="14" t="s">
        <v>730</v>
      </c>
      <c r="C2891" s="46">
        <v>6073100</v>
      </c>
      <c r="D2891" s="46">
        <v>5521000</v>
      </c>
      <c r="E2891" s="46">
        <v>552100</v>
      </c>
      <c r="F2891" s="17" t="s">
        <v>612</v>
      </c>
      <c r="G2891" s="9">
        <v>45036</v>
      </c>
    </row>
    <row r="2892" spans="1:19">
      <c r="A2892" s="45">
        <v>45031</v>
      </c>
      <c r="B2892" s="14" t="s">
        <v>2</v>
      </c>
      <c r="C2892" s="46">
        <v>3283500</v>
      </c>
      <c r="D2892" s="46">
        <v>2985000</v>
      </c>
      <c r="E2892" s="46">
        <v>298500</v>
      </c>
      <c r="F2892" s="17" t="s">
        <v>766</v>
      </c>
      <c r="G2892" s="9">
        <v>45044</v>
      </c>
    </row>
    <row r="2893" spans="1:19">
      <c r="A2893" s="45">
        <v>45031</v>
      </c>
      <c r="B2893" s="14" t="s">
        <v>2</v>
      </c>
      <c r="C2893" s="46">
        <v>7557000</v>
      </c>
      <c r="D2893" s="46">
        <v>6870000</v>
      </c>
      <c r="E2893" s="46">
        <v>687000</v>
      </c>
      <c r="F2893" s="17" t="s">
        <v>456</v>
      </c>
      <c r="G2893" s="9">
        <v>45044</v>
      </c>
    </row>
    <row r="2894" spans="1:19">
      <c r="A2894" s="45">
        <v>45031</v>
      </c>
      <c r="B2894" s="14" t="s">
        <v>2</v>
      </c>
      <c r="C2894" s="46">
        <v>16941100</v>
      </c>
      <c r="D2894" s="46">
        <v>15401000</v>
      </c>
      <c r="E2894" s="46">
        <v>1540100</v>
      </c>
      <c r="F2894" s="17" t="s">
        <v>424</v>
      </c>
      <c r="G2894" s="9">
        <v>45044</v>
      </c>
    </row>
    <row r="2895" spans="1:19">
      <c r="A2895" s="45">
        <v>45031</v>
      </c>
      <c r="B2895" s="14" t="s">
        <v>2</v>
      </c>
      <c r="C2895" s="46">
        <v>660000</v>
      </c>
      <c r="D2895" s="46">
        <v>600000</v>
      </c>
      <c r="E2895" s="46">
        <v>60000</v>
      </c>
      <c r="F2895" s="17" t="s">
        <v>756</v>
      </c>
      <c r="G2895" s="9">
        <v>45044</v>
      </c>
    </row>
    <row r="2896" spans="1:19">
      <c r="A2896" s="45">
        <v>45031</v>
      </c>
      <c r="B2896" s="14" t="s">
        <v>2</v>
      </c>
      <c r="C2896" s="46">
        <v>2037750</v>
      </c>
      <c r="D2896" s="46">
        <v>1852500</v>
      </c>
      <c r="E2896" s="46">
        <v>185250</v>
      </c>
      <c r="F2896" s="17" t="s">
        <v>714</v>
      </c>
      <c r="G2896" s="9">
        <v>45044</v>
      </c>
    </row>
    <row r="2897" spans="1:7">
      <c r="A2897" s="45">
        <v>45031</v>
      </c>
      <c r="B2897" s="14" t="s">
        <v>2</v>
      </c>
      <c r="C2897" s="46">
        <v>1980000</v>
      </c>
      <c r="D2897" s="46">
        <v>1800000</v>
      </c>
      <c r="E2897" s="46">
        <v>180000</v>
      </c>
      <c r="F2897" s="17" t="s">
        <v>306</v>
      </c>
      <c r="G2897" s="9">
        <v>45044</v>
      </c>
    </row>
    <row r="2898" spans="1:7">
      <c r="A2898" s="45">
        <v>45031</v>
      </c>
      <c r="B2898" s="14" t="s">
        <v>2</v>
      </c>
      <c r="C2898" s="46">
        <v>8722780</v>
      </c>
      <c r="D2898" s="46">
        <v>7929800</v>
      </c>
      <c r="E2898" s="46">
        <v>792980</v>
      </c>
      <c r="F2898" s="17" t="s">
        <v>734</v>
      </c>
      <c r="G2898" s="9">
        <v>45044</v>
      </c>
    </row>
    <row r="2899" spans="1:7">
      <c r="A2899" s="45">
        <v>45031</v>
      </c>
      <c r="B2899" s="14" t="s">
        <v>2</v>
      </c>
      <c r="C2899" s="46">
        <v>3164700</v>
      </c>
      <c r="D2899" s="46">
        <v>2877000</v>
      </c>
      <c r="E2899" s="46">
        <v>287700</v>
      </c>
      <c r="F2899" s="17" t="s">
        <v>315</v>
      </c>
      <c r="G2899" s="9">
        <v>45036</v>
      </c>
    </row>
    <row r="2900" spans="1:7">
      <c r="A2900" s="45">
        <v>45031</v>
      </c>
      <c r="B2900" s="14" t="s">
        <v>2</v>
      </c>
      <c r="C2900" s="46">
        <v>13200000</v>
      </c>
      <c r="D2900" s="46">
        <v>12000000</v>
      </c>
      <c r="E2900" s="46">
        <v>1200000</v>
      </c>
      <c r="F2900" s="17" t="s">
        <v>646</v>
      </c>
      <c r="G2900" s="9">
        <v>45044</v>
      </c>
    </row>
    <row r="2901" spans="1:7">
      <c r="A2901" s="45">
        <v>45031</v>
      </c>
      <c r="B2901" s="14" t="s">
        <v>2</v>
      </c>
      <c r="C2901" s="46">
        <v>12672000</v>
      </c>
      <c r="D2901" s="46">
        <v>11520000</v>
      </c>
      <c r="E2901" s="46">
        <v>1152000</v>
      </c>
      <c r="F2901" s="17" t="s">
        <v>611</v>
      </c>
      <c r="G2901" s="9">
        <v>45044</v>
      </c>
    </row>
    <row r="2902" spans="1:7">
      <c r="A2902" s="45" t="s">
        <v>883</v>
      </c>
      <c r="B2902" s="14" t="s">
        <v>738</v>
      </c>
      <c r="C2902" s="46">
        <v>-576600</v>
      </c>
      <c r="D2902" s="46">
        <v>-524190</v>
      </c>
      <c r="E2902" s="46">
        <v>-52410</v>
      </c>
      <c r="F2902" s="17" t="s">
        <v>884</v>
      </c>
      <c r="G2902" s="151" t="s">
        <v>886</v>
      </c>
    </row>
    <row r="2903" spans="1:7">
      <c r="A2903" s="45" t="s">
        <v>883</v>
      </c>
      <c r="B2903" s="14" t="s">
        <v>738</v>
      </c>
      <c r="C2903" s="46">
        <v>-4470100</v>
      </c>
      <c r="D2903" s="46">
        <v>-4063730</v>
      </c>
      <c r="E2903" s="46">
        <v>-406370</v>
      </c>
      <c r="F2903" s="17" t="s">
        <v>885</v>
      </c>
      <c r="G2903" s="151" t="s">
        <v>886</v>
      </c>
    </row>
    <row r="2904" spans="1:7">
      <c r="A2904" s="45">
        <v>45041</v>
      </c>
      <c r="B2904" s="152" t="s">
        <v>719</v>
      </c>
      <c r="C2904" s="46">
        <f>D2904+E2904</f>
        <v>541200</v>
      </c>
      <c r="D2904" s="46">
        <v>492000</v>
      </c>
      <c r="E2904" s="46">
        <v>49200</v>
      </c>
      <c r="F2904" s="17" t="s">
        <v>710</v>
      </c>
      <c r="G2904" s="9">
        <v>45065</v>
      </c>
    </row>
    <row r="2905" spans="1:7">
      <c r="A2905" s="45">
        <v>45046</v>
      </c>
      <c r="B2905" s="14" t="s">
        <v>769</v>
      </c>
      <c r="C2905" s="46">
        <v>40373300</v>
      </c>
      <c r="D2905" s="46">
        <v>36703000</v>
      </c>
      <c r="E2905" s="46">
        <v>3670300</v>
      </c>
      <c r="F2905" s="17" t="s">
        <v>387</v>
      </c>
      <c r="G2905" s="9">
        <v>45056</v>
      </c>
    </row>
    <row r="2906" spans="1:7">
      <c r="A2906" s="45">
        <v>45046</v>
      </c>
      <c r="B2906" s="14" t="s">
        <v>769</v>
      </c>
      <c r="C2906" s="46">
        <v>2508000</v>
      </c>
      <c r="D2906" s="46">
        <v>2280000</v>
      </c>
      <c r="E2906" s="46">
        <v>228000</v>
      </c>
      <c r="F2906" s="17" t="s">
        <v>386</v>
      </c>
      <c r="G2906" s="9">
        <v>45056</v>
      </c>
    </row>
    <row r="2907" spans="1:7">
      <c r="A2907" s="45">
        <v>45046</v>
      </c>
      <c r="B2907" s="14" t="s">
        <v>769</v>
      </c>
      <c r="C2907" s="46">
        <v>25229600</v>
      </c>
      <c r="D2907" s="46">
        <v>22936000</v>
      </c>
      <c r="E2907" s="46">
        <v>2293600</v>
      </c>
      <c r="F2907" s="17" t="s">
        <v>705</v>
      </c>
      <c r="G2907" s="9">
        <v>45056</v>
      </c>
    </row>
    <row r="2908" spans="1:7">
      <c r="A2908" s="45">
        <v>45046</v>
      </c>
      <c r="B2908" s="14" t="s">
        <v>769</v>
      </c>
      <c r="C2908" s="46">
        <v>12346400</v>
      </c>
      <c r="D2908" s="46">
        <v>11224000</v>
      </c>
      <c r="E2908" s="46">
        <v>1122400</v>
      </c>
      <c r="F2908" s="17" t="s">
        <v>305</v>
      </c>
      <c r="G2908" s="9">
        <v>45056</v>
      </c>
    </row>
    <row r="2909" spans="1:7">
      <c r="A2909" s="45">
        <v>45046</v>
      </c>
      <c r="B2909" s="14" t="s">
        <v>769</v>
      </c>
      <c r="C2909" s="46">
        <v>10376850</v>
      </c>
      <c r="D2909" s="46">
        <v>9433500</v>
      </c>
      <c r="E2909" s="46">
        <v>943350</v>
      </c>
      <c r="F2909" s="17" t="s">
        <v>898</v>
      </c>
      <c r="G2909" s="9">
        <v>45056</v>
      </c>
    </row>
    <row r="2910" spans="1:7">
      <c r="A2910" s="45">
        <v>45046</v>
      </c>
      <c r="B2910" s="14" t="s">
        <v>15</v>
      </c>
      <c r="C2910" s="46">
        <v>8052000</v>
      </c>
      <c r="D2910" s="46">
        <v>7320000</v>
      </c>
      <c r="E2910" s="46">
        <v>732000</v>
      </c>
      <c r="F2910" s="17" t="s">
        <v>459</v>
      </c>
      <c r="G2910" s="9">
        <v>45056</v>
      </c>
    </row>
    <row r="2911" spans="1:7">
      <c r="A2911" s="45">
        <v>45046</v>
      </c>
      <c r="B2911" s="14" t="s">
        <v>752</v>
      </c>
      <c r="C2911" s="46">
        <v>5170000</v>
      </c>
      <c r="D2911" s="46">
        <v>4700000</v>
      </c>
      <c r="E2911" s="46">
        <v>470000</v>
      </c>
      <c r="F2911" s="17" t="s">
        <v>753</v>
      </c>
      <c r="G2911" s="9">
        <v>45057</v>
      </c>
    </row>
    <row r="2912" spans="1:7">
      <c r="A2912" s="45">
        <v>45046</v>
      </c>
      <c r="B2912" s="14" t="s">
        <v>2</v>
      </c>
      <c r="C2912" s="46">
        <v>8976000</v>
      </c>
      <c r="D2912" s="46">
        <v>8160000</v>
      </c>
      <c r="E2912" s="46">
        <v>816000</v>
      </c>
      <c r="F2912" s="17" t="s">
        <v>611</v>
      </c>
      <c r="G2912" s="9">
        <v>45056</v>
      </c>
    </row>
    <row r="2913" spans="1:7">
      <c r="A2913" s="45">
        <v>45046</v>
      </c>
      <c r="B2913" s="14" t="s">
        <v>2</v>
      </c>
      <c r="C2913" s="46">
        <v>10692000</v>
      </c>
      <c r="D2913" s="46">
        <v>9720000</v>
      </c>
      <c r="E2913" s="46">
        <v>972000</v>
      </c>
      <c r="F2913" s="17" t="s">
        <v>889</v>
      </c>
      <c r="G2913" s="9">
        <v>45056</v>
      </c>
    </row>
    <row r="2914" spans="1:7">
      <c r="A2914" s="45">
        <v>45046</v>
      </c>
      <c r="B2914" s="14" t="s">
        <v>2</v>
      </c>
      <c r="C2914" s="46">
        <v>3395700</v>
      </c>
      <c r="D2914" s="46">
        <v>3087000</v>
      </c>
      <c r="E2914" s="46">
        <v>308700</v>
      </c>
      <c r="F2914" s="17" t="s">
        <v>315</v>
      </c>
      <c r="G2914" s="9">
        <v>45056</v>
      </c>
    </row>
    <row r="2915" spans="1:7">
      <c r="A2915" s="45">
        <v>45046</v>
      </c>
      <c r="B2915" s="14" t="s">
        <v>2</v>
      </c>
      <c r="C2915" s="46">
        <v>10938400</v>
      </c>
      <c r="D2915" s="46">
        <v>9944000</v>
      </c>
      <c r="E2915" s="46">
        <v>994400</v>
      </c>
      <c r="F2915" s="17" t="s">
        <v>734</v>
      </c>
      <c r="G2915" s="9">
        <v>45056</v>
      </c>
    </row>
    <row r="2916" spans="1:7">
      <c r="A2916" s="45">
        <v>45046</v>
      </c>
      <c r="B2916" s="14" t="s">
        <v>2</v>
      </c>
      <c r="C2916" s="46">
        <v>1320000</v>
      </c>
      <c r="D2916" s="46">
        <v>1200000</v>
      </c>
      <c r="E2916" s="46">
        <v>120000</v>
      </c>
      <c r="F2916" s="17" t="s">
        <v>306</v>
      </c>
      <c r="G2916" s="9">
        <v>45056</v>
      </c>
    </row>
    <row r="2917" spans="1:7">
      <c r="A2917" s="45">
        <v>45046</v>
      </c>
      <c r="B2917" s="14" t="s">
        <v>2</v>
      </c>
      <c r="C2917" s="46">
        <v>2904000</v>
      </c>
      <c r="D2917" s="46">
        <v>2640000</v>
      </c>
      <c r="E2917" s="46">
        <v>264000</v>
      </c>
      <c r="F2917" s="17" t="s">
        <v>714</v>
      </c>
      <c r="G2917" s="9">
        <v>45056</v>
      </c>
    </row>
    <row r="2918" spans="1:7">
      <c r="A2918" s="45">
        <v>45046</v>
      </c>
      <c r="B2918" s="14" t="s">
        <v>2</v>
      </c>
      <c r="C2918" s="46">
        <v>660000</v>
      </c>
      <c r="D2918" s="46">
        <v>600000</v>
      </c>
      <c r="E2918" s="46">
        <v>60000</v>
      </c>
      <c r="F2918" s="17" t="s">
        <v>756</v>
      </c>
      <c r="G2918" s="9">
        <v>45056</v>
      </c>
    </row>
    <row r="2919" spans="1:7">
      <c r="A2919" s="45">
        <v>45046</v>
      </c>
      <c r="B2919" s="14" t="s">
        <v>2</v>
      </c>
      <c r="C2919" s="46">
        <v>15816900</v>
      </c>
      <c r="D2919" s="46">
        <v>14379000</v>
      </c>
      <c r="E2919" s="46">
        <v>1437900</v>
      </c>
      <c r="F2919" s="17" t="s">
        <v>424</v>
      </c>
      <c r="G2919" s="9">
        <v>45056</v>
      </c>
    </row>
    <row r="2920" spans="1:7">
      <c r="A2920" s="45">
        <v>45046</v>
      </c>
      <c r="B2920" s="14" t="s">
        <v>2</v>
      </c>
      <c r="C2920" s="46">
        <v>8442500</v>
      </c>
      <c r="D2920" s="46">
        <v>7675000</v>
      </c>
      <c r="E2920" s="46">
        <v>767500</v>
      </c>
      <c r="F2920" s="17" t="s">
        <v>456</v>
      </c>
      <c r="G2920" s="9">
        <v>45056</v>
      </c>
    </row>
    <row r="2921" spans="1:7">
      <c r="A2921" s="45">
        <v>45046</v>
      </c>
      <c r="B2921" s="14" t="s">
        <v>2</v>
      </c>
      <c r="C2921" s="46">
        <v>1881000</v>
      </c>
      <c r="D2921" s="46">
        <v>1710000</v>
      </c>
      <c r="E2921" s="46">
        <v>171000</v>
      </c>
      <c r="F2921" s="17" t="s">
        <v>766</v>
      </c>
      <c r="G2921" s="9">
        <v>45056</v>
      </c>
    </row>
    <row r="2922" spans="1:7">
      <c r="A2922" s="45">
        <v>45046</v>
      </c>
      <c r="B2922" s="14" t="s">
        <v>2</v>
      </c>
      <c r="C2922" s="46">
        <v>2244000</v>
      </c>
      <c r="D2922" s="46">
        <v>2040000</v>
      </c>
      <c r="E2922" s="46">
        <v>204000</v>
      </c>
      <c r="F2922" s="17" t="s">
        <v>890</v>
      </c>
      <c r="G2922" s="9">
        <v>45056</v>
      </c>
    </row>
    <row r="2923" spans="1:7">
      <c r="A2923" s="45">
        <v>45046</v>
      </c>
      <c r="B2923" s="14" t="s">
        <v>2</v>
      </c>
      <c r="C2923" s="46">
        <v>2821500</v>
      </c>
      <c r="D2923" s="46">
        <v>2565000</v>
      </c>
      <c r="E2923" s="46">
        <v>256500</v>
      </c>
      <c r="F2923" s="17" t="s">
        <v>865</v>
      </c>
      <c r="G2923" s="9">
        <v>45056</v>
      </c>
    </row>
    <row r="2924" spans="1:7">
      <c r="A2924" s="45">
        <v>45046</v>
      </c>
      <c r="B2924" s="14" t="s">
        <v>2</v>
      </c>
      <c r="C2924" s="46">
        <v>154000</v>
      </c>
      <c r="D2924" s="46">
        <v>140000</v>
      </c>
      <c r="E2924" s="46">
        <v>14000</v>
      </c>
      <c r="F2924" s="17" t="s">
        <v>878</v>
      </c>
      <c r="G2924" s="9">
        <v>45076</v>
      </c>
    </row>
    <row r="2925" spans="1:7">
      <c r="A2925" s="45">
        <v>45046</v>
      </c>
      <c r="B2925" s="14" t="s">
        <v>2</v>
      </c>
      <c r="C2925" s="46">
        <v>3168000</v>
      </c>
      <c r="D2925" s="46">
        <v>2880000</v>
      </c>
      <c r="E2925" s="46">
        <v>288000</v>
      </c>
      <c r="F2925" s="17" t="s">
        <v>880</v>
      </c>
      <c r="G2925" s="9">
        <v>45056</v>
      </c>
    </row>
    <row r="2926" spans="1:7">
      <c r="A2926" s="45">
        <v>45046</v>
      </c>
      <c r="B2926" s="14" t="s">
        <v>2</v>
      </c>
      <c r="C2926" s="46">
        <v>2139500</v>
      </c>
      <c r="D2926" s="46">
        <v>1945000</v>
      </c>
      <c r="E2926" s="46">
        <v>194500</v>
      </c>
      <c r="F2926" s="17" t="s">
        <v>891</v>
      </c>
      <c r="G2926" s="9">
        <v>45056</v>
      </c>
    </row>
    <row r="2927" spans="1:7">
      <c r="A2927" s="45">
        <v>45046</v>
      </c>
      <c r="B2927" s="14" t="s">
        <v>2</v>
      </c>
      <c r="C2927" s="46">
        <v>4402200</v>
      </c>
      <c r="D2927" s="46">
        <v>4002000</v>
      </c>
      <c r="E2927" s="46">
        <v>400200</v>
      </c>
      <c r="F2927" s="17" t="s">
        <v>892</v>
      </c>
      <c r="G2927" s="9">
        <v>45056</v>
      </c>
    </row>
    <row r="2928" spans="1:7">
      <c r="A2928" s="45">
        <v>45046</v>
      </c>
      <c r="B2928" s="14" t="s">
        <v>730</v>
      </c>
      <c r="C2928" s="46">
        <v>7898000</v>
      </c>
      <c r="D2928" s="46">
        <v>7180000</v>
      </c>
      <c r="E2928" s="46">
        <v>718000</v>
      </c>
      <c r="F2928" s="17" t="s">
        <v>457</v>
      </c>
      <c r="G2928" s="9">
        <v>45056</v>
      </c>
    </row>
    <row r="2929" spans="1:11">
      <c r="A2929" s="45">
        <v>45046</v>
      </c>
      <c r="B2929" s="14" t="s">
        <v>730</v>
      </c>
      <c r="C2929" s="46">
        <v>1207800</v>
      </c>
      <c r="D2929" s="46">
        <v>1098000</v>
      </c>
      <c r="E2929" s="46">
        <v>109800</v>
      </c>
      <c r="F2929" s="17" t="s">
        <v>893</v>
      </c>
      <c r="G2929" s="9">
        <v>45056</v>
      </c>
    </row>
    <row r="2930" spans="1:11">
      <c r="A2930" s="45">
        <v>45046</v>
      </c>
      <c r="B2930" s="14" t="s">
        <v>730</v>
      </c>
      <c r="C2930" s="46">
        <v>6655000</v>
      </c>
      <c r="D2930" s="46">
        <v>6050000</v>
      </c>
      <c r="E2930" s="46">
        <v>605000</v>
      </c>
      <c r="F2930" s="17" t="s">
        <v>612</v>
      </c>
      <c r="G2930" s="9">
        <v>45056</v>
      </c>
    </row>
    <row r="2931" spans="1:11">
      <c r="A2931" s="45">
        <v>45046</v>
      </c>
      <c r="B2931" s="14" t="s">
        <v>432</v>
      </c>
      <c r="C2931" s="46">
        <v>3220800</v>
      </c>
      <c r="D2931" s="46">
        <v>2928000</v>
      </c>
      <c r="E2931" s="46">
        <v>292800</v>
      </c>
      <c r="F2931" s="17" t="s">
        <v>857</v>
      </c>
      <c r="G2931" s="9">
        <v>45065</v>
      </c>
    </row>
    <row r="2932" spans="1:11">
      <c r="A2932" s="45">
        <v>45046</v>
      </c>
      <c r="B2932" s="14" t="s">
        <v>432</v>
      </c>
      <c r="C2932" s="46">
        <v>2043800</v>
      </c>
      <c r="D2932" s="46">
        <v>1858000</v>
      </c>
      <c r="E2932" s="46">
        <v>185800</v>
      </c>
      <c r="F2932" s="17" t="s">
        <v>757</v>
      </c>
      <c r="G2932" s="9">
        <v>45065</v>
      </c>
    </row>
    <row r="2933" spans="1:11">
      <c r="A2933" s="45">
        <v>45046</v>
      </c>
      <c r="B2933" s="14" t="s">
        <v>432</v>
      </c>
      <c r="C2933" s="46">
        <v>5016000</v>
      </c>
      <c r="D2933" s="46">
        <v>4560000</v>
      </c>
      <c r="E2933" s="46">
        <v>456000</v>
      </c>
      <c r="F2933" s="17" t="s">
        <v>255</v>
      </c>
      <c r="G2933" s="9">
        <v>45065</v>
      </c>
    </row>
    <row r="2934" spans="1:11">
      <c r="A2934" s="45">
        <v>45046</v>
      </c>
      <c r="B2934" s="14" t="s">
        <v>432</v>
      </c>
      <c r="C2934" s="46">
        <v>1623600</v>
      </c>
      <c r="D2934" s="46">
        <v>1476000</v>
      </c>
      <c r="E2934" s="46">
        <v>147600</v>
      </c>
      <c r="F2934" s="17" t="s">
        <v>811</v>
      </c>
      <c r="G2934" s="9">
        <v>45065</v>
      </c>
    </row>
    <row r="2935" spans="1:11">
      <c r="A2935" s="45">
        <v>45046</v>
      </c>
      <c r="B2935" s="14" t="s">
        <v>432</v>
      </c>
      <c r="C2935" s="46">
        <v>6509800</v>
      </c>
      <c r="D2935" s="46">
        <v>5918000</v>
      </c>
      <c r="E2935" s="46">
        <v>591800</v>
      </c>
      <c r="F2935" s="17" t="s">
        <v>165</v>
      </c>
      <c r="G2935" s="9">
        <v>45065</v>
      </c>
    </row>
    <row r="2936" spans="1:11">
      <c r="A2936" s="45">
        <v>45046</v>
      </c>
      <c r="B2936" s="14" t="s">
        <v>432</v>
      </c>
      <c r="C2936" s="46">
        <v>528000</v>
      </c>
      <c r="D2936" s="46">
        <v>480000</v>
      </c>
      <c r="E2936" s="46">
        <v>48000</v>
      </c>
      <c r="F2936" s="17" t="s">
        <v>238</v>
      </c>
      <c r="G2936" s="9">
        <v>45065</v>
      </c>
      <c r="I2936" s="304" t="s">
        <v>876</v>
      </c>
      <c r="J2936" s="304"/>
      <c r="K2936" s="304"/>
    </row>
    <row r="2937" spans="1:11">
      <c r="A2937" s="45">
        <v>45046</v>
      </c>
      <c r="B2937" s="14" t="s">
        <v>436</v>
      </c>
      <c r="C2937" s="46">
        <v>180400</v>
      </c>
      <c r="D2937" s="46">
        <v>164000</v>
      </c>
      <c r="E2937" s="46">
        <v>16400</v>
      </c>
      <c r="F2937" s="17" t="s">
        <v>588</v>
      </c>
      <c r="G2937" s="9">
        <v>45061</v>
      </c>
      <c r="I2937" s="18" t="s">
        <v>46</v>
      </c>
      <c r="J2937" s="149" t="s">
        <v>47</v>
      </c>
      <c r="K2937" s="149" t="s">
        <v>48</v>
      </c>
    </row>
    <row r="2938" spans="1:11">
      <c r="A2938" s="45">
        <v>45046</v>
      </c>
      <c r="B2938" s="14" t="s">
        <v>671</v>
      </c>
      <c r="C2938" s="46">
        <v>213400</v>
      </c>
      <c r="D2938" s="46">
        <v>194000</v>
      </c>
      <c r="E2938" s="46">
        <v>19400</v>
      </c>
      <c r="F2938" s="17" t="s">
        <v>241</v>
      </c>
      <c r="G2938" s="9">
        <v>45061</v>
      </c>
      <c r="I2938" s="18">
        <f>SUM(C2889:C2947)</f>
        <v>324928880</v>
      </c>
      <c r="J2938" s="18">
        <f>SUM(D2889:D2947)</f>
        <v>295389880</v>
      </c>
      <c r="K2938" s="18">
        <f>SUM(E2889:E2947)</f>
        <v>29539000</v>
      </c>
    </row>
    <row r="2939" spans="1:11">
      <c r="A2939" s="45">
        <v>45046</v>
      </c>
      <c r="B2939" s="14" t="s">
        <v>728</v>
      </c>
      <c r="C2939" s="46">
        <v>853600</v>
      </c>
      <c r="D2939" s="46">
        <v>776000</v>
      </c>
      <c r="E2939" s="46">
        <v>77600</v>
      </c>
      <c r="F2939" s="17" t="s">
        <v>729</v>
      </c>
      <c r="G2939" s="9">
        <v>45061</v>
      </c>
    </row>
    <row r="2940" spans="1:11">
      <c r="A2940" s="45">
        <v>45046</v>
      </c>
      <c r="B2940" s="14" t="s">
        <v>805</v>
      </c>
      <c r="C2940" s="46">
        <v>8448000</v>
      </c>
      <c r="D2940" s="46">
        <v>7680000</v>
      </c>
      <c r="E2940" s="46">
        <v>768000</v>
      </c>
      <c r="F2940" s="17" t="s">
        <v>727</v>
      </c>
      <c r="G2940" s="9">
        <v>45061</v>
      </c>
    </row>
    <row r="2941" spans="1:11">
      <c r="A2941" s="45">
        <v>45046</v>
      </c>
      <c r="B2941" s="14" t="s">
        <v>644</v>
      </c>
      <c r="C2941" s="46">
        <v>396000</v>
      </c>
      <c r="D2941" s="46">
        <v>360000</v>
      </c>
      <c r="E2941" s="46">
        <v>36000</v>
      </c>
      <c r="F2941" s="17" t="s">
        <v>684</v>
      </c>
      <c r="G2941" s="9">
        <v>45056</v>
      </c>
    </row>
    <row r="2942" spans="1:11">
      <c r="A2942" s="45">
        <v>45046</v>
      </c>
      <c r="B2942" s="14" t="s">
        <v>894</v>
      </c>
      <c r="C2942" s="46">
        <v>213400</v>
      </c>
      <c r="D2942" s="46">
        <v>194000</v>
      </c>
      <c r="E2942" s="46">
        <v>19400</v>
      </c>
      <c r="F2942" s="17" t="s">
        <v>13</v>
      </c>
      <c r="G2942" s="9">
        <v>45050</v>
      </c>
    </row>
    <row r="2943" spans="1:11">
      <c r="A2943" s="45">
        <v>45046</v>
      </c>
      <c r="B2943" s="14" t="s">
        <v>449</v>
      </c>
      <c r="C2943" s="46">
        <v>671000</v>
      </c>
      <c r="D2943" s="46">
        <v>610000</v>
      </c>
      <c r="E2943" s="46">
        <v>61000</v>
      </c>
      <c r="F2943" s="17" t="s">
        <v>13</v>
      </c>
      <c r="G2943" s="9">
        <v>45064</v>
      </c>
    </row>
    <row r="2944" spans="1:11">
      <c r="A2944" s="45">
        <v>45046</v>
      </c>
      <c r="B2944" s="14" t="s">
        <v>82</v>
      </c>
      <c r="C2944" s="46">
        <v>660000</v>
      </c>
      <c r="D2944" s="46">
        <v>600000</v>
      </c>
      <c r="E2944" s="46">
        <v>60000</v>
      </c>
      <c r="F2944" s="17" t="s">
        <v>13</v>
      </c>
      <c r="G2944" s="9">
        <v>45061</v>
      </c>
    </row>
    <row r="2945" spans="1:19">
      <c r="A2945" s="45">
        <v>45046</v>
      </c>
      <c r="B2945" s="14" t="s">
        <v>155</v>
      </c>
      <c r="C2945" s="46">
        <v>1969000</v>
      </c>
      <c r="D2945" s="46">
        <v>1790000</v>
      </c>
      <c r="E2945" s="46">
        <v>179000</v>
      </c>
      <c r="F2945" s="17" t="s">
        <v>13</v>
      </c>
      <c r="G2945" s="9">
        <v>45062</v>
      </c>
    </row>
    <row r="2946" spans="1:19">
      <c r="A2946" s="45">
        <v>45046</v>
      </c>
      <c r="B2946" s="14" t="s">
        <v>825</v>
      </c>
      <c r="C2946" s="46">
        <v>6171000</v>
      </c>
      <c r="D2946" s="46">
        <v>5610000</v>
      </c>
      <c r="E2946" s="46">
        <v>561000</v>
      </c>
      <c r="F2946" s="17" t="s">
        <v>13</v>
      </c>
      <c r="G2946" s="9">
        <v>45051</v>
      </c>
    </row>
    <row r="2947" spans="1:19">
      <c r="A2947" s="119">
        <v>45046</v>
      </c>
      <c r="B2947" s="42" t="s">
        <v>63</v>
      </c>
      <c r="C2947" s="118">
        <v>2315500</v>
      </c>
      <c r="D2947" s="118">
        <v>2105000</v>
      </c>
      <c r="E2947" s="118">
        <v>210500</v>
      </c>
      <c r="F2947" s="51" t="s">
        <v>13</v>
      </c>
      <c r="G2947" s="10">
        <v>45076</v>
      </c>
      <c r="H2947" s="51"/>
      <c r="I2947" s="121"/>
      <c r="J2947" s="122"/>
      <c r="K2947" s="42"/>
      <c r="L2947" s="42"/>
      <c r="M2947" s="42"/>
      <c r="N2947" s="42"/>
      <c r="O2947" s="42"/>
      <c r="P2947" s="42"/>
      <c r="Q2947" s="42"/>
      <c r="R2947" s="42"/>
      <c r="S2947" s="42"/>
    </row>
    <row r="2948" spans="1:19">
      <c r="A2948" s="45">
        <v>45061</v>
      </c>
      <c r="B2948" s="14" t="s">
        <v>2</v>
      </c>
      <c r="C2948" s="46">
        <v>13464000</v>
      </c>
      <c r="D2948" s="46">
        <v>12240000</v>
      </c>
      <c r="E2948" s="46">
        <v>1224000</v>
      </c>
      <c r="F2948" s="17" t="s">
        <v>611</v>
      </c>
      <c r="G2948" s="9">
        <v>45076</v>
      </c>
    </row>
    <row r="2949" spans="1:19">
      <c r="A2949" s="45">
        <v>45061</v>
      </c>
      <c r="B2949" s="14" t="s">
        <v>2</v>
      </c>
      <c r="C2949" s="46">
        <v>10692000</v>
      </c>
      <c r="D2949" s="46">
        <v>9720000</v>
      </c>
      <c r="E2949" s="46">
        <v>972000</v>
      </c>
      <c r="F2949" s="17" t="s">
        <v>646</v>
      </c>
      <c r="G2949" s="9">
        <v>45068</v>
      </c>
    </row>
    <row r="2950" spans="1:19">
      <c r="A2950" s="45">
        <v>45061</v>
      </c>
      <c r="B2950" s="14" t="s">
        <v>2</v>
      </c>
      <c r="C2950" s="46">
        <v>4799300</v>
      </c>
      <c r="D2950" s="46">
        <v>4363000</v>
      </c>
      <c r="E2950" s="46">
        <v>436300</v>
      </c>
      <c r="F2950" s="17" t="s">
        <v>315</v>
      </c>
      <c r="G2950" s="9">
        <v>45068</v>
      </c>
    </row>
    <row r="2951" spans="1:19">
      <c r="A2951" s="45">
        <v>45061</v>
      </c>
      <c r="B2951" s="14" t="s">
        <v>2</v>
      </c>
      <c r="C2951" s="46">
        <v>12381600</v>
      </c>
      <c r="D2951" s="46">
        <v>11256000</v>
      </c>
      <c r="E2951" s="46">
        <v>1125600</v>
      </c>
      <c r="F2951" s="17" t="s">
        <v>734</v>
      </c>
      <c r="G2951" s="9">
        <v>45068</v>
      </c>
    </row>
    <row r="2952" spans="1:19">
      <c r="A2952" s="45">
        <v>45061</v>
      </c>
      <c r="B2952" s="14" t="s">
        <v>2</v>
      </c>
      <c r="C2952" s="46">
        <v>5494500</v>
      </c>
      <c r="D2952" s="46">
        <v>4995000</v>
      </c>
      <c r="E2952" s="46">
        <v>499500</v>
      </c>
      <c r="F2952" s="17" t="s">
        <v>306</v>
      </c>
      <c r="G2952" s="9">
        <v>45068</v>
      </c>
    </row>
    <row r="2953" spans="1:19">
      <c r="A2953" s="45">
        <v>45061</v>
      </c>
      <c r="B2953" s="14" t="s">
        <v>2</v>
      </c>
      <c r="C2953" s="46">
        <v>2772000</v>
      </c>
      <c r="D2953" s="46">
        <v>2520000</v>
      </c>
      <c r="E2953" s="46">
        <v>252000</v>
      </c>
      <c r="F2953" s="17" t="s">
        <v>714</v>
      </c>
      <c r="G2953" s="9">
        <v>45076</v>
      </c>
    </row>
    <row r="2954" spans="1:19">
      <c r="A2954" s="45">
        <v>45061</v>
      </c>
      <c r="B2954" s="14" t="s">
        <v>2</v>
      </c>
      <c r="C2954" s="46">
        <v>528000</v>
      </c>
      <c r="D2954" s="46">
        <v>480000</v>
      </c>
      <c r="E2954" s="46">
        <v>48000</v>
      </c>
      <c r="F2954" s="17" t="s">
        <v>756</v>
      </c>
      <c r="G2954" s="9">
        <v>45068</v>
      </c>
    </row>
    <row r="2955" spans="1:19">
      <c r="A2955" s="45">
        <v>45061</v>
      </c>
      <c r="B2955" s="14" t="s">
        <v>2</v>
      </c>
      <c r="C2955" s="46">
        <v>15420900</v>
      </c>
      <c r="D2955" s="46">
        <v>14019000</v>
      </c>
      <c r="E2955" s="46">
        <v>1401900</v>
      </c>
      <c r="F2955" s="17" t="s">
        <v>424</v>
      </c>
      <c r="G2955" s="9">
        <v>45068</v>
      </c>
    </row>
    <row r="2956" spans="1:19">
      <c r="A2956" s="45">
        <v>45061</v>
      </c>
      <c r="B2956" s="14" t="s">
        <v>2</v>
      </c>
      <c r="C2956" s="46">
        <v>14883000</v>
      </c>
      <c r="D2956" s="46">
        <v>13530000</v>
      </c>
      <c r="E2956" s="46">
        <v>1353000</v>
      </c>
      <c r="F2956" s="17" t="s">
        <v>456</v>
      </c>
      <c r="G2956" s="9">
        <v>45068</v>
      </c>
    </row>
    <row r="2957" spans="1:19">
      <c r="A2957" s="45">
        <v>45061</v>
      </c>
      <c r="B2957" s="14" t="s">
        <v>2</v>
      </c>
      <c r="C2957" s="46">
        <v>2013000</v>
      </c>
      <c r="D2957" s="46">
        <v>1830000</v>
      </c>
      <c r="E2957" s="46">
        <v>183000</v>
      </c>
      <c r="F2957" s="17" t="s">
        <v>766</v>
      </c>
      <c r="G2957" s="9">
        <v>45068</v>
      </c>
    </row>
    <row r="2958" spans="1:19">
      <c r="A2958" s="45">
        <v>45061</v>
      </c>
      <c r="B2958" s="14" t="s">
        <v>730</v>
      </c>
      <c r="C2958" s="46">
        <v>7813300</v>
      </c>
      <c r="D2958" s="46">
        <v>7103000</v>
      </c>
      <c r="E2958" s="46">
        <v>710300</v>
      </c>
      <c r="F2958" s="17" t="s">
        <v>457</v>
      </c>
      <c r="G2958" s="9">
        <v>45068</v>
      </c>
    </row>
    <row r="2959" spans="1:19">
      <c r="A2959" s="45">
        <v>45061</v>
      </c>
      <c r="B2959" s="14" t="s">
        <v>730</v>
      </c>
      <c r="C2959" s="46">
        <v>805200</v>
      </c>
      <c r="D2959" s="46">
        <v>732000</v>
      </c>
      <c r="E2959" s="46">
        <v>73200</v>
      </c>
      <c r="F2959" s="17" t="s">
        <v>893</v>
      </c>
      <c r="G2959" s="9">
        <v>45068</v>
      </c>
    </row>
    <row r="2960" spans="1:19">
      <c r="A2960" s="45">
        <v>45061</v>
      </c>
      <c r="B2960" s="14" t="s">
        <v>730</v>
      </c>
      <c r="C2960" s="46">
        <v>11240900</v>
      </c>
      <c r="D2960" s="46">
        <v>10219000</v>
      </c>
      <c r="E2960" s="46">
        <v>1021900</v>
      </c>
      <c r="F2960" s="17" t="s">
        <v>612</v>
      </c>
      <c r="G2960" s="9">
        <v>45068</v>
      </c>
    </row>
    <row r="2961" spans="1:7">
      <c r="A2961" s="45">
        <v>45069</v>
      </c>
      <c r="B2961" s="154" t="s">
        <v>715</v>
      </c>
      <c r="C2961" s="46">
        <v>286000</v>
      </c>
      <c r="D2961" s="46">
        <v>260000</v>
      </c>
      <c r="E2961" s="46">
        <v>26000</v>
      </c>
      <c r="F2961" s="17" t="s">
        <v>895</v>
      </c>
      <c r="G2961" s="9">
        <v>45069</v>
      </c>
    </row>
    <row r="2962" spans="1:7">
      <c r="A2962" s="45">
        <v>45070</v>
      </c>
      <c r="B2962" s="155" t="s">
        <v>719</v>
      </c>
      <c r="C2962" s="46">
        <f>D2962+E2962</f>
        <v>451000</v>
      </c>
      <c r="D2962" s="46">
        <v>410000</v>
      </c>
      <c r="E2962" s="46">
        <v>41000</v>
      </c>
      <c r="F2962" s="17" t="s">
        <v>710</v>
      </c>
      <c r="G2962" s="9">
        <v>45145</v>
      </c>
    </row>
    <row r="2963" spans="1:7">
      <c r="A2963" s="45">
        <v>45077</v>
      </c>
      <c r="B2963" s="14" t="s">
        <v>769</v>
      </c>
      <c r="C2963" s="46">
        <v>11984830</v>
      </c>
      <c r="D2963" s="46">
        <v>10895300</v>
      </c>
      <c r="E2963" s="46">
        <v>1089530</v>
      </c>
      <c r="F2963" s="17" t="s">
        <v>908</v>
      </c>
      <c r="G2963" s="9">
        <v>45086</v>
      </c>
    </row>
    <row r="2964" spans="1:7">
      <c r="A2964" s="45">
        <v>45077</v>
      </c>
      <c r="B2964" s="14" t="s">
        <v>769</v>
      </c>
      <c r="C2964" s="46">
        <v>42748200</v>
      </c>
      <c r="D2964" s="46">
        <v>38862000</v>
      </c>
      <c r="E2964" s="46">
        <v>3886200</v>
      </c>
      <c r="F2964" s="17" t="s">
        <v>387</v>
      </c>
      <c r="G2964" s="9">
        <v>45086</v>
      </c>
    </row>
    <row r="2965" spans="1:7">
      <c r="A2965" s="45">
        <v>45077</v>
      </c>
      <c r="B2965" s="14" t="s">
        <v>769</v>
      </c>
      <c r="C2965" s="46">
        <v>2820400</v>
      </c>
      <c r="D2965" s="46">
        <v>2564000</v>
      </c>
      <c r="E2965" s="46">
        <v>256400</v>
      </c>
      <c r="F2965" s="17" t="s">
        <v>386</v>
      </c>
      <c r="G2965" s="9">
        <v>45086</v>
      </c>
    </row>
    <row r="2966" spans="1:7">
      <c r="A2966" s="45">
        <v>45077</v>
      </c>
      <c r="B2966" s="14" t="s">
        <v>769</v>
      </c>
      <c r="C2966" s="46">
        <v>21606200</v>
      </c>
      <c r="D2966" s="46">
        <v>19642000</v>
      </c>
      <c r="E2966" s="46">
        <v>1964200</v>
      </c>
      <c r="F2966" s="17" t="s">
        <v>705</v>
      </c>
      <c r="G2966" s="9">
        <v>45086</v>
      </c>
    </row>
    <row r="2967" spans="1:7">
      <c r="A2967" s="45">
        <v>45077</v>
      </c>
      <c r="B2967" s="14" t="s">
        <v>769</v>
      </c>
      <c r="C2967" s="46">
        <v>12346400</v>
      </c>
      <c r="D2967" s="46">
        <v>11224000</v>
      </c>
      <c r="E2967" s="46">
        <v>1122400</v>
      </c>
      <c r="F2967" s="17" t="s">
        <v>305</v>
      </c>
      <c r="G2967" s="9">
        <v>45086</v>
      </c>
    </row>
    <row r="2968" spans="1:7">
      <c r="A2968" s="45">
        <v>45077</v>
      </c>
      <c r="B2968" s="14" t="s">
        <v>15</v>
      </c>
      <c r="C2968" s="46">
        <v>7649400</v>
      </c>
      <c r="D2968" s="46">
        <v>6954000</v>
      </c>
      <c r="E2968" s="46">
        <v>695400</v>
      </c>
      <c r="F2968" s="17" t="s">
        <v>459</v>
      </c>
      <c r="G2968" s="9">
        <v>45089</v>
      </c>
    </row>
    <row r="2969" spans="1:7">
      <c r="A2969" s="45">
        <v>45077</v>
      </c>
      <c r="B2969" s="14" t="s">
        <v>752</v>
      </c>
      <c r="C2969" s="46">
        <v>8140000</v>
      </c>
      <c r="D2969" s="46">
        <v>7400000</v>
      </c>
      <c r="E2969" s="46">
        <v>740000</v>
      </c>
      <c r="F2969" s="17" t="s">
        <v>753</v>
      </c>
      <c r="G2969" s="9">
        <v>45086</v>
      </c>
    </row>
    <row r="2970" spans="1:7">
      <c r="A2970" s="45">
        <v>45077</v>
      </c>
      <c r="B2970" s="14" t="s">
        <v>2</v>
      </c>
      <c r="C2970" s="46">
        <v>12144000</v>
      </c>
      <c r="D2970" s="46">
        <v>11040000</v>
      </c>
      <c r="E2970" s="46">
        <v>1104000</v>
      </c>
      <c r="F2970" s="17" t="s">
        <v>611</v>
      </c>
      <c r="G2970" s="9">
        <v>45086</v>
      </c>
    </row>
    <row r="2971" spans="1:7">
      <c r="A2971" s="45">
        <v>45077</v>
      </c>
      <c r="B2971" s="14" t="s">
        <v>2</v>
      </c>
      <c r="C2971" s="46">
        <v>15312000</v>
      </c>
      <c r="D2971" s="46">
        <v>13920000</v>
      </c>
      <c r="E2971" s="46">
        <v>1392000</v>
      </c>
      <c r="F2971" s="17" t="s">
        <v>646</v>
      </c>
      <c r="G2971" s="9">
        <v>45086</v>
      </c>
    </row>
    <row r="2972" spans="1:7">
      <c r="A2972" s="45">
        <v>45077</v>
      </c>
      <c r="B2972" s="14" t="s">
        <v>2</v>
      </c>
      <c r="C2972" s="46">
        <v>6950460</v>
      </c>
      <c r="D2972" s="46">
        <v>6318600</v>
      </c>
      <c r="E2972" s="46">
        <v>631860</v>
      </c>
      <c r="F2972" s="17" t="s">
        <v>315</v>
      </c>
      <c r="G2972" s="9">
        <v>45086</v>
      </c>
    </row>
    <row r="2973" spans="1:7">
      <c r="A2973" s="45">
        <v>45077</v>
      </c>
      <c r="B2973" s="14" t="s">
        <v>2</v>
      </c>
      <c r="C2973" s="46">
        <v>13937000</v>
      </c>
      <c r="D2973" s="46">
        <v>12670000</v>
      </c>
      <c r="E2973" s="46">
        <v>1267000</v>
      </c>
      <c r="F2973" s="17" t="s">
        <v>734</v>
      </c>
      <c r="G2973" s="9">
        <v>45086</v>
      </c>
    </row>
    <row r="2974" spans="1:7">
      <c r="A2974" s="45">
        <v>45077</v>
      </c>
      <c r="B2974" s="14" t="s">
        <v>2</v>
      </c>
      <c r="C2974" s="46">
        <v>5280000</v>
      </c>
      <c r="D2974" s="46">
        <v>4800000</v>
      </c>
      <c r="E2974" s="46">
        <v>480000</v>
      </c>
      <c r="F2974" s="17" t="s">
        <v>306</v>
      </c>
      <c r="G2974" s="9">
        <v>45086</v>
      </c>
    </row>
    <row r="2975" spans="1:7">
      <c r="A2975" s="45">
        <v>45077</v>
      </c>
      <c r="B2975" s="14" t="s">
        <v>2</v>
      </c>
      <c r="C2975" s="46">
        <v>2244000</v>
      </c>
      <c r="D2975" s="46">
        <v>2040000</v>
      </c>
      <c r="E2975" s="46">
        <v>204000</v>
      </c>
      <c r="F2975" s="17" t="s">
        <v>714</v>
      </c>
      <c r="G2975" s="9">
        <v>45097</v>
      </c>
    </row>
    <row r="2976" spans="1:7">
      <c r="A2976" s="45">
        <v>45077</v>
      </c>
      <c r="B2976" s="14" t="s">
        <v>2</v>
      </c>
      <c r="C2976" s="46">
        <v>1452000</v>
      </c>
      <c r="D2976" s="46">
        <v>1320000</v>
      </c>
      <c r="E2976" s="46">
        <v>132000</v>
      </c>
      <c r="F2976" s="17" t="s">
        <v>756</v>
      </c>
      <c r="G2976" s="9">
        <v>45086</v>
      </c>
    </row>
    <row r="2977" spans="1:11">
      <c r="A2977" s="45">
        <v>45077</v>
      </c>
      <c r="B2977" s="14" t="s">
        <v>2</v>
      </c>
      <c r="C2977" s="46">
        <v>18518500</v>
      </c>
      <c r="D2977" s="46">
        <v>16835000</v>
      </c>
      <c r="E2977" s="46">
        <v>1683500</v>
      </c>
      <c r="F2977" s="17" t="s">
        <v>424</v>
      </c>
      <c r="G2977" s="9">
        <v>45086</v>
      </c>
    </row>
    <row r="2978" spans="1:11">
      <c r="A2978" s="45">
        <v>45077</v>
      </c>
      <c r="B2978" s="14" t="s">
        <v>2</v>
      </c>
      <c r="C2978" s="46">
        <v>18469000</v>
      </c>
      <c r="D2978" s="46">
        <v>16790000</v>
      </c>
      <c r="E2978" s="46">
        <v>1679000</v>
      </c>
      <c r="F2978" s="17" t="s">
        <v>456</v>
      </c>
      <c r="G2978" s="9">
        <v>45086</v>
      </c>
    </row>
    <row r="2979" spans="1:11">
      <c r="A2979" s="45">
        <v>45077</v>
      </c>
      <c r="B2979" s="14" t="s">
        <v>2</v>
      </c>
      <c r="C2979" s="46">
        <v>2216500</v>
      </c>
      <c r="D2979" s="46">
        <v>2015000</v>
      </c>
      <c r="E2979" s="46">
        <v>201500</v>
      </c>
      <c r="F2979" s="17" t="s">
        <v>766</v>
      </c>
      <c r="G2979" s="9">
        <v>45086</v>
      </c>
    </row>
    <row r="2980" spans="1:11">
      <c r="A2980" s="45">
        <v>45077</v>
      </c>
      <c r="B2980" s="14" t="s">
        <v>2</v>
      </c>
      <c r="C2980" s="46">
        <v>3168000</v>
      </c>
      <c r="D2980" s="46">
        <v>2880000</v>
      </c>
      <c r="E2980" s="46">
        <v>288000</v>
      </c>
      <c r="F2980" s="17" t="s">
        <v>890</v>
      </c>
      <c r="G2980" s="9">
        <v>45086</v>
      </c>
    </row>
    <row r="2981" spans="1:11">
      <c r="A2981" s="45">
        <v>45077</v>
      </c>
      <c r="B2981" s="14" t="s">
        <v>2</v>
      </c>
      <c r="C2981" s="46">
        <v>4116750</v>
      </c>
      <c r="D2981" s="46">
        <v>3742500</v>
      </c>
      <c r="E2981" s="46">
        <v>374250</v>
      </c>
      <c r="F2981" s="17" t="s">
        <v>865</v>
      </c>
      <c r="G2981" s="9">
        <v>45086</v>
      </c>
    </row>
    <row r="2982" spans="1:11">
      <c r="A2982" s="45">
        <v>45077</v>
      </c>
      <c r="B2982" s="14" t="s">
        <v>2</v>
      </c>
      <c r="C2982" s="46">
        <v>924000</v>
      </c>
      <c r="D2982" s="46">
        <v>840000</v>
      </c>
      <c r="E2982" s="46">
        <v>84000</v>
      </c>
      <c r="F2982" s="17" t="s">
        <v>878</v>
      </c>
      <c r="G2982" s="9">
        <v>45097</v>
      </c>
    </row>
    <row r="2983" spans="1:11">
      <c r="A2983" s="45">
        <v>45077</v>
      </c>
      <c r="B2983" s="14" t="s">
        <v>2</v>
      </c>
      <c r="C2983" s="46">
        <v>4400000</v>
      </c>
      <c r="D2983" s="46">
        <v>4000000</v>
      </c>
      <c r="E2983" s="46">
        <v>400000</v>
      </c>
      <c r="F2983" s="17" t="s">
        <v>880</v>
      </c>
      <c r="G2983" s="9">
        <v>45086</v>
      </c>
    </row>
    <row r="2984" spans="1:11">
      <c r="A2984" s="45">
        <v>45077</v>
      </c>
      <c r="B2984" s="14" t="s">
        <v>2</v>
      </c>
      <c r="C2984" s="46">
        <v>1665400</v>
      </c>
      <c r="D2984" s="46">
        <v>1514000</v>
      </c>
      <c r="E2984" s="46">
        <v>151400</v>
      </c>
      <c r="F2984" s="17" t="s">
        <v>859</v>
      </c>
      <c r="G2984" s="9">
        <v>45086</v>
      </c>
    </row>
    <row r="2985" spans="1:11">
      <c r="A2985" s="45">
        <v>45077</v>
      </c>
      <c r="B2985" s="14" t="s">
        <v>2</v>
      </c>
      <c r="C2985" s="46">
        <v>1899700</v>
      </c>
      <c r="D2985" s="46">
        <v>1727000</v>
      </c>
      <c r="E2985" s="46">
        <v>172700</v>
      </c>
      <c r="F2985" s="17" t="s">
        <v>858</v>
      </c>
      <c r="G2985" s="9">
        <v>45086</v>
      </c>
    </row>
    <row r="2986" spans="1:11">
      <c r="A2986" s="45">
        <v>45077</v>
      </c>
      <c r="B2986" s="14" t="s">
        <v>730</v>
      </c>
      <c r="C2986" s="46">
        <v>11788700</v>
      </c>
      <c r="D2986" s="46">
        <v>10717000</v>
      </c>
      <c r="E2986" s="46">
        <v>1071700</v>
      </c>
      <c r="F2986" s="17" t="s">
        <v>457</v>
      </c>
      <c r="G2986" s="9">
        <v>45089</v>
      </c>
      <c r="I2986" s="304" t="s">
        <v>887</v>
      </c>
      <c r="J2986" s="304"/>
      <c r="K2986" s="304"/>
    </row>
    <row r="2987" spans="1:11">
      <c r="A2987" s="45">
        <v>45077</v>
      </c>
      <c r="B2987" s="14" t="s">
        <v>730</v>
      </c>
      <c r="C2987" s="46">
        <v>1476200</v>
      </c>
      <c r="D2987" s="46">
        <v>1342000</v>
      </c>
      <c r="E2987" s="46">
        <v>134200</v>
      </c>
      <c r="F2987" s="17" t="s">
        <v>882</v>
      </c>
      <c r="G2987" s="9">
        <v>45089</v>
      </c>
      <c r="I2987" s="18" t="s">
        <v>46</v>
      </c>
      <c r="J2987" s="153" t="s">
        <v>47</v>
      </c>
      <c r="K2987" s="153" t="s">
        <v>48</v>
      </c>
    </row>
    <row r="2988" spans="1:11">
      <c r="A2988" s="45">
        <v>45077</v>
      </c>
      <c r="B2988" s="14" t="s">
        <v>730</v>
      </c>
      <c r="C2988" s="46">
        <v>13935900</v>
      </c>
      <c r="D2988" s="46">
        <v>12669000</v>
      </c>
      <c r="E2988" s="46">
        <v>1266900</v>
      </c>
      <c r="F2988" s="17" t="s">
        <v>612</v>
      </c>
      <c r="G2988" s="9">
        <v>45089</v>
      </c>
      <c r="I2988" s="18">
        <f>SUM(C2948:C3002)</f>
        <v>389736820</v>
      </c>
      <c r="J2988" s="18">
        <f>SUM(D2948:D3002)</f>
        <v>354306200</v>
      </c>
      <c r="K2988" s="18">
        <f>SUM(E2948:E3002)</f>
        <v>35430620</v>
      </c>
    </row>
    <row r="2989" spans="1:11">
      <c r="A2989" s="45">
        <v>45077</v>
      </c>
      <c r="B2989" s="14" t="s">
        <v>432</v>
      </c>
      <c r="C2989" s="46">
        <v>4479200</v>
      </c>
      <c r="D2989" s="46">
        <v>4072000</v>
      </c>
      <c r="E2989" s="46">
        <v>407200</v>
      </c>
      <c r="F2989" s="17" t="s">
        <v>857</v>
      </c>
      <c r="G2989" s="9">
        <v>45098</v>
      </c>
    </row>
    <row r="2990" spans="1:11">
      <c r="A2990" s="45">
        <v>45077</v>
      </c>
      <c r="B2990" s="14" t="s">
        <v>432</v>
      </c>
      <c r="C2990" s="46">
        <v>4221800</v>
      </c>
      <c r="D2990" s="46">
        <v>3838000</v>
      </c>
      <c r="E2990" s="46">
        <v>383800</v>
      </c>
      <c r="F2990" s="17" t="s">
        <v>757</v>
      </c>
      <c r="G2990" s="9">
        <v>45098</v>
      </c>
    </row>
    <row r="2991" spans="1:11">
      <c r="A2991" s="45">
        <v>45077</v>
      </c>
      <c r="B2991" s="14" t="s">
        <v>432</v>
      </c>
      <c r="C2991" s="46">
        <v>5808000</v>
      </c>
      <c r="D2991" s="46">
        <v>5280000</v>
      </c>
      <c r="E2991" s="46">
        <v>528000</v>
      </c>
      <c r="F2991" s="17" t="s">
        <v>255</v>
      </c>
      <c r="G2991" s="9">
        <v>45098</v>
      </c>
    </row>
    <row r="2992" spans="1:11">
      <c r="A2992" s="45">
        <v>45077</v>
      </c>
      <c r="B2992" s="14" t="s">
        <v>432</v>
      </c>
      <c r="C2992" s="46">
        <v>1353000</v>
      </c>
      <c r="D2992" s="46">
        <v>1230000</v>
      </c>
      <c r="E2992" s="46">
        <v>123000</v>
      </c>
      <c r="F2992" s="17" t="s">
        <v>811</v>
      </c>
      <c r="G2992" s="9">
        <v>45098</v>
      </c>
    </row>
    <row r="2993" spans="1:19">
      <c r="A2993" s="45">
        <v>45077</v>
      </c>
      <c r="B2993" s="14" t="s">
        <v>432</v>
      </c>
      <c r="C2993" s="46">
        <v>2769800</v>
      </c>
      <c r="D2993" s="46">
        <v>2518000</v>
      </c>
      <c r="E2993" s="46">
        <v>251800</v>
      </c>
      <c r="F2993" s="17" t="s">
        <v>165</v>
      </c>
      <c r="G2993" s="9">
        <v>45098</v>
      </c>
    </row>
    <row r="2994" spans="1:19">
      <c r="A2994" s="45">
        <v>45077</v>
      </c>
      <c r="B2994" s="14" t="s">
        <v>432</v>
      </c>
      <c r="C2994" s="46">
        <v>2244000</v>
      </c>
      <c r="D2994" s="46">
        <v>2040000</v>
      </c>
      <c r="E2994" s="46">
        <v>204000</v>
      </c>
      <c r="F2994" s="17" t="s">
        <v>702</v>
      </c>
      <c r="G2994" s="9">
        <v>45098</v>
      </c>
    </row>
    <row r="2995" spans="1:19">
      <c r="A2995" s="45">
        <v>45077</v>
      </c>
      <c r="B2995" s="14" t="s">
        <v>436</v>
      </c>
      <c r="C2995" s="46">
        <v>90200</v>
      </c>
      <c r="D2995" s="46">
        <v>82000</v>
      </c>
      <c r="E2995" s="46">
        <v>8200</v>
      </c>
      <c r="F2995" s="17" t="s">
        <v>588</v>
      </c>
      <c r="G2995" s="9">
        <v>45089</v>
      </c>
    </row>
    <row r="2996" spans="1:19">
      <c r="A2996" s="45">
        <v>45077</v>
      </c>
      <c r="B2996" s="14" t="s">
        <v>728</v>
      </c>
      <c r="C2996" s="46">
        <v>213400</v>
      </c>
      <c r="D2996" s="46">
        <v>194000</v>
      </c>
      <c r="E2996" s="46">
        <v>19400</v>
      </c>
      <c r="F2996" s="17" t="s">
        <v>729</v>
      </c>
      <c r="G2996" s="9">
        <v>45092</v>
      </c>
    </row>
    <row r="2997" spans="1:19">
      <c r="A2997" s="45">
        <v>45077</v>
      </c>
      <c r="B2997" s="14" t="s">
        <v>805</v>
      </c>
      <c r="C2997" s="46">
        <v>8844000</v>
      </c>
      <c r="D2997" s="46">
        <v>8040000</v>
      </c>
      <c r="E2997" s="46">
        <v>804000</v>
      </c>
      <c r="F2997" s="17" t="s">
        <v>727</v>
      </c>
      <c r="G2997" s="9">
        <v>45092</v>
      </c>
    </row>
    <row r="2998" spans="1:19">
      <c r="A2998" s="45">
        <v>45077</v>
      </c>
      <c r="B2998" s="14" t="s">
        <v>449</v>
      </c>
      <c r="C2998" s="46">
        <v>1342000</v>
      </c>
      <c r="D2998" s="46">
        <v>1220000</v>
      </c>
      <c r="E2998" s="46">
        <v>122000</v>
      </c>
      <c r="F2998" s="17" t="s">
        <v>13</v>
      </c>
      <c r="G2998" s="9">
        <v>45096</v>
      </c>
    </row>
    <row r="2999" spans="1:19">
      <c r="A2999" s="45">
        <v>45077</v>
      </c>
      <c r="B2999" s="14" t="s">
        <v>899</v>
      </c>
      <c r="C2999" s="46">
        <v>335500</v>
      </c>
      <c r="D2999" s="46">
        <v>305000</v>
      </c>
      <c r="E2999" s="46">
        <v>30500</v>
      </c>
      <c r="F2999" s="17" t="s">
        <v>13</v>
      </c>
      <c r="G2999" s="9">
        <v>45082</v>
      </c>
    </row>
    <row r="3000" spans="1:19">
      <c r="A3000" s="45">
        <v>45077</v>
      </c>
      <c r="B3000" s="14" t="s">
        <v>82</v>
      </c>
      <c r="C3000" s="46">
        <v>1144000</v>
      </c>
      <c r="D3000" s="46">
        <v>1040000</v>
      </c>
      <c r="E3000" s="46">
        <v>104000</v>
      </c>
      <c r="F3000" s="17" t="s">
        <v>13</v>
      </c>
      <c r="G3000" s="9">
        <v>45092</v>
      </c>
    </row>
    <row r="3001" spans="1:19">
      <c r="A3001" s="45">
        <v>45077</v>
      </c>
      <c r="B3001" s="157" t="s">
        <v>155</v>
      </c>
      <c r="C3001" s="46">
        <v>6103680</v>
      </c>
      <c r="D3001" s="46">
        <v>5548800</v>
      </c>
      <c r="E3001" s="46">
        <v>554880</v>
      </c>
      <c r="F3001" s="17" t="s">
        <v>13</v>
      </c>
      <c r="G3001" s="9">
        <v>45093</v>
      </c>
    </row>
    <row r="3002" spans="1:19">
      <c r="A3002" s="119">
        <v>45077</v>
      </c>
      <c r="B3002" s="42" t="s">
        <v>715</v>
      </c>
      <c r="C3002" s="118">
        <v>550000</v>
      </c>
      <c r="D3002" s="118">
        <v>500000</v>
      </c>
      <c r="E3002" s="118">
        <v>50000</v>
      </c>
      <c r="F3002" s="41" t="s">
        <v>897</v>
      </c>
      <c r="G3002" s="10">
        <v>45079</v>
      </c>
      <c r="H3002" s="51"/>
      <c r="I3002" s="121"/>
      <c r="J3002" s="122"/>
      <c r="K3002" s="42"/>
      <c r="L3002" s="42"/>
      <c r="M3002" s="42"/>
      <c r="N3002" s="42"/>
      <c r="O3002" s="42"/>
      <c r="P3002" s="42"/>
      <c r="Q3002" s="42"/>
      <c r="R3002" s="42"/>
      <c r="S3002" s="42"/>
    </row>
    <row r="3003" spans="1:19">
      <c r="A3003" s="45">
        <v>45092</v>
      </c>
      <c r="B3003" s="14" t="s">
        <v>730</v>
      </c>
      <c r="C3003" s="46">
        <v>7456900</v>
      </c>
      <c r="D3003" s="46">
        <v>6779000</v>
      </c>
      <c r="E3003" s="46">
        <v>677900</v>
      </c>
      <c r="F3003" s="17" t="s">
        <v>457</v>
      </c>
      <c r="G3003" s="9">
        <v>45112</v>
      </c>
    </row>
    <row r="3004" spans="1:19">
      <c r="A3004" s="45">
        <v>45092</v>
      </c>
      <c r="B3004" s="14" t="s">
        <v>730</v>
      </c>
      <c r="C3004" s="46">
        <v>268400</v>
      </c>
      <c r="D3004" s="46">
        <v>244000</v>
      </c>
      <c r="E3004" s="46">
        <v>24400</v>
      </c>
      <c r="F3004" s="17" t="s">
        <v>882</v>
      </c>
      <c r="G3004" s="9">
        <v>45112</v>
      </c>
    </row>
    <row r="3005" spans="1:19">
      <c r="A3005" s="45">
        <v>45092</v>
      </c>
      <c r="B3005" s="14" t="s">
        <v>730</v>
      </c>
      <c r="C3005" s="46">
        <v>8236800</v>
      </c>
      <c r="D3005" s="46">
        <v>7488000</v>
      </c>
      <c r="E3005" s="46">
        <v>748800</v>
      </c>
      <c r="F3005" s="17" t="s">
        <v>612</v>
      </c>
      <c r="G3005" s="9">
        <v>45112</v>
      </c>
    </row>
    <row r="3006" spans="1:19">
      <c r="A3006" s="45">
        <v>45092</v>
      </c>
      <c r="B3006" s="14" t="s">
        <v>2</v>
      </c>
      <c r="C3006" s="46">
        <v>14784000</v>
      </c>
      <c r="D3006" s="46">
        <v>13440000</v>
      </c>
      <c r="E3006" s="46">
        <v>1344000</v>
      </c>
      <c r="F3006" s="17" t="s">
        <v>611</v>
      </c>
      <c r="G3006" s="9">
        <v>45107</v>
      </c>
    </row>
    <row r="3007" spans="1:19">
      <c r="A3007" s="45">
        <v>45092</v>
      </c>
      <c r="B3007" s="14" t="s">
        <v>2</v>
      </c>
      <c r="C3007" s="46">
        <v>16236000</v>
      </c>
      <c r="D3007" s="46">
        <v>14760000</v>
      </c>
      <c r="E3007" s="46">
        <v>1476000</v>
      </c>
      <c r="F3007" s="17" t="s">
        <v>646</v>
      </c>
      <c r="G3007" s="9">
        <v>45107</v>
      </c>
    </row>
    <row r="3008" spans="1:19">
      <c r="A3008" s="45">
        <v>45092</v>
      </c>
      <c r="B3008" s="14" t="s">
        <v>2</v>
      </c>
      <c r="C3008" s="46">
        <v>6116000</v>
      </c>
      <c r="D3008" s="46">
        <v>5560000</v>
      </c>
      <c r="E3008" s="46">
        <v>556000</v>
      </c>
      <c r="F3008" s="17" t="s">
        <v>315</v>
      </c>
      <c r="G3008" s="9">
        <v>45097</v>
      </c>
    </row>
    <row r="3009" spans="1:7">
      <c r="A3009" s="45">
        <v>45092</v>
      </c>
      <c r="B3009" s="14" t="s">
        <v>2</v>
      </c>
      <c r="C3009" s="46">
        <v>13994200</v>
      </c>
      <c r="D3009" s="46">
        <v>12722000</v>
      </c>
      <c r="E3009" s="46">
        <v>1272200</v>
      </c>
      <c r="F3009" s="17" t="s">
        <v>734</v>
      </c>
      <c r="G3009" s="9">
        <v>45107</v>
      </c>
    </row>
    <row r="3010" spans="1:7">
      <c r="A3010" s="45">
        <v>45092</v>
      </c>
      <c r="B3010" s="14" t="s">
        <v>2</v>
      </c>
      <c r="C3010" s="46">
        <v>2860000</v>
      </c>
      <c r="D3010" s="46">
        <v>2600000</v>
      </c>
      <c r="E3010" s="46">
        <v>260000</v>
      </c>
      <c r="F3010" s="17" t="s">
        <v>306</v>
      </c>
      <c r="G3010" s="9">
        <v>45107</v>
      </c>
    </row>
    <row r="3011" spans="1:7">
      <c r="A3011" s="45">
        <v>45092</v>
      </c>
      <c r="B3011" s="14" t="s">
        <v>2</v>
      </c>
      <c r="C3011" s="46">
        <v>132000</v>
      </c>
      <c r="D3011" s="46">
        <v>120000</v>
      </c>
      <c r="E3011" s="46">
        <v>12000</v>
      </c>
      <c r="F3011" s="17" t="s">
        <v>714</v>
      </c>
      <c r="G3011" s="9">
        <v>45097</v>
      </c>
    </row>
    <row r="3012" spans="1:7">
      <c r="A3012" s="45">
        <v>45092</v>
      </c>
      <c r="B3012" s="14" t="s">
        <v>2</v>
      </c>
      <c r="C3012" s="46">
        <v>924000</v>
      </c>
      <c r="D3012" s="46">
        <v>840000</v>
      </c>
      <c r="E3012" s="46">
        <v>84000</v>
      </c>
      <c r="F3012" s="17" t="s">
        <v>756</v>
      </c>
      <c r="G3012" s="9">
        <v>45097</v>
      </c>
    </row>
    <row r="3013" spans="1:7">
      <c r="A3013" s="45">
        <v>45092</v>
      </c>
      <c r="B3013" s="14" t="s">
        <v>2</v>
      </c>
      <c r="C3013" s="46">
        <v>15502300</v>
      </c>
      <c r="D3013" s="46">
        <v>14093000</v>
      </c>
      <c r="E3013" s="46">
        <v>1409300</v>
      </c>
      <c r="F3013" s="17" t="s">
        <v>424</v>
      </c>
      <c r="G3013" s="9">
        <v>45097</v>
      </c>
    </row>
    <row r="3014" spans="1:7">
      <c r="A3014" s="45">
        <v>45092</v>
      </c>
      <c r="B3014" s="14" t="s">
        <v>2</v>
      </c>
      <c r="C3014" s="46">
        <v>21186000</v>
      </c>
      <c r="D3014" s="46">
        <v>19260000</v>
      </c>
      <c r="E3014" s="46">
        <v>1926000</v>
      </c>
      <c r="F3014" s="17" t="s">
        <v>456</v>
      </c>
      <c r="G3014" s="9">
        <v>45107</v>
      </c>
    </row>
    <row r="3015" spans="1:7">
      <c r="A3015" s="45">
        <v>45092</v>
      </c>
      <c r="B3015" s="14" t="s">
        <v>2</v>
      </c>
      <c r="C3015" s="46">
        <v>1534500</v>
      </c>
      <c r="D3015" s="46">
        <v>1395000</v>
      </c>
      <c r="E3015" s="46">
        <v>139500</v>
      </c>
      <c r="F3015" s="17" t="s">
        <v>766</v>
      </c>
      <c r="G3015" s="9">
        <v>45097</v>
      </c>
    </row>
    <row r="3016" spans="1:7">
      <c r="A3016" s="45">
        <v>45087</v>
      </c>
      <c r="B3016" s="14" t="s">
        <v>900</v>
      </c>
      <c r="C3016" s="46">
        <v>99000</v>
      </c>
      <c r="D3016" s="46">
        <v>90000</v>
      </c>
      <c r="E3016" s="46">
        <v>9000</v>
      </c>
      <c r="F3016" s="17" t="s">
        <v>901</v>
      </c>
      <c r="G3016" s="9">
        <v>45098</v>
      </c>
    </row>
    <row r="3017" spans="1:7">
      <c r="A3017" s="45">
        <v>45100</v>
      </c>
      <c r="B3017" s="14" t="s">
        <v>719</v>
      </c>
      <c r="C3017" s="46">
        <v>270600</v>
      </c>
      <c r="D3017" s="46">
        <v>246000</v>
      </c>
      <c r="E3017" s="46">
        <v>24600</v>
      </c>
      <c r="F3017" s="17" t="s">
        <v>710</v>
      </c>
      <c r="G3017" s="9">
        <v>45145</v>
      </c>
    </row>
    <row r="3018" spans="1:7">
      <c r="A3018" s="45">
        <v>45103</v>
      </c>
      <c r="B3018" s="14" t="s">
        <v>902</v>
      </c>
      <c r="C3018" s="46">
        <v>4639690</v>
      </c>
      <c r="D3018" s="46">
        <v>4639690</v>
      </c>
      <c r="E3018" s="46">
        <v>0</v>
      </c>
      <c r="F3018" s="17" t="s">
        <v>903</v>
      </c>
      <c r="G3018" s="9">
        <v>45107</v>
      </c>
    </row>
    <row r="3019" spans="1:7">
      <c r="A3019" s="45">
        <v>45103</v>
      </c>
      <c r="B3019" s="14" t="s">
        <v>432</v>
      </c>
      <c r="C3019" s="46">
        <v>429000</v>
      </c>
      <c r="D3019" s="46">
        <v>390000</v>
      </c>
      <c r="E3019" s="46">
        <v>39000</v>
      </c>
      <c r="F3019" s="17" t="s">
        <v>904</v>
      </c>
      <c r="G3019" s="9">
        <v>45114</v>
      </c>
    </row>
    <row r="3020" spans="1:7">
      <c r="A3020" s="45">
        <v>45107</v>
      </c>
      <c r="B3020" s="14" t="s">
        <v>769</v>
      </c>
      <c r="C3020" s="46">
        <v>10295010</v>
      </c>
      <c r="D3020" s="46">
        <v>9359100</v>
      </c>
      <c r="E3020" s="46">
        <v>935910</v>
      </c>
      <c r="F3020" s="17" t="s">
        <v>927</v>
      </c>
      <c r="G3020" s="9">
        <v>45117</v>
      </c>
    </row>
    <row r="3021" spans="1:7">
      <c r="A3021" s="45">
        <v>45107</v>
      </c>
      <c r="B3021" s="14" t="s">
        <v>769</v>
      </c>
      <c r="C3021" s="46">
        <v>49453800</v>
      </c>
      <c r="D3021" s="46">
        <v>44958000</v>
      </c>
      <c r="E3021" s="46">
        <v>4495800</v>
      </c>
      <c r="F3021" s="17" t="s">
        <v>387</v>
      </c>
      <c r="G3021" s="9">
        <v>45117</v>
      </c>
    </row>
    <row r="3022" spans="1:7">
      <c r="A3022" s="45">
        <v>45107</v>
      </c>
      <c r="B3022" s="14" t="s">
        <v>769</v>
      </c>
      <c r="C3022" s="46">
        <v>2239600</v>
      </c>
      <c r="D3022" s="46">
        <v>2036000</v>
      </c>
      <c r="E3022" s="46">
        <v>203600</v>
      </c>
      <c r="F3022" s="17" t="s">
        <v>386</v>
      </c>
      <c r="G3022" s="9">
        <v>45117</v>
      </c>
    </row>
    <row r="3023" spans="1:7">
      <c r="A3023" s="45">
        <v>45107</v>
      </c>
      <c r="B3023" s="14" t="s">
        <v>769</v>
      </c>
      <c r="C3023" s="46">
        <v>22143000</v>
      </c>
      <c r="D3023" s="46">
        <v>20130000</v>
      </c>
      <c r="E3023" s="46">
        <v>2013000</v>
      </c>
      <c r="F3023" s="17" t="s">
        <v>705</v>
      </c>
      <c r="G3023" s="9">
        <v>45117</v>
      </c>
    </row>
    <row r="3024" spans="1:7">
      <c r="A3024" s="45">
        <v>45107</v>
      </c>
      <c r="B3024" s="14" t="s">
        <v>769</v>
      </c>
      <c r="C3024" s="46">
        <v>13420000</v>
      </c>
      <c r="D3024" s="46">
        <v>12200000</v>
      </c>
      <c r="E3024" s="46">
        <v>1220000</v>
      </c>
      <c r="F3024" s="17" t="s">
        <v>305</v>
      </c>
      <c r="G3024" s="9">
        <v>45117</v>
      </c>
    </row>
    <row r="3025" spans="1:17">
      <c r="A3025" s="45">
        <v>45107</v>
      </c>
      <c r="B3025" s="14" t="s">
        <v>15</v>
      </c>
      <c r="C3025" s="46">
        <v>9528200</v>
      </c>
      <c r="D3025" s="46">
        <v>8662000</v>
      </c>
      <c r="E3025" s="46">
        <v>866200</v>
      </c>
      <c r="F3025" s="17" t="s">
        <v>459</v>
      </c>
      <c r="G3025" s="9">
        <v>45117</v>
      </c>
    </row>
    <row r="3026" spans="1:17">
      <c r="A3026" s="45">
        <v>45107</v>
      </c>
      <c r="B3026" s="14" t="s">
        <v>752</v>
      </c>
      <c r="C3026" s="46">
        <v>5390000</v>
      </c>
      <c r="D3026" s="46">
        <v>4900000</v>
      </c>
      <c r="E3026" s="46">
        <v>490000</v>
      </c>
      <c r="F3026" s="17" t="s">
        <v>753</v>
      </c>
      <c r="G3026" s="9">
        <v>45118</v>
      </c>
    </row>
    <row r="3027" spans="1:17">
      <c r="A3027" s="45">
        <v>45107</v>
      </c>
      <c r="B3027" s="14" t="s">
        <v>2</v>
      </c>
      <c r="C3027" s="46">
        <v>8844000</v>
      </c>
      <c r="D3027" s="46">
        <v>8040000</v>
      </c>
      <c r="E3027" s="46">
        <v>804000</v>
      </c>
      <c r="F3027" s="17" t="s">
        <v>611</v>
      </c>
      <c r="G3027" s="9">
        <v>45117</v>
      </c>
    </row>
    <row r="3028" spans="1:17">
      <c r="A3028" s="45">
        <v>45107</v>
      </c>
      <c r="B3028" s="14" t="s">
        <v>2</v>
      </c>
      <c r="C3028" s="46">
        <v>16236000</v>
      </c>
      <c r="D3028" s="46">
        <v>14760000</v>
      </c>
      <c r="E3028" s="46">
        <v>1476000</v>
      </c>
      <c r="F3028" s="17" t="s">
        <v>646</v>
      </c>
      <c r="G3028" s="9">
        <v>45117</v>
      </c>
      <c r="I3028" s="4"/>
      <c r="J3028" s="12"/>
    </row>
    <row r="3029" spans="1:17">
      <c r="A3029" s="45">
        <v>45107</v>
      </c>
      <c r="B3029" s="14" t="s">
        <v>2</v>
      </c>
      <c r="C3029" s="46">
        <v>3692700</v>
      </c>
      <c r="D3029" s="46">
        <v>3357000</v>
      </c>
      <c r="E3029" s="46">
        <v>335700</v>
      </c>
      <c r="F3029" s="17" t="s">
        <v>315</v>
      </c>
      <c r="G3029" s="9">
        <v>45117</v>
      </c>
      <c r="I3029" s="11"/>
      <c r="J3029" s="3"/>
    </row>
    <row r="3030" spans="1:17">
      <c r="A3030" s="45">
        <v>45107</v>
      </c>
      <c r="B3030" s="159" t="s">
        <v>2</v>
      </c>
      <c r="C3030" s="46">
        <v>13951300</v>
      </c>
      <c r="D3030" s="46">
        <v>12683000</v>
      </c>
      <c r="E3030" s="46">
        <v>1268300</v>
      </c>
      <c r="F3030" s="17" t="s">
        <v>734</v>
      </c>
      <c r="G3030" s="9">
        <v>45117</v>
      </c>
      <c r="I3030" s="4"/>
      <c r="J3030" s="3"/>
      <c r="K3030" s="159"/>
      <c r="L3030" s="159"/>
      <c r="M3030" s="159"/>
      <c r="N3030" s="159"/>
      <c r="O3030" s="159"/>
      <c r="P3030" s="159"/>
      <c r="Q3030" s="159"/>
    </row>
    <row r="3031" spans="1:17">
      <c r="A3031" s="45">
        <v>45107</v>
      </c>
      <c r="B3031" s="14" t="s">
        <v>2</v>
      </c>
      <c r="C3031" s="46">
        <v>1978350</v>
      </c>
      <c r="D3031" s="46">
        <v>1798500</v>
      </c>
      <c r="E3031" s="46">
        <v>179850</v>
      </c>
      <c r="F3031" s="17" t="s">
        <v>306</v>
      </c>
      <c r="G3031" s="9">
        <v>45117</v>
      </c>
      <c r="I3031" s="4"/>
      <c r="J3031" s="12"/>
    </row>
    <row r="3032" spans="1:17">
      <c r="A3032" s="45">
        <v>45107</v>
      </c>
      <c r="B3032" s="14" t="s">
        <v>2</v>
      </c>
      <c r="C3032" s="46">
        <v>396000</v>
      </c>
      <c r="D3032" s="46">
        <v>360000</v>
      </c>
      <c r="E3032" s="46">
        <v>36000</v>
      </c>
      <c r="F3032" s="17" t="s">
        <v>756</v>
      </c>
      <c r="G3032" s="9">
        <v>45117</v>
      </c>
      <c r="I3032" s="13"/>
      <c r="J3032" s="12"/>
    </row>
    <row r="3033" spans="1:17">
      <c r="A3033" s="45">
        <v>45107</v>
      </c>
      <c r="B3033" s="14" t="s">
        <v>2</v>
      </c>
      <c r="C3033" s="46">
        <v>16561600</v>
      </c>
      <c r="D3033" s="46">
        <v>15056000</v>
      </c>
      <c r="E3033" s="46">
        <v>1505600</v>
      </c>
      <c r="F3033" s="17" t="s">
        <v>424</v>
      </c>
      <c r="G3033" s="9">
        <v>45117</v>
      </c>
      <c r="I3033" s="13"/>
      <c r="J3033" s="12"/>
    </row>
    <row r="3034" spans="1:17">
      <c r="A3034" s="45">
        <v>45107</v>
      </c>
      <c r="B3034" s="14" t="s">
        <v>2</v>
      </c>
      <c r="C3034" s="46">
        <v>21235500</v>
      </c>
      <c r="D3034" s="46">
        <v>19305000</v>
      </c>
      <c r="E3034" s="46">
        <v>1930500</v>
      </c>
      <c r="F3034" s="17" t="s">
        <v>456</v>
      </c>
      <c r="G3034" s="9">
        <v>45117</v>
      </c>
      <c r="I3034" s="4"/>
      <c r="J3034" s="12"/>
    </row>
    <row r="3035" spans="1:17">
      <c r="A3035" s="45">
        <v>45107</v>
      </c>
      <c r="B3035" s="14" t="s">
        <v>2</v>
      </c>
      <c r="C3035" s="46">
        <v>1875500</v>
      </c>
      <c r="D3035" s="46">
        <v>1705000</v>
      </c>
      <c r="E3035" s="46">
        <v>170500</v>
      </c>
      <c r="F3035" s="17" t="s">
        <v>766</v>
      </c>
      <c r="G3035" s="9">
        <v>45117</v>
      </c>
      <c r="I3035" s="4"/>
      <c r="J3035" s="12"/>
    </row>
    <row r="3036" spans="1:17">
      <c r="A3036" s="45">
        <v>45107</v>
      </c>
      <c r="B3036" s="14" t="s">
        <v>2</v>
      </c>
      <c r="C3036" s="46">
        <v>117700</v>
      </c>
      <c r="D3036" s="46">
        <v>107000</v>
      </c>
      <c r="E3036" s="46">
        <v>10700</v>
      </c>
      <c r="F3036" s="17" t="s">
        <v>860</v>
      </c>
      <c r="G3036" s="9">
        <v>45117</v>
      </c>
      <c r="I3036" s="4"/>
      <c r="J3036" s="12"/>
    </row>
    <row r="3037" spans="1:17">
      <c r="A3037" s="45">
        <v>45107</v>
      </c>
      <c r="B3037" s="14" t="s">
        <v>2</v>
      </c>
      <c r="C3037" s="46">
        <v>1988250</v>
      </c>
      <c r="D3037" s="46">
        <v>1807500</v>
      </c>
      <c r="E3037" s="46">
        <v>180750</v>
      </c>
      <c r="F3037" s="17" t="s">
        <v>865</v>
      </c>
      <c r="G3037" s="9">
        <v>45117</v>
      </c>
      <c r="I3037" s="4"/>
      <c r="J3037" s="12"/>
    </row>
    <row r="3038" spans="1:17">
      <c r="A3038" s="45">
        <v>45107</v>
      </c>
      <c r="B3038" s="14" t="s">
        <v>2</v>
      </c>
      <c r="C3038" s="46">
        <v>154000</v>
      </c>
      <c r="D3038" s="46">
        <v>140000</v>
      </c>
      <c r="E3038" s="46">
        <v>14000</v>
      </c>
      <c r="F3038" s="17" t="s">
        <v>878</v>
      </c>
      <c r="G3038" s="9">
        <v>45127</v>
      </c>
      <c r="I3038" s="4"/>
      <c r="J3038" s="12"/>
    </row>
    <row r="3039" spans="1:17">
      <c r="A3039" s="45">
        <v>45107</v>
      </c>
      <c r="B3039" s="14" t="s">
        <v>2</v>
      </c>
      <c r="C3039" s="46">
        <v>2112000</v>
      </c>
      <c r="D3039" s="46">
        <v>1920000</v>
      </c>
      <c r="E3039" s="46">
        <v>192000</v>
      </c>
      <c r="F3039" s="17" t="s">
        <v>880</v>
      </c>
      <c r="G3039" s="9">
        <v>45117</v>
      </c>
      <c r="I3039" s="4"/>
      <c r="J3039" s="12"/>
    </row>
    <row r="3040" spans="1:17">
      <c r="A3040" s="45">
        <v>45107</v>
      </c>
      <c r="B3040" s="14" t="s">
        <v>2</v>
      </c>
      <c r="C3040" s="46">
        <v>639100</v>
      </c>
      <c r="D3040" s="46">
        <v>581000</v>
      </c>
      <c r="E3040" s="46">
        <v>58100</v>
      </c>
      <c r="F3040" s="17" t="s">
        <v>859</v>
      </c>
      <c r="G3040" s="9">
        <v>45117</v>
      </c>
      <c r="I3040" s="11"/>
      <c r="J3040" s="12"/>
    </row>
    <row r="3041" spans="1:17">
      <c r="A3041" s="45">
        <v>45107</v>
      </c>
      <c r="B3041" s="14" t="s">
        <v>2</v>
      </c>
      <c r="C3041" s="46">
        <v>3777400</v>
      </c>
      <c r="D3041" s="46">
        <v>3434000</v>
      </c>
      <c r="E3041" s="46">
        <v>343400</v>
      </c>
      <c r="F3041" s="17" t="s">
        <v>858</v>
      </c>
      <c r="G3041" s="9">
        <v>45117</v>
      </c>
      <c r="I3041" s="4"/>
      <c r="J3041" s="12"/>
    </row>
    <row r="3042" spans="1:17">
      <c r="A3042" s="45">
        <v>45107</v>
      </c>
      <c r="B3042" s="14" t="s">
        <v>730</v>
      </c>
      <c r="C3042" s="46">
        <v>4134900</v>
      </c>
      <c r="D3042" s="46">
        <v>3759000</v>
      </c>
      <c r="E3042" s="46">
        <v>375900</v>
      </c>
      <c r="F3042" s="17" t="s">
        <v>457</v>
      </c>
      <c r="G3042" s="9">
        <v>45117</v>
      </c>
    </row>
    <row r="3043" spans="1:17">
      <c r="A3043" s="45">
        <v>45107</v>
      </c>
      <c r="B3043" s="14" t="s">
        <v>730</v>
      </c>
      <c r="C3043" s="46">
        <v>5640800</v>
      </c>
      <c r="D3043" s="46">
        <v>5128000</v>
      </c>
      <c r="E3043" s="46">
        <v>512800</v>
      </c>
      <c r="F3043" s="17" t="s">
        <v>612</v>
      </c>
      <c r="G3043" s="9">
        <v>45117</v>
      </c>
    </row>
    <row r="3044" spans="1:17">
      <c r="A3044" s="45">
        <v>45107</v>
      </c>
      <c r="B3044" s="14" t="s">
        <v>432</v>
      </c>
      <c r="C3044" s="46">
        <v>426800</v>
      </c>
      <c r="D3044" s="46">
        <v>388000</v>
      </c>
      <c r="E3044" s="46">
        <v>38800</v>
      </c>
      <c r="F3044" s="17" t="s">
        <v>857</v>
      </c>
      <c r="G3044" s="9">
        <v>45126</v>
      </c>
    </row>
    <row r="3045" spans="1:17">
      <c r="A3045" s="45">
        <v>45107</v>
      </c>
      <c r="B3045" s="14" t="s">
        <v>432</v>
      </c>
      <c r="C3045" s="46">
        <v>3627800</v>
      </c>
      <c r="D3045" s="46">
        <v>3298000</v>
      </c>
      <c r="E3045" s="46">
        <v>329800</v>
      </c>
      <c r="F3045" s="17" t="s">
        <v>757</v>
      </c>
      <c r="G3045" s="9">
        <v>45126</v>
      </c>
    </row>
    <row r="3046" spans="1:17">
      <c r="A3046" s="45">
        <v>45107</v>
      </c>
      <c r="B3046" s="14" t="s">
        <v>432</v>
      </c>
      <c r="C3046" s="46">
        <v>4356000</v>
      </c>
      <c r="D3046" s="46">
        <v>3960000</v>
      </c>
      <c r="E3046" s="46">
        <v>396000</v>
      </c>
      <c r="F3046" s="17" t="s">
        <v>255</v>
      </c>
      <c r="G3046" s="9">
        <v>45126</v>
      </c>
    </row>
    <row r="3047" spans="1:17">
      <c r="A3047" s="45">
        <v>45107</v>
      </c>
      <c r="B3047" s="14" t="s">
        <v>432</v>
      </c>
      <c r="C3047" s="46">
        <v>2173600</v>
      </c>
      <c r="D3047" s="46">
        <v>1976000</v>
      </c>
      <c r="E3047" s="46">
        <v>197600</v>
      </c>
      <c r="F3047" s="17" t="s">
        <v>811</v>
      </c>
      <c r="G3047" s="9">
        <v>45126</v>
      </c>
    </row>
    <row r="3048" spans="1:17">
      <c r="A3048" s="45">
        <v>45107</v>
      </c>
      <c r="B3048" s="14" t="s">
        <v>432</v>
      </c>
      <c r="C3048" s="46">
        <v>2827000</v>
      </c>
      <c r="D3048" s="46">
        <v>2570000</v>
      </c>
      <c r="E3048" s="46">
        <v>257000</v>
      </c>
      <c r="F3048" s="17" t="s">
        <v>165</v>
      </c>
      <c r="G3048" s="9">
        <v>45126</v>
      </c>
    </row>
    <row r="3049" spans="1:17">
      <c r="A3049" s="45">
        <v>45107</v>
      </c>
      <c r="B3049" s="14" t="s">
        <v>432</v>
      </c>
      <c r="C3049" s="46">
        <v>2772000</v>
      </c>
      <c r="D3049" s="46">
        <v>2520000</v>
      </c>
      <c r="E3049" s="46">
        <v>252000</v>
      </c>
      <c r="F3049" s="17" t="s">
        <v>702</v>
      </c>
      <c r="G3049" s="9">
        <v>45126</v>
      </c>
    </row>
    <row r="3050" spans="1:17">
      <c r="A3050" s="45">
        <v>45107</v>
      </c>
      <c r="B3050" s="160" t="s">
        <v>911</v>
      </c>
      <c r="C3050" s="46">
        <v>682000</v>
      </c>
      <c r="D3050" s="46">
        <v>620000</v>
      </c>
      <c r="E3050" s="46">
        <v>62000</v>
      </c>
      <c r="F3050" s="17" t="s">
        <v>13</v>
      </c>
      <c r="G3050" s="9">
        <v>45117</v>
      </c>
      <c r="K3050" s="160"/>
      <c r="L3050" s="160"/>
      <c r="M3050" s="160"/>
      <c r="N3050" s="160"/>
      <c r="O3050" s="160"/>
      <c r="P3050" s="160"/>
      <c r="Q3050" s="160"/>
    </row>
    <row r="3051" spans="1:17">
      <c r="A3051" s="45">
        <v>45080</v>
      </c>
      <c r="B3051" s="160" t="s">
        <v>719</v>
      </c>
      <c r="C3051" s="46">
        <v>132000</v>
      </c>
      <c r="D3051" s="46">
        <v>120000</v>
      </c>
      <c r="E3051" s="46">
        <v>12000</v>
      </c>
      <c r="F3051" s="17" t="s">
        <v>912</v>
      </c>
      <c r="G3051" s="9">
        <v>45240</v>
      </c>
      <c r="K3051" s="160"/>
      <c r="L3051" s="160"/>
      <c r="M3051" s="160"/>
      <c r="N3051" s="160"/>
      <c r="O3051" s="160"/>
      <c r="P3051" s="160"/>
      <c r="Q3051" s="160"/>
    </row>
    <row r="3052" spans="1:17">
      <c r="A3052" s="45">
        <v>45107</v>
      </c>
      <c r="B3052" s="14" t="s">
        <v>805</v>
      </c>
      <c r="C3052" s="46">
        <v>8448000</v>
      </c>
      <c r="D3052" s="46">
        <v>7680000</v>
      </c>
      <c r="E3052" s="46">
        <v>768000</v>
      </c>
      <c r="F3052" s="17" t="s">
        <v>727</v>
      </c>
      <c r="G3052" s="9">
        <v>45121</v>
      </c>
      <c r="I3052" s="304" t="s">
        <v>896</v>
      </c>
      <c r="J3052" s="304"/>
      <c r="K3052" s="304"/>
    </row>
    <row r="3053" spans="1:17">
      <c r="A3053" s="45">
        <v>45107</v>
      </c>
      <c r="B3053" s="14" t="s">
        <v>719</v>
      </c>
      <c r="C3053" s="46">
        <v>3520000</v>
      </c>
      <c r="D3053" s="46">
        <v>3200000</v>
      </c>
      <c r="E3053" s="46">
        <v>320000</v>
      </c>
      <c r="F3053" s="17" t="s">
        <v>909</v>
      </c>
      <c r="G3053" s="9">
        <v>45135</v>
      </c>
      <c r="I3053" s="18" t="s">
        <v>46</v>
      </c>
      <c r="J3053" s="156" t="s">
        <v>47</v>
      </c>
      <c r="K3053" s="156" t="s">
        <v>48</v>
      </c>
    </row>
    <row r="3054" spans="1:17">
      <c r="A3054" s="45">
        <v>45107</v>
      </c>
      <c r="B3054" s="14" t="s">
        <v>449</v>
      </c>
      <c r="C3054" s="46">
        <v>495000</v>
      </c>
      <c r="D3054" s="46">
        <v>450000</v>
      </c>
      <c r="E3054" s="46">
        <v>45000</v>
      </c>
      <c r="F3054" s="17" t="s">
        <v>13</v>
      </c>
      <c r="G3054" s="9">
        <v>45125</v>
      </c>
      <c r="I3054" s="18">
        <f>SUM(C3003:C3060)</f>
        <v>368503300</v>
      </c>
      <c r="J3054" s="18">
        <f>SUM(D3003:D3060)</f>
        <v>335424790</v>
      </c>
      <c r="K3054" s="18">
        <f>SUM(E3003:E3060)</f>
        <v>33078510</v>
      </c>
    </row>
    <row r="3055" spans="1:17">
      <c r="A3055" s="45">
        <v>45107</v>
      </c>
      <c r="B3055" s="14" t="s">
        <v>155</v>
      </c>
      <c r="C3055" s="46">
        <v>1639000</v>
      </c>
      <c r="D3055" s="46">
        <v>1490000</v>
      </c>
      <c r="E3055" s="46">
        <v>149000</v>
      </c>
      <c r="F3055" s="17" t="s">
        <v>13</v>
      </c>
      <c r="G3055" s="9">
        <v>45125</v>
      </c>
    </row>
    <row r="3056" spans="1:17">
      <c r="A3056" s="45">
        <v>45107</v>
      </c>
      <c r="B3056" s="14" t="s">
        <v>825</v>
      </c>
      <c r="C3056" s="46">
        <v>1232000</v>
      </c>
      <c r="D3056" s="46">
        <v>1120000</v>
      </c>
      <c r="E3056" s="46">
        <v>112000</v>
      </c>
      <c r="F3056" s="17" t="s">
        <v>13</v>
      </c>
      <c r="G3056" s="9">
        <v>45121</v>
      </c>
    </row>
    <row r="3057" spans="1:19">
      <c r="A3057" s="45">
        <v>45107</v>
      </c>
      <c r="B3057" s="14" t="s">
        <v>82</v>
      </c>
      <c r="C3057" s="46">
        <v>638000</v>
      </c>
      <c r="D3057" s="46">
        <v>580000</v>
      </c>
      <c r="E3057" s="46">
        <v>58000</v>
      </c>
      <c r="F3057" s="17" t="s">
        <v>13</v>
      </c>
      <c r="G3057" s="9">
        <v>45124</v>
      </c>
    </row>
    <row r="3058" spans="1:19">
      <c r="A3058" s="45">
        <v>45107</v>
      </c>
      <c r="B3058" s="14" t="s">
        <v>910</v>
      </c>
      <c r="C3058" s="46">
        <v>594000</v>
      </c>
      <c r="D3058" s="46">
        <v>540000</v>
      </c>
      <c r="E3058" s="46">
        <v>54000</v>
      </c>
      <c r="F3058" s="17" t="s">
        <v>13</v>
      </c>
      <c r="G3058" s="9">
        <v>45132</v>
      </c>
    </row>
    <row r="3059" spans="1:19">
      <c r="A3059" s="45">
        <v>45107</v>
      </c>
      <c r="B3059" s="14" t="s">
        <v>63</v>
      </c>
      <c r="C3059" s="46">
        <v>3146000</v>
      </c>
      <c r="D3059" s="46">
        <v>2860000</v>
      </c>
      <c r="E3059" s="46">
        <v>286000</v>
      </c>
      <c r="F3059" s="17" t="s">
        <v>13</v>
      </c>
      <c r="G3059" s="9">
        <v>45128</v>
      </c>
    </row>
    <row r="3060" spans="1:19">
      <c r="A3060" s="119">
        <v>45107</v>
      </c>
      <c r="B3060" s="42" t="s">
        <v>906</v>
      </c>
      <c r="C3060" s="118">
        <v>1320000</v>
      </c>
      <c r="D3060" s="118">
        <v>1200000</v>
      </c>
      <c r="E3060" s="118">
        <v>120000</v>
      </c>
      <c r="F3060" s="51" t="s">
        <v>907</v>
      </c>
      <c r="G3060" s="10">
        <v>45146</v>
      </c>
      <c r="H3060" s="51"/>
      <c r="I3060" s="121"/>
      <c r="J3060" s="122"/>
      <c r="K3060" s="42"/>
      <c r="L3060" s="42"/>
      <c r="M3060" s="42"/>
      <c r="N3060" s="42"/>
      <c r="O3060" s="42"/>
      <c r="P3060" s="42"/>
      <c r="Q3060" s="42"/>
      <c r="R3060" s="42"/>
      <c r="S3060" s="42"/>
    </row>
    <row r="3061" spans="1:19">
      <c r="A3061" s="45">
        <v>45122</v>
      </c>
      <c r="B3061" s="14" t="s">
        <v>730</v>
      </c>
      <c r="C3061" s="46">
        <v>2369400</v>
      </c>
      <c r="D3061" s="46">
        <v>2154000</v>
      </c>
      <c r="E3061" s="46">
        <v>215400</v>
      </c>
      <c r="F3061" s="17" t="s">
        <v>457</v>
      </c>
      <c r="G3061" s="9">
        <v>45127</v>
      </c>
    </row>
    <row r="3062" spans="1:19">
      <c r="A3062" s="45">
        <v>45122</v>
      </c>
      <c r="B3062" s="14" t="s">
        <v>730</v>
      </c>
      <c r="C3062" s="46">
        <v>2638900</v>
      </c>
      <c r="D3062" s="46">
        <v>2399000</v>
      </c>
      <c r="E3062" s="46">
        <v>239900</v>
      </c>
      <c r="F3062" s="17" t="s">
        <v>612</v>
      </c>
      <c r="G3062" s="9">
        <v>45127</v>
      </c>
    </row>
    <row r="3063" spans="1:19">
      <c r="A3063" s="45">
        <v>45122</v>
      </c>
      <c r="B3063" s="14" t="s">
        <v>2</v>
      </c>
      <c r="C3063" s="46">
        <v>9240000</v>
      </c>
      <c r="D3063" s="46">
        <v>8400000</v>
      </c>
      <c r="E3063" s="46">
        <v>840000</v>
      </c>
      <c r="F3063" s="17" t="s">
        <v>611</v>
      </c>
      <c r="G3063" s="9">
        <v>45138</v>
      </c>
    </row>
    <row r="3064" spans="1:19">
      <c r="A3064" s="45">
        <v>45122</v>
      </c>
      <c r="B3064" s="14" t="s">
        <v>2</v>
      </c>
      <c r="C3064" s="46">
        <v>5808000</v>
      </c>
      <c r="D3064" s="46">
        <v>5280000</v>
      </c>
      <c r="E3064" s="46">
        <v>528000</v>
      </c>
      <c r="F3064" s="17" t="s">
        <v>646</v>
      </c>
      <c r="G3064" s="9">
        <v>45127</v>
      </c>
    </row>
    <row r="3065" spans="1:19">
      <c r="A3065" s="45">
        <v>45122</v>
      </c>
      <c r="B3065" s="14" t="s">
        <v>2</v>
      </c>
      <c r="C3065" s="46">
        <v>6212800</v>
      </c>
      <c r="D3065" s="46">
        <v>5648000</v>
      </c>
      <c r="E3065" s="46">
        <v>564800</v>
      </c>
      <c r="F3065" s="17" t="s">
        <v>315</v>
      </c>
      <c r="G3065" s="9">
        <v>45132</v>
      </c>
    </row>
    <row r="3066" spans="1:19">
      <c r="A3066" s="45">
        <v>45122</v>
      </c>
      <c r="B3066" s="14" t="s">
        <v>2</v>
      </c>
      <c r="C3066" s="46">
        <v>10285000</v>
      </c>
      <c r="D3066" s="46">
        <v>9350000</v>
      </c>
      <c r="E3066" s="46">
        <v>935000</v>
      </c>
      <c r="F3066" s="17" t="s">
        <v>734</v>
      </c>
      <c r="G3066" s="9">
        <v>45132</v>
      </c>
    </row>
    <row r="3067" spans="1:19">
      <c r="A3067" s="45">
        <v>45122</v>
      </c>
      <c r="B3067" s="14" t="s">
        <v>2</v>
      </c>
      <c r="C3067" s="46">
        <v>1452000</v>
      </c>
      <c r="D3067" s="46">
        <v>1320000</v>
      </c>
      <c r="E3067" s="46">
        <v>132000</v>
      </c>
      <c r="F3067" s="17" t="s">
        <v>306</v>
      </c>
      <c r="G3067" s="9">
        <v>45132</v>
      </c>
    </row>
    <row r="3068" spans="1:19">
      <c r="A3068" s="45">
        <v>45122</v>
      </c>
      <c r="B3068" s="14" t="s">
        <v>2</v>
      </c>
      <c r="C3068" s="46">
        <v>396000</v>
      </c>
      <c r="D3068" s="46">
        <v>360000</v>
      </c>
      <c r="E3068" s="46">
        <v>36000</v>
      </c>
      <c r="F3068" s="17" t="s">
        <v>756</v>
      </c>
      <c r="G3068" s="9">
        <v>45132</v>
      </c>
    </row>
    <row r="3069" spans="1:19">
      <c r="A3069" s="45">
        <v>45122</v>
      </c>
      <c r="B3069" s="14" t="s">
        <v>2</v>
      </c>
      <c r="C3069" s="46">
        <v>16853100</v>
      </c>
      <c r="D3069" s="46">
        <v>15321000</v>
      </c>
      <c r="E3069" s="46">
        <v>1532100</v>
      </c>
      <c r="F3069" s="17" t="s">
        <v>424</v>
      </c>
      <c r="G3069" s="9">
        <v>45132</v>
      </c>
    </row>
    <row r="3070" spans="1:19">
      <c r="A3070" s="45">
        <v>45122</v>
      </c>
      <c r="B3070" s="14" t="s">
        <v>2</v>
      </c>
      <c r="C3070" s="46">
        <v>28770500</v>
      </c>
      <c r="D3070" s="46">
        <v>26155000</v>
      </c>
      <c r="E3070" s="46">
        <v>2615500</v>
      </c>
      <c r="F3070" s="17" t="s">
        <v>456</v>
      </c>
      <c r="G3070" s="9">
        <v>45132</v>
      </c>
    </row>
    <row r="3071" spans="1:19">
      <c r="A3071" s="45">
        <v>45122</v>
      </c>
      <c r="B3071" s="14" t="s">
        <v>2</v>
      </c>
      <c r="C3071" s="46">
        <v>1875500</v>
      </c>
      <c r="D3071" s="46">
        <v>1705000</v>
      </c>
      <c r="E3071" s="46">
        <v>170500</v>
      </c>
      <c r="F3071" s="17" t="s">
        <v>766</v>
      </c>
      <c r="G3071" s="9">
        <v>45127</v>
      </c>
    </row>
    <row r="3072" spans="1:19">
      <c r="A3072" s="45">
        <v>45128</v>
      </c>
      <c r="B3072" s="161" t="s">
        <v>719</v>
      </c>
      <c r="C3072" s="46">
        <v>360800</v>
      </c>
      <c r="D3072" s="46">
        <v>328000</v>
      </c>
      <c r="E3072" s="46">
        <v>32800</v>
      </c>
      <c r="F3072" s="17" t="s">
        <v>710</v>
      </c>
      <c r="G3072" s="9">
        <v>45180</v>
      </c>
    </row>
    <row r="3073" spans="1:7">
      <c r="A3073" s="45">
        <v>45132</v>
      </c>
      <c r="B3073" s="162" t="s">
        <v>902</v>
      </c>
      <c r="C3073" s="46">
        <v>4011120</v>
      </c>
      <c r="D3073" s="46">
        <v>4011120</v>
      </c>
      <c r="E3073" s="46">
        <v>0</v>
      </c>
      <c r="F3073" s="17" t="s">
        <v>920</v>
      </c>
      <c r="G3073" s="9">
        <v>45138</v>
      </c>
    </row>
    <row r="3074" spans="1:7">
      <c r="A3074" s="45">
        <v>45133</v>
      </c>
      <c r="B3074" s="14" t="s">
        <v>921</v>
      </c>
      <c r="C3074" s="46">
        <v>10570040</v>
      </c>
      <c r="D3074" s="46">
        <v>10570040</v>
      </c>
      <c r="E3074" s="46">
        <v>0</v>
      </c>
      <c r="F3074" s="17" t="s">
        <v>922</v>
      </c>
      <c r="G3074" s="9">
        <v>45138</v>
      </c>
    </row>
    <row r="3075" spans="1:7">
      <c r="A3075" s="45">
        <v>45138</v>
      </c>
      <c r="B3075" s="14" t="s">
        <v>769</v>
      </c>
      <c r="C3075" s="46">
        <v>11090090</v>
      </c>
      <c r="D3075" s="46">
        <v>10081900</v>
      </c>
      <c r="E3075" s="46">
        <v>1008190</v>
      </c>
      <c r="F3075" s="17" t="s">
        <v>937</v>
      </c>
      <c r="G3075" s="9">
        <v>45148</v>
      </c>
    </row>
    <row r="3076" spans="1:7">
      <c r="A3076" s="45">
        <v>45138</v>
      </c>
      <c r="B3076" s="14" t="s">
        <v>769</v>
      </c>
      <c r="C3076" s="46">
        <v>48615600</v>
      </c>
      <c r="D3076" s="46">
        <v>44196000</v>
      </c>
      <c r="E3076" s="46">
        <v>4419600</v>
      </c>
      <c r="F3076" s="17" t="s">
        <v>387</v>
      </c>
      <c r="G3076" s="9">
        <v>45148</v>
      </c>
    </row>
    <row r="3077" spans="1:7">
      <c r="A3077" s="45">
        <v>45138</v>
      </c>
      <c r="B3077" s="14" t="s">
        <v>769</v>
      </c>
      <c r="C3077" s="46">
        <v>2362800</v>
      </c>
      <c r="D3077" s="46">
        <v>2148000</v>
      </c>
      <c r="E3077" s="46">
        <v>214800</v>
      </c>
      <c r="F3077" s="17" t="s">
        <v>386</v>
      </c>
      <c r="G3077" s="9">
        <v>45148</v>
      </c>
    </row>
    <row r="3078" spans="1:7">
      <c r="A3078" s="45">
        <v>45138</v>
      </c>
      <c r="B3078" s="14" t="s">
        <v>769</v>
      </c>
      <c r="C3078" s="46">
        <v>24961200</v>
      </c>
      <c r="D3078" s="46">
        <v>22692000</v>
      </c>
      <c r="E3078" s="46">
        <v>2269200</v>
      </c>
      <c r="F3078" s="17" t="s">
        <v>705</v>
      </c>
      <c r="G3078" s="9">
        <v>45148</v>
      </c>
    </row>
    <row r="3079" spans="1:7">
      <c r="A3079" s="45">
        <v>45138</v>
      </c>
      <c r="B3079" s="14" t="s">
        <v>769</v>
      </c>
      <c r="C3079" s="46">
        <v>13822600</v>
      </c>
      <c r="D3079" s="46">
        <v>12566000</v>
      </c>
      <c r="E3079" s="46">
        <v>1256600</v>
      </c>
      <c r="F3079" s="17" t="s">
        <v>305</v>
      </c>
      <c r="G3079" s="9">
        <v>45148</v>
      </c>
    </row>
    <row r="3080" spans="1:7">
      <c r="A3080" s="45">
        <v>45138</v>
      </c>
      <c r="B3080" s="14" t="s">
        <v>15</v>
      </c>
      <c r="C3080" s="46">
        <v>11004400</v>
      </c>
      <c r="D3080" s="46">
        <v>10004000</v>
      </c>
      <c r="E3080" s="46">
        <v>1000400</v>
      </c>
      <c r="F3080" s="17" t="s">
        <v>459</v>
      </c>
      <c r="G3080" s="9">
        <v>45148</v>
      </c>
    </row>
    <row r="3081" spans="1:7">
      <c r="A3081" s="45">
        <v>45138</v>
      </c>
      <c r="B3081" s="14" t="s">
        <v>752</v>
      </c>
      <c r="C3081" s="46">
        <v>2530000</v>
      </c>
      <c r="D3081" s="46">
        <v>2300000</v>
      </c>
      <c r="E3081" s="46">
        <v>230000</v>
      </c>
      <c r="F3081" s="17" t="s">
        <v>753</v>
      </c>
      <c r="G3081" s="9">
        <v>45149</v>
      </c>
    </row>
    <row r="3082" spans="1:7">
      <c r="A3082" s="45">
        <v>45138</v>
      </c>
      <c r="B3082" s="14" t="s">
        <v>2</v>
      </c>
      <c r="C3082" s="46">
        <v>9020000</v>
      </c>
      <c r="D3082" s="46">
        <v>8200000</v>
      </c>
      <c r="E3082" s="46">
        <v>820000</v>
      </c>
      <c r="F3082" s="17" t="s">
        <v>611</v>
      </c>
      <c r="G3082" s="9">
        <v>45148</v>
      </c>
    </row>
    <row r="3083" spans="1:7">
      <c r="A3083" s="45">
        <v>45138</v>
      </c>
      <c r="B3083" s="14" t="s">
        <v>2</v>
      </c>
      <c r="C3083" s="46">
        <v>4488000</v>
      </c>
      <c r="D3083" s="46">
        <v>4080000</v>
      </c>
      <c r="E3083" s="46">
        <v>408000</v>
      </c>
      <c r="F3083" s="17" t="s">
        <v>646</v>
      </c>
      <c r="G3083" s="9">
        <v>45148</v>
      </c>
    </row>
    <row r="3084" spans="1:7">
      <c r="A3084" s="45">
        <v>45138</v>
      </c>
      <c r="B3084" s="14" t="s">
        <v>2</v>
      </c>
      <c r="C3084" s="46">
        <v>10967000</v>
      </c>
      <c r="D3084" s="46">
        <v>9970000</v>
      </c>
      <c r="E3084" s="46">
        <v>997000</v>
      </c>
      <c r="F3084" s="17" t="s">
        <v>315</v>
      </c>
      <c r="G3084" s="9">
        <v>45148</v>
      </c>
    </row>
    <row r="3085" spans="1:7">
      <c r="A3085" s="45">
        <v>45138</v>
      </c>
      <c r="B3085" s="14" t="s">
        <v>2</v>
      </c>
      <c r="C3085" s="46">
        <v>11470800</v>
      </c>
      <c r="D3085" s="46">
        <v>10428000</v>
      </c>
      <c r="E3085" s="46">
        <v>1042800</v>
      </c>
      <c r="F3085" s="17" t="s">
        <v>734</v>
      </c>
      <c r="G3085" s="9">
        <v>45148</v>
      </c>
    </row>
    <row r="3086" spans="1:7">
      <c r="A3086" s="45">
        <v>45138</v>
      </c>
      <c r="B3086" s="14" t="s">
        <v>2</v>
      </c>
      <c r="C3086" s="46">
        <v>1452000</v>
      </c>
      <c r="D3086" s="46">
        <v>1320000</v>
      </c>
      <c r="E3086" s="46">
        <v>132000</v>
      </c>
      <c r="F3086" s="17" t="s">
        <v>306</v>
      </c>
      <c r="G3086" s="9">
        <v>45148</v>
      </c>
    </row>
    <row r="3087" spans="1:7">
      <c r="A3087" s="45">
        <v>45138</v>
      </c>
      <c r="B3087" s="14" t="s">
        <v>2</v>
      </c>
      <c r="C3087" s="46">
        <v>792000</v>
      </c>
      <c r="D3087" s="46">
        <v>720000</v>
      </c>
      <c r="E3087" s="46">
        <v>72000</v>
      </c>
      <c r="F3087" s="17" t="s">
        <v>714</v>
      </c>
      <c r="G3087" s="9">
        <v>45148</v>
      </c>
    </row>
    <row r="3088" spans="1:7">
      <c r="A3088" s="45">
        <v>45138</v>
      </c>
      <c r="B3088" s="14" t="s">
        <v>2</v>
      </c>
      <c r="C3088" s="46">
        <v>660000</v>
      </c>
      <c r="D3088" s="46">
        <v>600000</v>
      </c>
      <c r="E3088" s="46">
        <v>60000</v>
      </c>
      <c r="F3088" s="17" t="s">
        <v>756</v>
      </c>
      <c r="G3088" s="9">
        <v>45148</v>
      </c>
    </row>
    <row r="3089" spans="1:7">
      <c r="A3089" s="45">
        <v>45138</v>
      </c>
      <c r="B3089" s="14" t="s">
        <v>2</v>
      </c>
      <c r="C3089" s="46">
        <v>19373200</v>
      </c>
      <c r="D3089" s="46">
        <v>17612000</v>
      </c>
      <c r="E3089" s="46">
        <v>1761200</v>
      </c>
      <c r="F3089" s="17" t="s">
        <v>424</v>
      </c>
      <c r="G3089" s="9">
        <v>45148</v>
      </c>
    </row>
    <row r="3090" spans="1:7">
      <c r="A3090" s="45">
        <v>45138</v>
      </c>
      <c r="B3090" s="14" t="s">
        <v>2</v>
      </c>
      <c r="C3090" s="46">
        <v>60076500</v>
      </c>
      <c r="D3090" s="46">
        <v>54615000</v>
      </c>
      <c r="E3090" s="46">
        <v>5461500</v>
      </c>
      <c r="F3090" s="17" t="s">
        <v>456</v>
      </c>
      <c r="G3090" s="9">
        <v>45148</v>
      </c>
    </row>
    <row r="3091" spans="1:7">
      <c r="A3091" s="45">
        <v>45138</v>
      </c>
      <c r="B3091" s="14" t="s">
        <v>2</v>
      </c>
      <c r="C3091" s="46">
        <v>2046000</v>
      </c>
      <c r="D3091" s="46">
        <v>1860000</v>
      </c>
      <c r="E3091" s="46">
        <v>186000</v>
      </c>
      <c r="F3091" s="17" t="s">
        <v>766</v>
      </c>
      <c r="G3091" s="9">
        <v>45148</v>
      </c>
    </row>
    <row r="3092" spans="1:7">
      <c r="A3092" s="45">
        <v>45138</v>
      </c>
      <c r="B3092" s="14" t="s">
        <v>2</v>
      </c>
      <c r="C3092" s="46">
        <v>651200</v>
      </c>
      <c r="D3092" s="46">
        <v>592000</v>
      </c>
      <c r="E3092" s="46">
        <v>59200</v>
      </c>
      <c r="F3092" s="17" t="s">
        <v>928</v>
      </c>
      <c r="G3092" s="9">
        <v>45148</v>
      </c>
    </row>
    <row r="3093" spans="1:7">
      <c r="A3093" s="45">
        <v>45138</v>
      </c>
      <c r="B3093" s="14" t="s">
        <v>2</v>
      </c>
      <c r="C3093" s="46">
        <v>117700</v>
      </c>
      <c r="D3093" s="46">
        <v>107000</v>
      </c>
      <c r="E3093" s="46">
        <v>10700</v>
      </c>
      <c r="F3093" s="17" t="s">
        <v>860</v>
      </c>
      <c r="G3093" s="9">
        <v>45148</v>
      </c>
    </row>
    <row r="3094" spans="1:7">
      <c r="A3094" s="45">
        <v>45138</v>
      </c>
      <c r="B3094" s="14" t="s">
        <v>2</v>
      </c>
      <c r="C3094" s="46">
        <v>616000</v>
      </c>
      <c r="D3094" s="46">
        <v>560000</v>
      </c>
      <c r="E3094" s="46">
        <v>56000</v>
      </c>
      <c r="F3094" s="17" t="s">
        <v>878</v>
      </c>
      <c r="G3094" s="9">
        <v>45148</v>
      </c>
    </row>
    <row r="3095" spans="1:7">
      <c r="A3095" s="45">
        <v>45138</v>
      </c>
      <c r="B3095" s="14" t="s">
        <v>2</v>
      </c>
      <c r="C3095" s="46">
        <v>1036200</v>
      </c>
      <c r="D3095" s="46">
        <v>942000</v>
      </c>
      <c r="E3095" s="46">
        <v>94200</v>
      </c>
      <c r="F3095" s="17" t="s">
        <v>859</v>
      </c>
      <c r="G3095" s="9">
        <v>45148</v>
      </c>
    </row>
    <row r="3096" spans="1:7">
      <c r="A3096" s="45">
        <v>45138</v>
      </c>
      <c r="B3096" s="14" t="s">
        <v>2</v>
      </c>
      <c r="C3096" s="46">
        <v>4946700</v>
      </c>
      <c r="D3096" s="46">
        <v>4497000</v>
      </c>
      <c r="E3096" s="46">
        <v>449700</v>
      </c>
      <c r="F3096" s="17" t="s">
        <v>858</v>
      </c>
      <c r="G3096" s="9">
        <v>45148</v>
      </c>
    </row>
    <row r="3097" spans="1:7">
      <c r="A3097" s="45">
        <v>45138</v>
      </c>
      <c r="B3097" s="14" t="s">
        <v>730</v>
      </c>
      <c r="C3097" s="46">
        <v>3488100</v>
      </c>
      <c r="D3097" s="46">
        <v>3171000</v>
      </c>
      <c r="E3097" s="46">
        <v>317100</v>
      </c>
      <c r="F3097" s="17" t="s">
        <v>457</v>
      </c>
      <c r="G3097" s="9">
        <v>45148</v>
      </c>
    </row>
    <row r="3098" spans="1:7">
      <c r="A3098" s="45">
        <v>45138</v>
      </c>
      <c r="B3098" s="14" t="s">
        <v>730</v>
      </c>
      <c r="C3098" s="46">
        <v>3367100</v>
      </c>
      <c r="D3098" s="46">
        <v>3061000</v>
      </c>
      <c r="E3098" s="46">
        <v>306100</v>
      </c>
      <c r="F3098" s="17" t="s">
        <v>612</v>
      </c>
      <c r="G3098" s="9">
        <v>45148</v>
      </c>
    </row>
    <row r="3099" spans="1:7">
      <c r="A3099" s="45">
        <v>45138</v>
      </c>
      <c r="B3099" s="14" t="s">
        <v>432</v>
      </c>
      <c r="C3099" s="46">
        <v>3627800</v>
      </c>
      <c r="D3099" s="46">
        <v>3298000</v>
      </c>
      <c r="E3099" s="46">
        <v>329800</v>
      </c>
      <c r="F3099" s="17" t="s">
        <v>757</v>
      </c>
      <c r="G3099" s="9">
        <v>45159</v>
      </c>
    </row>
    <row r="3100" spans="1:7">
      <c r="A3100" s="45">
        <v>45138</v>
      </c>
      <c r="B3100" s="14" t="s">
        <v>432</v>
      </c>
      <c r="C3100" s="46">
        <v>4092000</v>
      </c>
      <c r="D3100" s="46">
        <v>3720000</v>
      </c>
      <c r="E3100" s="46">
        <v>372000</v>
      </c>
      <c r="F3100" s="17" t="s">
        <v>255</v>
      </c>
      <c r="G3100" s="9">
        <v>45159</v>
      </c>
    </row>
    <row r="3101" spans="1:7">
      <c r="A3101" s="45">
        <v>45138</v>
      </c>
      <c r="B3101" s="14" t="s">
        <v>432</v>
      </c>
      <c r="C3101" s="46">
        <v>1894200</v>
      </c>
      <c r="D3101" s="46">
        <v>1722000</v>
      </c>
      <c r="E3101" s="46">
        <v>172200</v>
      </c>
      <c r="F3101" s="17" t="s">
        <v>811</v>
      </c>
      <c r="G3101" s="9">
        <v>45159</v>
      </c>
    </row>
    <row r="3102" spans="1:7">
      <c r="A3102" s="45">
        <v>45138</v>
      </c>
      <c r="B3102" s="14" t="s">
        <v>432</v>
      </c>
      <c r="C3102" s="46">
        <v>396000</v>
      </c>
      <c r="D3102" s="46">
        <v>360000</v>
      </c>
      <c r="E3102" s="46">
        <v>36000</v>
      </c>
      <c r="F3102" s="17" t="s">
        <v>165</v>
      </c>
      <c r="G3102" s="9">
        <v>45159</v>
      </c>
    </row>
    <row r="3103" spans="1:7">
      <c r="A3103" s="45">
        <v>45138</v>
      </c>
      <c r="B3103" s="14" t="s">
        <v>432</v>
      </c>
      <c r="C3103" s="46">
        <v>2854500</v>
      </c>
      <c r="D3103" s="46">
        <v>2595000</v>
      </c>
      <c r="E3103" s="46">
        <v>259500</v>
      </c>
      <c r="F3103" s="17" t="s">
        <v>702</v>
      </c>
      <c r="G3103" s="9">
        <v>45161</v>
      </c>
    </row>
    <row r="3104" spans="1:7">
      <c r="A3104" s="45">
        <v>45138</v>
      </c>
      <c r="B3104" s="14" t="s">
        <v>805</v>
      </c>
      <c r="C3104" s="46">
        <v>8712000</v>
      </c>
      <c r="D3104" s="46">
        <v>7920000</v>
      </c>
      <c r="E3104" s="46">
        <v>792000</v>
      </c>
      <c r="F3104" s="17" t="s">
        <v>727</v>
      </c>
      <c r="G3104" s="9">
        <v>45152</v>
      </c>
    </row>
    <row r="3105" spans="1:19">
      <c r="A3105" s="45">
        <v>45138</v>
      </c>
      <c r="B3105" s="14" t="s">
        <v>719</v>
      </c>
      <c r="C3105" s="46">
        <v>5350400</v>
      </c>
      <c r="D3105" s="46">
        <v>4864000</v>
      </c>
      <c r="E3105" s="46">
        <v>486400</v>
      </c>
      <c r="F3105" s="17" t="s">
        <v>909</v>
      </c>
      <c r="G3105" s="9">
        <v>45170</v>
      </c>
    </row>
    <row r="3106" spans="1:19">
      <c r="A3106" s="45">
        <v>45138</v>
      </c>
      <c r="B3106" s="14" t="s">
        <v>155</v>
      </c>
      <c r="C3106" s="46">
        <v>1650000</v>
      </c>
      <c r="D3106" s="46">
        <v>1500000</v>
      </c>
      <c r="E3106" s="46">
        <v>150000</v>
      </c>
      <c r="F3106" s="17" t="s">
        <v>13</v>
      </c>
      <c r="G3106" s="9">
        <v>45155</v>
      </c>
    </row>
    <row r="3107" spans="1:19">
      <c r="A3107" s="45">
        <v>45138</v>
      </c>
      <c r="B3107" s="14" t="s">
        <v>825</v>
      </c>
      <c r="C3107" s="46">
        <v>2992000</v>
      </c>
      <c r="D3107" s="46">
        <v>2720000</v>
      </c>
      <c r="E3107" s="46">
        <v>272000</v>
      </c>
      <c r="F3107" s="17" t="s">
        <v>13</v>
      </c>
      <c r="G3107" s="9">
        <v>45154</v>
      </c>
    </row>
    <row r="3108" spans="1:19">
      <c r="A3108" s="45">
        <v>45138</v>
      </c>
      <c r="B3108" s="14" t="s">
        <v>82</v>
      </c>
      <c r="C3108" s="46">
        <v>363000</v>
      </c>
      <c r="D3108" s="46">
        <v>330000</v>
      </c>
      <c r="E3108" s="46">
        <v>33000</v>
      </c>
      <c r="F3108" s="17" t="s">
        <v>13</v>
      </c>
      <c r="G3108" s="9">
        <v>45154</v>
      </c>
      <c r="H3108" s="17" t="s">
        <v>930</v>
      </c>
    </row>
    <row r="3109" spans="1:19">
      <c r="A3109" s="45">
        <v>45138</v>
      </c>
      <c r="B3109" s="14" t="s">
        <v>925</v>
      </c>
      <c r="C3109" s="46">
        <v>792000</v>
      </c>
      <c r="D3109" s="46">
        <v>720000</v>
      </c>
      <c r="E3109" s="46">
        <v>72000</v>
      </c>
      <c r="F3109" s="17" t="s">
        <v>13</v>
      </c>
      <c r="G3109" s="9">
        <v>45140</v>
      </c>
      <c r="I3109" s="301" t="s">
        <v>905</v>
      </c>
      <c r="J3109" s="302"/>
      <c r="K3109" s="303"/>
    </row>
    <row r="3110" spans="1:19">
      <c r="A3110" s="45">
        <v>45138</v>
      </c>
      <c r="B3110" s="164" t="s">
        <v>929</v>
      </c>
      <c r="C3110" s="46">
        <v>396000</v>
      </c>
      <c r="D3110" s="46">
        <v>360000</v>
      </c>
      <c r="E3110" s="46">
        <v>36000</v>
      </c>
      <c r="F3110" s="17" t="s">
        <v>13</v>
      </c>
      <c r="G3110" s="9">
        <v>45140</v>
      </c>
      <c r="I3110" s="18" t="s">
        <v>46</v>
      </c>
      <c r="J3110" s="158" t="s">
        <v>47</v>
      </c>
      <c r="K3110" s="158" t="s">
        <v>48</v>
      </c>
    </row>
    <row r="3111" spans="1:19">
      <c r="A3111" s="119">
        <v>45138</v>
      </c>
      <c r="B3111" s="42" t="s">
        <v>79</v>
      </c>
      <c r="C3111" s="118">
        <v>396000</v>
      </c>
      <c r="D3111" s="118">
        <v>360000</v>
      </c>
      <c r="E3111" s="118">
        <v>36000</v>
      </c>
      <c r="F3111" s="51" t="s">
        <v>13</v>
      </c>
      <c r="G3111" s="10">
        <v>45140</v>
      </c>
      <c r="H3111" s="51"/>
      <c r="I3111" s="18">
        <f>SUM(C3061:C3111)</f>
        <v>383314250</v>
      </c>
      <c r="J3111" s="18">
        <f>SUM(D3061:D3111)</f>
        <v>349793060</v>
      </c>
      <c r="K3111" s="18">
        <f>SUM(E3061:E3111)</f>
        <v>33521190</v>
      </c>
      <c r="L3111" s="42"/>
      <c r="M3111" s="42"/>
      <c r="N3111" s="42"/>
      <c r="O3111" s="42"/>
      <c r="P3111" s="42"/>
      <c r="Q3111" s="42"/>
      <c r="R3111" s="42"/>
      <c r="S3111" s="42"/>
    </row>
    <row r="3112" spans="1:19">
      <c r="A3112" s="45">
        <v>45139</v>
      </c>
      <c r="B3112" s="14" t="s">
        <v>923</v>
      </c>
      <c r="C3112" s="46">
        <v>11340000.1</v>
      </c>
      <c r="D3112" s="46">
        <v>10309091</v>
      </c>
      <c r="E3112" s="46">
        <v>1030909.1000000001</v>
      </c>
      <c r="F3112" s="17" t="s">
        <v>957</v>
      </c>
      <c r="G3112" s="9">
        <v>45142</v>
      </c>
      <c r="K3112" s="159"/>
    </row>
    <row r="3113" spans="1:19">
      <c r="A3113" s="45">
        <v>45143</v>
      </c>
      <c r="B3113" s="14" t="s">
        <v>929</v>
      </c>
      <c r="C3113" s="46">
        <v>176000</v>
      </c>
      <c r="D3113" s="46">
        <v>160000</v>
      </c>
      <c r="E3113" s="46">
        <v>16000</v>
      </c>
      <c r="F3113" s="17" t="s">
        <v>13</v>
      </c>
      <c r="G3113" s="9">
        <v>45195</v>
      </c>
      <c r="K3113" s="159"/>
    </row>
    <row r="3114" spans="1:19">
      <c r="A3114" s="45">
        <v>45153</v>
      </c>
      <c r="B3114" s="14" t="s">
        <v>2</v>
      </c>
      <c r="C3114" s="46">
        <v>9328000</v>
      </c>
      <c r="D3114" s="46">
        <v>8480000</v>
      </c>
      <c r="E3114" s="46">
        <v>848000</v>
      </c>
      <c r="F3114" s="17" t="s">
        <v>611</v>
      </c>
      <c r="G3114" s="9">
        <v>45168</v>
      </c>
    </row>
    <row r="3115" spans="1:19">
      <c r="A3115" s="45">
        <v>45153</v>
      </c>
      <c r="B3115" s="14" t="s">
        <v>2</v>
      </c>
      <c r="C3115" s="46">
        <v>4620000</v>
      </c>
      <c r="D3115" s="46">
        <v>4200000</v>
      </c>
      <c r="E3115" s="46">
        <v>420000</v>
      </c>
      <c r="F3115" s="17" t="s">
        <v>646</v>
      </c>
      <c r="G3115" s="9">
        <v>45168</v>
      </c>
    </row>
    <row r="3116" spans="1:19">
      <c r="A3116" s="45">
        <v>45153</v>
      </c>
      <c r="B3116" s="14" t="s">
        <v>2</v>
      </c>
      <c r="C3116" s="46">
        <v>12785300</v>
      </c>
      <c r="D3116" s="46">
        <v>11623000</v>
      </c>
      <c r="E3116" s="46">
        <v>1162300</v>
      </c>
      <c r="F3116" s="17" t="s">
        <v>315</v>
      </c>
      <c r="G3116" s="9">
        <v>45168</v>
      </c>
    </row>
    <row r="3117" spans="1:19">
      <c r="A3117" s="45">
        <v>45153</v>
      </c>
      <c r="B3117" s="14" t="s">
        <v>2</v>
      </c>
      <c r="C3117" s="46">
        <v>9693200</v>
      </c>
      <c r="D3117" s="46">
        <v>8812000</v>
      </c>
      <c r="E3117" s="46">
        <v>881200</v>
      </c>
      <c r="F3117" s="17" t="s">
        <v>734</v>
      </c>
      <c r="G3117" s="9">
        <v>45168</v>
      </c>
    </row>
    <row r="3118" spans="1:19">
      <c r="A3118" s="45">
        <v>45153</v>
      </c>
      <c r="B3118" s="14" t="s">
        <v>2</v>
      </c>
      <c r="C3118" s="46">
        <v>1188000</v>
      </c>
      <c r="D3118" s="46">
        <v>1080000</v>
      </c>
      <c r="E3118" s="46">
        <v>108000</v>
      </c>
      <c r="F3118" s="17" t="s">
        <v>306</v>
      </c>
      <c r="G3118" s="9">
        <v>45168</v>
      </c>
    </row>
    <row r="3119" spans="1:19">
      <c r="A3119" s="45">
        <v>45153</v>
      </c>
      <c r="B3119" s="14" t="s">
        <v>2</v>
      </c>
      <c r="C3119" s="46">
        <v>1452000</v>
      </c>
      <c r="D3119" s="46">
        <v>1320000</v>
      </c>
      <c r="E3119" s="46">
        <v>132000</v>
      </c>
      <c r="F3119" s="17" t="s">
        <v>714</v>
      </c>
      <c r="G3119" s="9">
        <v>45159</v>
      </c>
    </row>
    <row r="3120" spans="1:19">
      <c r="A3120" s="45">
        <v>45153</v>
      </c>
      <c r="B3120" s="14" t="s">
        <v>2</v>
      </c>
      <c r="C3120" s="46">
        <v>1980000</v>
      </c>
      <c r="D3120" s="46">
        <v>1800000</v>
      </c>
      <c r="E3120" s="46">
        <v>180000</v>
      </c>
      <c r="F3120" s="17" t="s">
        <v>756</v>
      </c>
      <c r="G3120" s="9">
        <v>45159</v>
      </c>
    </row>
    <row r="3121" spans="1:7">
      <c r="A3121" s="45">
        <v>45153</v>
      </c>
      <c r="B3121" s="14" t="s">
        <v>2</v>
      </c>
      <c r="C3121" s="46">
        <v>17647850</v>
      </c>
      <c r="D3121" s="46">
        <v>16043500</v>
      </c>
      <c r="E3121" s="46">
        <v>1604350</v>
      </c>
      <c r="F3121" s="17" t="s">
        <v>424</v>
      </c>
      <c r="G3121" s="9">
        <v>45168</v>
      </c>
    </row>
    <row r="3122" spans="1:7">
      <c r="A3122" s="45">
        <v>45153</v>
      </c>
      <c r="B3122" s="14" t="s">
        <v>2</v>
      </c>
      <c r="C3122" s="46">
        <v>59144250</v>
      </c>
      <c r="D3122" s="46">
        <v>53767500</v>
      </c>
      <c r="E3122" s="46">
        <v>5376750</v>
      </c>
      <c r="F3122" s="17" t="s">
        <v>456</v>
      </c>
      <c r="G3122" s="9">
        <v>45168</v>
      </c>
    </row>
    <row r="3123" spans="1:7">
      <c r="A3123" s="45">
        <v>45153</v>
      </c>
      <c r="B3123" s="14" t="s">
        <v>2</v>
      </c>
      <c r="C3123" s="46">
        <v>852500</v>
      </c>
      <c r="D3123" s="46">
        <v>775000</v>
      </c>
      <c r="E3123" s="46">
        <v>77500</v>
      </c>
      <c r="F3123" s="17" t="s">
        <v>766</v>
      </c>
      <c r="G3123" s="9">
        <v>45168</v>
      </c>
    </row>
    <row r="3124" spans="1:7">
      <c r="A3124" s="45">
        <v>45153</v>
      </c>
      <c r="B3124" s="14" t="s">
        <v>730</v>
      </c>
      <c r="C3124" s="46">
        <v>3933600</v>
      </c>
      <c r="D3124" s="46">
        <v>3576000</v>
      </c>
      <c r="E3124" s="46">
        <v>357600</v>
      </c>
      <c r="F3124" s="17" t="s">
        <v>457</v>
      </c>
      <c r="G3124" s="9">
        <v>45159</v>
      </c>
    </row>
    <row r="3125" spans="1:7">
      <c r="A3125" s="45">
        <v>45153</v>
      </c>
      <c r="B3125" s="14" t="s">
        <v>730</v>
      </c>
      <c r="C3125" s="46">
        <v>3133900</v>
      </c>
      <c r="D3125" s="46">
        <v>2849000</v>
      </c>
      <c r="E3125" s="46">
        <v>284900</v>
      </c>
      <c r="F3125" s="17" t="s">
        <v>612</v>
      </c>
      <c r="G3125" s="9">
        <v>45159</v>
      </c>
    </row>
    <row r="3126" spans="1:7">
      <c r="A3126" s="45">
        <v>45163</v>
      </c>
      <c r="B3126" s="14" t="s">
        <v>719</v>
      </c>
      <c r="C3126" s="46">
        <v>1713800</v>
      </c>
      <c r="D3126" s="46">
        <v>1558000</v>
      </c>
      <c r="E3126" s="46">
        <v>155800</v>
      </c>
      <c r="F3126" s="17" t="s">
        <v>710</v>
      </c>
      <c r="G3126" s="9">
        <v>45196</v>
      </c>
    </row>
    <row r="3127" spans="1:7">
      <c r="A3127" s="45">
        <v>45166</v>
      </c>
      <c r="B3127" s="14" t="s">
        <v>902</v>
      </c>
      <c r="C3127" s="46">
        <v>4634090</v>
      </c>
      <c r="D3127" s="46">
        <v>4634090</v>
      </c>
      <c r="E3127" s="46">
        <v>0</v>
      </c>
      <c r="F3127" s="17" t="s">
        <v>944</v>
      </c>
      <c r="G3127" s="9">
        <v>45169</v>
      </c>
    </row>
    <row r="3128" spans="1:7">
      <c r="A3128" s="45">
        <v>45166</v>
      </c>
      <c r="B3128" s="14" t="s">
        <v>921</v>
      </c>
      <c r="C3128" s="46">
        <v>10579600</v>
      </c>
      <c r="D3128" s="46">
        <v>10579600</v>
      </c>
      <c r="E3128" s="46">
        <v>0</v>
      </c>
      <c r="F3128" s="17" t="s">
        <v>945</v>
      </c>
      <c r="G3128" s="9">
        <v>45169</v>
      </c>
    </row>
    <row r="3129" spans="1:7">
      <c r="A3129" s="45">
        <v>45168</v>
      </c>
      <c r="B3129" s="14" t="s">
        <v>79</v>
      </c>
      <c r="C3129" s="46">
        <v>1936000</v>
      </c>
      <c r="D3129" s="46">
        <v>1760000</v>
      </c>
      <c r="E3129" s="46">
        <v>176000</v>
      </c>
      <c r="F3129" s="17" t="s">
        <v>13</v>
      </c>
      <c r="G3129" s="9">
        <v>45170</v>
      </c>
    </row>
    <row r="3130" spans="1:7">
      <c r="A3130" s="45">
        <v>45169</v>
      </c>
      <c r="B3130" s="14" t="s">
        <v>911</v>
      </c>
      <c r="C3130" s="46">
        <v>396000</v>
      </c>
      <c r="D3130" s="46">
        <v>360000</v>
      </c>
      <c r="E3130" s="46">
        <v>36000</v>
      </c>
      <c r="F3130" s="17" t="s">
        <v>13</v>
      </c>
      <c r="G3130" s="9">
        <v>45169</v>
      </c>
    </row>
    <row r="3131" spans="1:7">
      <c r="A3131" s="45">
        <v>45169</v>
      </c>
      <c r="B3131" s="14" t="s">
        <v>931</v>
      </c>
      <c r="C3131" s="46">
        <v>121000</v>
      </c>
      <c r="D3131" s="46">
        <v>110000</v>
      </c>
      <c r="E3131" s="46">
        <v>11000</v>
      </c>
      <c r="F3131" s="17" t="s">
        <v>13</v>
      </c>
      <c r="G3131" s="9">
        <v>45169</v>
      </c>
    </row>
    <row r="3132" spans="1:7">
      <c r="A3132" s="45" t="s">
        <v>932</v>
      </c>
      <c r="B3132" s="14" t="s">
        <v>15</v>
      </c>
      <c r="C3132" s="46">
        <v>11541200</v>
      </c>
      <c r="D3132" s="46">
        <v>10492000</v>
      </c>
      <c r="E3132" s="46">
        <v>1049200</v>
      </c>
      <c r="F3132" s="17" t="s">
        <v>459</v>
      </c>
      <c r="G3132" s="9">
        <v>45184</v>
      </c>
    </row>
    <row r="3133" spans="1:7">
      <c r="A3133" s="45" t="s">
        <v>932</v>
      </c>
      <c r="B3133" s="14" t="s">
        <v>752</v>
      </c>
      <c r="C3133" s="46">
        <v>1870000</v>
      </c>
      <c r="D3133" s="46">
        <v>1700000</v>
      </c>
      <c r="E3133" s="46">
        <v>170000</v>
      </c>
      <c r="F3133" s="17" t="s">
        <v>753</v>
      </c>
      <c r="G3133" s="9">
        <v>45181</v>
      </c>
    </row>
    <row r="3134" spans="1:7">
      <c r="A3134" s="45" t="s">
        <v>932</v>
      </c>
      <c r="B3134" s="14" t="s">
        <v>436</v>
      </c>
      <c r="C3134" s="46">
        <v>180400</v>
      </c>
      <c r="D3134" s="46">
        <v>164000</v>
      </c>
      <c r="E3134" s="46">
        <v>16400</v>
      </c>
      <c r="F3134" s="17" t="s">
        <v>588</v>
      </c>
      <c r="G3134" s="9">
        <v>45180</v>
      </c>
    </row>
    <row r="3135" spans="1:7">
      <c r="A3135" s="45" t="s">
        <v>932</v>
      </c>
      <c r="B3135" s="14" t="s">
        <v>805</v>
      </c>
      <c r="C3135" s="46">
        <v>8580000</v>
      </c>
      <c r="D3135" s="46">
        <v>7800000</v>
      </c>
      <c r="E3135" s="46">
        <v>780000</v>
      </c>
      <c r="F3135" s="17" t="s">
        <v>727</v>
      </c>
      <c r="G3135" s="9">
        <v>45184</v>
      </c>
    </row>
    <row r="3136" spans="1:7">
      <c r="A3136" s="45" t="s">
        <v>932</v>
      </c>
      <c r="B3136" s="14" t="s">
        <v>155</v>
      </c>
      <c r="C3136" s="46">
        <v>2442000</v>
      </c>
      <c r="D3136" s="46">
        <v>2220000</v>
      </c>
      <c r="E3136" s="46">
        <v>222000</v>
      </c>
      <c r="F3136" s="17" t="s">
        <v>13</v>
      </c>
      <c r="G3136" s="9">
        <v>45187</v>
      </c>
    </row>
    <row r="3137" spans="1:7">
      <c r="A3137" s="45" t="s">
        <v>932</v>
      </c>
      <c r="B3137" s="14" t="s">
        <v>82</v>
      </c>
      <c r="C3137" s="46">
        <v>902000</v>
      </c>
      <c r="D3137" s="46">
        <v>820000</v>
      </c>
      <c r="E3137" s="46">
        <v>82000</v>
      </c>
      <c r="F3137" s="17" t="s">
        <v>13</v>
      </c>
      <c r="G3137" s="9">
        <v>45184</v>
      </c>
    </row>
    <row r="3138" spans="1:7">
      <c r="A3138" s="45" t="s">
        <v>932</v>
      </c>
      <c r="B3138" s="14" t="s">
        <v>749</v>
      </c>
      <c r="C3138" s="46">
        <v>572000</v>
      </c>
      <c r="D3138" s="46">
        <v>520000</v>
      </c>
      <c r="E3138" s="46">
        <v>52000</v>
      </c>
      <c r="F3138" s="17" t="s">
        <v>13</v>
      </c>
      <c r="G3138" s="9">
        <v>45170</v>
      </c>
    </row>
    <row r="3139" spans="1:7">
      <c r="A3139" s="45">
        <v>45169</v>
      </c>
      <c r="B3139" s="14" t="s">
        <v>943</v>
      </c>
      <c r="C3139" s="46">
        <v>330000</v>
      </c>
      <c r="D3139" s="46">
        <v>300000</v>
      </c>
      <c r="E3139" s="46">
        <v>30000</v>
      </c>
      <c r="F3139" s="17" t="s">
        <v>13</v>
      </c>
      <c r="G3139" s="9">
        <v>45174</v>
      </c>
    </row>
    <row r="3140" spans="1:7">
      <c r="A3140" s="45">
        <v>45169</v>
      </c>
      <c r="B3140" s="14" t="s">
        <v>769</v>
      </c>
      <c r="C3140" s="46">
        <v>11442750</v>
      </c>
      <c r="D3140" s="46">
        <v>10402500</v>
      </c>
      <c r="E3140" s="46">
        <v>1040250</v>
      </c>
      <c r="F3140" s="17" t="s">
        <v>947</v>
      </c>
      <c r="G3140" s="9">
        <v>45177</v>
      </c>
    </row>
    <row r="3141" spans="1:7">
      <c r="A3141" s="45">
        <v>45169</v>
      </c>
      <c r="B3141" s="14" t="s">
        <v>769</v>
      </c>
      <c r="C3141" s="46">
        <v>57835800</v>
      </c>
      <c r="D3141" s="46">
        <v>52578000</v>
      </c>
      <c r="E3141" s="46">
        <v>5257800</v>
      </c>
      <c r="F3141" s="17" t="s">
        <v>387</v>
      </c>
      <c r="G3141" s="9">
        <v>45177</v>
      </c>
    </row>
    <row r="3142" spans="1:7">
      <c r="A3142" s="45">
        <v>45169</v>
      </c>
      <c r="B3142" s="14" t="s">
        <v>769</v>
      </c>
      <c r="C3142" s="46">
        <v>2019600</v>
      </c>
      <c r="D3142" s="46">
        <v>1836000</v>
      </c>
      <c r="E3142" s="46">
        <v>183600</v>
      </c>
      <c r="F3142" s="17" t="s">
        <v>386</v>
      </c>
      <c r="G3142" s="9">
        <v>45177</v>
      </c>
    </row>
    <row r="3143" spans="1:7">
      <c r="A3143" s="45">
        <v>45169</v>
      </c>
      <c r="B3143" s="14" t="s">
        <v>769</v>
      </c>
      <c r="C3143" s="46">
        <v>22679800</v>
      </c>
      <c r="D3143" s="46">
        <v>20618000</v>
      </c>
      <c r="E3143" s="46">
        <v>2061800</v>
      </c>
      <c r="F3143" s="17" t="s">
        <v>705</v>
      </c>
      <c r="G3143" s="9">
        <v>45177</v>
      </c>
    </row>
    <row r="3144" spans="1:7">
      <c r="A3144" s="45">
        <v>45169</v>
      </c>
      <c r="B3144" s="14" t="s">
        <v>769</v>
      </c>
      <c r="C3144" s="46">
        <v>12480600</v>
      </c>
      <c r="D3144" s="46">
        <v>11346000</v>
      </c>
      <c r="E3144" s="46">
        <v>1134600</v>
      </c>
      <c r="F3144" s="17" t="s">
        <v>305</v>
      </c>
      <c r="G3144" s="9">
        <v>45177</v>
      </c>
    </row>
    <row r="3145" spans="1:7">
      <c r="A3145" s="45">
        <v>45169</v>
      </c>
      <c r="B3145" s="14" t="s">
        <v>2</v>
      </c>
      <c r="C3145" s="46">
        <v>8316000</v>
      </c>
      <c r="D3145" s="46">
        <v>7560000</v>
      </c>
      <c r="E3145" s="46">
        <v>756000</v>
      </c>
      <c r="F3145" s="17" t="s">
        <v>611</v>
      </c>
      <c r="G3145" s="9">
        <v>45180</v>
      </c>
    </row>
    <row r="3146" spans="1:7">
      <c r="A3146" s="45">
        <v>45169</v>
      </c>
      <c r="B3146" s="14" t="s">
        <v>2</v>
      </c>
      <c r="C3146" s="46">
        <v>5808000</v>
      </c>
      <c r="D3146" s="46">
        <v>5280000</v>
      </c>
      <c r="E3146" s="46">
        <v>528000</v>
      </c>
      <c r="F3146" s="17" t="s">
        <v>646</v>
      </c>
      <c r="G3146" s="9">
        <v>45180</v>
      </c>
    </row>
    <row r="3147" spans="1:7">
      <c r="A3147" s="45">
        <v>45169</v>
      </c>
      <c r="B3147" s="14" t="s">
        <v>2</v>
      </c>
      <c r="C3147" s="46">
        <v>8302800</v>
      </c>
      <c r="D3147" s="46">
        <v>7548000</v>
      </c>
      <c r="E3147" s="46">
        <v>754800</v>
      </c>
      <c r="F3147" s="17" t="s">
        <v>315</v>
      </c>
      <c r="G3147" s="9">
        <v>45180</v>
      </c>
    </row>
    <row r="3148" spans="1:7">
      <c r="A3148" s="45">
        <v>45169</v>
      </c>
      <c r="B3148" s="14" t="s">
        <v>2</v>
      </c>
      <c r="C3148" s="46">
        <v>10445600</v>
      </c>
      <c r="D3148" s="46">
        <v>9496000</v>
      </c>
      <c r="E3148" s="46">
        <v>949600</v>
      </c>
      <c r="F3148" s="17" t="s">
        <v>734</v>
      </c>
      <c r="G3148" s="9">
        <v>45180</v>
      </c>
    </row>
    <row r="3149" spans="1:7">
      <c r="A3149" s="45">
        <v>45169</v>
      </c>
      <c r="B3149" s="14" t="s">
        <v>2</v>
      </c>
      <c r="C3149" s="46">
        <v>1584000</v>
      </c>
      <c r="D3149" s="46">
        <v>1440000</v>
      </c>
      <c r="E3149" s="46">
        <v>144000</v>
      </c>
      <c r="F3149" s="17" t="s">
        <v>306</v>
      </c>
      <c r="G3149" s="9">
        <v>45180</v>
      </c>
    </row>
    <row r="3150" spans="1:7">
      <c r="A3150" s="45">
        <v>45169</v>
      </c>
      <c r="B3150" s="14" t="s">
        <v>2</v>
      </c>
      <c r="C3150" s="46">
        <v>1320000</v>
      </c>
      <c r="D3150" s="46">
        <v>1200000</v>
      </c>
      <c r="E3150" s="46">
        <v>120000</v>
      </c>
      <c r="F3150" s="17" t="s">
        <v>714</v>
      </c>
      <c r="G3150" s="9">
        <v>45180</v>
      </c>
    </row>
    <row r="3151" spans="1:7">
      <c r="A3151" s="45">
        <v>45169</v>
      </c>
      <c r="B3151" s="14" t="s">
        <v>2</v>
      </c>
      <c r="C3151" s="46">
        <v>497200</v>
      </c>
      <c r="D3151" s="46">
        <v>452000</v>
      </c>
      <c r="E3151" s="46">
        <v>45200</v>
      </c>
      <c r="F3151" s="17" t="s">
        <v>756</v>
      </c>
      <c r="G3151" s="9">
        <v>45180</v>
      </c>
    </row>
    <row r="3152" spans="1:7">
      <c r="A3152" s="45">
        <v>45169</v>
      </c>
      <c r="B3152" s="14" t="s">
        <v>2</v>
      </c>
      <c r="C3152" s="46">
        <v>18199500</v>
      </c>
      <c r="D3152" s="46">
        <v>16545000</v>
      </c>
      <c r="E3152" s="46">
        <v>1654500</v>
      </c>
      <c r="F3152" s="17" t="s">
        <v>424</v>
      </c>
      <c r="G3152" s="9">
        <v>45180</v>
      </c>
    </row>
    <row r="3153" spans="1:19">
      <c r="A3153" s="45">
        <v>45169</v>
      </c>
      <c r="B3153" s="14" t="s">
        <v>2</v>
      </c>
      <c r="C3153" s="46">
        <v>47066250</v>
      </c>
      <c r="D3153" s="46">
        <v>42787500</v>
      </c>
      <c r="E3153" s="46">
        <v>4278750</v>
      </c>
      <c r="F3153" s="17" t="s">
        <v>456</v>
      </c>
      <c r="G3153" s="9">
        <v>45180</v>
      </c>
    </row>
    <row r="3154" spans="1:19">
      <c r="A3154" s="45">
        <v>45169</v>
      </c>
      <c r="B3154" s="14" t="s">
        <v>2</v>
      </c>
      <c r="C3154" s="46">
        <v>6586800</v>
      </c>
      <c r="D3154" s="46">
        <v>5988000</v>
      </c>
      <c r="E3154" s="46">
        <v>598800</v>
      </c>
      <c r="F3154" s="17" t="s">
        <v>928</v>
      </c>
      <c r="G3154" s="9">
        <v>45180</v>
      </c>
    </row>
    <row r="3155" spans="1:19">
      <c r="A3155" s="45">
        <v>45169</v>
      </c>
      <c r="B3155" s="14" t="s">
        <v>2</v>
      </c>
      <c r="C3155" s="46">
        <v>235400</v>
      </c>
      <c r="D3155" s="46">
        <v>214000</v>
      </c>
      <c r="E3155" s="46">
        <v>21400</v>
      </c>
      <c r="F3155" s="17" t="s">
        <v>860</v>
      </c>
      <c r="G3155" s="9">
        <v>45180</v>
      </c>
    </row>
    <row r="3156" spans="1:19">
      <c r="A3156" s="45">
        <v>45169</v>
      </c>
      <c r="B3156" s="14" t="s">
        <v>2</v>
      </c>
      <c r="C3156" s="46">
        <v>247500</v>
      </c>
      <c r="D3156" s="46">
        <v>225000</v>
      </c>
      <c r="E3156" s="46">
        <v>22500</v>
      </c>
      <c r="F3156" s="17" t="s">
        <v>938</v>
      </c>
      <c r="G3156" s="9">
        <v>45180</v>
      </c>
    </row>
    <row r="3157" spans="1:19">
      <c r="A3157" s="45">
        <v>45169</v>
      </c>
      <c r="B3157" s="14" t="s">
        <v>2</v>
      </c>
      <c r="C3157" s="46">
        <v>863500</v>
      </c>
      <c r="D3157" s="46">
        <v>785000</v>
      </c>
      <c r="E3157" s="46">
        <v>78500</v>
      </c>
      <c r="F3157" s="17" t="s">
        <v>939</v>
      </c>
      <c r="G3157" s="9">
        <v>45180</v>
      </c>
    </row>
    <row r="3158" spans="1:19">
      <c r="A3158" s="45">
        <v>45169</v>
      </c>
      <c r="B3158" s="14" t="s">
        <v>2</v>
      </c>
      <c r="C3158" s="46">
        <v>2417800</v>
      </c>
      <c r="D3158" s="46">
        <v>2198000</v>
      </c>
      <c r="E3158" s="46">
        <v>219800</v>
      </c>
      <c r="F3158" s="17" t="s">
        <v>940</v>
      </c>
      <c r="G3158" s="9">
        <v>45180</v>
      </c>
    </row>
    <row r="3159" spans="1:19">
      <c r="A3159" s="45">
        <v>45169</v>
      </c>
      <c r="B3159" s="14" t="s">
        <v>730</v>
      </c>
      <c r="C3159" s="46">
        <v>4811400</v>
      </c>
      <c r="D3159" s="46">
        <v>4374000</v>
      </c>
      <c r="E3159" s="46">
        <v>437400</v>
      </c>
      <c r="F3159" s="17" t="s">
        <v>457</v>
      </c>
      <c r="G3159" s="9">
        <v>45180</v>
      </c>
    </row>
    <row r="3160" spans="1:19">
      <c r="A3160" s="45">
        <v>45169</v>
      </c>
      <c r="B3160" s="14" t="s">
        <v>730</v>
      </c>
      <c r="C3160" s="46">
        <v>3778500</v>
      </c>
      <c r="D3160" s="46">
        <v>3435000</v>
      </c>
      <c r="E3160" s="46">
        <v>343500</v>
      </c>
      <c r="F3160" s="17" t="s">
        <v>612</v>
      </c>
      <c r="G3160" s="9">
        <v>45180</v>
      </c>
    </row>
    <row r="3161" spans="1:19">
      <c r="A3161" s="45">
        <v>45169</v>
      </c>
      <c r="B3161" s="14" t="s">
        <v>432</v>
      </c>
      <c r="C3161" s="46">
        <v>4694800</v>
      </c>
      <c r="D3161" s="46">
        <v>4268000</v>
      </c>
      <c r="E3161" s="46">
        <v>426800</v>
      </c>
      <c r="F3161" s="17" t="s">
        <v>757</v>
      </c>
      <c r="G3161" s="9">
        <v>45182</v>
      </c>
      <c r="I3161" s="301" t="s">
        <v>926</v>
      </c>
      <c r="J3161" s="302"/>
      <c r="K3161" s="303"/>
    </row>
    <row r="3162" spans="1:19">
      <c r="A3162" s="45">
        <v>45169</v>
      </c>
      <c r="B3162" s="14" t="s">
        <v>432</v>
      </c>
      <c r="C3162" s="46">
        <v>6204000</v>
      </c>
      <c r="D3162" s="46">
        <v>5640000</v>
      </c>
      <c r="E3162" s="46">
        <v>564000</v>
      </c>
      <c r="F3162" s="17" t="s">
        <v>255</v>
      </c>
      <c r="G3162" s="9">
        <v>45180</v>
      </c>
      <c r="I3162" s="18" t="s">
        <v>46</v>
      </c>
      <c r="J3162" s="163" t="s">
        <v>47</v>
      </c>
      <c r="K3162" s="163" t="s">
        <v>48</v>
      </c>
    </row>
    <row r="3163" spans="1:19">
      <c r="A3163" s="45">
        <v>45169</v>
      </c>
      <c r="B3163" s="14" t="s">
        <v>432</v>
      </c>
      <c r="C3163" s="46">
        <v>396000</v>
      </c>
      <c r="D3163" s="46">
        <v>360000</v>
      </c>
      <c r="E3163" s="46">
        <v>36000</v>
      </c>
      <c r="F3163" s="17" t="s">
        <v>165</v>
      </c>
      <c r="G3163" s="9">
        <v>45182</v>
      </c>
      <c r="I3163" s="18">
        <f>SUM(C3112:C3166)</f>
        <v>424342290.10000002</v>
      </c>
      <c r="J3163" s="18">
        <f>SUM(D3112:D3166)</f>
        <v>387148781</v>
      </c>
      <c r="K3163" s="18">
        <f>SUM(E3112:E3166)</f>
        <v>37193509.100000001</v>
      </c>
    </row>
    <row r="3164" spans="1:19">
      <c r="A3164" s="45">
        <v>45169</v>
      </c>
      <c r="B3164" s="14" t="s">
        <v>432</v>
      </c>
      <c r="C3164" s="46">
        <v>2226400</v>
      </c>
      <c r="D3164" s="46">
        <v>2024000</v>
      </c>
      <c r="E3164" s="46">
        <v>202400</v>
      </c>
      <c r="F3164" s="17" t="s">
        <v>811</v>
      </c>
      <c r="G3164" s="9">
        <v>45182</v>
      </c>
    </row>
    <row r="3165" spans="1:19">
      <c r="A3165" s="45">
        <v>45169</v>
      </c>
      <c r="B3165" s="14" t="s">
        <v>432</v>
      </c>
      <c r="C3165" s="46">
        <v>281600</v>
      </c>
      <c r="D3165" s="46">
        <v>256000</v>
      </c>
      <c r="E3165" s="46">
        <v>25600</v>
      </c>
      <c r="F3165" s="17" t="s">
        <v>941</v>
      </c>
      <c r="G3165" s="9">
        <v>45182</v>
      </c>
    </row>
    <row r="3166" spans="1:19">
      <c r="A3166" s="119">
        <v>45169</v>
      </c>
      <c r="B3166" s="42" t="s">
        <v>432</v>
      </c>
      <c r="C3166" s="118">
        <v>528000</v>
      </c>
      <c r="D3166" s="118">
        <v>480000</v>
      </c>
      <c r="E3166" s="118">
        <v>48000</v>
      </c>
      <c r="F3166" s="51" t="s">
        <v>942</v>
      </c>
      <c r="G3166" s="10">
        <v>45182</v>
      </c>
      <c r="H3166" s="51"/>
      <c r="I3166" s="121"/>
      <c r="J3166" s="122"/>
      <c r="K3166" s="42"/>
      <c r="L3166" s="42"/>
      <c r="M3166" s="42"/>
      <c r="N3166" s="42"/>
      <c r="O3166" s="42"/>
      <c r="P3166" s="42"/>
      <c r="Q3166" s="42"/>
      <c r="R3166" s="42"/>
      <c r="S3166" s="42"/>
    </row>
    <row r="3167" spans="1:19">
      <c r="A3167" s="45">
        <v>45179</v>
      </c>
      <c r="B3167" s="14" t="s">
        <v>2</v>
      </c>
      <c r="C3167" s="46">
        <v>20352750</v>
      </c>
      <c r="D3167" s="46">
        <v>18502500</v>
      </c>
      <c r="E3167" s="46">
        <v>1850250</v>
      </c>
      <c r="F3167" s="17" t="s">
        <v>456</v>
      </c>
      <c r="G3167" s="9">
        <v>45189</v>
      </c>
    </row>
    <row r="3168" spans="1:19">
      <c r="A3168" s="45">
        <v>45184</v>
      </c>
      <c r="B3168" s="14" t="s">
        <v>2</v>
      </c>
      <c r="C3168" s="46">
        <v>12408000</v>
      </c>
      <c r="D3168" s="46">
        <v>11280000</v>
      </c>
      <c r="E3168" s="46">
        <v>1128000</v>
      </c>
      <c r="F3168" s="17" t="s">
        <v>611</v>
      </c>
      <c r="G3168" s="9">
        <v>45189</v>
      </c>
    </row>
    <row r="3169" spans="1:17">
      <c r="A3169" s="45">
        <v>45184</v>
      </c>
      <c r="B3169" s="14" t="s">
        <v>2</v>
      </c>
      <c r="C3169" s="46">
        <v>5280000</v>
      </c>
      <c r="D3169" s="46">
        <v>4800000</v>
      </c>
      <c r="E3169" s="46">
        <v>480000</v>
      </c>
      <c r="F3169" s="17" t="s">
        <v>646</v>
      </c>
      <c r="G3169" s="9">
        <v>45196</v>
      </c>
    </row>
    <row r="3170" spans="1:17">
      <c r="A3170" s="45">
        <v>45184</v>
      </c>
      <c r="B3170" s="14" t="s">
        <v>2</v>
      </c>
      <c r="C3170" s="46">
        <v>4892800</v>
      </c>
      <c r="D3170" s="46">
        <v>4448000</v>
      </c>
      <c r="E3170" s="46">
        <v>444800</v>
      </c>
      <c r="F3170" s="17" t="s">
        <v>315</v>
      </c>
      <c r="G3170" s="9">
        <v>45196</v>
      </c>
    </row>
    <row r="3171" spans="1:17">
      <c r="A3171" s="45">
        <v>45184</v>
      </c>
      <c r="B3171" s="14" t="s">
        <v>2</v>
      </c>
      <c r="C3171" s="46">
        <v>10360900</v>
      </c>
      <c r="D3171" s="46">
        <v>9419000</v>
      </c>
      <c r="E3171" s="46">
        <v>941900</v>
      </c>
      <c r="F3171" s="17" t="s">
        <v>734</v>
      </c>
      <c r="G3171" s="9">
        <v>45196</v>
      </c>
    </row>
    <row r="3172" spans="1:17">
      <c r="A3172" s="45">
        <v>45184</v>
      </c>
      <c r="B3172" s="14" t="s">
        <v>2</v>
      </c>
      <c r="C3172" s="46">
        <v>792000</v>
      </c>
      <c r="D3172" s="46">
        <v>720000</v>
      </c>
      <c r="E3172" s="46">
        <v>72000</v>
      </c>
      <c r="F3172" s="17" t="s">
        <v>306</v>
      </c>
      <c r="G3172" s="9">
        <v>45196</v>
      </c>
    </row>
    <row r="3173" spans="1:17">
      <c r="A3173" s="45">
        <v>45184</v>
      </c>
      <c r="B3173" s="14" t="s">
        <v>2</v>
      </c>
      <c r="C3173" s="46">
        <v>396000</v>
      </c>
      <c r="D3173" s="46">
        <v>360000</v>
      </c>
      <c r="E3173" s="46">
        <v>36000</v>
      </c>
      <c r="F3173" s="17" t="s">
        <v>714</v>
      </c>
      <c r="G3173" s="9">
        <v>45196</v>
      </c>
    </row>
    <row r="3174" spans="1:17">
      <c r="A3174" s="45">
        <v>45184</v>
      </c>
      <c r="B3174" s="14" t="s">
        <v>2</v>
      </c>
      <c r="C3174" s="46">
        <v>1320000</v>
      </c>
      <c r="D3174" s="46">
        <v>1200000</v>
      </c>
      <c r="E3174" s="46">
        <v>120000</v>
      </c>
      <c r="F3174" s="17" t="s">
        <v>756</v>
      </c>
      <c r="G3174" s="9">
        <v>45196</v>
      </c>
    </row>
    <row r="3175" spans="1:17">
      <c r="A3175" s="45">
        <v>45184</v>
      </c>
      <c r="B3175" s="14" t="s">
        <v>2</v>
      </c>
      <c r="C3175" s="46">
        <v>17223800</v>
      </c>
      <c r="D3175" s="46">
        <v>15658000</v>
      </c>
      <c r="E3175" s="46">
        <v>1565800</v>
      </c>
      <c r="F3175" s="17" t="s">
        <v>424</v>
      </c>
      <c r="G3175" s="9">
        <v>45196</v>
      </c>
    </row>
    <row r="3176" spans="1:17">
      <c r="A3176" s="45">
        <v>45184</v>
      </c>
      <c r="B3176" s="14" t="s">
        <v>730</v>
      </c>
      <c r="C3176" s="46">
        <v>5289900</v>
      </c>
      <c r="D3176" s="46">
        <v>4809000</v>
      </c>
      <c r="E3176" s="46">
        <v>480900</v>
      </c>
      <c r="F3176" s="17" t="s">
        <v>457</v>
      </c>
      <c r="G3176" s="9">
        <v>45195</v>
      </c>
    </row>
    <row r="3177" spans="1:17">
      <c r="A3177" s="45">
        <v>45184</v>
      </c>
      <c r="B3177" s="14" t="s">
        <v>730</v>
      </c>
      <c r="C3177" s="46">
        <v>3246100</v>
      </c>
      <c r="D3177" s="46">
        <v>2951000</v>
      </c>
      <c r="E3177" s="46">
        <v>295100</v>
      </c>
      <c r="F3177" s="17" t="s">
        <v>612</v>
      </c>
      <c r="G3177" s="9">
        <v>45195</v>
      </c>
    </row>
    <row r="3178" spans="1:17">
      <c r="A3178" s="45">
        <v>45189</v>
      </c>
      <c r="B3178" s="167" t="s">
        <v>902</v>
      </c>
      <c r="C3178" s="46">
        <v>4628310</v>
      </c>
      <c r="D3178" s="46">
        <v>4628310</v>
      </c>
      <c r="E3178" s="46">
        <v>0</v>
      </c>
      <c r="F3178" s="17" t="s">
        <v>953</v>
      </c>
      <c r="G3178" s="9">
        <v>45196</v>
      </c>
    </row>
    <row r="3179" spans="1:17">
      <c r="A3179" s="45">
        <v>45189</v>
      </c>
      <c r="B3179" s="167" t="s">
        <v>921</v>
      </c>
      <c r="C3179" s="46">
        <v>10566840</v>
      </c>
      <c r="D3179" s="46">
        <v>10566840</v>
      </c>
      <c r="E3179" s="46">
        <v>0</v>
      </c>
      <c r="F3179" s="17" t="s">
        <v>954</v>
      </c>
      <c r="G3179" s="9">
        <v>45196</v>
      </c>
    </row>
    <row r="3180" spans="1:17">
      <c r="A3180" s="45">
        <v>45189</v>
      </c>
      <c r="B3180" s="168" t="s">
        <v>2</v>
      </c>
      <c r="C3180" s="46">
        <v>11979000</v>
      </c>
      <c r="D3180" s="46">
        <v>10890000</v>
      </c>
      <c r="E3180" s="46">
        <v>1089000</v>
      </c>
      <c r="F3180" s="17" t="s">
        <v>456</v>
      </c>
      <c r="G3180" s="9">
        <v>45209</v>
      </c>
    </row>
    <row r="3181" spans="1:17">
      <c r="A3181" s="45">
        <v>45194</v>
      </c>
      <c r="B3181" s="169" t="s">
        <v>719</v>
      </c>
      <c r="C3181" s="46">
        <f>E3181+D3181</f>
        <v>721600</v>
      </c>
      <c r="D3181" s="46">
        <v>656000</v>
      </c>
      <c r="E3181" s="46">
        <v>65600</v>
      </c>
      <c r="F3181" s="17" t="s">
        <v>710</v>
      </c>
      <c r="G3181" s="9">
        <v>45222</v>
      </c>
    </row>
    <row r="3182" spans="1:17">
      <c r="A3182" s="45">
        <v>45199</v>
      </c>
      <c r="B3182" s="170" t="s">
        <v>769</v>
      </c>
      <c r="C3182" s="46">
        <v>12085370</v>
      </c>
      <c r="D3182" s="46">
        <v>10986700</v>
      </c>
      <c r="E3182" s="46">
        <v>1098670</v>
      </c>
      <c r="F3182" s="17" t="s">
        <v>961</v>
      </c>
      <c r="G3182" s="9">
        <v>45209</v>
      </c>
      <c r="K3182" s="170"/>
      <c r="L3182" s="170"/>
      <c r="M3182" s="170"/>
      <c r="N3182" s="170"/>
      <c r="O3182" s="170"/>
      <c r="P3182" s="170"/>
      <c r="Q3182" s="170"/>
    </row>
    <row r="3183" spans="1:17">
      <c r="A3183" s="45">
        <v>45199</v>
      </c>
      <c r="B3183" s="14" t="s">
        <v>769</v>
      </c>
      <c r="C3183" s="46">
        <v>50990500</v>
      </c>
      <c r="D3183" s="46">
        <v>46355000</v>
      </c>
      <c r="E3183" s="46">
        <v>4635500</v>
      </c>
      <c r="F3183" s="17" t="s">
        <v>387</v>
      </c>
      <c r="G3183" s="9">
        <v>45209</v>
      </c>
    </row>
    <row r="3184" spans="1:17">
      <c r="A3184" s="45">
        <v>45199</v>
      </c>
      <c r="B3184" s="14" t="s">
        <v>769</v>
      </c>
      <c r="C3184" s="46">
        <v>2877600</v>
      </c>
      <c r="D3184" s="46">
        <v>2616000</v>
      </c>
      <c r="E3184" s="46">
        <v>261600</v>
      </c>
      <c r="F3184" s="17" t="s">
        <v>386</v>
      </c>
      <c r="G3184" s="9">
        <v>45209</v>
      </c>
    </row>
    <row r="3185" spans="1:7">
      <c r="A3185" s="45">
        <v>45199</v>
      </c>
      <c r="B3185" s="14" t="s">
        <v>769</v>
      </c>
      <c r="C3185" s="46">
        <v>24894100</v>
      </c>
      <c r="D3185" s="46">
        <v>22631000</v>
      </c>
      <c r="E3185" s="46">
        <v>2263100</v>
      </c>
      <c r="F3185" s="17" t="s">
        <v>705</v>
      </c>
      <c r="G3185" s="9">
        <v>45209</v>
      </c>
    </row>
    <row r="3186" spans="1:7">
      <c r="A3186" s="45">
        <v>45199</v>
      </c>
      <c r="B3186" s="14" t="s">
        <v>769</v>
      </c>
      <c r="C3186" s="46">
        <v>11943800</v>
      </c>
      <c r="D3186" s="46">
        <v>10858000</v>
      </c>
      <c r="E3186" s="46">
        <v>1085800</v>
      </c>
      <c r="F3186" s="17" t="s">
        <v>305</v>
      </c>
      <c r="G3186" s="9">
        <v>45209</v>
      </c>
    </row>
    <row r="3187" spans="1:7">
      <c r="A3187" s="45">
        <v>45199</v>
      </c>
      <c r="B3187" s="170" t="s">
        <v>2</v>
      </c>
      <c r="C3187" s="46">
        <v>11396000</v>
      </c>
      <c r="D3187" s="46">
        <v>10360000</v>
      </c>
      <c r="E3187" s="46">
        <v>1036000</v>
      </c>
      <c r="F3187" s="17" t="s">
        <v>611</v>
      </c>
      <c r="G3187" s="9">
        <v>45209</v>
      </c>
    </row>
    <row r="3188" spans="1:7">
      <c r="A3188" s="45">
        <v>45199</v>
      </c>
      <c r="B3188" s="170" t="s">
        <v>2</v>
      </c>
      <c r="C3188" s="46">
        <v>5280000</v>
      </c>
      <c r="D3188" s="46">
        <v>4800000</v>
      </c>
      <c r="E3188" s="46">
        <v>480000</v>
      </c>
      <c r="F3188" s="17" t="s">
        <v>646</v>
      </c>
      <c r="G3188" s="9">
        <v>45209</v>
      </c>
    </row>
    <row r="3189" spans="1:7">
      <c r="A3189" s="45">
        <v>45199</v>
      </c>
      <c r="B3189" s="170" t="s">
        <v>2</v>
      </c>
      <c r="C3189" s="46">
        <v>4940100</v>
      </c>
      <c r="D3189" s="46">
        <v>4491000</v>
      </c>
      <c r="E3189" s="46">
        <v>449100</v>
      </c>
      <c r="F3189" s="17" t="s">
        <v>315</v>
      </c>
      <c r="G3189" s="9">
        <v>45209</v>
      </c>
    </row>
    <row r="3190" spans="1:7">
      <c r="A3190" s="45">
        <v>45199</v>
      </c>
      <c r="B3190" s="170" t="s">
        <v>2</v>
      </c>
      <c r="C3190" s="46">
        <v>11181500</v>
      </c>
      <c r="D3190" s="46">
        <v>10165000</v>
      </c>
      <c r="E3190" s="46">
        <v>1016500</v>
      </c>
      <c r="F3190" s="17" t="s">
        <v>734</v>
      </c>
      <c r="G3190" s="9">
        <v>45209</v>
      </c>
    </row>
    <row r="3191" spans="1:7">
      <c r="A3191" s="45">
        <v>45199</v>
      </c>
      <c r="B3191" s="170" t="s">
        <v>2</v>
      </c>
      <c r="C3191" s="46">
        <v>924000</v>
      </c>
      <c r="D3191" s="46">
        <v>840000</v>
      </c>
      <c r="E3191" s="46">
        <v>84000</v>
      </c>
      <c r="F3191" s="17" t="s">
        <v>306</v>
      </c>
      <c r="G3191" s="9">
        <v>45209</v>
      </c>
    </row>
    <row r="3192" spans="1:7">
      <c r="A3192" s="45">
        <v>45199</v>
      </c>
      <c r="B3192" s="170" t="s">
        <v>2</v>
      </c>
      <c r="C3192" s="46">
        <v>1188000</v>
      </c>
      <c r="D3192" s="46">
        <v>1080000</v>
      </c>
      <c r="E3192" s="46">
        <v>108000</v>
      </c>
      <c r="F3192" s="17" t="s">
        <v>714</v>
      </c>
      <c r="G3192" s="9">
        <v>45209</v>
      </c>
    </row>
    <row r="3193" spans="1:7">
      <c r="A3193" s="45">
        <v>45199</v>
      </c>
      <c r="B3193" s="170" t="s">
        <v>2</v>
      </c>
      <c r="C3193" s="46">
        <v>528000</v>
      </c>
      <c r="D3193" s="46">
        <v>480000</v>
      </c>
      <c r="E3193" s="46">
        <v>48000</v>
      </c>
      <c r="F3193" s="17" t="s">
        <v>756</v>
      </c>
      <c r="G3193" s="9">
        <v>45209</v>
      </c>
    </row>
    <row r="3194" spans="1:7">
      <c r="A3194" s="45">
        <v>45199</v>
      </c>
      <c r="B3194" s="170" t="s">
        <v>2</v>
      </c>
      <c r="C3194" s="46">
        <v>18694500</v>
      </c>
      <c r="D3194" s="46">
        <v>16995000</v>
      </c>
      <c r="E3194" s="46">
        <v>1699500</v>
      </c>
      <c r="F3194" s="17" t="s">
        <v>424</v>
      </c>
      <c r="G3194" s="9">
        <v>45209</v>
      </c>
    </row>
    <row r="3195" spans="1:7">
      <c r="A3195" s="45">
        <v>45199</v>
      </c>
      <c r="B3195" s="170" t="s">
        <v>2</v>
      </c>
      <c r="C3195" s="46">
        <v>11352000</v>
      </c>
      <c r="D3195" s="46">
        <v>10320000</v>
      </c>
      <c r="E3195" s="46">
        <v>1032000</v>
      </c>
      <c r="F3195" s="17" t="s">
        <v>456</v>
      </c>
      <c r="G3195" s="9">
        <v>45209</v>
      </c>
    </row>
    <row r="3196" spans="1:7">
      <c r="A3196" s="45">
        <v>45199</v>
      </c>
      <c r="B3196" s="170" t="s">
        <v>2</v>
      </c>
      <c r="C3196" s="46">
        <v>484000</v>
      </c>
      <c r="D3196" s="46">
        <v>440000</v>
      </c>
      <c r="E3196" s="46">
        <v>44000</v>
      </c>
      <c r="F3196" s="17" t="s">
        <v>928</v>
      </c>
      <c r="G3196" s="9">
        <v>45209</v>
      </c>
    </row>
    <row r="3197" spans="1:7">
      <c r="A3197" s="45">
        <v>45199</v>
      </c>
      <c r="B3197" s="170" t="s">
        <v>2</v>
      </c>
      <c r="C3197" s="46">
        <v>1218800</v>
      </c>
      <c r="D3197" s="46">
        <v>1108000</v>
      </c>
      <c r="E3197" s="46">
        <v>110800</v>
      </c>
      <c r="F3197" s="17" t="s">
        <v>859</v>
      </c>
      <c r="G3197" s="9">
        <v>45209</v>
      </c>
    </row>
    <row r="3198" spans="1:7">
      <c r="A3198" s="45">
        <v>45199</v>
      </c>
      <c r="B3198" s="170" t="s">
        <v>2</v>
      </c>
      <c r="C3198" s="46">
        <v>2528900</v>
      </c>
      <c r="D3198" s="46">
        <v>2299000</v>
      </c>
      <c r="E3198" s="46">
        <v>229900</v>
      </c>
      <c r="F3198" s="17" t="s">
        <v>858</v>
      </c>
      <c r="G3198" s="9">
        <v>45209</v>
      </c>
    </row>
    <row r="3199" spans="1:7">
      <c r="A3199" s="45">
        <v>45199</v>
      </c>
      <c r="B3199" s="170" t="s">
        <v>730</v>
      </c>
      <c r="C3199" s="46">
        <v>1669800</v>
      </c>
      <c r="D3199" s="46">
        <v>1518000</v>
      </c>
      <c r="E3199" s="46">
        <v>151800</v>
      </c>
      <c r="F3199" s="17" t="s">
        <v>457</v>
      </c>
      <c r="G3199" s="9">
        <v>45209</v>
      </c>
    </row>
    <row r="3200" spans="1:7">
      <c r="A3200" s="45">
        <v>45199</v>
      </c>
      <c r="B3200" s="170" t="s">
        <v>730</v>
      </c>
      <c r="C3200" s="46">
        <v>907500</v>
      </c>
      <c r="D3200" s="46">
        <v>825000</v>
      </c>
      <c r="E3200" s="46">
        <v>82500</v>
      </c>
      <c r="F3200" s="17" t="s">
        <v>612</v>
      </c>
      <c r="G3200" s="9">
        <v>45209</v>
      </c>
    </row>
    <row r="3201" spans="1:19">
      <c r="A3201" s="45">
        <v>45199</v>
      </c>
      <c r="B3201" s="170" t="s">
        <v>432</v>
      </c>
      <c r="C3201" s="46">
        <v>6519700</v>
      </c>
      <c r="D3201" s="46">
        <v>5927000</v>
      </c>
      <c r="E3201" s="46">
        <v>592700</v>
      </c>
      <c r="F3201" s="17" t="s">
        <v>757</v>
      </c>
      <c r="G3201" s="9">
        <v>45210</v>
      </c>
    </row>
    <row r="3202" spans="1:19">
      <c r="A3202" s="45">
        <v>45199</v>
      </c>
      <c r="B3202" s="170" t="s">
        <v>432</v>
      </c>
      <c r="C3202" s="46">
        <v>2244000</v>
      </c>
      <c r="D3202" s="46">
        <v>2040000</v>
      </c>
      <c r="E3202" s="46">
        <v>204000</v>
      </c>
      <c r="F3202" s="17" t="s">
        <v>255</v>
      </c>
      <c r="G3202" s="9">
        <v>45215</v>
      </c>
    </row>
    <row r="3203" spans="1:19">
      <c r="A3203" s="45">
        <v>45199</v>
      </c>
      <c r="B3203" s="170" t="s">
        <v>432</v>
      </c>
      <c r="C3203" s="46">
        <v>2380400</v>
      </c>
      <c r="D3203" s="46">
        <v>2164000</v>
      </c>
      <c r="E3203" s="46">
        <v>216400</v>
      </c>
      <c r="F3203" s="17" t="s">
        <v>165</v>
      </c>
      <c r="G3203" s="9">
        <v>45210</v>
      </c>
    </row>
    <row r="3204" spans="1:19">
      <c r="A3204" s="45">
        <v>45199</v>
      </c>
      <c r="B3204" s="170" t="s">
        <v>432</v>
      </c>
      <c r="C3204" s="46">
        <v>1804000</v>
      </c>
      <c r="D3204" s="46">
        <v>1640000</v>
      </c>
      <c r="E3204" s="46">
        <v>164000</v>
      </c>
      <c r="F3204" s="17" t="s">
        <v>811</v>
      </c>
      <c r="G3204" s="9">
        <v>45210</v>
      </c>
    </row>
    <row r="3205" spans="1:19">
      <c r="A3205" s="45">
        <v>45199</v>
      </c>
      <c r="B3205" s="170" t="s">
        <v>432</v>
      </c>
      <c r="C3205" s="46">
        <v>3828000</v>
      </c>
      <c r="D3205" s="46">
        <v>3480000</v>
      </c>
      <c r="E3205" s="46">
        <v>348000</v>
      </c>
      <c r="F3205" s="17" t="s">
        <v>942</v>
      </c>
      <c r="G3205" s="9">
        <v>45210</v>
      </c>
    </row>
    <row r="3206" spans="1:19">
      <c r="A3206" s="45">
        <v>45199</v>
      </c>
      <c r="B3206" s="170" t="s">
        <v>15</v>
      </c>
      <c r="C3206" s="46">
        <v>9662400</v>
      </c>
      <c r="D3206" s="46">
        <v>8784000</v>
      </c>
      <c r="E3206" s="46">
        <v>878400</v>
      </c>
      <c r="F3206" s="17" t="s">
        <v>459</v>
      </c>
      <c r="G3206" s="9">
        <v>45210</v>
      </c>
    </row>
    <row r="3207" spans="1:19">
      <c r="A3207" s="45">
        <v>45199</v>
      </c>
      <c r="B3207" s="170" t="s">
        <v>752</v>
      </c>
      <c r="C3207" s="46">
        <v>2530000</v>
      </c>
      <c r="D3207" s="46">
        <v>2300000</v>
      </c>
      <c r="E3207" s="46">
        <v>230000</v>
      </c>
      <c r="F3207" s="17" t="s">
        <v>753</v>
      </c>
      <c r="G3207" s="9">
        <v>45210</v>
      </c>
      <c r="K3207" s="166"/>
    </row>
    <row r="3208" spans="1:19">
      <c r="A3208" s="45">
        <v>45199</v>
      </c>
      <c r="B3208" s="170" t="s">
        <v>805</v>
      </c>
      <c r="C3208" s="46">
        <v>7199500</v>
      </c>
      <c r="D3208" s="46">
        <v>6545000</v>
      </c>
      <c r="E3208" s="46">
        <v>654500</v>
      </c>
      <c r="F3208" s="17" t="s">
        <v>727</v>
      </c>
      <c r="G3208" s="9">
        <v>45212</v>
      </c>
    </row>
    <row r="3209" spans="1:19">
      <c r="A3209" s="45">
        <v>45199</v>
      </c>
      <c r="B3209" s="170" t="s">
        <v>825</v>
      </c>
      <c r="C3209" s="46">
        <v>1001000</v>
      </c>
      <c r="D3209" s="46">
        <v>910000</v>
      </c>
      <c r="E3209" s="46">
        <v>91000</v>
      </c>
      <c r="F3209" s="17" t="s">
        <v>13</v>
      </c>
      <c r="G3209" s="9">
        <v>45215</v>
      </c>
    </row>
    <row r="3210" spans="1:19">
      <c r="A3210" s="45">
        <v>45199</v>
      </c>
      <c r="B3210" s="170" t="s">
        <v>155</v>
      </c>
      <c r="C3210" s="46">
        <v>7700000</v>
      </c>
      <c r="D3210" s="46">
        <v>7000000</v>
      </c>
      <c r="E3210" s="46">
        <v>700000</v>
      </c>
      <c r="F3210" s="17" t="s">
        <v>13</v>
      </c>
      <c r="G3210" s="9">
        <v>45225</v>
      </c>
    </row>
    <row r="3211" spans="1:19">
      <c r="A3211" s="45">
        <v>45199</v>
      </c>
      <c r="B3211" s="170" t="s">
        <v>82</v>
      </c>
      <c r="C3211" s="46">
        <v>2464000</v>
      </c>
      <c r="D3211" s="46">
        <v>2240000</v>
      </c>
      <c r="E3211" s="46">
        <v>224000</v>
      </c>
      <c r="F3211" s="17" t="s">
        <v>13</v>
      </c>
      <c r="G3211" s="9">
        <v>45215</v>
      </c>
      <c r="I3211" s="301" t="s">
        <v>933</v>
      </c>
      <c r="J3211" s="302"/>
      <c r="K3211" s="303"/>
      <c r="L3211" s="166"/>
      <c r="M3211" s="166"/>
    </row>
    <row r="3212" spans="1:19">
      <c r="A3212" s="45">
        <v>45199</v>
      </c>
      <c r="B3212" s="14" t="s">
        <v>749</v>
      </c>
      <c r="C3212" s="46">
        <v>2024000</v>
      </c>
      <c r="D3212" s="46">
        <v>1840000</v>
      </c>
      <c r="E3212" s="46">
        <v>184000</v>
      </c>
      <c r="F3212" s="17" t="s">
        <v>13</v>
      </c>
      <c r="G3212" s="9">
        <v>45203</v>
      </c>
      <c r="I3212" s="18" t="s">
        <v>46</v>
      </c>
      <c r="J3212" s="165" t="s">
        <v>47</v>
      </c>
      <c r="K3212" s="165" t="s">
        <v>48</v>
      </c>
    </row>
    <row r="3213" spans="1:19">
      <c r="A3213" s="119">
        <v>45199</v>
      </c>
      <c r="B3213" s="42" t="s">
        <v>946</v>
      </c>
      <c r="C3213" s="118">
        <v>440000</v>
      </c>
      <c r="D3213" s="118">
        <v>400000</v>
      </c>
      <c r="E3213" s="118">
        <v>40000</v>
      </c>
      <c r="F3213" s="51" t="s">
        <v>13</v>
      </c>
      <c r="G3213" s="10">
        <v>45204</v>
      </c>
      <c r="H3213" s="51"/>
      <c r="I3213" s="18">
        <f>SUM(C3167:C3213)</f>
        <v>334339470</v>
      </c>
      <c r="J3213" s="18">
        <f>SUM(D3167:D3213)</f>
        <v>305326350</v>
      </c>
      <c r="K3213" s="18">
        <f>SUM(E3167:E3213)</f>
        <v>29013120</v>
      </c>
      <c r="L3213" s="42"/>
      <c r="M3213" s="42"/>
      <c r="N3213" s="42"/>
      <c r="O3213" s="42"/>
      <c r="P3213" s="42"/>
      <c r="Q3213" s="42"/>
      <c r="R3213" s="42"/>
      <c r="S3213" s="42"/>
    </row>
    <row r="3214" spans="1:19">
      <c r="A3214" s="45">
        <v>45209</v>
      </c>
      <c r="B3214" s="14" t="s">
        <v>919</v>
      </c>
      <c r="C3214" s="46">
        <v>22903265</v>
      </c>
      <c r="D3214" s="46">
        <v>20821150</v>
      </c>
      <c r="E3214" s="46">
        <v>2082115</v>
      </c>
      <c r="F3214" s="17" t="s">
        <v>456</v>
      </c>
      <c r="G3214" s="9">
        <v>45219</v>
      </c>
    </row>
    <row r="3215" spans="1:19">
      <c r="A3215" s="45">
        <v>45214</v>
      </c>
      <c r="B3215" s="14" t="s">
        <v>913</v>
      </c>
      <c r="C3215" s="46">
        <v>14960000</v>
      </c>
      <c r="D3215" s="46">
        <v>13600000</v>
      </c>
      <c r="E3215" s="46">
        <v>1360000</v>
      </c>
      <c r="F3215" s="17" t="s">
        <v>611</v>
      </c>
      <c r="G3215" s="9">
        <v>45219</v>
      </c>
    </row>
    <row r="3216" spans="1:19">
      <c r="A3216" s="45">
        <v>45214</v>
      </c>
      <c r="B3216" s="14" t="s">
        <v>914</v>
      </c>
      <c r="C3216" s="46">
        <v>6468000</v>
      </c>
      <c r="D3216" s="46">
        <v>5880000</v>
      </c>
      <c r="E3216" s="46">
        <v>588000</v>
      </c>
      <c r="F3216" s="17" t="s">
        <v>646</v>
      </c>
      <c r="G3216" s="9">
        <v>45229</v>
      </c>
    </row>
    <row r="3217" spans="1:7">
      <c r="A3217" s="45">
        <v>45214</v>
      </c>
      <c r="B3217" s="14" t="s">
        <v>915</v>
      </c>
      <c r="C3217" s="46">
        <v>4711300</v>
      </c>
      <c r="D3217" s="46">
        <v>4283000</v>
      </c>
      <c r="E3217" s="46">
        <v>428300</v>
      </c>
      <c r="F3217" s="17" t="s">
        <v>315</v>
      </c>
      <c r="G3217" s="9">
        <v>45229</v>
      </c>
    </row>
    <row r="3218" spans="1:7">
      <c r="A3218" s="45">
        <v>45214</v>
      </c>
      <c r="B3218" s="14" t="s">
        <v>916</v>
      </c>
      <c r="C3218" s="46">
        <v>9038700</v>
      </c>
      <c r="D3218" s="46">
        <v>8217000</v>
      </c>
      <c r="E3218" s="46">
        <v>821700</v>
      </c>
      <c r="F3218" s="17" t="s">
        <v>734</v>
      </c>
      <c r="G3218" s="9">
        <v>45219</v>
      </c>
    </row>
    <row r="3219" spans="1:7">
      <c r="A3219" s="45">
        <v>45214</v>
      </c>
      <c r="B3219" s="14" t="s">
        <v>917</v>
      </c>
      <c r="C3219" s="46">
        <v>1298000</v>
      </c>
      <c r="D3219" s="46">
        <v>1180000</v>
      </c>
      <c r="E3219" s="46">
        <v>118000</v>
      </c>
      <c r="F3219" s="17" t="s">
        <v>306</v>
      </c>
      <c r="G3219" s="9">
        <v>45229</v>
      </c>
    </row>
    <row r="3220" spans="1:7">
      <c r="A3220" s="45">
        <v>45214</v>
      </c>
      <c r="B3220" s="14" t="s">
        <v>948</v>
      </c>
      <c r="C3220" s="46">
        <v>1188000</v>
      </c>
      <c r="D3220" s="46">
        <v>1080000</v>
      </c>
      <c r="E3220" s="46">
        <v>108000</v>
      </c>
      <c r="F3220" s="17" t="s">
        <v>714</v>
      </c>
      <c r="G3220" s="9">
        <v>45219</v>
      </c>
    </row>
    <row r="3221" spans="1:7">
      <c r="A3221" s="45">
        <v>45214</v>
      </c>
      <c r="B3221" s="14" t="s">
        <v>949</v>
      </c>
      <c r="C3221" s="46">
        <v>660000</v>
      </c>
      <c r="D3221" s="46">
        <v>600000</v>
      </c>
      <c r="E3221" s="46">
        <v>60000</v>
      </c>
      <c r="F3221" s="17" t="s">
        <v>756</v>
      </c>
      <c r="G3221" s="9">
        <v>45219</v>
      </c>
    </row>
    <row r="3222" spans="1:7">
      <c r="A3222" s="45">
        <v>45214</v>
      </c>
      <c r="B3222" s="14" t="s">
        <v>918</v>
      </c>
      <c r="C3222" s="46">
        <v>17108300</v>
      </c>
      <c r="D3222" s="46">
        <v>15553000</v>
      </c>
      <c r="E3222" s="46">
        <v>1555300</v>
      </c>
      <c r="F3222" s="17" t="s">
        <v>424</v>
      </c>
      <c r="G3222" s="9">
        <v>45219</v>
      </c>
    </row>
    <row r="3223" spans="1:7">
      <c r="A3223" s="45">
        <v>45214</v>
      </c>
      <c r="B3223" s="14" t="s">
        <v>950</v>
      </c>
      <c r="C3223" s="46">
        <v>1907400</v>
      </c>
      <c r="D3223" s="46">
        <v>1734000</v>
      </c>
      <c r="E3223" s="46">
        <v>173400</v>
      </c>
      <c r="F3223" s="17" t="s">
        <v>457</v>
      </c>
      <c r="G3223" s="9">
        <v>45231</v>
      </c>
    </row>
    <row r="3224" spans="1:7">
      <c r="A3224" s="45">
        <v>45214</v>
      </c>
      <c r="B3224" s="14" t="s">
        <v>951</v>
      </c>
      <c r="C3224" s="46">
        <v>1687400</v>
      </c>
      <c r="D3224" s="46">
        <v>1534000</v>
      </c>
      <c r="E3224" s="46">
        <v>153400</v>
      </c>
      <c r="F3224" s="17" t="s">
        <v>612</v>
      </c>
      <c r="G3224" s="9">
        <v>45231</v>
      </c>
    </row>
    <row r="3225" spans="1:7">
      <c r="A3225" s="45">
        <v>45219</v>
      </c>
      <c r="B3225" s="14" t="s">
        <v>919</v>
      </c>
      <c r="C3225" s="46">
        <v>18740700</v>
      </c>
      <c r="D3225" s="46">
        <v>17037000</v>
      </c>
      <c r="E3225" s="46">
        <v>1703700</v>
      </c>
      <c r="F3225" s="17" t="s">
        <v>456</v>
      </c>
      <c r="G3225" s="9">
        <v>45229</v>
      </c>
    </row>
    <row r="3226" spans="1:7">
      <c r="A3226" s="45">
        <v>45220</v>
      </c>
      <c r="B3226" s="171" t="s">
        <v>952</v>
      </c>
      <c r="C3226" s="46">
        <v>541200</v>
      </c>
      <c r="D3226" s="46">
        <v>492000</v>
      </c>
      <c r="E3226" s="46">
        <v>49200</v>
      </c>
      <c r="F3226" s="17" t="s">
        <v>710</v>
      </c>
      <c r="G3226" s="9">
        <v>45261</v>
      </c>
    </row>
    <row r="3227" spans="1:7">
      <c r="A3227" s="45">
        <v>45222</v>
      </c>
      <c r="B3227" s="14" t="s">
        <v>921</v>
      </c>
      <c r="C3227" s="46">
        <v>10321060</v>
      </c>
      <c r="D3227" s="46">
        <v>10321060</v>
      </c>
      <c r="E3227" s="46">
        <v>0</v>
      </c>
      <c r="F3227" s="17" t="s">
        <v>955</v>
      </c>
      <c r="G3227" s="9">
        <v>45230</v>
      </c>
    </row>
    <row r="3228" spans="1:7">
      <c r="A3228" s="45">
        <v>45222</v>
      </c>
      <c r="B3228" s="14" t="s">
        <v>902</v>
      </c>
      <c r="C3228" s="46">
        <v>4340770</v>
      </c>
      <c r="D3228" s="46">
        <v>4340770</v>
      </c>
      <c r="E3228" s="46">
        <v>0</v>
      </c>
      <c r="F3228" s="17" t="s">
        <v>956</v>
      </c>
      <c r="G3228" s="9">
        <v>45230</v>
      </c>
    </row>
    <row r="3229" spans="1:7">
      <c r="A3229" s="45">
        <v>45230</v>
      </c>
      <c r="B3229" s="14" t="s">
        <v>923</v>
      </c>
      <c r="C3229" s="46">
        <v>10260000</v>
      </c>
      <c r="D3229" s="46">
        <v>9327280</v>
      </c>
      <c r="E3229" s="46">
        <v>932720</v>
      </c>
      <c r="F3229" s="17" t="s">
        <v>924</v>
      </c>
      <c r="G3229" s="9">
        <v>45236</v>
      </c>
    </row>
    <row r="3230" spans="1:7">
      <c r="A3230" s="45">
        <v>45230</v>
      </c>
      <c r="B3230" s="14" t="s">
        <v>769</v>
      </c>
      <c r="C3230" s="46">
        <v>12085370</v>
      </c>
      <c r="D3230" s="46">
        <v>10986700</v>
      </c>
      <c r="E3230" s="46">
        <v>1098670</v>
      </c>
      <c r="F3230" s="17" t="s">
        <v>794</v>
      </c>
      <c r="G3230" s="9">
        <v>45240</v>
      </c>
    </row>
    <row r="3231" spans="1:7">
      <c r="A3231" s="45">
        <v>45230</v>
      </c>
      <c r="B3231" s="14" t="s">
        <v>769</v>
      </c>
      <c r="C3231" s="46">
        <v>52527200</v>
      </c>
      <c r="D3231" s="46">
        <v>47752000</v>
      </c>
      <c r="E3231" s="46">
        <v>4775200</v>
      </c>
      <c r="F3231" s="17" t="s">
        <v>387</v>
      </c>
      <c r="G3231" s="9">
        <v>45240</v>
      </c>
    </row>
    <row r="3232" spans="1:7">
      <c r="A3232" s="45">
        <v>45230</v>
      </c>
      <c r="B3232" s="14" t="s">
        <v>769</v>
      </c>
      <c r="C3232" s="46">
        <v>2934800</v>
      </c>
      <c r="D3232" s="46">
        <v>2668000</v>
      </c>
      <c r="E3232" s="46">
        <v>266800</v>
      </c>
      <c r="F3232" s="17" t="s">
        <v>386</v>
      </c>
      <c r="G3232" s="9">
        <v>45240</v>
      </c>
    </row>
    <row r="3233" spans="1:7">
      <c r="A3233" s="45">
        <v>45230</v>
      </c>
      <c r="B3233" s="14" t="s">
        <v>769</v>
      </c>
      <c r="C3233" s="46">
        <v>17194100</v>
      </c>
      <c r="D3233" s="46">
        <v>15631000</v>
      </c>
      <c r="E3233" s="46">
        <v>1563100</v>
      </c>
      <c r="F3233" s="17" t="s">
        <v>705</v>
      </c>
      <c r="G3233" s="9">
        <v>45240</v>
      </c>
    </row>
    <row r="3234" spans="1:7">
      <c r="A3234" s="45">
        <v>45230</v>
      </c>
      <c r="B3234" s="14" t="s">
        <v>769</v>
      </c>
      <c r="C3234" s="46">
        <v>12346400</v>
      </c>
      <c r="D3234" s="46">
        <v>11224000</v>
      </c>
      <c r="E3234" s="46">
        <v>1122400</v>
      </c>
      <c r="F3234" s="17" t="s">
        <v>305</v>
      </c>
      <c r="G3234" s="9">
        <v>45240</v>
      </c>
    </row>
    <row r="3235" spans="1:7">
      <c r="A3235" s="45">
        <v>45230</v>
      </c>
      <c r="B3235" s="14" t="s">
        <v>2</v>
      </c>
      <c r="C3235" s="46">
        <v>10208000</v>
      </c>
      <c r="D3235" s="46">
        <v>9280000</v>
      </c>
      <c r="E3235" s="46">
        <v>928000</v>
      </c>
      <c r="F3235" s="17" t="s">
        <v>611</v>
      </c>
      <c r="G3235" s="9">
        <v>45240</v>
      </c>
    </row>
    <row r="3236" spans="1:7">
      <c r="A3236" s="45">
        <v>45230</v>
      </c>
      <c r="B3236" s="14" t="s">
        <v>2</v>
      </c>
      <c r="C3236" s="46">
        <v>6468000</v>
      </c>
      <c r="D3236" s="46">
        <v>5880000</v>
      </c>
      <c r="E3236" s="46">
        <v>588000</v>
      </c>
      <c r="F3236" s="17" t="s">
        <v>646</v>
      </c>
      <c r="G3236" s="9">
        <v>45240</v>
      </c>
    </row>
    <row r="3237" spans="1:7">
      <c r="A3237" s="45">
        <v>45230</v>
      </c>
      <c r="B3237" s="14" t="s">
        <v>2</v>
      </c>
      <c r="C3237" s="46">
        <v>4585900</v>
      </c>
      <c r="D3237" s="46">
        <v>4169000</v>
      </c>
      <c r="E3237" s="46">
        <v>416900</v>
      </c>
      <c r="F3237" s="17" t="s">
        <v>315</v>
      </c>
      <c r="G3237" s="9">
        <v>45240</v>
      </c>
    </row>
    <row r="3238" spans="1:7">
      <c r="A3238" s="45">
        <v>45230</v>
      </c>
      <c r="B3238" s="14" t="s">
        <v>2</v>
      </c>
      <c r="C3238" s="46">
        <v>7761600</v>
      </c>
      <c r="D3238" s="46">
        <v>7056000</v>
      </c>
      <c r="E3238" s="46">
        <v>705600</v>
      </c>
      <c r="F3238" s="17" t="s">
        <v>734</v>
      </c>
      <c r="G3238" s="9">
        <v>45240</v>
      </c>
    </row>
    <row r="3239" spans="1:7">
      <c r="A3239" s="45">
        <v>45230</v>
      </c>
      <c r="B3239" s="14" t="s">
        <v>2</v>
      </c>
      <c r="C3239" s="46">
        <v>1320000</v>
      </c>
      <c r="D3239" s="46">
        <v>1200000</v>
      </c>
      <c r="E3239" s="46">
        <v>120000</v>
      </c>
      <c r="F3239" s="17" t="s">
        <v>306</v>
      </c>
      <c r="G3239" s="9">
        <v>45240</v>
      </c>
    </row>
    <row r="3240" spans="1:7">
      <c r="A3240" s="45">
        <v>45230</v>
      </c>
      <c r="B3240" s="14" t="s">
        <v>2</v>
      </c>
      <c r="C3240" s="46">
        <v>1188000</v>
      </c>
      <c r="D3240" s="46">
        <v>1080000</v>
      </c>
      <c r="E3240" s="46">
        <v>108000</v>
      </c>
      <c r="F3240" s="17" t="s">
        <v>714</v>
      </c>
      <c r="G3240" s="9">
        <v>45240</v>
      </c>
    </row>
    <row r="3241" spans="1:7">
      <c r="A3241" s="45">
        <v>45230</v>
      </c>
      <c r="B3241" s="14" t="s">
        <v>2</v>
      </c>
      <c r="C3241" s="46">
        <v>660000</v>
      </c>
      <c r="D3241" s="46">
        <v>600000</v>
      </c>
      <c r="E3241" s="46">
        <v>60000</v>
      </c>
      <c r="F3241" s="17" t="s">
        <v>756</v>
      </c>
      <c r="G3241" s="9">
        <v>45240</v>
      </c>
    </row>
    <row r="3242" spans="1:7">
      <c r="A3242" s="45">
        <v>45230</v>
      </c>
      <c r="B3242" s="14" t="s">
        <v>2</v>
      </c>
      <c r="C3242" s="46">
        <v>18978300</v>
      </c>
      <c r="D3242" s="46">
        <v>17253000</v>
      </c>
      <c r="E3242" s="46">
        <v>1725300</v>
      </c>
      <c r="F3242" s="17" t="s">
        <v>424</v>
      </c>
      <c r="G3242" s="9">
        <v>45240</v>
      </c>
    </row>
    <row r="3243" spans="1:7">
      <c r="A3243" s="45">
        <v>45230</v>
      </c>
      <c r="B3243" s="14" t="s">
        <v>2</v>
      </c>
      <c r="C3243" s="46">
        <v>20839874</v>
      </c>
      <c r="D3243" s="46">
        <v>18945340</v>
      </c>
      <c r="E3243" s="46">
        <v>1894534</v>
      </c>
      <c r="F3243" s="17" t="s">
        <v>456</v>
      </c>
      <c r="G3243" s="9">
        <v>45240</v>
      </c>
    </row>
    <row r="3244" spans="1:7">
      <c r="A3244" s="45">
        <v>45230</v>
      </c>
      <c r="B3244" s="14" t="s">
        <v>2</v>
      </c>
      <c r="C3244" s="46">
        <v>4092000</v>
      </c>
      <c r="D3244" s="46">
        <v>3720000</v>
      </c>
      <c r="E3244" s="46">
        <v>372000</v>
      </c>
      <c r="F3244" s="17" t="s">
        <v>928</v>
      </c>
      <c r="G3244" s="9">
        <v>45240</v>
      </c>
    </row>
    <row r="3245" spans="1:7">
      <c r="A3245" s="45">
        <v>45230</v>
      </c>
      <c r="B3245" s="14" t="s">
        <v>2</v>
      </c>
      <c r="C3245" s="46">
        <v>495000</v>
      </c>
      <c r="D3245" s="46">
        <v>450000</v>
      </c>
      <c r="E3245" s="46">
        <v>45000</v>
      </c>
      <c r="F3245" s="17" t="s">
        <v>938</v>
      </c>
      <c r="G3245" s="9">
        <v>45240</v>
      </c>
    </row>
    <row r="3246" spans="1:7">
      <c r="A3246" s="45">
        <v>45230</v>
      </c>
      <c r="B3246" s="14" t="s">
        <v>2</v>
      </c>
      <c r="C3246" s="46">
        <v>999900</v>
      </c>
      <c r="D3246" s="46">
        <v>909000</v>
      </c>
      <c r="E3246" s="46">
        <v>90900</v>
      </c>
      <c r="F3246" s="17" t="s">
        <v>859</v>
      </c>
      <c r="G3246" s="9">
        <v>45240</v>
      </c>
    </row>
    <row r="3247" spans="1:7">
      <c r="A3247" s="45">
        <v>45230</v>
      </c>
      <c r="B3247" s="14" t="s">
        <v>2</v>
      </c>
      <c r="C3247" s="46">
        <v>3325300</v>
      </c>
      <c r="D3247" s="46">
        <v>3023000</v>
      </c>
      <c r="E3247" s="46">
        <v>302300</v>
      </c>
      <c r="F3247" s="17" t="s">
        <v>858</v>
      </c>
      <c r="G3247" s="9">
        <v>45240</v>
      </c>
    </row>
    <row r="3248" spans="1:7">
      <c r="A3248" s="45">
        <v>45230</v>
      </c>
      <c r="B3248" s="14" t="s">
        <v>730</v>
      </c>
      <c r="C3248" s="46">
        <v>2151600</v>
      </c>
      <c r="D3248" s="46">
        <v>1956000</v>
      </c>
      <c r="E3248" s="46">
        <v>195600</v>
      </c>
      <c r="F3248" s="17" t="s">
        <v>457</v>
      </c>
      <c r="G3248" s="9">
        <v>45240</v>
      </c>
    </row>
    <row r="3249" spans="1:17">
      <c r="A3249" s="45">
        <v>45230</v>
      </c>
      <c r="B3249" s="14" t="s">
        <v>730</v>
      </c>
      <c r="C3249" s="46">
        <v>1402500</v>
      </c>
      <c r="D3249" s="46">
        <v>1275000</v>
      </c>
      <c r="E3249" s="46">
        <v>127500</v>
      </c>
      <c r="F3249" s="17" t="s">
        <v>612</v>
      </c>
      <c r="G3249" s="9">
        <v>45240</v>
      </c>
      <c r="K3249" s="172"/>
      <c r="L3249" s="172"/>
      <c r="M3249" s="172"/>
      <c r="N3249" s="172"/>
    </row>
    <row r="3250" spans="1:17">
      <c r="A3250" s="45">
        <v>45230</v>
      </c>
      <c r="B3250" s="14" t="s">
        <v>432</v>
      </c>
      <c r="C3250" s="46">
        <v>5014900</v>
      </c>
      <c r="D3250" s="46">
        <v>4559000</v>
      </c>
      <c r="E3250" s="46">
        <v>455900</v>
      </c>
      <c r="F3250" s="17" t="s">
        <v>757</v>
      </c>
      <c r="G3250" s="9">
        <v>45245</v>
      </c>
    </row>
    <row r="3251" spans="1:17">
      <c r="A3251" s="45">
        <v>45230</v>
      </c>
      <c r="B3251" s="14" t="s">
        <v>432</v>
      </c>
      <c r="C3251" s="46">
        <v>264000</v>
      </c>
      <c r="D3251" s="46">
        <v>240000</v>
      </c>
      <c r="E3251" s="46">
        <v>24000</v>
      </c>
      <c r="F3251" s="17" t="s">
        <v>255</v>
      </c>
      <c r="G3251" s="9">
        <v>45245</v>
      </c>
    </row>
    <row r="3252" spans="1:17">
      <c r="A3252" s="45">
        <v>45230</v>
      </c>
      <c r="B3252" s="14" t="s">
        <v>432</v>
      </c>
      <c r="C3252" s="46">
        <v>5357000</v>
      </c>
      <c r="D3252" s="46">
        <v>4870000</v>
      </c>
      <c r="E3252" s="46">
        <v>487000</v>
      </c>
      <c r="F3252" s="17" t="s">
        <v>165</v>
      </c>
      <c r="G3252" s="9">
        <v>45245</v>
      </c>
    </row>
    <row r="3253" spans="1:17">
      <c r="A3253" s="45">
        <v>45230</v>
      </c>
      <c r="B3253" s="14" t="s">
        <v>432</v>
      </c>
      <c r="C3253" s="46">
        <v>2314400</v>
      </c>
      <c r="D3253" s="46">
        <v>2104000</v>
      </c>
      <c r="E3253" s="46">
        <v>210400</v>
      </c>
      <c r="F3253" s="17" t="s">
        <v>811</v>
      </c>
      <c r="G3253" s="9">
        <v>45245</v>
      </c>
    </row>
    <row r="3254" spans="1:17">
      <c r="A3254" s="45">
        <v>45230</v>
      </c>
      <c r="B3254" s="14" t="s">
        <v>432</v>
      </c>
      <c r="C3254" s="46">
        <v>134200</v>
      </c>
      <c r="D3254" s="46">
        <v>122000</v>
      </c>
      <c r="E3254" s="46">
        <v>12200</v>
      </c>
      <c r="F3254" s="17" t="s">
        <v>962</v>
      </c>
      <c r="G3254" s="9">
        <v>45245</v>
      </c>
    </row>
    <row r="3255" spans="1:17">
      <c r="A3255" s="45">
        <v>45230</v>
      </c>
      <c r="B3255" s="172" t="s">
        <v>432</v>
      </c>
      <c r="C3255" s="46">
        <v>2778600</v>
      </c>
      <c r="D3255" s="46">
        <v>2526000</v>
      </c>
      <c r="E3255" s="46">
        <v>252600</v>
      </c>
      <c r="F3255" s="17" t="s">
        <v>942</v>
      </c>
      <c r="G3255" s="9">
        <v>45245</v>
      </c>
      <c r="K3255" s="172"/>
      <c r="L3255" s="172"/>
      <c r="M3255" s="172"/>
      <c r="N3255" s="172"/>
      <c r="O3255" s="172"/>
      <c r="P3255" s="172"/>
      <c r="Q3255" s="172"/>
    </row>
    <row r="3256" spans="1:17">
      <c r="A3256" s="45">
        <v>45230</v>
      </c>
      <c r="B3256" s="14" t="s">
        <v>15</v>
      </c>
      <c r="C3256" s="46">
        <v>9930800</v>
      </c>
      <c r="D3256" s="46">
        <v>9028000</v>
      </c>
      <c r="E3256" s="46">
        <v>902800</v>
      </c>
      <c r="F3256" s="17" t="s">
        <v>459</v>
      </c>
      <c r="G3256" s="9">
        <v>45243</v>
      </c>
    </row>
    <row r="3257" spans="1:17">
      <c r="A3257" s="45">
        <v>45230</v>
      </c>
      <c r="B3257" s="14" t="s">
        <v>752</v>
      </c>
      <c r="C3257" s="46">
        <v>3740000</v>
      </c>
      <c r="D3257" s="46">
        <v>3400000</v>
      </c>
      <c r="E3257" s="46">
        <v>340000</v>
      </c>
      <c r="F3257" s="17" t="s">
        <v>753</v>
      </c>
      <c r="G3257" s="9">
        <v>45242</v>
      </c>
    </row>
    <row r="3258" spans="1:17">
      <c r="A3258" s="45">
        <v>45230</v>
      </c>
      <c r="B3258" s="14" t="s">
        <v>805</v>
      </c>
      <c r="C3258" s="46">
        <v>12237500</v>
      </c>
      <c r="D3258" s="46">
        <v>11125000</v>
      </c>
      <c r="E3258" s="46">
        <v>1112500</v>
      </c>
      <c r="F3258" s="17" t="s">
        <v>727</v>
      </c>
      <c r="G3258" s="9">
        <v>45245</v>
      </c>
    </row>
    <row r="3259" spans="1:17">
      <c r="A3259" s="45">
        <v>45230</v>
      </c>
      <c r="B3259" s="14" t="s">
        <v>825</v>
      </c>
      <c r="C3259" s="46">
        <v>1188000</v>
      </c>
      <c r="D3259" s="46">
        <v>1080000</v>
      </c>
      <c r="E3259" s="46">
        <v>108000</v>
      </c>
      <c r="F3259" s="17" t="s">
        <v>13</v>
      </c>
      <c r="G3259" s="9">
        <v>45232</v>
      </c>
    </row>
    <row r="3260" spans="1:17">
      <c r="A3260" s="45">
        <v>45230</v>
      </c>
      <c r="B3260" s="14" t="s">
        <v>155</v>
      </c>
      <c r="C3260" s="46">
        <v>11627000</v>
      </c>
      <c r="D3260" s="46">
        <v>10570000</v>
      </c>
      <c r="E3260" s="46">
        <v>1057000</v>
      </c>
      <c r="F3260" s="17" t="s">
        <v>13</v>
      </c>
      <c r="G3260" s="9">
        <v>45275</v>
      </c>
      <c r="H3260" s="1" t="s">
        <v>973</v>
      </c>
    </row>
    <row r="3261" spans="1:17">
      <c r="A3261" s="45">
        <v>45230</v>
      </c>
      <c r="B3261" s="14" t="s">
        <v>82</v>
      </c>
      <c r="C3261" s="46">
        <v>2486000</v>
      </c>
      <c r="D3261" s="46">
        <v>2260000</v>
      </c>
      <c r="E3261" s="46">
        <v>226000</v>
      </c>
      <c r="F3261" s="17" t="s">
        <v>13</v>
      </c>
      <c r="G3261" s="9">
        <v>45245</v>
      </c>
    </row>
    <row r="3262" spans="1:17">
      <c r="A3262" s="45">
        <v>45230</v>
      </c>
      <c r="B3262" s="14" t="s">
        <v>960</v>
      </c>
      <c r="C3262" s="46">
        <v>440000</v>
      </c>
      <c r="D3262" s="46">
        <v>400000</v>
      </c>
      <c r="E3262" s="46">
        <v>40000</v>
      </c>
      <c r="F3262" s="17" t="s">
        <v>13</v>
      </c>
      <c r="G3262" s="9">
        <v>45233</v>
      </c>
    </row>
    <row r="3263" spans="1:17">
      <c r="A3263" s="45">
        <v>45230</v>
      </c>
      <c r="B3263" s="14" t="s">
        <v>943</v>
      </c>
      <c r="C3263" s="46">
        <v>110000</v>
      </c>
      <c r="D3263" s="46">
        <v>100000</v>
      </c>
      <c r="E3263" s="46">
        <v>10000</v>
      </c>
      <c r="F3263" s="17" t="s">
        <v>13</v>
      </c>
      <c r="G3263" s="9">
        <v>45238</v>
      </c>
      <c r="I3263" s="301" t="s">
        <v>934</v>
      </c>
      <c r="J3263" s="302"/>
      <c r="K3263" s="303"/>
    </row>
    <row r="3264" spans="1:17">
      <c r="A3264" s="45">
        <v>45230</v>
      </c>
      <c r="B3264" s="14" t="s">
        <v>79</v>
      </c>
      <c r="C3264" s="46">
        <v>176000</v>
      </c>
      <c r="D3264" s="46">
        <v>160000</v>
      </c>
      <c r="E3264" s="46">
        <v>16000</v>
      </c>
      <c r="F3264" s="17" t="s">
        <v>13</v>
      </c>
      <c r="G3264" s="9">
        <v>45231</v>
      </c>
      <c r="I3264" s="18" t="s">
        <v>46</v>
      </c>
      <c r="J3264" s="165" t="s">
        <v>47</v>
      </c>
      <c r="K3264" s="165" t="s">
        <v>48</v>
      </c>
    </row>
    <row r="3265" spans="1:19">
      <c r="A3265" s="119">
        <v>45230</v>
      </c>
      <c r="B3265" s="42" t="s">
        <v>749</v>
      </c>
      <c r="C3265" s="118">
        <v>3278000</v>
      </c>
      <c r="D3265" s="118">
        <v>2980000</v>
      </c>
      <c r="E3265" s="118">
        <v>298000</v>
      </c>
      <c r="F3265" s="51" t="s">
        <v>13</v>
      </c>
      <c r="G3265" s="10">
        <v>45231</v>
      </c>
      <c r="H3265" s="51"/>
      <c r="I3265" s="18">
        <f>SUM(C3214:C3265)</f>
        <v>368774339</v>
      </c>
      <c r="J3265" s="18">
        <f>SUM(D3214:D3265)</f>
        <v>336582300</v>
      </c>
      <c r="K3265" s="18">
        <f>SUM(E3214:E3265)</f>
        <v>32192039</v>
      </c>
      <c r="L3265" s="42"/>
      <c r="M3265" s="42"/>
      <c r="N3265" s="42"/>
      <c r="O3265" s="42"/>
      <c r="P3265" s="42"/>
      <c r="Q3265" s="42"/>
      <c r="R3265" s="42"/>
      <c r="S3265" s="42"/>
    </row>
    <row r="3266" spans="1:19">
      <c r="A3266" s="45">
        <v>45231</v>
      </c>
      <c r="B3266" s="14" t="s">
        <v>958</v>
      </c>
      <c r="C3266" s="46">
        <v>7280790</v>
      </c>
      <c r="D3266" s="46">
        <v>7280790</v>
      </c>
      <c r="E3266" s="46">
        <v>0</v>
      </c>
      <c r="F3266" s="17" t="s">
        <v>959</v>
      </c>
      <c r="G3266" s="9">
        <v>45240</v>
      </c>
      <c r="H3266" s="105"/>
      <c r="I3266" s="98"/>
      <c r="J3266" s="106"/>
      <c r="K3266" s="99"/>
      <c r="L3266" s="99"/>
      <c r="M3266" s="99"/>
      <c r="N3266" s="99"/>
    </row>
    <row r="3267" spans="1:19">
      <c r="A3267" s="45">
        <v>45240</v>
      </c>
      <c r="B3267" s="14" t="s">
        <v>2</v>
      </c>
      <c r="C3267" s="46">
        <v>10446700</v>
      </c>
      <c r="D3267" s="46">
        <v>9497000</v>
      </c>
      <c r="E3267" s="46">
        <v>949700</v>
      </c>
      <c r="F3267" s="17" t="s">
        <v>456</v>
      </c>
      <c r="G3267" s="9">
        <v>45250</v>
      </c>
    </row>
    <row r="3268" spans="1:19">
      <c r="A3268" s="45">
        <v>45245</v>
      </c>
      <c r="B3268" s="14" t="s">
        <v>2</v>
      </c>
      <c r="C3268" s="46">
        <v>11924000</v>
      </c>
      <c r="D3268" s="46">
        <v>10840000</v>
      </c>
      <c r="E3268" s="46">
        <v>1084000</v>
      </c>
      <c r="F3268" s="17" t="s">
        <v>611</v>
      </c>
      <c r="G3268" s="9">
        <v>45260</v>
      </c>
    </row>
    <row r="3269" spans="1:19">
      <c r="A3269" s="45">
        <v>45245</v>
      </c>
      <c r="B3269" s="14" t="s">
        <v>2</v>
      </c>
      <c r="C3269" s="46">
        <v>4092000</v>
      </c>
      <c r="D3269" s="46">
        <v>3720000</v>
      </c>
      <c r="E3269" s="46">
        <v>372000</v>
      </c>
      <c r="F3269" s="17" t="s">
        <v>646</v>
      </c>
      <c r="G3269" s="9">
        <v>45250</v>
      </c>
    </row>
    <row r="3270" spans="1:19">
      <c r="A3270" s="45">
        <v>45245</v>
      </c>
      <c r="B3270" s="14" t="s">
        <v>2</v>
      </c>
      <c r="C3270" s="46">
        <v>6413000</v>
      </c>
      <c r="D3270" s="46">
        <v>5830000</v>
      </c>
      <c r="E3270" s="46">
        <v>583000</v>
      </c>
      <c r="F3270" s="17" t="s">
        <v>315</v>
      </c>
      <c r="G3270" s="9">
        <v>45260</v>
      </c>
    </row>
    <row r="3271" spans="1:19">
      <c r="A3271" s="45">
        <v>45245</v>
      </c>
      <c r="B3271" s="14" t="s">
        <v>2</v>
      </c>
      <c r="C3271" s="46">
        <v>7192152</v>
      </c>
      <c r="D3271" s="46">
        <v>6538320</v>
      </c>
      <c r="E3271" s="46">
        <v>653832</v>
      </c>
      <c r="F3271" s="17" t="s">
        <v>734</v>
      </c>
      <c r="G3271" s="9">
        <v>45260</v>
      </c>
    </row>
    <row r="3272" spans="1:19">
      <c r="A3272" s="45">
        <v>45245</v>
      </c>
      <c r="B3272" s="14" t="s">
        <v>2</v>
      </c>
      <c r="C3272" s="46">
        <v>1188000</v>
      </c>
      <c r="D3272" s="46">
        <v>1080000</v>
      </c>
      <c r="E3272" s="46">
        <v>108000</v>
      </c>
      <c r="F3272" s="17" t="s">
        <v>306</v>
      </c>
      <c r="G3272" s="9">
        <v>45260</v>
      </c>
    </row>
    <row r="3273" spans="1:19">
      <c r="A3273" s="45">
        <v>45245</v>
      </c>
      <c r="B3273" s="14" t="s">
        <v>2</v>
      </c>
      <c r="C3273" s="46">
        <v>1056000</v>
      </c>
      <c r="D3273" s="46">
        <v>960000</v>
      </c>
      <c r="E3273" s="46">
        <v>96000</v>
      </c>
      <c r="F3273" s="17" t="s">
        <v>714</v>
      </c>
      <c r="G3273" s="9">
        <v>45260</v>
      </c>
    </row>
    <row r="3274" spans="1:19">
      <c r="A3274" s="45">
        <v>45245</v>
      </c>
      <c r="B3274" s="14" t="s">
        <v>2</v>
      </c>
      <c r="C3274" s="46">
        <v>1188000</v>
      </c>
      <c r="D3274" s="46">
        <v>1080000</v>
      </c>
      <c r="E3274" s="46">
        <v>108000</v>
      </c>
      <c r="F3274" s="17" t="s">
        <v>756</v>
      </c>
      <c r="G3274" s="9">
        <v>45260</v>
      </c>
    </row>
    <row r="3275" spans="1:19">
      <c r="A3275" s="45">
        <v>45245</v>
      </c>
      <c r="B3275" s="14" t="s">
        <v>2</v>
      </c>
      <c r="C3275" s="46">
        <v>18684600</v>
      </c>
      <c r="D3275" s="46">
        <v>16986000</v>
      </c>
      <c r="E3275" s="46">
        <v>1698600</v>
      </c>
      <c r="F3275" s="17" t="s">
        <v>424</v>
      </c>
      <c r="G3275" s="9">
        <v>45260</v>
      </c>
    </row>
    <row r="3276" spans="1:19">
      <c r="A3276" s="45">
        <v>45250</v>
      </c>
      <c r="B3276" s="14" t="s">
        <v>921</v>
      </c>
      <c r="C3276" s="46">
        <v>10670140</v>
      </c>
      <c r="D3276" s="46">
        <v>10670140</v>
      </c>
      <c r="E3276" s="46">
        <v>0</v>
      </c>
      <c r="F3276" s="17" t="s">
        <v>963</v>
      </c>
      <c r="G3276" s="9">
        <v>45260</v>
      </c>
    </row>
    <row r="3277" spans="1:19">
      <c r="A3277" s="45">
        <v>45250</v>
      </c>
      <c r="B3277" s="14" t="s">
        <v>902</v>
      </c>
      <c r="C3277" s="46">
        <v>4647400</v>
      </c>
      <c r="D3277" s="46">
        <v>4647400</v>
      </c>
      <c r="E3277" s="46">
        <v>0</v>
      </c>
      <c r="F3277" s="17" t="s">
        <v>964</v>
      </c>
      <c r="G3277" s="9">
        <v>45260</v>
      </c>
    </row>
    <row r="3278" spans="1:19">
      <c r="A3278" s="45">
        <v>45250</v>
      </c>
      <c r="B3278" s="14" t="s">
        <v>2</v>
      </c>
      <c r="C3278" s="46">
        <v>16996100</v>
      </c>
      <c r="D3278" s="46">
        <v>15451000</v>
      </c>
      <c r="E3278" s="46">
        <v>1545100</v>
      </c>
      <c r="F3278" s="17" t="s">
        <v>456</v>
      </c>
      <c r="G3278" s="9">
        <v>45260</v>
      </c>
    </row>
    <row r="3279" spans="1:19">
      <c r="A3279" s="45">
        <v>45255</v>
      </c>
      <c r="B3279" s="14" t="s">
        <v>719</v>
      </c>
      <c r="C3279" s="46">
        <v>2706000</v>
      </c>
      <c r="D3279" s="46">
        <v>2460000</v>
      </c>
      <c r="E3279" s="46">
        <v>246000</v>
      </c>
      <c r="F3279" s="17" t="s">
        <v>710</v>
      </c>
      <c r="G3279" s="9">
        <v>45296</v>
      </c>
    </row>
    <row r="3280" spans="1:19">
      <c r="A3280" s="45">
        <v>45260</v>
      </c>
      <c r="B3280" s="14" t="s">
        <v>965</v>
      </c>
      <c r="C3280" s="46">
        <v>660000</v>
      </c>
      <c r="D3280" s="46">
        <v>600000</v>
      </c>
      <c r="E3280" s="46">
        <v>60000</v>
      </c>
      <c r="F3280" s="17" t="s">
        <v>966</v>
      </c>
      <c r="G3280" s="9">
        <v>45271</v>
      </c>
    </row>
    <row r="3281" spans="1:7">
      <c r="A3281" s="45">
        <v>45260</v>
      </c>
      <c r="B3281" s="14" t="s">
        <v>769</v>
      </c>
      <c r="C3281" s="46">
        <v>10755250</v>
      </c>
      <c r="D3281" s="46">
        <v>9777500</v>
      </c>
      <c r="E3281" s="46">
        <v>977750</v>
      </c>
      <c r="F3281" s="17" t="s">
        <v>794</v>
      </c>
      <c r="G3281" s="9">
        <v>45268</v>
      </c>
    </row>
    <row r="3282" spans="1:7">
      <c r="A3282" s="45">
        <v>45260</v>
      </c>
      <c r="B3282" s="14" t="s">
        <v>769</v>
      </c>
      <c r="C3282" s="46">
        <v>59791600</v>
      </c>
      <c r="D3282" s="46">
        <v>54356000</v>
      </c>
      <c r="E3282" s="46">
        <v>5435600</v>
      </c>
      <c r="F3282" s="17" t="s">
        <v>387</v>
      </c>
      <c r="G3282" s="9">
        <v>45268</v>
      </c>
    </row>
    <row r="3283" spans="1:7">
      <c r="A3283" s="45">
        <v>45260</v>
      </c>
      <c r="B3283" s="14" t="s">
        <v>769</v>
      </c>
      <c r="C3283" s="46">
        <v>2037200</v>
      </c>
      <c r="D3283" s="46">
        <v>1852000</v>
      </c>
      <c r="E3283" s="46">
        <v>185200</v>
      </c>
      <c r="F3283" s="17" t="s">
        <v>386</v>
      </c>
      <c r="G3283" s="9">
        <v>45268</v>
      </c>
    </row>
    <row r="3284" spans="1:7">
      <c r="A3284" s="45">
        <v>45260</v>
      </c>
      <c r="B3284" s="14" t="s">
        <v>769</v>
      </c>
      <c r="C3284" s="46">
        <v>21136500</v>
      </c>
      <c r="D3284" s="46">
        <v>19215000</v>
      </c>
      <c r="E3284" s="46">
        <v>1921500</v>
      </c>
      <c r="F3284" s="17" t="s">
        <v>705</v>
      </c>
      <c r="G3284" s="9">
        <v>45268</v>
      </c>
    </row>
    <row r="3285" spans="1:7">
      <c r="A3285" s="45">
        <v>45260</v>
      </c>
      <c r="B3285" s="14" t="s">
        <v>769</v>
      </c>
      <c r="C3285" s="46">
        <v>15298800</v>
      </c>
      <c r="D3285" s="46">
        <v>13908000</v>
      </c>
      <c r="E3285" s="46">
        <v>1390800</v>
      </c>
      <c r="F3285" s="17" t="s">
        <v>305</v>
      </c>
      <c r="G3285" s="9">
        <v>45268</v>
      </c>
    </row>
    <row r="3286" spans="1:7">
      <c r="A3286" s="45">
        <v>45260</v>
      </c>
      <c r="B3286" s="14" t="s">
        <v>15</v>
      </c>
      <c r="C3286" s="46">
        <v>9930800</v>
      </c>
      <c r="D3286" s="46">
        <v>9028000</v>
      </c>
      <c r="E3286" s="46">
        <v>902800</v>
      </c>
      <c r="F3286" s="17" t="s">
        <v>459</v>
      </c>
      <c r="G3286" s="9">
        <v>45271</v>
      </c>
    </row>
    <row r="3287" spans="1:7">
      <c r="A3287" s="45">
        <v>45260</v>
      </c>
      <c r="B3287" s="14" t="s">
        <v>752</v>
      </c>
      <c r="C3287" s="46">
        <v>2970000</v>
      </c>
      <c r="D3287" s="46">
        <v>2700000</v>
      </c>
      <c r="E3287" s="46">
        <v>270000</v>
      </c>
      <c r="F3287" s="17" t="s">
        <v>753</v>
      </c>
      <c r="G3287" s="9">
        <v>45271</v>
      </c>
    </row>
    <row r="3288" spans="1:7">
      <c r="A3288" s="45">
        <v>45260</v>
      </c>
      <c r="B3288" s="14" t="s">
        <v>2</v>
      </c>
      <c r="C3288" s="46">
        <v>14476000</v>
      </c>
      <c r="D3288" s="46">
        <v>13160000</v>
      </c>
      <c r="E3288" s="46">
        <v>1316000</v>
      </c>
      <c r="F3288" s="17" t="s">
        <v>611</v>
      </c>
      <c r="G3288" s="9">
        <v>45271</v>
      </c>
    </row>
    <row r="3289" spans="1:7">
      <c r="A3289" s="45">
        <v>45260</v>
      </c>
      <c r="B3289" s="14" t="s">
        <v>2</v>
      </c>
      <c r="C3289" s="46">
        <v>2112000</v>
      </c>
      <c r="D3289" s="46">
        <v>1920000</v>
      </c>
      <c r="E3289" s="46">
        <v>192000</v>
      </c>
      <c r="F3289" s="17" t="s">
        <v>646</v>
      </c>
      <c r="G3289" s="9">
        <v>45271</v>
      </c>
    </row>
    <row r="3290" spans="1:7">
      <c r="A3290" s="45">
        <v>45260</v>
      </c>
      <c r="B3290" s="14" t="s">
        <v>2</v>
      </c>
      <c r="C3290" s="46">
        <v>4324100</v>
      </c>
      <c r="D3290" s="46">
        <v>3931000</v>
      </c>
      <c r="E3290" s="46">
        <v>393100</v>
      </c>
      <c r="F3290" s="17" t="s">
        <v>315</v>
      </c>
      <c r="G3290" s="9">
        <v>45271</v>
      </c>
    </row>
    <row r="3291" spans="1:7">
      <c r="A3291" s="45">
        <v>45260</v>
      </c>
      <c r="B3291" s="14" t="s">
        <v>2</v>
      </c>
      <c r="C3291" s="46">
        <v>7263300</v>
      </c>
      <c r="D3291" s="46">
        <v>6603000</v>
      </c>
      <c r="E3291" s="46">
        <v>660300</v>
      </c>
      <c r="F3291" s="17" t="s">
        <v>734</v>
      </c>
      <c r="G3291" s="9">
        <v>45271</v>
      </c>
    </row>
    <row r="3292" spans="1:7">
      <c r="A3292" s="45">
        <v>45260</v>
      </c>
      <c r="B3292" s="14" t="s">
        <v>2</v>
      </c>
      <c r="C3292" s="46">
        <v>1188000</v>
      </c>
      <c r="D3292" s="46">
        <v>1080000</v>
      </c>
      <c r="E3292" s="46">
        <v>108000</v>
      </c>
      <c r="F3292" s="17" t="s">
        <v>306</v>
      </c>
      <c r="G3292" s="9">
        <v>45271</v>
      </c>
    </row>
    <row r="3293" spans="1:7">
      <c r="A3293" s="45">
        <v>45260</v>
      </c>
      <c r="B3293" s="14" t="s">
        <v>2</v>
      </c>
      <c r="C3293" s="46">
        <v>1452000</v>
      </c>
      <c r="D3293" s="46">
        <v>1320000</v>
      </c>
      <c r="E3293" s="46">
        <v>132000</v>
      </c>
      <c r="F3293" s="17" t="s">
        <v>714</v>
      </c>
      <c r="G3293" s="9">
        <v>45271</v>
      </c>
    </row>
    <row r="3294" spans="1:7">
      <c r="A3294" s="45">
        <v>45260</v>
      </c>
      <c r="B3294" s="14" t="s">
        <v>2</v>
      </c>
      <c r="C3294" s="46">
        <v>1056000</v>
      </c>
      <c r="D3294" s="46">
        <v>960000</v>
      </c>
      <c r="E3294" s="46">
        <v>96000</v>
      </c>
      <c r="F3294" s="17" t="s">
        <v>756</v>
      </c>
      <c r="G3294" s="9">
        <v>45271</v>
      </c>
    </row>
    <row r="3295" spans="1:7">
      <c r="A3295" s="45">
        <v>45260</v>
      </c>
      <c r="B3295" s="14" t="s">
        <v>2</v>
      </c>
      <c r="C3295" s="46">
        <v>16650150</v>
      </c>
      <c r="D3295" s="46">
        <v>15136500</v>
      </c>
      <c r="E3295" s="46">
        <v>1513650</v>
      </c>
      <c r="F3295" s="17" t="s">
        <v>424</v>
      </c>
      <c r="G3295" s="9">
        <v>45271</v>
      </c>
    </row>
    <row r="3296" spans="1:7">
      <c r="A3296" s="45">
        <v>45260</v>
      </c>
      <c r="B3296" s="14" t="s">
        <v>2</v>
      </c>
      <c r="C3296" s="46">
        <v>16882800</v>
      </c>
      <c r="D3296" s="46">
        <v>15348000</v>
      </c>
      <c r="E3296" s="46">
        <v>1534800</v>
      </c>
      <c r="F3296" s="17" t="s">
        <v>456</v>
      </c>
      <c r="G3296" s="9">
        <v>45271</v>
      </c>
    </row>
    <row r="3297" spans="1:7">
      <c r="A3297" s="45">
        <v>45260</v>
      </c>
      <c r="B3297" s="14" t="s">
        <v>2</v>
      </c>
      <c r="C3297" s="46">
        <v>82500</v>
      </c>
      <c r="D3297" s="46">
        <v>75000</v>
      </c>
      <c r="E3297" s="46">
        <v>7500</v>
      </c>
      <c r="F3297" s="17" t="s">
        <v>938</v>
      </c>
      <c r="G3297" s="9">
        <v>45271</v>
      </c>
    </row>
    <row r="3298" spans="1:7">
      <c r="A3298" s="45">
        <v>45260</v>
      </c>
      <c r="B3298" s="14" t="s">
        <v>2</v>
      </c>
      <c r="C3298" s="46">
        <v>2245100</v>
      </c>
      <c r="D3298" s="46">
        <v>2041000</v>
      </c>
      <c r="E3298" s="46">
        <v>204100</v>
      </c>
      <c r="F3298" s="17" t="s">
        <v>859</v>
      </c>
      <c r="G3298" s="9">
        <v>45271</v>
      </c>
    </row>
    <row r="3299" spans="1:7">
      <c r="A3299" s="45">
        <v>45260</v>
      </c>
      <c r="B3299" s="14" t="s">
        <v>2</v>
      </c>
      <c r="C3299" s="46">
        <v>4332900</v>
      </c>
      <c r="D3299" s="46">
        <v>3939000</v>
      </c>
      <c r="E3299" s="46">
        <v>393900</v>
      </c>
      <c r="F3299" s="17" t="s">
        <v>858</v>
      </c>
      <c r="G3299" s="9">
        <v>45271</v>
      </c>
    </row>
    <row r="3300" spans="1:7">
      <c r="A3300" s="45">
        <v>45260</v>
      </c>
      <c r="B3300" s="14" t="s">
        <v>730</v>
      </c>
      <c r="C3300" s="46">
        <v>5243700</v>
      </c>
      <c r="D3300" s="46">
        <v>4767000</v>
      </c>
      <c r="E3300" s="46">
        <v>476700</v>
      </c>
      <c r="F3300" s="17" t="s">
        <v>457</v>
      </c>
      <c r="G3300" s="9">
        <v>45267</v>
      </c>
    </row>
    <row r="3301" spans="1:7">
      <c r="A3301" s="45">
        <v>45260</v>
      </c>
      <c r="B3301" s="14" t="s">
        <v>730</v>
      </c>
      <c r="C3301" s="46">
        <v>1326600</v>
      </c>
      <c r="D3301" s="46">
        <v>1206000</v>
      </c>
      <c r="E3301" s="46">
        <v>120600</v>
      </c>
      <c r="F3301" s="17" t="s">
        <v>612</v>
      </c>
      <c r="G3301" s="9">
        <v>45267</v>
      </c>
    </row>
    <row r="3302" spans="1:7">
      <c r="A3302" s="45">
        <v>45260</v>
      </c>
      <c r="B3302" s="14" t="s">
        <v>432</v>
      </c>
      <c r="C3302" s="46">
        <v>3521100</v>
      </c>
      <c r="D3302" s="46">
        <v>3201000</v>
      </c>
      <c r="E3302" s="46">
        <v>320100</v>
      </c>
      <c r="F3302" s="17" t="s">
        <v>757</v>
      </c>
      <c r="G3302" s="9">
        <v>45271</v>
      </c>
    </row>
    <row r="3303" spans="1:7">
      <c r="A3303" s="45">
        <v>45260</v>
      </c>
      <c r="B3303" s="14" t="s">
        <v>432</v>
      </c>
      <c r="C3303" s="46">
        <v>2640000</v>
      </c>
      <c r="D3303" s="46">
        <v>2400000</v>
      </c>
      <c r="E3303" s="46">
        <v>240000</v>
      </c>
      <c r="F3303" s="17" t="s">
        <v>255</v>
      </c>
      <c r="G3303" s="9">
        <v>45271</v>
      </c>
    </row>
    <row r="3304" spans="1:7">
      <c r="A3304" s="45">
        <v>45260</v>
      </c>
      <c r="B3304" s="14" t="s">
        <v>432</v>
      </c>
      <c r="C3304" s="46">
        <v>5643000</v>
      </c>
      <c r="D3304" s="46">
        <v>5130000</v>
      </c>
      <c r="E3304" s="46">
        <v>513000</v>
      </c>
      <c r="F3304" s="17" t="s">
        <v>165</v>
      </c>
      <c r="G3304" s="9">
        <v>45271</v>
      </c>
    </row>
    <row r="3305" spans="1:7">
      <c r="A3305" s="45">
        <v>45260</v>
      </c>
      <c r="B3305" s="14" t="s">
        <v>432</v>
      </c>
      <c r="C3305" s="46">
        <v>1623600</v>
      </c>
      <c r="D3305" s="46">
        <v>1476000</v>
      </c>
      <c r="E3305" s="46">
        <v>147600</v>
      </c>
      <c r="F3305" s="17" t="s">
        <v>811</v>
      </c>
      <c r="G3305" s="9">
        <v>45271</v>
      </c>
    </row>
    <row r="3306" spans="1:7">
      <c r="A3306" s="45">
        <v>45260</v>
      </c>
      <c r="B3306" s="14" t="s">
        <v>432</v>
      </c>
      <c r="C3306" s="46">
        <v>2659800</v>
      </c>
      <c r="D3306" s="46">
        <v>2418000</v>
      </c>
      <c r="E3306" s="46">
        <v>241800</v>
      </c>
      <c r="F3306" s="17" t="s">
        <v>968</v>
      </c>
      <c r="G3306" s="9">
        <v>45271</v>
      </c>
    </row>
    <row r="3307" spans="1:7">
      <c r="A3307" s="45">
        <v>45260</v>
      </c>
      <c r="B3307" s="14" t="s">
        <v>432</v>
      </c>
      <c r="C3307" s="46">
        <v>971300</v>
      </c>
      <c r="D3307" s="46">
        <v>883000</v>
      </c>
      <c r="E3307" s="46">
        <v>88300</v>
      </c>
      <c r="F3307" s="17" t="s">
        <v>969</v>
      </c>
      <c r="G3307" s="9">
        <v>45273</v>
      </c>
    </row>
    <row r="3308" spans="1:7">
      <c r="A3308" s="45">
        <v>45260</v>
      </c>
      <c r="B3308" s="14" t="s">
        <v>970</v>
      </c>
      <c r="C3308" s="46">
        <v>528000</v>
      </c>
      <c r="D3308" s="46">
        <v>480000</v>
      </c>
      <c r="E3308" s="46">
        <v>48000</v>
      </c>
      <c r="F3308" s="17" t="s">
        <v>971</v>
      </c>
      <c r="G3308" s="9">
        <v>45268</v>
      </c>
    </row>
    <row r="3309" spans="1:7">
      <c r="A3309" s="45">
        <v>45260</v>
      </c>
      <c r="B3309" s="14" t="s">
        <v>805</v>
      </c>
      <c r="C3309" s="46">
        <v>11137500</v>
      </c>
      <c r="D3309" s="46">
        <v>10125000</v>
      </c>
      <c r="E3309" s="46">
        <v>1012500</v>
      </c>
      <c r="F3309" s="17" t="s">
        <v>727</v>
      </c>
      <c r="G3309" s="9">
        <v>45275</v>
      </c>
    </row>
    <row r="3310" spans="1:7">
      <c r="A3310" s="45">
        <v>45260</v>
      </c>
      <c r="B3310" s="14" t="s">
        <v>436</v>
      </c>
      <c r="C3310" s="46">
        <v>180400</v>
      </c>
      <c r="D3310" s="46">
        <v>164000</v>
      </c>
      <c r="E3310" s="46">
        <v>16400</v>
      </c>
      <c r="F3310" s="17" t="s">
        <v>972</v>
      </c>
      <c r="G3310" s="9">
        <v>45271</v>
      </c>
    </row>
    <row r="3311" spans="1:7">
      <c r="A3311" s="45">
        <v>45260</v>
      </c>
      <c r="B3311" s="14" t="s">
        <v>671</v>
      </c>
      <c r="C3311" s="46">
        <v>90200</v>
      </c>
      <c r="D3311" s="46">
        <v>82000</v>
      </c>
      <c r="E3311" s="46">
        <v>8200</v>
      </c>
      <c r="F3311" s="17" t="s">
        <v>241</v>
      </c>
      <c r="G3311" s="9">
        <v>45268</v>
      </c>
    </row>
    <row r="3312" spans="1:7">
      <c r="A3312" s="45">
        <v>45260</v>
      </c>
      <c r="B3312" s="14" t="s">
        <v>155</v>
      </c>
      <c r="C3312" s="46">
        <v>4735500</v>
      </c>
      <c r="D3312" s="46">
        <v>4305000</v>
      </c>
      <c r="E3312" s="46">
        <v>430500</v>
      </c>
      <c r="F3312" s="17" t="s">
        <v>13</v>
      </c>
      <c r="G3312" s="9">
        <v>45303</v>
      </c>
    </row>
    <row r="3313" spans="1:19">
      <c r="A3313" s="45">
        <v>45260</v>
      </c>
      <c r="B3313" s="14" t="s">
        <v>82</v>
      </c>
      <c r="C3313" s="46">
        <v>1815000</v>
      </c>
      <c r="D3313" s="46">
        <v>1650000</v>
      </c>
      <c r="E3313" s="46">
        <v>165000</v>
      </c>
      <c r="F3313" s="17" t="s">
        <v>13</v>
      </c>
      <c r="G3313" s="9">
        <v>45275</v>
      </c>
      <c r="I3313" s="301" t="s">
        <v>935</v>
      </c>
      <c r="J3313" s="302"/>
      <c r="K3313" s="303"/>
    </row>
    <row r="3314" spans="1:19">
      <c r="A3314" s="45">
        <v>45260</v>
      </c>
      <c r="B3314" s="14" t="s">
        <v>943</v>
      </c>
      <c r="C3314" s="46">
        <v>110000</v>
      </c>
      <c r="D3314" s="46">
        <v>100000</v>
      </c>
      <c r="E3314" s="46">
        <v>10000</v>
      </c>
      <c r="F3314" s="17" t="s">
        <v>13</v>
      </c>
      <c r="G3314" s="9">
        <v>45271</v>
      </c>
      <c r="I3314" s="18" t="s">
        <v>46</v>
      </c>
      <c r="J3314" s="165" t="s">
        <v>47</v>
      </c>
      <c r="K3314" s="165" t="s">
        <v>48</v>
      </c>
    </row>
    <row r="3315" spans="1:19">
      <c r="A3315" s="119">
        <v>45260</v>
      </c>
      <c r="B3315" s="42" t="s">
        <v>79</v>
      </c>
      <c r="C3315" s="118">
        <v>715000</v>
      </c>
      <c r="D3315" s="118">
        <v>650000</v>
      </c>
      <c r="E3315" s="118">
        <v>65000</v>
      </c>
      <c r="F3315" s="51" t="s">
        <v>13</v>
      </c>
      <c r="G3315" s="10">
        <v>45265</v>
      </c>
      <c r="H3315" s="51"/>
      <c r="I3315" s="18">
        <f>SUM(C3266:C3315)</f>
        <v>342070582</v>
      </c>
      <c r="J3315" s="18">
        <f>SUM(D3266:D3315)</f>
        <v>313027650</v>
      </c>
      <c r="K3315" s="18">
        <f>SUM(E3266:E3315)</f>
        <v>29042932</v>
      </c>
      <c r="L3315" s="42"/>
      <c r="M3315" s="42"/>
      <c r="N3315" s="42"/>
      <c r="O3315" s="42"/>
      <c r="P3315" s="42"/>
      <c r="Q3315" s="42"/>
      <c r="R3315" s="42"/>
      <c r="S3315" s="42"/>
    </row>
    <row r="3316" spans="1:19">
      <c r="A3316" s="45">
        <v>45261</v>
      </c>
      <c r="B3316" s="14" t="s">
        <v>958</v>
      </c>
      <c r="C3316" s="46">
        <v>8557670</v>
      </c>
      <c r="D3316" s="46">
        <v>8557670</v>
      </c>
      <c r="E3316" s="46">
        <v>0</v>
      </c>
      <c r="F3316" s="17" t="s">
        <v>967</v>
      </c>
      <c r="G3316" s="9">
        <v>45268</v>
      </c>
    </row>
    <row r="3317" spans="1:19">
      <c r="A3317" s="45">
        <v>45270</v>
      </c>
      <c r="B3317" s="14" t="s">
        <v>2</v>
      </c>
      <c r="C3317" s="46">
        <v>17996000</v>
      </c>
      <c r="D3317" s="46">
        <v>16360000</v>
      </c>
      <c r="E3317" s="46">
        <v>1636000</v>
      </c>
      <c r="F3317" s="17" t="s">
        <v>456</v>
      </c>
      <c r="G3317" s="9">
        <v>45280</v>
      </c>
    </row>
    <row r="3318" spans="1:19">
      <c r="A3318" s="45">
        <v>45275</v>
      </c>
      <c r="B3318" s="14" t="s">
        <v>2</v>
      </c>
      <c r="C3318" s="46">
        <v>21967000</v>
      </c>
      <c r="D3318" s="46">
        <v>19970000</v>
      </c>
      <c r="E3318" s="46">
        <v>1997000</v>
      </c>
      <c r="F3318" s="17" t="s">
        <v>611</v>
      </c>
      <c r="G3318" s="9">
        <v>45289</v>
      </c>
    </row>
    <row r="3319" spans="1:19">
      <c r="A3319" s="45">
        <v>45275</v>
      </c>
      <c r="B3319" s="14" t="s">
        <v>2</v>
      </c>
      <c r="C3319" s="46">
        <v>5544000</v>
      </c>
      <c r="D3319" s="46">
        <v>5040000</v>
      </c>
      <c r="E3319" s="46">
        <v>504000</v>
      </c>
      <c r="F3319" s="17" t="s">
        <v>646</v>
      </c>
      <c r="G3319" s="9">
        <v>45289</v>
      </c>
    </row>
    <row r="3320" spans="1:19">
      <c r="A3320" s="45">
        <v>45275</v>
      </c>
      <c r="B3320" s="14" t="s">
        <v>2</v>
      </c>
      <c r="C3320" s="46">
        <v>4428600</v>
      </c>
      <c r="D3320" s="46">
        <v>4026000</v>
      </c>
      <c r="E3320" s="46">
        <v>402600</v>
      </c>
      <c r="F3320" s="17" t="s">
        <v>315</v>
      </c>
      <c r="G3320" s="9">
        <v>45280</v>
      </c>
    </row>
    <row r="3321" spans="1:19">
      <c r="A3321" s="45">
        <v>45275</v>
      </c>
      <c r="B3321" s="14" t="s">
        <v>2</v>
      </c>
      <c r="C3321" s="46">
        <v>11042900</v>
      </c>
      <c r="D3321" s="46">
        <v>10039000</v>
      </c>
      <c r="E3321" s="46">
        <v>1003900</v>
      </c>
      <c r="F3321" s="17" t="s">
        <v>734</v>
      </c>
      <c r="G3321" s="9">
        <v>45289</v>
      </c>
    </row>
    <row r="3322" spans="1:19">
      <c r="A3322" s="45">
        <v>45275</v>
      </c>
      <c r="B3322" s="14" t="s">
        <v>2</v>
      </c>
      <c r="C3322" s="46">
        <v>1056000</v>
      </c>
      <c r="D3322" s="46">
        <v>960000</v>
      </c>
      <c r="E3322" s="46">
        <v>96000</v>
      </c>
      <c r="F3322" s="17" t="s">
        <v>306</v>
      </c>
      <c r="G3322" s="9">
        <v>45289</v>
      </c>
    </row>
    <row r="3323" spans="1:19">
      <c r="A3323" s="45">
        <v>45275</v>
      </c>
      <c r="B3323" s="14" t="s">
        <v>2</v>
      </c>
      <c r="C3323" s="46">
        <v>1320000</v>
      </c>
      <c r="D3323" s="46">
        <v>1200000</v>
      </c>
      <c r="E3323" s="46">
        <v>120000</v>
      </c>
      <c r="F3323" s="17" t="s">
        <v>714</v>
      </c>
      <c r="G3323" s="9">
        <v>45280</v>
      </c>
    </row>
    <row r="3324" spans="1:19">
      <c r="A3324" s="45">
        <v>45275</v>
      </c>
      <c r="B3324" s="14" t="s">
        <v>2</v>
      </c>
      <c r="C3324" s="46">
        <v>660000</v>
      </c>
      <c r="D3324" s="46">
        <v>600000</v>
      </c>
      <c r="E3324" s="46">
        <v>60000</v>
      </c>
      <c r="F3324" s="17" t="s">
        <v>756</v>
      </c>
      <c r="G3324" s="9">
        <v>45289</v>
      </c>
    </row>
    <row r="3325" spans="1:19">
      <c r="A3325" s="45">
        <v>45275</v>
      </c>
      <c r="B3325" s="14" t="s">
        <v>2</v>
      </c>
      <c r="C3325" s="46">
        <v>15573800</v>
      </c>
      <c r="D3325" s="46">
        <v>14158000</v>
      </c>
      <c r="E3325" s="46">
        <v>1415800</v>
      </c>
      <c r="F3325" s="17" t="s">
        <v>424</v>
      </c>
      <c r="G3325" s="9">
        <v>45289</v>
      </c>
    </row>
    <row r="3326" spans="1:19">
      <c r="A3326" s="45">
        <v>45280</v>
      </c>
      <c r="B3326" s="14" t="s">
        <v>2</v>
      </c>
      <c r="C3326" s="46">
        <v>17911850</v>
      </c>
      <c r="D3326" s="46">
        <v>16283500</v>
      </c>
      <c r="E3326" s="46">
        <v>1628350</v>
      </c>
      <c r="F3326" s="17" t="s">
        <v>456</v>
      </c>
      <c r="G3326" s="9">
        <v>45289</v>
      </c>
    </row>
    <row r="3327" spans="1:19">
      <c r="A3327" s="45">
        <v>45281</v>
      </c>
      <c r="B3327" s="14" t="s">
        <v>902</v>
      </c>
      <c r="C3327" s="46">
        <v>4663920</v>
      </c>
      <c r="D3327" s="46">
        <v>4663920</v>
      </c>
      <c r="E3327" s="46">
        <v>0</v>
      </c>
      <c r="F3327" s="17" t="s">
        <v>974</v>
      </c>
      <c r="G3327" s="9">
        <v>45289</v>
      </c>
    </row>
    <row r="3328" spans="1:19">
      <c r="A3328" s="45">
        <v>45282</v>
      </c>
      <c r="B3328" s="14" t="s">
        <v>921</v>
      </c>
      <c r="C3328" s="46">
        <v>9013980</v>
      </c>
      <c r="D3328" s="46">
        <v>9013980</v>
      </c>
      <c r="E3328" s="46">
        <v>0</v>
      </c>
      <c r="F3328" s="17" t="s">
        <v>975</v>
      </c>
      <c r="G3328" s="9">
        <v>45289</v>
      </c>
    </row>
    <row r="3329" spans="1:17">
      <c r="A3329" s="45">
        <v>45286</v>
      </c>
      <c r="B3329" s="14" t="s">
        <v>719</v>
      </c>
      <c r="C3329" s="46">
        <v>1082400</v>
      </c>
      <c r="D3329" s="46">
        <v>984000</v>
      </c>
      <c r="E3329" s="46">
        <v>98400</v>
      </c>
      <c r="F3329" s="17" t="s">
        <v>710</v>
      </c>
      <c r="G3329" s="9">
        <v>45310</v>
      </c>
    </row>
    <row r="3330" spans="1:17">
      <c r="A3330" s="45">
        <v>45286</v>
      </c>
      <c r="B3330" s="14" t="s">
        <v>644</v>
      </c>
      <c r="C3330" s="46">
        <v>6314000</v>
      </c>
      <c r="D3330" s="46">
        <v>5740000</v>
      </c>
      <c r="E3330" s="46">
        <v>574000</v>
      </c>
      <c r="F3330" s="17" t="s">
        <v>976</v>
      </c>
      <c r="G3330" s="9">
        <v>45286</v>
      </c>
    </row>
    <row r="3331" spans="1:17">
      <c r="A3331" s="45">
        <v>45270</v>
      </c>
      <c r="B3331" s="175" t="s">
        <v>989</v>
      </c>
      <c r="C3331" s="46">
        <v>75264530</v>
      </c>
      <c r="D3331" s="46">
        <v>68422300</v>
      </c>
      <c r="E3331" s="46">
        <v>6842230</v>
      </c>
      <c r="F3331" s="17" t="s">
        <v>13</v>
      </c>
      <c r="G3331" s="9">
        <v>45301</v>
      </c>
      <c r="K3331" s="175"/>
      <c r="L3331" s="175"/>
      <c r="M3331" s="175"/>
      <c r="N3331" s="175"/>
      <c r="O3331" s="175"/>
      <c r="P3331" s="175"/>
      <c r="Q3331" s="175"/>
    </row>
    <row r="3332" spans="1:17">
      <c r="A3332" s="45">
        <v>45280</v>
      </c>
      <c r="B3332" s="175" t="s">
        <v>989</v>
      </c>
      <c r="C3332" s="46">
        <v>78603800</v>
      </c>
      <c r="D3332" s="46">
        <v>71458000</v>
      </c>
      <c r="E3332" s="46">
        <v>7145800</v>
      </c>
      <c r="F3332" s="17" t="s">
        <v>13</v>
      </c>
      <c r="G3332" s="9">
        <v>45307</v>
      </c>
      <c r="K3332" s="175"/>
      <c r="L3332" s="175"/>
      <c r="M3332" s="175"/>
      <c r="N3332" s="175"/>
      <c r="O3332" s="175"/>
      <c r="P3332" s="175"/>
      <c r="Q3332" s="175"/>
    </row>
    <row r="3333" spans="1:17">
      <c r="A3333" s="45">
        <v>45291</v>
      </c>
      <c r="B3333" s="175" t="s">
        <v>989</v>
      </c>
      <c r="C3333" s="46">
        <v>77620400</v>
      </c>
      <c r="D3333" s="46">
        <v>70564000</v>
      </c>
      <c r="E3333" s="46">
        <v>7056400</v>
      </c>
      <c r="F3333" s="17" t="s">
        <v>13</v>
      </c>
      <c r="G3333" s="9">
        <v>45330</v>
      </c>
      <c r="H3333" s="17" t="s">
        <v>1003</v>
      </c>
      <c r="K3333" s="175"/>
      <c r="L3333" s="175"/>
      <c r="M3333" s="175"/>
      <c r="N3333" s="175"/>
      <c r="O3333" s="175"/>
      <c r="P3333" s="175"/>
      <c r="Q3333" s="175"/>
    </row>
    <row r="3334" spans="1:17">
      <c r="A3334" s="45" t="s">
        <v>979</v>
      </c>
      <c r="B3334" s="14" t="s">
        <v>769</v>
      </c>
      <c r="C3334" s="46">
        <v>11122870</v>
      </c>
      <c r="D3334" s="46">
        <v>10111700</v>
      </c>
      <c r="E3334" s="46">
        <v>1011170</v>
      </c>
      <c r="F3334" s="17" t="s">
        <v>794</v>
      </c>
      <c r="G3334" s="9">
        <v>45301</v>
      </c>
    </row>
    <row r="3335" spans="1:17">
      <c r="A3335" s="45" t="s">
        <v>979</v>
      </c>
      <c r="B3335" s="14" t="s">
        <v>769</v>
      </c>
      <c r="C3335" s="46">
        <v>3289000</v>
      </c>
      <c r="D3335" s="46">
        <v>2990000</v>
      </c>
      <c r="E3335" s="46">
        <v>299000</v>
      </c>
      <c r="F3335" s="17" t="s">
        <v>980</v>
      </c>
      <c r="G3335" s="9">
        <v>45301</v>
      </c>
    </row>
    <row r="3336" spans="1:17">
      <c r="A3336" s="45" t="s">
        <v>979</v>
      </c>
      <c r="B3336" s="14" t="s">
        <v>769</v>
      </c>
      <c r="C3336" s="46">
        <v>49314100</v>
      </c>
      <c r="D3336" s="46">
        <v>44831000</v>
      </c>
      <c r="E3336" s="46">
        <v>4483100</v>
      </c>
      <c r="F3336" s="17" t="s">
        <v>387</v>
      </c>
      <c r="G3336" s="9">
        <v>45301</v>
      </c>
    </row>
    <row r="3337" spans="1:17">
      <c r="A3337" s="45" t="s">
        <v>979</v>
      </c>
      <c r="B3337" s="14" t="s">
        <v>769</v>
      </c>
      <c r="C3337" s="46">
        <v>2666400</v>
      </c>
      <c r="D3337" s="46">
        <v>2424000</v>
      </c>
      <c r="E3337" s="46">
        <v>242400</v>
      </c>
      <c r="F3337" s="17" t="s">
        <v>386</v>
      </c>
      <c r="G3337" s="9">
        <v>45301</v>
      </c>
    </row>
    <row r="3338" spans="1:17">
      <c r="A3338" s="45" t="s">
        <v>979</v>
      </c>
      <c r="B3338" s="174" t="s">
        <v>769</v>
      </c>
      <c r="C3338" s="46">
        <v>22277200</v>
      </c>
      <c r="D3338" s="46">
        <v>20252000</v>
      </c>
      <c r="E3338" s="46">
        <v>2025200</v>
      </c>
      <c r="F3338" s="17" t="s">
        <v>705</v>
      </c>
      <c r="G3338" s="9">
        <v>45301</v>
      </c>
      <c r="K3338" s="174"/>
      <c r="L3338" s="174"/>
      <c r="M3338" s="174"/>
      <c r="N3338" s="174"/>
      <c r="O3338" s="174"/>
      <c r="P3338" s="174"/>
      <c r="Q3338" s="174"/>
    </row>
    <row r="3339" spans="1:17">
      <c r="A3339" s="45" t="s">
        <v>979</v>
      </c>
      <c r="B3339" s="174" t="s">
        <v>769</v>
      </c>
      <c r="C3339" s="46">
        <v>13956800</v>
      </c>
      <c r="D3339" s="46">
        <v>12688000</v>
      </c>
      <c r="E3339" s="46">
        <v>1268800</v>
      </c>
      <c r="F3339" s="17" t="s">
        <v>305</v>
      </c>
      <c r="G3339" s="9">
        <v>45301</v>
      </c>
      <c r="K3339" s="174"/>
      <c r="L3339" s="174"/>
      <c r="M3339" s="174"/>
      <c r="N3339" s="174"/>
      <c r="O3339" s="174"/>
      <c r="P3339" s="174"/>
      <c r="Q3339" s="174"/>
    </row>
    <row r="3340" spans="1:17">
      <c r="A3340" s="45" t="s">
        <v>979</v>
      </c>
      <c r="B3340" s="14" t="s">
        <v>15</v>
      </c>
      <c r="C3340" s="46">
        <v>5368000</v>
      </c>
      <c r="D3340" s="46">
        <v>4880000</v>
      </c>
      <c r="E3340" s="46">
        <v>488000</v>
      </c>
      <c r="F3340" s="17" t="s">
        <v>459</v>
      </c>
      <c r="G3340" s="9">
        <v>45306</v>
      </c>
    </row>
    <row r="3341" spans="1:17">
      <c r="A3341" s="45" t="s">
        <v>979</v>
      </c>
      <c r="B3341" s="14" t="s">
        <v>752</v>
      </c>
      <c r="C3341" s="46">
        <v>5280000</v>
      </c>
      <c r="D3341" s="46">
        <v>4800000</v>
      </c>
      <c r="E3341" s="46">
        <v>480000</v>
      </c>
      <c r="F3341" s="17" t="s">
        <v>753</v>
      </c>
      <c r="G3341" s="9">
        <v>45303</v>
      </c>
    </row>
    <row r="3342" spans="1:17">
      <c r="A3342" s="45" t="s">
        <v>979</v>
      </c>
      <c r="B3342" s="14" t="s">
        <v>2</v>
      </c>
      <c r="C3342" s="46">
        <v>26218500</v>
      </c>
      <c r="D3342" s="46">
        <v>23835000</v>
      </c>
      <c r="E3342" s="46">
        <v>2383500</v>
      </c>
      <c r="F3342" s="17" t="s">
        <v>611</v>
      </c>
      <c r="G3342" s="9">
        <v>45301</v>
      </c>
    </row>
    <row r="3343" spans="1:17">
      <c r="A3343" s="45" t="s">
        <v>979</v>
      </c>
      <c r="B3343" s="14" t="s">
        <v>2</v>
      </c>
      <c r="C3343" s="46">
        <v>7766000</v>
      </c>
      <c r="D3343" s="46">
        <v>7060000</v>
      </c>
      <c r="E3343" s="46">
        <v>706000</v>
      </c>
      <c r="F3343" s="17" t="s">
        <v>646</v>
      </c>
      <c r="G3343" s="9">
        <v>45301</v>
      </c>
    </row>
    <row r="3344" spans="1:17">
      <c r="A3344" s="45" t="s">
        <v>979</v>
      </c>
      <c r="B3344" s="14" t="s">
        <v>2</v>
      </c>
      <c r="C3344" s="46">
        <v>8443600</v>
      </c>
      <c r="D3344" s="46">
        <v>7676000</v>
      </c>
      <c r="E3344" s="46">
        <v>767600</v>
      </c>
      <c r="F3344" s="17" t="s">
        <v>315</v>
      </c>
      <c r="G3344" s="9">
        <v>45301</v>
      </c>
    </row>
    <row r="3345" spans="1:7">
      <c r="A3345" s="45" t="s">
        <v>979</v>
      </c>
      <c r="B3345" s="14" t="s">
        <v>2</v>
      </c>
      <c r="C3345" s="46">
        <v>12287000</v>
      </c>
      <c r="D3345" s="46">
        <v>11170000</v>
      </c>
      <c r="E3345" s="46">
        <v>1117000</v>
      </c>
      <c r="F3345" s="17" t="s">
        <v>734</v>
      </c>
      <c r="G3345" s="9">
        <v>45301</v>
      </c>
    </row>
    <row r="3346" spans="1:7">
      <c r="A3346" s="45" t="s">
        <v>979</v>
      </c>
      <c r="B3346" s="14" t="s">
        <v>2</v>
      </c>
      <c r="C3346" s="46">
        <v>924000</v>
      </c>
      <c r="D3346" s="46">
        <v>840000</v>
      </c>
      <c r="E3346" s="46">
        <v>84000</v>
      </c>
      <c r="F3346" s="17" t="s">
        <v>306</v>
      </c>
      <c r="G3346" s="9">
        <v>45301</v>
      </c>
    </row>
    <row r="3347" spans="1:7">
      <c r="A3347" s="45" t="s">
        <v>979</v>
      </c>
      <c r="B3347" s="14" t="s">
        <v>2</v>
      </c>
      <c r="C3347" s="46">
        <v>1584000</v>
      </c>
      <c r="D3347" s="46">
        <v>1440000</v>
      </c>
      <c r="E3347" s="46">
        <v>144000</v>
      </c>
      <c r="F3347" s="17" t="s">
        <v>714</v>
      </c>
      <c r="G3347" s="9">
        <v>45301</v>
      </c>
    </row>
    <row r="3348" spans="1:7">
      <c r="A3348" s="45" t="s">
        <v>979</v>
      </c>
      <c r="B3348" s="14" t="s">
        <v>2</v>
      </c>
      <c r="C3348" s="46">
        <v>792000</v>
      </c>
      <c r="D3348" s="46">
        <v>720000</v>
      </c>
      <c r="E3348" s="46">
        <v>72000</v>
      </c>
      <c r="F3348" s="17" t="s">
        <v>756</v>
      </c>
      <c r="G3348" s="9">
        <v>45301</v>
      </c>
    </row>
    <row r="3349" spans="1:7">
      <c r="A3349" s="45" t="s">
        <v>979</v>
      </c>
      <c r="B3349" s="14" t="s">
        <v>2</v>
      </c>
      <c r="C3349" s="46">
        <v>21567700</v>
      </c>
      <c r="D3349" s="46">
        <v>19607000</v>
      </c>
      <c r="E3349" s="46">
        <v>1960700</v>
      </c>
      <c r="F3349" s="17" t="s">
        <v>424</v>
      </c>
      <c r="G3349" s="9">
        <v>45301</v>
      </c>
    </row>
    <row r="3350" spans="1:7">
      <c r="A3350" s="45" t="s">
        <v>979</v>
      </c>
      <c r="B3350" s="14" t="s">
        <v>2</v>
      </c>
      <c r="C3350" s="46">
        <v>27563976</v>
      </c>
      <c r="D3350" s="46">
        <v>25058160</v>
      </c>
      <c r="E3350" s="46">
        <v>2505816</v>
      </c>
      <c r="F3350" s="17" t="s">
        <v>456</v>
      </c>
      <c r="G3350" s="9">
        <v>45301</v>
      </c>
    </row>
    <row r="3351" spans="1:7">
      <c r="A3351" s="45" t="s">
        <v>979</v>
      </c>
      <c r="B3351" s="14" t="s">
        <v>2</v>
      </c>
      <c r="C3351" s="46">
        <v>15301000</v>
      </c>
      <c r="D3351" s="46">
        <v>13910000</v>
      </c>
      <c r="E3351" s="46">
        <v>1391000</v>
      </c>
      <c r="F3351" s="17" t="s">
        <v>981</v>
      </c>
      <c r="G3351" s="9">
        <v>45301</v>
      </c>
    </row>
    <row r="3352" spans="1:7">
      <c r="A3352" s="45" t="s">
        <v>979</v>
      </c>
      <c r="B3352" s="14" t="s">
        <v>2</v>
      </c>
      <c r="C3352" s="46">
        <v>1320000</v>
      </c>
      <c r="D3352" s="46">
        <v>1200000</v>
      </c>
      <c r="E3352" s="46">
        <v>120000</v>
      </c>
      <c r="F3352" s="17" t="s">
        <v>982</v>
      </c>
      <c r="G3352" s="9">
        <v>45301</v>
      </c>
    </row>
    <row r="3353" spans="1:7">
      <c r="A3353" s="45" t="s">
        <v>979</v>
      </c>
      <c r="B3353" s="14" t="s">
        <v>2</v>
      </c>
      <c r="C3353" s="46">
        <v>211200</v>
      </c>
      <c r="D3353" s="46">
        <v>192000</v>
      </c>
      <c r="E3353" s="46">
        <v>19200</v>
      </c>
      <c r="F3353" s="17" t="s">
        <v>938</v>
      </c>
      <c r="G3353" s="9">
        <v>45301</v>
      </c>
    </row>
    <row r="3354" spans="1:7">
      <c r="A3354" s="45" t="s">
        <v>979</v>
      </c>
      <c r="B3354" s="14" t="s">
        <v>2</v>
      </c>
      <c r="C3354" s="46">
        <v>1466300</v>
      </c>
      <c r="D3354" s="46">
        <v>1333000</v>
      </c>
      <c r="E3354" s="46">
        <v>133300</v>
      </c>
      <c r="F3354" s="17" t="s">
        <v>859</v>
      </c>
      <c r="G3354" s="9">
        <v>45301</v>
      </c>
    </row>
    <row r="3355" spans="1:7">
      <c r="A3355" s="45" t="s">
        <v>979</v>
      </c>
      <c r="B3355" s="14" t="s">
        <v>2</v>
      </c>
      <c r="C3355" s="46">
        <v>4083200</v>
      </c>
      <c r="D3355" s="46">
        <v>3712000</v>
      </c>
      <c r="E3355" s="46">
        <v>371200</v>
      </c>
      <c r="F3355" s="17" t="s">
        <v>858</v>
      </c>
      <c r="G3355" s="9">
        <v>45301</v>
      </c>
    </row>
    <row r="3356" spans="1:7">
      <c r="A3356" s="45" t="s">
        <v>979</v>
      </c>
      <c r="B3356" s="14" t="s">
        <v>730</v>
      </c>
      <c r="C3356" s="46">
        <v>5778300</v>
      </c>
      <c r="D3356" s="46">
        <v>5253000</v>
      </c>
      <c r="E3356" s="46">
        <v>525300</v>
      </c>
      <c r="F3356" s="17" t="s">
        <v>457</v>
      </c>
      <c r="G3356" s="9">
        <v>45301</v>
      </c>
    </row>
    <row r="3357" spans="1:7">
      <c r="A3357" s="45" t="s">
        <v>979</v>
      </c>
      <c r="B3357" s="14" t="s">
        <v>730</v>
      </c>
      <c r="C3357" s="46">
        <v>1815000</v>
      </c>
      <c r="D3357" s="46">
        <v>1650000</v>
      </c>
      <c r="E3357" s="46">
        <v>165000</v>
      </c>
      <c r="F3357" s="17" t="s">
        <v>612</v>
      </c>
      <c r="G3357" s="9">
        <v>45301</v>
      </c>
    </row>
    <row r="3358" spans="1:7">
      <c r="A3358" s="45" t="s">
        <v>979</v>
      </c>
      <c r="B3358" s="14" t="s">
        <v>432</v>
      </c>
      <c r="C3358" s="46">
        <v>4492400</v>
      </c>
      <c r="D3358" s="46">
        <v>4084000</v>
      </c>
      <c r="E3358" s="46">
        <v>408400</v>
      </c>
      <c r="F3358" s="17" t="s">
        <v>757</v>
      </c>
      <c r="G3358" s="9">
        <v>45310</v>
      </c>
    </row>
    <row r="3359" spans="1:7">
      <c r="A3359" s="45" t="s">
        <v>979</v>
      </c>
      <c r="B3359" s="14" t="s">
        <v>432</v>
      </c>
      <c r="C3359" s="46">
        <v>1584000</v>
      </c>
      <c r="D3359" s="46">
        <v>1440000</v>
      </c>
      <c r="E3359" s="46">
        <v>144000</v>
      </c>
      <c r="F3359" s="17" t="s">
        <v>255</v>
      </c>
      <c r="G3359" s="9">
        <v>45310</v>
      </c>
    </row>
    <row r="3360" spans="1:7">
      <c r="A3360" s="45" t="s">
        <v>979</v>
      </c>
      <c r="B3360" s="14" t="s">
        <v>432</v>
      </c>
      <c r="C3360" s="46">
        <v>5066600</v>
      </c>
      <c r="D3360" s="46">
        <v>4606000</v>
      </c>
      <c r="E3360" s="46">
        <v>460600</v>
      </c>
      <c r="F3360" s="17" t="s">
        <v>165</v>
      </c>
      <c r="G3360" s="9">
        <v>45310</v>
      </c>
    </row>
    <row r="3361" spans="1:19">
      <c r="A3361" s="45" t="s">
        <v>979</v>
      </c>
      <c r="B3361" s="14" t="s">
        <v>432</v>
      </c>
      <c r="C3361" s="46">
        <v>2380400</v>
      </c>
      <c r="D3361" s="46">
        <v>2164000</v>
      </c>
      <c r="E3361" s="46">
        <v>216400</v>
      </c>
      <c r="F3361" s="17" t="s">
        <v>811</v>
      </c>
      <c r="G3361" s="9">
        <v>45310</v>
      </c>
    </row>
    <row r="3362" spans="1:19">
      <c r="A3362" s="45" t="s">
        <v>979</v>
      </c>
      <c r="B3362" s="174" t="s">
        <v>432</v>
      </c>
      <c r="C3362" s="46">
        <v>2640000</v>
      </c>
      <c r="D3362" s="46">
        <v>2400000</v>
      </c>
      <c r="E3362" s="46">
        <v>240000</v>
      </c>
      <c r="F3362" s="17" t="s">
        <v>320</v>
      </c>
      <c r="G3362" s="9">
        <v>45310</v>
      </c>
      <c r="K3362" s="174"/>
      <c r="L3362" s="174"/>
      <c r="M3362" s="174"/>
      <c r="N3362" s="174"/>
      <c r="O3362" s="174"/>
      <c r="P3362" s="174"/>
      <c r="Q3362" s="174"/>
    </row>
    <row r="3363" spans="1:19">
      <c r="A3363" s="45" t="s">
        <v>979</v>
      </c>
      <c r="B3363" s="174" t="s">
        <v>432</v>
      </c>
      <c r="C3363" s="46">
        <v>132000</v>
      </c>
      <c r="D3363" s="46">
        <v>120000</v>
      </c>
      <c r="E3363" s="46">
        <v>12000</v>
      </c>
      <c r="F3363" s="17" t="s">
        <v>962</v>
      </c>
      <c r="G3363" s="9">
        <v>45310</v>
      </c>
      <c r="K3363" s="174"/>
      <c r="L3363" s="174"/>
      <c r="M3363" s="174"/>
      <c r="N3363" s="174"/>
      <c r="O3363" s="174"/>
      <c r="P3363" s="174"/>
      <c r="Q3363" s="174"/>
    </row>
    <row r="3364" spans="1:19">
      <c r="A3364" s="45" t="s">
        <v>979</v>
      </c>
      <c r="B3364" s="174" t="s">
        <v>432</v>
      </c>
      <c r="C3364" s="46">
        <v>4610100</v>
      </c>
      <c r="D3364" s="46">
        <v>4191000</v>
      </c>
      <c r="E3364" s="46">
        <v>419100</v>
      </c>
      <c r="F3364" s="17" t="s">
        <v>983</v>
      </c>
      <c r="G3364" s="9">
        <v>45308</v>
      </c>
      <c r="K3364" s="174"/>
      <c r="L3364" s="174"/>
      <c r="M3364" s="174"/>
      <c r="N3364" s="174"/>
      <c r="O3364" s="174"/>
      <c r="P3364" s="174"/>
      <c r="Q3364" s="174"/>
    </row>
    <row r="3365" spans="1:19">
      <c r="A3365" s="45" t="s">
        <v>979</v>
      </c>
      <c r="B3365" s="174" t="s">
        <v>432</v>
      </c>
      <c r="C3365" s="46">
        <v>1302400</v>
      </c>
      <c r="D3365" s="46">
        <v>1184000</v>
      </c>
      <c r="E3365" s="46">
        <v>118400</v>
      </c>
      <c r="F3365" s="17" t="s">
        <v>969</v>
      </c>
      <c r="G3365" s="9">
        <v>45303</v>
      </c>
      <c r="K3365" s="174"/>
      <c r="L3365" s="174"/>
      <c r="M3365" s="174"/>
      <c r="N3365" s="174"/>
      <c r="O3365" s="174"/>
      <c r="P3365" s="174"/>
      <c r="Q3365" s="174"/>
    </row>
    <row r="3366" spans="1:19">
      <c r="A3366" s="45" t="s">
        <v>979</v>
      </c>
      <c r="B3366" s="14" t="s">
        <v>432</v>
      </c>
      <c r="C3366" s="46">
        <v>937200</v>
      </c>
      <c r="D3366" s="46">
        <v>852000</v>
      </c>
      <c r="E3366" s="46">
        <v>85200</v>
      </c>
      <c r="F3366" s="17" t="s">
        <v>968</v>
      </c>
      <c r="G3366" s="9">
        <v>45310</v>
      </c>
    </row>
    <row r="3367" spans="1:19">
      <c r="A3367" s="45" t="s">
        <v>979</v>
      </c>
      <c r="B3367" s="14" t="s">
        <v>970</v>
      </c>
      <c r="C3367" s="46">
        <v>5263500</v>
      </c>
      <c r="D3367" s="46">
        <v>4785000</v>
      </c>
      <c r="E3367" s="46">
        <v>478500</v>
      </c>
      <c r="F3367" s="17" t="s">
        <v>971</v>
      </c>
      <c r="G3367" s="9">
        <v>45296</v>
      </c>
    </row>
    <row r="3368" spans="1:19">
      <c r="A3368" s="45" t="s">
        <v>979</v>
      </c>
      <c r="B3368" s="14" t="s">
        <v>805</v>
      </c>
      <c r="C3368" s="46">
        <v>11687500</v>
      </c>
      <c r="D3368" s="46">
        <v>10625000</v>
      </c>
      <c r="E3368" s="46">
        <v>1062500</v>
      </c>
      <c r="F3368" s="17" t="s">
        <v>727</v>
      </c>
      <c r="G3368" s="9">
        <v>45306</v>
      </c>
    </row>
    <row r="3369" spans="1:19">
      <c r="A3369" s="45" t="s">
        <v>979</v>
      </c>
      <c r="B3369" s="14" t="s">
        <v>984</v>
      </c>
      <c r="C3369" s="46">
        <v>404800</v>
      </c>
      <c r="D3369" s="46">
        <v>368000</v>
      </c>
      <c r="E3369" s="46">
        <v>36800</v>
      </c>
      <c r="F3369" s="17" t="s">
        <v>985</v>
      </c>
      <c r="G3369" s="9">
        <v>45301</v>
      </c>
    </row>
    <row r="3370" spans="1:19">
      <c r="A3370" s="45" t="s">
        <v>979</v>
      </c>
      <c r="B3370" s="14" t="s">
        <v>155</v>
      </c>
      <c r="C3370" s="46">
        <v>3762000</v>
      </c>
      <c r="D3370" s="46">
        <v>3420000</v>
      </c>
      <c r="E3370" s="46">
        <v>342000</v>
      </c>
      <c r="F3370" s="17" t="s">
        <v>13</v>
      </c>
      <c r="G3370" s="9">
        <v>45366</v>
      </c>
      <c r="H3370" s="17" t="s">
        <v>1009</v>
      </c>
    </row>
    <row r="3371" spans="1:19">
      <c r="A3371" s="45" t="s">
        <v>979</v>
      </c>
      <c r="B3371" s="14" t="s">
        <v>986</v>
      </c>
      <c r="C3371" s="46">
        <v>4488000</v>
      </c>
      <c r="D3371" s="46">
        <v>4080000</v>
      </c>
      <c r="E3371" s="46">
        <v>408000</v>
      </c>
      <c r="F3371" s="17" t="s">
        <v>13</v>
      </c>
      <c r="G3371" s="9">
        <v>45299</v>
      </c>
      <c r="I3371" s="301" t="s">
        <v>936</v>
      </c>
      <c r="J3371" s="302"/>
      <c r="K3371" s="303"/>
    </row>
    <row r="3372" spans="1:19">
      <c r="A3372" s="45" t="s">
        <v>979</v>
      </c>
      <c r="B3372" s="14" t="s">
        <v>82</v>
      </c>
      <c r="C3372" s="46">
        <v>924000</v>
      </c>
      <c r="D3372" s="46">
        <v>840000</v>
      </c>
      <c r="E3372" s="46">
        <v>84000</v>
      </c>
      <c r="F3372" s="17" t="s">
        <v>13</v>
      </c>
      <c r="G3372" s="9">
        <v>45306</v>
      </c>
      <c r="I3372" s="18" t="s">
        <v>46</v>
      </c>
      <c r="J3372" s="165" t="s">
        <v>47</v>
      </c>
      <c r="K3372" s="165" t="s">
        <v>48</v>
      </c>
    </row>
    <row r="3373" spans="1:19">
      <c r="A3373" s="45" t="s">
        <v>979</v>
      </c>
      <c r="B3373" s="174" t="s">
        <v>987</v>
      </c>
      <c r="C3373" s="46">
        <v>352000</v>
      </c>
      <c r="D3373" s="46">
        <v>320000</v>
      </c>
      <c r="E3373" s="46">
        <v>32000</v>
      </c>
      <c r="F3373" s="17" t="s">
        <v>13</v>
      </c>
      <c r="G3373" s="9">
        <v>45293</v>
      </c>
      <c r="I3373" s="18">
        <f>SUM(C3316:C3375)</f>
        <v>664169896</v>
      </c>
      <c r="J3373" s="18">
        <f>SUM(D3316:D3375)</f>
        <v>605812230</v>
      </c>
      <c r="K3373" s="18">
        <f>SUM(E3316:E3375)</f>
        <v>58357666</v>
      </c>
    </row>
    <row r="3374" spans="1:19">
      <c r="A3374" s="45" t="s">
        <v>979</v>
      </c>
      <c r="B3374" s="14" t="s">
        <v>749</v>
      </c>
      <c r="C3374" s="46">
        <v>3586000</v>
      </c>
      <c r="D3374" s="46">
        <v>3260000</v>
      </c>
      <c r="E3374" s="46">
        <v>326000</v>
      </c>
      <c r="F3374" s="17" t="s">
        <v>13</v>
      </c>
      <c r="G3374" s="9">
        <v>45299</v>
      </c>
    </row>
    <row r="3375" spans="1:19">
      <c r="A3375" s="119" t="s">
        <v>979</v>
      </c>
      <c r="B3375" s="42" t="s">
        <v>63</v>
      </c>
      <c r="C3375" s="118">
        <v>1540000</v>
      </c>
      <c r="D3375" s="118">
        <v>1400000</v>
      </c>
      <c r="E3375" s="118">
        <v>140000</v>
      </c>
      <c r="F3375" s="51" t="s">
        <v>13</v>
      </c>
      <c r="G3375" s="10">
        <v>45299</v>
      </c>
      <c r="H3375" s="51"/>
      <c r="I3375" s="121"/>
      <c r="J3375" s="122"/>
      <c r="K3375" s="42"/>
      <c r="L3375" s="42"/>
      <c r="M3375" s="42"/>
      <c r="N3375" s="42"/>
      <c r="O3375" s="42"/>
      <c r="P3375" s="42"/>
      <c r="Q3375" s="42"/>
      <c r="R3375" s="42"/>
      <c r="S3375" s="42"/>
    </row>
    <row r="3376" spans="1:19">
      <c r="A3376" s="45">
        <v>45292</v>
      </c>
      <c r="B3376" s="14" t="s">
        <v>958</v>
      </c>
      <c r="C3376" s="46">
        <v>8604640</v>
      </c>
      <c r="D3376" s="46">
        <v>8604640</v>
      </c>
      <c r="E3376" s="46">
        <v>0</v>
      </c>
      <c r="F3376" s="17" t="s">
        <v>977</v>
      </c>
      <c r="G3376" s="9">
        <v>45302</v>
      </c>
    </row>
    <row r="3377" spans="1:17">
      <c r="A3377" s="45">
        <v>45301</v>
      </c>
      <c r="B3377" s="14" t="s">
        <v>2</v>
      </c>
      <c r="C3377" s="46">
        <v>25025000</v>
      </c>
      <c r="D3377" s="46">
        <v>22750000</v>
      </c>
      <c r="E3377" s="46">
        <v>2275000</v>
      </c>
      <c r="F3377" s="17" t="s">
        <v>456</v>
      </c>
      <c r="G3377" s="9">
        <v>45321</v>
      </c>
    </row>
    <row r="3378" spans="1:17">
      <c r="A3378" s="45">
        <v>45306</v>
      </c>
      <c r="B3378" s="14" t="s">
        <v>2</v>
      </c>
      <c r="C3378" s="46">
        <v>6204000</v>
      </c>
      <c r="D3378" s="46">
        <v>5640000</v>
      </c>
      <c r="E3378" s="46">
        <v>564000</v>
      </c>
      <c r="F3378" s="17" t="s">
        <v>611</v>
      </c>
      <c r="G3378" s="9">
        <v>45321</v>
      </c>
    </row>
    <row r="3379" spans="1:17">
      <c r="A3379" s="45">
        <v>45306</v>
      </c>
      <c r="B3379" s="14" t="s">
        <v>2</v>
      </c>
      <c r="C3379" s="46">
        <v>99000</v>
      </c>
      <c r="D3379" s="46">
        <v>90000</v>
      </c>
      <c r="E3379" s="46">
        <v>9000</v>
      </c>
      <c r="F3379" s="17" t="s">
        <v>646</v>
      </c>
      <c r="G3379" s="9">
        <v>45313</v>
      </c>
    </row>
    <row r="3380" spans="1:17">
      <c r="A3380" s="45">
        <v>45306</v>
      </c>
      <c r="B3380" s="14" t="s">
        <v>2</v>
      </c>
      <c r="C3380" s="46">
        <v>4749800</v>
      </c>
      <c r="D3380" s="46">
        <v>4318000</v>
      </c>
      <c r="E3380" s="46">
        <v>431800</v>
      </c>
      <c r="F3380" s="17" t="s">
        <v>315</v>
      </c>
      <c r="G3380" s="9">
        <v>45321</v>
      </c>
    </row>
    <row r="3381" spans="1:17">
      <c r="A3381" s="45">
        <v>45306</v>
      </c>
      <c r="B3381" s="14" t="s">
        <v>2</v>
      </c>
      <c r="C3381" s="46">
        <v>7999200</v>
      </c>
      <c r="D3381" s="46">
        <v>7272000</v>
      </c>
      <c r="E3381" s="46">
        <v>727200</v>
      </c>
      <c r="F3381" s="17" t="s">
        <v>734</v>
      </c>
      <c r="G3381" s="9">
        <v>45313</v>
      </c>
    </row>
    <row r="3382" spans="1:17">
      <c r="A3382" s="45">
        <v>45306</v>
      </c>
      <c r="B3382" s="14" t="s">
        <v>2</v>
      </c>
      <c r="C3382" s="46">
        <v>1320000</v>
      </c>
      <c r="D3382" s="46">
        <v>1200000</v>
      </c>
      <c r="E3382" s="46">
        <v>120000</v>
      </c>
      <c r="F3382" s="17" t="s">
        <v>714</v>
      </c>
      <c r="G3382" s="9">
        <v>45313</v>
      </c>
    </row>
    <row r="3383" spans="1:17">
      <c r="A3383" s="45">
        <v>45306</v>
      </c>
      <c r="B3383" s="14" t="s">
        <v>2</v>
      </c>
      <c r="C3383" s="46">
        <v>528000</v>
      </c>
      <c r="D3383" s="46">
        <v>480000</v>
      </c>
      <c r="E3383" s="46">
        <v>48000</v>
      </c>
      <c r="F3383" s="17" t="s">
        <v>756</v>
      </c>
      <c r="G3383" s="9">
        <v>45313</v>
      </c>
    </row>
    <row r="3384" spans="1:17">
      <c r="A3384" s="45">
        <v>45306</v>
      </c>
      <c r="B3384" s="14" t="s">
        <v>2</v>
      </c>
      <c r="C3384" s="46">
        <v>23192400</v>
      </c>
      <c r="D3384" s="46">
        <v>21084000</v>
      </c>
      <c r="E3384" s="46">
        <v>2108400</v>
      </c>
      <c r="F3384" s="17" t="s">
        <v>424</v>
      </c>
      <c r="G3384" s="9">
        <v>45313</v>
      </c>
    </row>
    <row r="3385" spans="1:17">
      <c r="A3385" s="45">
        <v>45311</v>
      </c>
      <c r="B3385" s="14" t="s">
        <v>2</v>
      </c>
      <c r="C3385" s="46">
        <v>26569400</v>
      </c>
      <c r="D3385" s="46">
        <v>24154000</v>
      </c>
      <c r="E3385" s="46">
        <v>2415400</v>
      </c>
      <c r="F3385" s="17" t="s">
        <v>456</v>
      </c>
      <c r="G3385" s="9">
        <v>45330</v>
      </c>
    </row>
    <row r="3386" spans="1:17">
      <c r="A3386" s="45" t="s">
        <v>993</v>
      </c>
      <c r="B3386" s="178" t="s">
        <v>902</v>
      </c>
      <c r="C3386" s="46">
        <v>4752310</v>
      </c>
      <c r="D3386" s="46">
        <v>4752310</v>
      </c>
      <c r="E3386" s="46">
        <v>0</v>
      </c>
      <c r="F3386" s="17" t="s">
        <v>994</v>
      </c>
      <c r="G3386" s="9">
        <v>45322</v>
      </c>
      <c r="K3386" s="178"/>
      <c r="L3386" s="178"/>
      <c r="M3386" s="178"/>
      <c r="N3386" s="178"/>
      <c r="O3386" s="178"/>
      <c r="P3386" s="178"/>
      <c r="Q3386" s="178"/>
    </row>
    <row r="3387" spans="1:17">
      <c r="A3387" s="45" t="s">
        <v>993</v>
      </c>
      <c r="B3387" s="178" t="s">
        <v>921</v>
      </c>
      <c r="C3387" s="46">
        <v>10456770</v>
      </c>
      <c r="D3387" s="46">
        <v>10456770</v>
      </c>
      <c r="E3387" s="46">
        <v>0</v>
      </c>
      <c r="F3387" s="17" t="s">
        <v>995</v>
      </c>
      <c r="G3387" s="9">
        <v>45322</v>
      </c>
      <c r="K3387" s="178"/>
      <c r="L3387" s="178"/>
      <c r="M3387" s="178"/>
      <c r="N3387" s="178"/>
      <c r="O3387" s="178"/>
      <c r="P3387" s="178"/>
      <c r="Q3387" s="178"/>
    </row>
    <row r="3388" spans="1:17">
      <c r="A3388" s="45">
        <v>45316</v>
      </c>
      <c r="B3388" s="176" t="s">
        <v>719</v>
      </c>
      <c r="C3388" s="46">
        <f>D3388+E3388</f>
        <v>90200</v>
      </c>
      <c r="D3388" s="46">
        <v>82000</v>
      </c>
      <c r="E3388" s="46">
        <v>8200</v>
      </c>
      <c r="F3388" s="17" t="s">
        <v>710</v>
      </c>
      <c r="G3388" s="9">
        <v>45345</v>
      </c>
    </row>
    <row r="3389" spans="1:17">
      <c r="A3389" s="45" t="s">
        <v>990</v>
      </c>
      <c r="B3389" s="178" t="s">
        <v>996</v>
      </c>
      <c r="C3389" s="46">
        <v>8203450</v>
      </c>
      <c r="D3389" s="46">
        <v>8203450</v>
      </c>
      <c r="E3389" s="46">
        <v>0</v>
      </c>
      <c r="F3389" s="17" t="s">
        <v>997</v>
      </c>
      <c r="G3389" s="9">
        <v>45329</v>
      </c>
      <c r="K3389" s="178"/>
      <c r="L3389" s="178"/>
      <c r="M3389" s="178"/>
      <c r="N3389" s="178"/>
      <c r="O3389" s="178"/>
      <c r="P3389" s="178"/>
      <c r="Q3389" s="178"/>
    </row>
    <row r="3390" spans="1:17">
      <c r="A3390" s="45" t="s">
        <v>990</v>
      </c>
      <c r="B3390" s="14" t="s">
        <v>79</v>
      </c>
      <c r="C3390" s="46">
        <v>99000</v>
      </c>
      <c r="D3390" s="46">
        <v>90000</v>
      </c>
      <c r="E3390" s="46">
        <v>9000</v>
      </c>
      <c r="F3390" s="17" t="s">
        <v>13</v>
      </c>
      <c r="G3390" s="9">
        <v>45324</v>
      </c>
    </row>
    <row r="3391" spans="1:17">
      <c r="A3391" s="45" t="s">
        <v>990</v>
      </c>
      <c r="B3391" s="14" t="s">
        <v>749</v>
      </c>
      <c r="C3391" s="46">
        <v>1859000</v>
      </c>
      <c r="D3391" s="46">
        <v>1690000</v>
      </c>
      <c r="E3391" s="46">
        <v>169000</v>
      </c>
      <c r="F3391" s="17" t="s">
        <v>13</v>
      </c>
      <c r="G3391" s="9">
        <v>45323</v>
      </c>
    </row>
    <row r="3392" spans="1:17">
      <c r="A3392" s="45" t="s">
        <v>990</v>
      </c>
      <c r="B3392" s="14" t="s">
        <v>155</v>
      </c>
      <c r="C3392" s="46">
        <v>4279000</v>
      </c>
      <c r="D3392" s="46">
        <v>3890000</v>
      </c>
      <c r="E3392" s="46">
        <v>389000</v>
      </c>
      <c r="F3392" s="17" t="s">
        <v>13</v>
      </c>
      <c r="G3392" s="9">
        <v>45378</v>
      </c>
      <c r="H3392" s="17" t="s">
        <v>1012</v>
      </c>
    </row>
    <row r="3393" spans="1:7">
      <c r="A3393" s="45">
        <v>45322</v>
      </c>
      <c r="B3393" s="14" t="s">
        <v>769</v>
      </c>
      <c r="C3393" s="46">
        <v>10755250</v>
      </c>
      <c r="D3393" s="46">
        <v>9777500</v>
      </c>
      <c r="E3393" s="46">
        <v>977750</v>
      </c>
      <c r="F3393" s="17" t="s">
        <v>794</v>
      </c>
      <c r="G3393" s="9">
        <v>45330</v>
      </c>
    </row>
    <row r="3394" spans="1:7">
      <c r="A3394" s="45">
        <v>45322</v>
      </c>
      <c r="B3394" s="14" t="s">
        <v>769</v>
      </c>
      <c r="C3394" s="46">
        <v>4433000</v>
      </c>
      <c r="D3394" s="46">
        <v>4030000</v>
      </c>
      <c r="E3394" s="46">
        <v>403000</v>
      </c>
      <c r="F3394" s="17" t="s">
        <v>980</v>
      </c>
      <c r="G3394" s="9">
        <v>45330</v>
      </c>
    </row>
    <row r="3395" spans="1:7">
      <c r="A3395" s="45">
        <v>45322</v>
      </c>
      <c r="B3395" s="14" t="s">
        <v>769</v>
      </c>
      <c r="C3395" s="46">
        <v>63713100</v>
      </c>
      <c r="D3395" s="46">
        <v>57921000</v>
      </c>
      <c r="E3395" s="46">
        <v>5792100</v>
      </c>
      <c r="F3395" s="17" t="s">
        <v>387</v>
      </c>
      <c r="G3395" s="9">
        <v>45330</v>
      </c>
    </row>
    <row r="3396" spans="1:7">
      <c r="A3396" s="45">
        <v>45322</v>
      </c>
      <c r="B3396" s="14" t="s">
        <v>769</v>
      </c>
      <c r="C3396" s="46">
        <v>2147200</v>
      </c>
      <c r="D3396" s="46">
        <v>1952000</v>
      </c>
      <c r="E3396" s="46">
        <v>195200</v>
      </c>
      <c r="F3396" s="17" t="s">
        <v>386</v>
      </c>
      <c r="G3396" s="9">
        <v>45330</v>
      </c>
    </row>
    <row r="3397" spans="1:7">
      <c r="A3397" s="45">
        <v>45322</v>
      </c>
      <c r="B3397" s="14" t="s">
        <v>769</v>
      </c>
      <c r="C3397" s="46">
        <v>20255400</v>
      </c>
      <c r="D3397" s="46">
        <v>18414000</v>
      </c>
      <c r="E3397" s="46">
        <v>1841400</v>
      </c>
      <c r="F3397" s="17" t="s">
        <v>705</v>
      </c>
      <c r="G3397" s="9">
        <v>45330</v>
      </c>
    </row>
    <row r="3398" spans="1:7">
      <c r="A3398" s="45">
        <v>45322</v>
      </c>
      <c r="B3398" s="14" t="s">
        <v>769</v>
      </c>
      <c r="C3398" s="46">
        <v>17186400</v>
      </c>
      <c r="D3398" s="46">
        <v>15624000</v>
      </c>
      <c r="E3398" s="46">
        <v>1562400</v>
      </c>
      <c r="F3398" s="17" t="s">
        <v>305</v>
      </c>
      <c r="G3398" s="9">
        <v>45330</v>
      </c>
    </row>
    <row r="3399" spans="1:7">
      <c r="A3399" s="45">
        <v>45322</v>
      </c>
      <c r="B3399" s="14" t="s">
        <v>2</v>
      </c>
      <c r="C3399" s="46">
        <v>3828000</v>
      </c>
      <c r="D3399" s="46">
        <v>3480000</v>
      </c>
      <c r="E3399" s="46">
        <v>348000</v>
      </c>
      <c r="F3399" s="17" t="s">
        <v>611</v>
      </c>
      <c r="G3399" s="9">
        <v>45330</v>
      </c>
    </row>
    <row r="3400" spans="1:7">
      <c r="A3400" s="45">
        <v>45322</v>
      </c>
      <c r="B3400" s="14" t="s">
        <v>2</v>
      </c>
      <c r="C3400" s="46">
        <v>303600</v>
      </c>
      <c r="D3400" s="46">
        <v>276000</v>
      </c>
      <c r="E3400" s="46">
        <v>27600</v>
      </c>
      <c r="F3400" s="17" t="s">
        <v>998</v>
      </c>
      <c r="G3400" s="9">
        <v>45330</v>
      </c>
    </row>
    <row r="3401" spans="1:7">
      <c r="A3401" s="45">
        <v>45322</v>
      </c>
      <c r="B3401" s="14" t="s">
        <v>2</v>
      </c>
      <c r="C3401" s="46">
        <v>4191000</v>
      </c>
      <c r="D3401" s="46">
        <v>3810000</v>
      </c>
      <c r="E3401" s="46">
        <v>381000</v>
      </c>
      <c r="F3401" s="17" t="s">
        <v>315</v>
      </c>
      <c r="G3401" s="9">
        <v>45330</v>
      </c>
    </row>
    <row r="3402" spans="1:7">
      <c r="A3402" s="45">
        <v>45322</v>
      </c>
      <c r="B3402" s="14" t="s">
        <v>2</v>
      </c>
      <c r="C3402" s="46">
        <v>10455500</v>
      </c>
      <c r="D3402" s="46">
        <v>9505000</v>
      </c>
      <c r="E3402" s="46">
        <v>950500</v>
      </c>
      <c r="F3402" s="17" t="s">
        <v>734</v>
      </c>
      <c r="G3402" s="9">
        <v>45330</v>
      </c>
    </row>
    <row r="3403" spans="1:7">
      <c r="A3403" s="45">
        <v>45322</v>
      </c>
      <c r="B3403" s="14" t="s">
        <v>2</v>
      </c>
      <c r="C3403" s="46">
        <v>1584000</v>
      </c>
      <c r="D3403" s="46">
        <v>1440000</v>
      </c>
      <c r="E3403" s="46">
        <v>144000</v>
      </c>
      <c r="F3403" s="17" t="s">
        <v>714</v>
      </c>
      <c r="G3403" s="9">
        <v>45330</v>
      </c>
    </row>
    <row r="3404" spans="1:7">
      <c r="A3404" s="45">
        <v>45322</v>
      </c>
      <c r="B3404" s="14" t="s">
        <v>2</v>
      </c>
      <c r="C3404" s="46">
        <v>528000</v>
      </c>
      <c r="D3404" s="46">
        <v>480000</v>
      </c>
      <c r="E3404" s="46">
        <v>48000</v>
      </c>
      <c r="F3404" s="17" t="s">
        <v>756</v>
      </c>
      <c r="G3404" s="9">
        <v>45330</v>
      </c>
    </row>
    <row r="3405" spans="1:7">
      <c r="A3405" s="45">
        <v>45322</v>
      </c>
      <c r="B3405" s="14" t="s">
        <v>2</v>
      </c>
      <c r="C3405" s="46">
        <v>21611700</v>
      </c>
      <c r="D3405" s="46">
        <v>19647000</v>
      </c>
      <c r="E3405" s="46">
        <v>1964700</v>
      </c>
      <c r="F3405" s="17" t="s">
        <v>424</v>
      </c>
      <c r="G3405" s="9">
        <v>45330</v>
      </c>
    </row>
    <row r="3406" spans="1:7">
      <c r="A3406" s="45">
        <v>45322</v>
      </c>
      <c r="B3406" s="14" t="s">
        <v>2</v>
      </c>
      <c r="C3406" s="46">
        <v>25170200</v>
      </c>
      <c r="D3406" s="46">
        <v>22882000</v>
      </c>
      <c r="E3406" s="46">
        <v>2288200</v>
      </c>
      <c r="F3406" s="17" t="s">
        <v>456</v>
      </c>
      <c r="G3406" s="9">
        <v>45330</v>
      </c>
    </row>
    <row r="3407" spans="1:7">
      <c r="A3407" s="45">
        <v>45322</v>
      </c>
      <c r="B3407" s="14" t="s">
        <v>2</v>
      </c>
      <c r="C3407" s="46">
        <v>3432000</v>
      </c>
      <c r="D3407" s="46">
        <v>3120000</v>
      </c>
      <c r="E3407" s="46">
        <v>312000</v>
      </c>
      <c r="F3407" s="17" t="s">
        <v>982</v>
      </c>
      <c r="G3407" s="9">
        <v>45330</v>
      </c>
    </row>
    <row r="3408" spans="1:7">
      <c r="A3408" s="45">
        <v>45322</v>
      </c>
      <c r="B3408" s="14" t="s">
        <v>2</v>
      </c>
      <c r="C3408" s="46">
        <v>165000</v>
      </c>
      <c r="D3408" s="46">
        <v>150000</v>
      </c>
      <c r="E3408" s="46">
        <v>15000</v>
      </c>
      <c r="F3408" s="17" t="s">
        <v>938</v>
      </c>
      <c r="G3408" s="9">
        <v>45330</v>
      </c>
    </row>
    <row r="3409" spans="1:11">
      <c r="A3409" s="45">
        <v>45322</v>
      </c>
      <c r="B3409" s="14" t="s">
        <v>2</v>
      </c>
      <c r="C3409" s="46">
        <v>731500</v>
      </c>
      <c r="D3409" s="46">
        <v>665000</v>
      </c>
      <c r="E3409" s="46">
        <v>66500</v>
      </c>
      <c r="F3409" s="17" t="s">
        <v>859</v>
      </c>
      <c r="G3409" s="9">
        <v>45330</v>
      </c>
    </row>
    <row r="3410" spans="1:11">
      <c r="A3410" s="45">
        <v>45322</v>
      </c>
      <c r="B3410" s="14" t="s">
        <v>2</v>
      </c>
      <c r="C3410" s="46">
        <v>1384900</v>
      </c>
      <c r="D3410" s="46">
        <v>1259000</v>
      </c>
      <c r="E3410" s="46">
        <v>125900</v>
      </c>
      <c r="F3410" s="17" t="s">
        <v>858</v>
      </c>
      <c r="G3410" s="9">
        <v>45330</v>
      </c>
    </row>
    <row r="3411" spans="1:11">
      <c r="A3411" s="45">
        <v>45322</v>
      </c>
      <c r="B3411" s="14" t="s">
        <v>2</v>
      </c>
      <c r="C3411" s="46">
        <v>1901900</v>
      </c>
      <c r="D3411" s="46">
        <v>1729000</v>
      </c>
      <c r="E3411" s="46">
        <v>172900</v>
      </c>
      <c r="F3411" s="17" t="s">
        <v>999</v>
      </c>
      <c r="G3411" s="9">
        <v>45330</v>
      </c>
    </row>
    <row r="3412" spans="1:11">
      <c r="A3412" s="45">
        <v>45322</v>
      </c>
      <c r="B3412" s="14" t="s">
        <v>432</v>
      </c>
      <c r="C3412" s="46">
        <v>2571800</v>
      </c>
      <c r="D3412" s="46">
        <v>2338000</v>
      </c>
      <c r="E3412" s="46">
        <v>233800</v>
      </c>
      <c r="F3412" s="17" t="s">
        <v>757</v>
      </c>
      <c r="G3412" s="9">
        <v>45341</v>
      </c>
    </row>
    <row r="3413" spans="1:11">
      <c r="A3413" s="45">
        <v>45322</v>
      </c>
      <c r="B3413" s="14" t="s">
        <v>432</v>
      </c>
      <c r="C3413" s="46">
        <v>363000</v>
      </c>
      <c r="D3413" s="46">
        <v>330000</v>
      </c>
      <c r="E3413" s="46">
        <v>33000</v>
      </c>
      <c r="F3413" s="17" t="s">
        <v>857</v>
      </c>
      <c r="G3413" s="9">
        <v>45336</v>
      </c>
    </row>
    <row r="3414" spans="1:11">
      <c r="A3414" s="45">
        <v>45322</v>
      </c>
      <c r="B3414" s="14" t="s">
        <v>432</v>
      </c>
      <c r="C3414" s="46">
        <v>4419800</v>
      </c>
      <c r="D3414" s="46">
        <v>4018000</v>
      </c>
      <c r="E3414" s="46">
        <v>401800</v>
      </c>
      <c r="F3414" s="17" t="s">
        <v>165</v>
      </c>
      <c r="G3414" s="9">
        <v>45341</v>
      </c>
    </row>
    <row r="3415" spans="1:11">
      <c r="A3415" s="45">
        <v>45322</v>
      </c>
      <c r="B3415" s="14" t="s">
        <v>432</v>
      </c>
      <c r="C3415" s="46">
        <v>180400</v>
      </c>
      <c r="D3415" s="46">
        <v>164000</v>
      </c>
      <c r="E3415" s="46">
        <v>16400</v>
      </c>
      <c r="F3415" s="17" t="s">
        <v>811</v>
      </c>
      <c r="G3415" s="9">
        <v>45341</v>
      </c>
    </row>
    <row r="3416" spans="1:11">
      <c r="A3416" s="45">
        <v>45322</v>
      </c>
      <c r="B3416" s="14" t="s">
        <v>432</v>
      </c>
      <c r="C3416" s="46">
        <v>2244000</v>
      </c>
      <c r="D3416" s="46">
        <v>2040000</v>
      </c>
      <c r="E3416" s="46">
        <v>204000</v>
      </c>
      <c r="F3416" s="17" t="s">
        <v>320</v>
      </c>
      <c r="G3416" s="9">
        <v>45341</v>
      </c>
    </row>
    <row r="3417" spans="1:11">
      <c r="A3417" s="45">
        <v>45322</v>
      </c>
      <c r="B3417" s="14" t="s">
        <v>432</v>
      </c>
      <c r="C3417" s="46">
        <v>320100</v>
      </c>
      <c r="D3417" s="46">
        <v>291000</v>
      </c>
      <c r="E3417" s="46">
        <v>29100</v>
      </c>
      <c r="F3417" s="17" t="s">
        <v>969</v>
      </c>
      <c r="G3417" s="9">
        <v>45336</v>
      </c>
    </row>
    <row r="3418" spans="1:11">
      <c r="A3418" s="45">
        <v>45322</v>
      </c>
      <c r="B3418" s="14" t="s">
        <v>432</v>
      </c>
      <c r="C3418" s="46">
        <v>3471600</v>
      </c>
      <c r="D3418" s="46">
        <v>3156000</v>
      </c>
      <c r="E3418" s="46">
        <v>315600</v>
      </c>
      <c r="F3418" s="17" t="s">
        <v>968</v>
      </c>
      <c r="G3418" s="9">
        <v>45341</v>
      </c>
    </row>
    <row r="3419" spans="1:11">
      <c r="A3419" s="45">
        <v>45322</v>
      </c>
      <c r="B3419" s="14" t="s">
        <v>970</v>
      </c>
      <c r="C3419" s="46">
        <v>6613750</v>
      </c>
      <c r="D3419" s="46">
        <v>6012500</v>
      </c>
      <c r="E3419" s="46">
        <v>601250</v>
      </c>
      <c r="F3419" s="17" t="s">
        <v>1000</v>
      </c>
      <c r="G3419" s="9">
        <v>45330</v>
      </c>
    </row>
    <row r="3420" spans="1:11">
      <c r="A3420" s="45">
        <v>45322</v>
      </c>
      <c r="B3420" s="14" t="s">
        <v>970</v>
      </c>
      <c r="C3420" s="46">
        <v>2508000</v>
      </c>
      <c r="D3420" s="46">
        <v>2280000</v>
      </c>
      <c r="E3420" s="46">
        <v>228000</v>
      </c>
      <c r="F3420" s="17" t="s">
        <v>233</v>
      </c>
      <c r="G3420" s="9">
        <v>45330</v>
      </c>
    </row>
    <row r="3421" spans="1:11">
      <c r="A3421" s="45">
        <v>45322</v>
      </c>
      <c r="B3421" s="14" t="s">
        <v>1001</v>
      </c>
      <c r="C3421" s="46">
        <v>9259250</v>
      </c>
      <c r="D3421" s="46">
        <v>8417500</v>
      </c>
      <c r="E3421" s="46">
        <v>841750</v>
      </c>
      <c r="F3421" s="17" t="s">
        <v>1002</v>
      </c>
      <c r="G3421" s="9">
        <v>45338</v>
      </c>
    </row>
    <row r="3422" spans="1:11">
      <c r="A3422" s="45">
        <v>45322</v>
      </c>
      <c r="B3422" s="14" t="s">
        <v>15</v>
      </c>
      <c r="C3422" s="46">
        <v>5502200</v>
      </c>
      <c r="D3422" s="46">
        <v>5002000</v>
      </c>
      <c r="E3422" s="46">
        <v>500200</v>
      </c>
      <c r="F3422" s="17" t="s">
        <v>459</v>
      </c>
      <c r="G3422" s="9">
        <v>45337</v>
      </c>
    </row>
    <row r="3423" spans="1:11">
      <c r="A3423" s="45">
        <v>45322</v>
      </c>
      <c r="B3423" s="14" t="s">
        <v>752</v>
      </c>
      <c r="C3423" s="46">
        <v>3740000</v>
      </c>
      <c r="D3423" s="46">
        <v>3400000</v>
      </c>
      <c r="E3423" s="46">
        <v>340000</v>
      </c>
      <c r="F3423" s="17" t="s">
        <v>753</v>
      </c>
      <c r="G3423" s="9">
        <v>45330</v>
      </c>
    </row>
    <row r="3424" spans="1:11">
      <c r="A3424" s="45">
        <v>45322</v>
      </c>
      <c r="B3424" s="14" t="s">
        <v>730</v>
      </c>
      <c r="C3424" s="46">
        <v>5421900</v>
      </c>
      <c r="D3424" s="46">
        <v>4929000</v>
      </c>
      <c r="E3424" s="46">
        <v>492900</v>
      </c>
      <c r="F3424" s="17" t="s">
        <v>457</v>
      </c>
      <c r="G3424" s="9">
        <v>45335</v>
      </c>
      <c r="I3424" s="301" t="s">
        <v>978</v>
      </c>
      <c r="J3424" s="302"/>
      <c r="K3424" s="303"/>
    </row>
    <row r="3425" spans="1:19">
      <c r="A3425" s="45">
        <v>45322</v>
      </c>
      <c r="B3425" s="14" t="s">
        <v>805</v>
      </c>
      <c r="C3425" s="46">
        <v>11550000</v>
      </c>
      <c r="D3425" s="46">
        <v>10500000</v>
      </c>
      <c r="E3425" s="46">
        <v>1050000</v>
      </c>
      <c r="F3425" s="17" t="s">
        <v>727</v>
      </c>
      <c r="G3425" s="9">
        <v>45337</v>
      </c>
      <c r="I3425" s="18" t="s">
        <v>46</v>
      </c>
      <c r="J3425" s="173" t="s">
        <v>47</v>
      </c>
      <c r="K3425" s="173" t="s">
        <v>48</v>
      </c>
    </row>
    <row r="3426" spans="1:19">
      <c r="A3426" s="119">
        <v>45322</v>
      </c>
      <c r="B3426" s="42" t="s">
        <v>984</v>
      </c>
      <c r="C3426" s="118">
        <v>90200</v>
      </c>
      <c r="D3426" s="118">
        <v>82000</v>
      </c>
      <c r="E3426" s="118">
        <v>8200</v>
      </c>
      <c r="F3426" s="51" t="s">
        <v>241</v>
      </c>
      <c r="G3426" s="51" t="s">
        <v>1024</v>
      </c>
      <c r="H3426" s="51"/>
      <c r="I3426" s="18">
        <f>SUM(C3376:C3426)</f>
        <v>386064820</v>
      </c>
      <c r="J3426" s="18">
        <f>SUM(D3376:D3426)</f>
        <v>353878670</v>
      </c>
      <c r="K3426" s="18">
        <f>SUM(E3376:E3426)</f>
        <v>32186150</v>
      </c>
      <c r="L3426" s="42"/>
      <c r="M3426" s="42"/>
      <c r="N3426" s="42"/>
      <c r="O3426" s="42"/>
      <c r="P3426" s="42"/>
      <c r="Q3426" s="42"/>
      <c r="R3426" s="42"/>
      <c r="S3426" s="42"/>
    </row>
    <row r="3427" spans="1:19">
      <c r="A3427" s="45" t="s">
        <v>992</v>
      </c>
      <c r="B3427" s="14" t="s">
        <v>958</v>
      </c>
      <c r="C3427" s="46">
        <v>8731870</v>
      </c>
      <c r="D3427" s="46">
        <v>8731870</v>
      </c>
      <c r="E3427" s="46">
        <v>0</v>
      </c>
      <c r="F3427" s="17" t="s">
        <v>997</v>
      </c>
      <c r="G3427" s="9">
        <v>45328</v>
      </c>
    </row>
    <row r="3428" spans="1:19">
      <c r="A3428" s="45">
        <v>45332</v>
      </c>
      <c r="B3428" s="179" t="s">
        <v>2</v>
      </c>
      <c r="C3428" s="46">
        <v>23295250</v>
      </c>
      <c r="D3428" s="46">
        <v>21177500</v>
      </c>
      <c r="E3428" s="46">
        <v>2117750</v>
      </c>
      <c r="F3428" s="17" t="s">
        <v>456</v>
      </c>
      <c r="G3428" s="9">
        <v>45342</v>
      </c>
    </row>
    <row r="3429" spans="1:19">
      <c r="A3429" s="45">
        <v>45337</v>
      </c>
      <c r="B3429" s="14" t="s">
        <v>2</v>
      </c>
      <c r="C3429" s="46">
        <v>5874000</v>
      </c>
      <c r="D3429" s="46">
        <v>5340000</v>
      </c>
      <c r="E3429" s="46">
        <v>534000</v>
      </c>
      <c r="F3429" s="17" t="s">
        <v>611</v>
      </c>
      <c r="G3429" s="9">
        <v>45351</v>
      </c>
    </row>
    <row r="3430" spans="1:19">
      <c r="A3430" s="45">
        <v>45337</v>
      </c>
      <c r="B3430" s="14" t="s">
        <v>2</v>
      </c>
      <c r="C3430" s="46">
        <v>5538500</v>
      </c>
      <c r="D3430" s="46">
        <v>5035000</v>
      </c>
      <c r="E3430" s="46">
        <v>503500</v>
      </c>
      <c r="F3430" s="17" t="s">
        <v>315</v>
      </c>
      <c r="G3430" s="9">
        <v>45351</v>
      </c>
    </row>
    <row r="3431" spans="1:19">
      <c r="A3431" s="45">
        <v>45337</v>
      </c>
      <c r="B3431" s="14" t="s">
        <v>2</v>
      </c>
      <c r="C3431" s="46">
        <v>12150600</v>
      </c>
      <c r="D3431" s="46">
        <v>11046000</v>
      </c>
      <c r="E3431" s="46">
        <v>1104600</v>
      </c>
      <c r="F3431" s="17" t="s">
        <v>734</v>
      </c>
      <c r="G3431" s="9">
        <v>45342</v>
      </c>
    </row>
    <row r="3432" spans="1:19">
      <c r="A3432" s="45">
        <v>45337</v>
      </c>
      <c r="B3432" s="14" t="s">
        <v>2</v>
      </c>
      <c r="C3432" s="46">
        <v>792000</v>
      </c>
      <c r="D3432" s="46">
        <v>720000</v>
      </c>
      <c r="E3432" s="46">
        <v>72000</v>
      </c>
      <c r="F3432" s="17" t="s">
        <v>756</v>
      </c>
      <c r="G3432" s="9">
        <v>45342</v>
      </c>
    </row>
    <row r="3433" spans="1:19">
      <c r="A3433" s="45">
        <v>45337</v>
      </c>
      <c r="B3433" s="14" t="s">
        <v>2</v>
      </c>
      <c r="C3433" s="46">
        <v>20799900</v>
      </c>
      <c r="D3433" s="46">
        <v>18909000</v>
      </c>
      <c r="E3433" s="46">
        <v>1890900</v>
      </c>
      <c r="F3433" s="17" t="s">
        <v>424</v>
      </c>
      <c r="G3433" s="9">
        <v>45342</v>
      </c>
    </row>
    <row r="3434" spans="1:19">
      <c r="A3434" s="45">
        <v>45342</v>
      </c>
      <c r="B3434" s="14" t="s">
        <v>2</v>
      </c>
      <c r="C3434" s="46">
        <v>24075700</v>
      </c>
      <c r="D3434" s="46">
        <v>21887000</v>
      </c>
      <c r="E3434" s="46">
        <v>2188700</v>
      </c>
      <c r="F3434" s="17" t="s">
        <v>456</v>
      </c>
      <c r="G3434" s="9">
        <v>45351</v>
      </c>
    </row>
    <row r="3435" spans="1:19">
      <c r="A3435" s="45">
        <v>45342</v>
      </c>
      <c r="B3435" s="14" t="s">
        <v>902</v>
      </c>
      <c r="C3435" s="46">
        <v>4752310</v>
      </c>
      <c r="D3435" s="46">
        <v>4752310</v>
      </c>
      <c r="E3435" s="46">
        <v>0</v>
      </c>
      <c r="F3435" s="17" t="s">
        <v>1005</v>
      </c>
      <c r="G3435" s="9">
        <v>45351</v>
      </c>
    </row>
    <row r="3436" spans="1:19">
      <c r="A3436" s="45">
        <v>45343</v>
      </c>
      <c r="B3436" s="14" t="s">
        <v>921</v>
      </c>
      <c r="C3436" s="46">
        <v>10279980</v>
      </c>
      <c r="D3436" s="46">
        <v>10279980</v>
      </c>
      <c r="E3436" s="46">
        <v>0</v>
      </c>
      <c r="F3436" s="17" t="s">
        <v>1006</v>
      </c>
      <c r="G3436" s="9">
        <v>45351</v>
      </c>
    </row>
    <row r="3437" spans="1:19">
      <c r="A3437" s="45">
        <v>45347</v>
      </c>
      <c r="B3437" s="181" t="s">
        <v>719</v>
      </c>
      <c r="C3437" s="46">
        <v>270600</v>
      </c>
      <c r="D3437" s="46">
        <v>246000</v>
      </c>
      <c r="E3437" s="46">
        <v>24600</v>
      </c>
      <c r="F3437" s="17" t="s">
        <v>1007</v>
      </c>
      <c r="G3437" s="9">
        <v>45373</v>
      </c>
    </row>
    <row r="3438" spans="1:19">
      <c r="A3438" s="45">
        <v>45347</v>
      </c>
      <c r="B3438" s="14" t="s">
        <v>769</v>
      </c>
      <c r="C3438" s="46">
        <v>10074759</v>
      </c>
      <c r="D3438" s="46">
        <v>9158872</v>
      </c>
      <c r="E3438" s="46">
        <v>915887</v>
      </c>
      <c r="F3438" s="17" t="s">
        <v>794</v>
      </c>
      <c r="G3438" s="9">
        <v>45359</v>
      </c>
    </row>
    <row r="3439" spans="1:19">
      <c r="A3439" s="45">
        <v>45347</v>
      </c>
      <c r="B3439" s="14" t="s">
        <v>769</v>
      </c>
      <c r="C3439" s="46">
        <v>4147000</v>
      </c>
      <c r="D3439" s="46">
        <v>3770000</v>
      </c>
      <c r="E3439" s="46">
        <v>377000</v>
      </c>
      <c r="F3439" s="17" t="s">
        <v>980</v>
      </c>
      <c r="G3439" s="9">
        <v>45359</v>
      </c>
    </row>
    <row r="3440" spans="1:19">
      <c r="A3440" s="45">
        <v>45347</v>
      </c>
      <c r="B3440" s="14" t="s">
        <v>769</v>
      </c>
      <c r="C3440" s="46">
        <v>45975600</v>
      </c>
      <c r="D3440" s="46">
        <v>41796000</v>
      </c>
      <c r="E3440" s="46">
        <v>4179600</v>
      </c>
      <c r="F3440" s="17" t="s">
        <v>387</v>
      </c>
      <c r="G3440" s="9">
        <v>45359</v>
      </c>
    </row>
    <row r="3441" spans="1:7">
      <c r="A3441" s="45">
        <v>45347</v>
      </c>
      <c r="B3441" s="14" t="s">
        <v>769</v>
      </c>
      <c r="C3441" s="46">
        <v>2420000</v>
      </c>
      <c r="D3441" s="46">
        <v>2200000</v>
      </c>
      <c r="E3441" s="46">
        <v>220000</v>
      </c>
      <c r="F3441" s="17" t="s">
        <v>386</v>
      </c>
      <c r="G3441" s="9">
        <v>45359</v>
      </c>
    </row>
    <row r="3442" spans="1:7">
      <c r="A3442" s="45">
        <v>45347</v>
      </c>
      <c r="B3442" s="14" t="s">
        <v>769</v>
      </c>
      <c r="C3442" s="46">
        <v>15549600</v>
      </c>
      <c r="D3442" s="46">
        <v>14136000</v>
      </c>
      <c r="E3442" s="46">
        <v>1413600</v>
      </c>
      <c r="F3442" s="17" t="s">
        <v>705</v>
      </c>
      <c r="G3442" s="9">
        <v>45359</v>
      </c>
    </row>
    <row r="3443" spans="1:7">
      <c r="A3443" s="45">
        <v>45347</v>
      </c>
      <c r="B3443" s="14" t="s">
        <v>769</v>
      </c>
      <c r="C3443" s="46">
        <v>11594000</v>
      </c>
      <c r="D3443" s="46">
        <v>10540000</v>
      </c>
      <c r="E3443" s="46">
        <v>1054000</v>
      </c>
      <c r="F3443" s="17" t="s">
        <v>305</v>
      </c>
      <c r="G3443" s="9">
        <v>45359</v>
      </c>
    </row>
    <row r="3444" spans="1:7">
      <c r="A3444" s="45">
        <v>45351</v>
      </c>
      <c r="B3444" s="14" t="s">
        <v>2</v>
      </c>
      <c r="C3444" s="46">
        <v>5676000</v>
      </c>
      <c r="D3444" s="46">
        <v>5160000</v>
      </c>
      <c r="E3444" s="46">
        <v>516000</v>
      </c>
      <c r="F3444" s="17" t="s">
        <v>611</v>
      </c>
      <c r="G3444" s="9">
        <v>45362</v>
      </c>
    </row>
    <row r="3445" spans="1:7">
      <c r="A3445" s="45">
        <v>45351</v>
      </c>
      <c r="B3445" s="14" t="s">
        <v>2</v>
      </c>
      <c r="C3445" s="46">
        <v>7272969</v>
      </c>
      <c r="D3445" s="46">
        <v>6611790</v>
      </c>
      <c r="E3445" s="46">
        <v>661179</v>
      </c>
      <c r="F3445" s="17" t="s">
        <v>315</v>
      </c>
      <c r="G3445" s="9">
        <v>45362</v>
      </c>
    </row>
    <row r="3446" spans="1:7">
      <c r="A3446" s="45">
        <v>45351</v>
      </c>
      <c r="B3446" s="14" t="s">
        <v>2</v>
      </c>
      <c r="C3446" s="46">
        <v>12402500</v>
      </c>
      <c r="D3446" s="46">
        <v>11275000</v>
      </c>
      <c r="E3446" s="46">
        <v>1127500</v>
      </c>
      <c r="F3446" s="17" t="s">
        <v>734</v>
      </c>
      <c r="G3446" s="9">
        <v>45362</v>
      </c>
    </row>
    <row r="3447" spans="1:7">
      <c r="A3447" s="45">
        <v>45351</v>
      </c>
      <c r="B3447" s="14" t="s">
        <v>2</v>
      </c>
      <c r="C3447" s="46">
        <v>660000</v>
      </c>
      <c r="D3447" s="46">
        <v>600000</v>
      </c>
      <c r="E3447" s="46">
        <v>60000</v>
      </c>
      <c r="F3447" s="17" t="s">
        <v>756</v>
      </c>
      <c r="G3447" s="9">
        <v>45362</v>
      </c>
    </row>
    <row r="3448" spans="1:7">
      <c r="A3448" s="45">
        <v>45351</v>
      </c>
      <c r="B3448" s="14" t="s">
        <v>2</v>
      </c>
      <c r="C3448" s="46">
        <v>17887100</v>
      </c>
      <c r="D3448" s="46">
        <v>16261000</v>
      </c>
      <c r="E3448" s="46">
        <v>1626100</v>
      </c>
      <c r="F3448" s="17" t="s">
        <v>424</v>
      </c>
      <c r="G3448" s="9">
        <v>45362</v>
      </c>
    </row>
    <row r="3449" spans="1:7">
      <c r="A3449" s="45">
        <v>45351</v>
      </c>
      <c r="B3449" s="14" t="s">
        <v>2</v>
      </c>
      <c r="C3449" s="46">
        <v>20925300</v>
      </c>
      <c r="D3449" s="46">
        <v>19023000</v>
      </c>
      <c r="E3449" s="46">
        <v>1902300</v>
      </c>
      <c r="F3449" s="17" t="s">
        <v>456</v>
      </c>
      <c r="G3449" s="9">
        <v>45362</v>
      </c>
    </row>
    <row r="3450" spans="1:7">
      <c r="A3450" s="45">
        <v>45351</v>
      </c>
      <c r="B3450" s="14" t="s">
        <v>2</v>
      </c>
      <c r="C3450" s="46">
        <v>2904000</v>
      </c>
      <c r="D3450" s="46">
        <v>2640000</v>
      </c>
      <c r="E3450" s="46">
        <v>264000</v>
      </c>
      <c r="F3450" s="17" t="s">
        <v>982</v>
      </c>
      <c r="G3450" s="9">
        <v>45362</v>
      </c>
    </row>
    <row r="3451" spans="1:7">
      <c r="A3451" s="45">
        <v>45351</v>
      </c>
      <c r="B3451" s="14" t="s">
        <v>2</v>
      </c>
      <c r="C3451" s="46">
        <v>218900</v>
      </c>
      <c r="D3451" s="46">
        <v>199000</v>
      </c>
      <c r="E3451" s="46">
        <v>19900</v>
      </c>
      <c r="F3451" s="17" t="s">
        <v>860</v>
      </c>
      <c r="G3451" s="9">
        <v>45362</v>
      </c>
    </row>
    <row r="3452" spans="1:7">
      <c r="A3452" s="45">
        <v>45351</v>
      </c>
      <c r="B3452" s="14" t="s">
        <v>2</v>
      </c>
      <c r="C3452" s="46">
        <v>165000</v>
      </c>
      <c r="D3452" s="46">
        <v>150000</v>
      </c>
      <c r="E3452" s="46">
        <v>15000</v>
      </c>
      <c r="F3452" s="17" t="s">
        <v>938</v>
      </c>
      <c r="G3452" s="9">
        <v>45362</v>
      </c>
    </row>
    <row r="3453" spans="1:7">
      <c r="A3453" s="45">
        <v>45351</v>
      </c>
      <c r="B3453" s="14" t="s">
        <v>2</v>
      </c>
      <c r="C3453" s="46">
        <v>1114300</v>
      </c>
      <c r="D3453" s="46">
        <v>1013000</v>
      </c>
      <c r="E3453" s="46">
        <v>101300</v>
      </c>
      <c r="F3453" s="17" t="s">
        <v>859</v>
      </c>
      <c r="G3453" s="9">
        <v>45362</v>
      </c>
    </row>
    <row r="3454" spans="1:7">
      <c r="A3454" s="45">
        <v>45351</v>
      </c>
      <c r="B3454" s="14" t="s">
        <v>2</v>
      </c>
      <c r="C3454" s="46">
        <v>1881000</v>
      </c>
      <c r="D3454" s="46">
        <v>1710000</v>
      </c>
      <c r="E3454" s="46">
        <v>171000</v>
      </c>
      <c r="F3454" s="17" t="s">
        <v>858</v>
      </c>
      <c r="G3454" s="9">
        <v>45362</v>
      </c>
    </row>
    <row r="3455" spans="1:7">
      <c r="A3455" s="45">
        <v>45351</v>
      </c>
      <c r="B3455" s="14" t="s">
        <v>2</v>
      </c>
      <c r="C3455" s="46">
        <v>2572900</v>
      </c>
      <c r="D3455" s="46">
        <v>2339000</v>
      </c>
      <c r="E3455" s="46">
        <v>233900</v>
      </c>
      <c r="F3455" s="17" t="s">
        <v>999</v>
      </c>
      <c r="G3455" s="9">
        <v>45362</v>
      </c>
    </row>
    <row r="3456" spans="1:7">
      <c r="A3456" s="45">
        <v>45351</v>
      </c>
      <c r="B3456" s="14" t="s">
        <v>432</v>
      </c>
      <c r="C3456" s="46">
        <v>4374700</v>
      </c>
      <c r="D3456" s="46">
        <v>3977000</v>
      </c>
      <c r="E3456" s="46">
        <v>397700</v>
      </c>
      <c r="F3456" s="17" t="s">
        <v>757</v>
      </c>
      <c r="G3456" s="9">
        <v>45371</v>
      </c>
    </row>
    <row r="3457" spans="1:19">
      <c r="A3457" s="45">
        <v>45351</v>
      </c>
      <c r="B3457" s="14" t="s">
        <v>432</v>
      </c>
      <c r="C3457" s="46">
        <v>7385400</v>
      </c>
      <c r="D3457" s="46">
        <v>6714000</v>
      </c>
      <c r="E3457" s="46">
        <v>671400</v>
      </c>
      <c r="F3457" s="17" t="s">
        <v>165</v>
      </c>
      <c r="G3457" s="9">
        <v>45371</v>
      </c>
    </row>
    <row r="3458" spans="1:19">
      <c r="A3458" s="45">
        <v>45351</v>
      </c>
      <c r="B3458" s="14" t="s">
        <v>432</v>
      </c>
      <c r="C3458" s="46">
        <v>992200</v>
      </c>
      <c r="D3458" s="46">
        <v>902000</v>
      </c>
      <c r="E3458" s="46">
        <v>90200</v>
      </c>
      <c r="F3458" s="17" t="s">
        <v>811</v>
      </c>
      <c r="G3458" s="9">
        <v>45371</v>
      </c>
    </row>
    <row r="3459" spans="1:19">
      <c r="A3459" s="45">
        <v>45351</v>
      </c>
      <c r="B3459" s="14" t="s">
        <v>432</v>
      </c>
      <c r="C3459" s="46">
        <v>721600</v>
      </c>
      <c r="D3459" s="46">
        <v>656000</v>
      </c>
      <c r="E3459" s="46">
        <v>65600</v>
      </c>
      <c r="F3459" s="17" t="s">
        <v>255</v>
      </c>
      <c r="G3459" s="9">
        <v>45371</v>
      </c>
    </row>
    <row r="3460" spans="1:19">
      <c r="A3460" s="45">
        <v>45351</v>
      </c>
      <c r="B3460" s="14" t="s">
        <v>432</v>
      </c>
      <c r="C3460" s="46">
        <v>106700</v>
      </c>
      <c r="D3460" s="46">
        <v>97000</v>
      </c>
      <c r="E3460" s="46">
        <v>9700</v>
      </c>
      <c r="F3460" s="17" t="s">
        <v>969</v>
      </c>
      <c r="G3460" s="9">
        <v>45371</v>
      </c>
    </row>
    <row r="3461" spans="1:19">
      <c r="A3461" s="45">
        <v>45351</v>
      </c>
      <c r="B3461" s="14" t="s">
        <v>432</v>
      </c>
      <c r="C3461" s="46">
        <v>3192200</v>
      </c>
      <c r="D3461" s="46">
        <v>2902000</v>
      </c>
      <c r="E3461" s="46">
        <v>290200</v>
      </c>
      <c r="F3461" s="17" t="s">
        <v>968</v>
      </c>
      <c r="G3461" s="9">
        <v>45371</v>
      </c>
    </row>
    <row r="3462" spans="1:19">
      <c r="A3462" s="45">
        <v>45351</v>
      </c>
      <c r="B3462" s="14" t="s">
        <v>15</v>
      </c>
      <c r="C3462" s="46">
        <v>5099600</v>
      </c>
      <c r="D3462" s="46">
        <v>4636000</v>
      </c>
      <c r="E3462" s="46">
        <v>463600</v>
      </c>
      <c r="F3462" s="17" t="s">
        <v>459</v>
      </c>
      <c r="G3462" s="9">
        <v>45362</v>
      </c>
    </row>
    <row r="3463" spans="1:19">
      <c r="A3463" s="45">
        <v>45351</v>
      </c>
      <c r="B3463" s="14" t="s">
        <v>752</v>
      </c>
      <c r="C3463" s="46">
        <v>1430000</v>
      </c>
      <c r="D3463" s="46">
        <v>1300000</v>
      </c>
      <c r="E3463" s="46">
        <v>130000</v>
      </c>
      <c r="F3463" s="17" t="s">
        <v>753</v>
      </c>
      <c r="G3463" s="9">
        <v>45362</v>
      </c>
    </row>
    <row r="3464" spans="1:19">
      <c r="A3464" s="45">
        <v>45351</v>
      </c>
      <c r="B3464" s="14" t="s">
        <v>730</v>
      </c>
      <c r="C3464" s="46">
        <v>3811500</v>
      </c>
      <c r="D3464" s="46">
        <v>3465000</v>
      </c>
      <c r="E3464" s="46">
        <v>346500</v>
      </c>
      <c r="F3464" s="17" t="s">
        <v>457</v>
      </c>
      <c r="G3464" s="9">
        <v>45362</v>
      </c>
    </row>
    <row r="3465" spans="1:19">
      <c r="A3465" s="45">
        <v>45351</v>
      </c>
      <c r="B3465" s="14" t="s">
        <v>970</v>
      </c>
      <c r="C3465" s="46">
        <v>7128000</v>
      </c>
      <c r="D3465" s="46">
        <v>6480000</v>
      </c>
      <c r="E3465" s="46">
        <v>648000</v>
      </c>
      <c r="F3465" s="17" t="s">
        <v>1000</v>
      </c>
      <c r="G3465" s="9">
        <v>45359</v>
      </c>
    </row>
    <row r="3466" spans="1:19">
      <c r="A3466" s="45">
        <v>45351</v>
      </c>
      <c r="B3466" s="14" t="s">
        <v>970</v>
      </c>
      <c r="C3466" s="46">
        <v>1716000</v>
      </c>
      <c r="D3466" s="46">
        <v>1560000</v>
      </c>
      <c r="E3466" s="46">
        <v>156000</v>
      </c>
      <c r="F3466" s="17" t="s">
        <v>233</v>
      </c>
      <c r="G3466" s="9">
        <v>45359</v>
      </c>
      <c r="K3466" s="183"/>
    </row>
    <row r="3467" spans="1:19">
      <c r="A3467" s="45">
        <v>45351</v>
      </c>
      <c r="B3467" s="14" t="s">
        <v>1001</v>
      </c>
      <c r="C3467" s="46">
        <v>6699000</v>
      </c>
      <c r="D3467" s="46">
        <v>6090000</v>
      </c>
      <c r="E3467" s="46">
        <v>609000</v>
      </c>
      <c r="F3467" s="17" t="s">
        <v>1002</v>
      </c>
      <c r="G3467" s="9">
        <v>45362</v>
      </c>
    </row>
    <row r="3468" spans="1:19">
      <c r="A3468" s="45">
        <v>45351</v>
      </c>
      <c r="B3468" s="14" t="s">
        <v>805</v>
      </c>
      <c r="C3468" s="46">
        <v>8811000</v>
      </c>
      <c r="D3468" s="46">
        <v>8010000</v>
      </c>
      <c r="E3468" s="46">
        <v>801000</v>
      </c>
      <c r="F3468" s="17" t="s">
        <v>727</v>
      </c>
      <c r="G3468" s="9">
        <v>45366</v>
      </c>
    </row>
    <row r="3469" spans="1:19">
      <c r="A3469" s="45">
        <v>45351</v>
      </c>
      <c r="B3469" s="14" t="s">
        <v>984</v>
      </c>
      <c r="C3469" s="46">
        <v>4631000</v>
      </c>
      <c r="D3469" s="46">
        <v>4210000</v>
      </c>
      <c r="E3469" s="46">
        <v>421000</v>
      </c>
      <c r="F3469" s="17" t="s">
        <v>241</v>
      </c>
      <c r="G3469" s="9">
        <v>45362</v>
      </c>
    </row>
    <row r="3470" spans="1:19">
      <c r="A3470" s="45">
        <v>45351</v>
      </c>
      <c r="B3470" s="14" t="s">
        <v>155</v>
      </c>
      <c r="C3470" s="46">
        <v>1287000</v>
      </c>
      <c r="D3470" s="46">
        <v>1170000</v>
      </c>
      <c r="E3470" s="46">
        <v>117000</v>
      </c>
      <c r="F3470" s="17" t="s">
        <v>13</v>
      </c>
      <c r="G3470" s="9">
        <v>45394</v>
      </c>
      <c r="I3470" s="301" t="s">
        <v>991</v>
      </c>
      <c r="J3470" s="302"/>
      <c r="K3470" s="303"/>
    </row>
    <row r="3471" spans="1:19">
      <c r="A3471" s="45">
        <v>45351</v>
      </c>
      <c r="B3471" s="14" t="s">
        <v>17</v>
      </c>
      <c r="C3471" s="46">
        <v>374000</v>
      </c>
      <c r="D3471" s="46">
        <v>340000</v>
      </c>
      <c r="E3471" s="46">
        <v>34000</v>
      </c>
      <c r="F3471" s="17" t="s">
        <v>13</v>
      </c>
      <c r="G3471" s="9">
        <v>45359</v>
      </c>
      <c r="I3471" s="18" t="s">
        <v>46</v>
      </c>
      <c r="J3471" s="177" t="s">
        <v>47</v>
      </c>
      <c r="K3471" s="177" t="s">
        <v>48</v>
      </c>
    </row>
    <row r="3472" spans="1:19">
      <c r="A3472" s="119">
        <v>45351</v>
      </c>
      <c r="B3472" s="42" t="s">
        <v>996</v>
      </c>
      <c r="C3472" s="118">
        <v>8150070</v>
      </c>
      <c r="D3472" s="118">
        <v>8150070</v>
      </c>
      <c r="E3472" s="118">
        <v>0</v>
      </c>
      <c r="F3472" s="51" t="s">
        <v>1008</v>
      </c>
      <c r="G3472" s="10">
        <v>45358</v>
      </c>
      <c r="H3472" s="51"/>
      <c r="I3472" s="18">
        <f>SUM(C3427:C3472)</f>
        <v>345911608</v>
      </c>
      <c r="J3472" s="18">
        <f>SUM(D3427:D3472)</f>
        <v>317366392</v>
      </c>
      <c r="K3472" s="18">
        <f>SUM(E3427:E3472)</f>
        <v>28545216</v>
      </c>
      <c r="L3472" s="42"/>
      <c r="M3472" s="42"/>
      <c r="N3472" s="42"/>
      <c r="O3472" s="42"/>
      <c r="P3472" s="42"/>
      <c r="Q3472" s="42"/>
      <c r="R3472" s="42"/>
      <c r="S3472" s="42"/>
    </row>
    <row r="3473" spans="1:7">
      <c r="A3473" s="45">
        <v>45352</v>
      </c>
      <c r="B3473" s="14" t="s">
        <v>958</v>
      </c>
      <c r="C3473" s="46">
        <v>8751070</v>
      </c>
      <c r="D3473" s="46">
        <v>8751070</v>
      </c>
      <c r="E3473" s="46">
        <v>0</v>
      </c>
      <c r="F3473" s="17" t="s">
        <v>1008</v>
      </c>
      <c r="G3473" s="9">
        <v>45358</v>
      </c>
    </row>
    <row r="3474" spans="1:7">
      <c r="A3474" s="45">
        <v>45361</v>
      </c>
      <c r="B3474" s="184" t="s">
        <v>2</v>
      </c>
      <c r="C3474" s="46">
        <v>11511500</v>
      </c>
      <c r="D3474" s="46">
        <v>10465000</v>
      </c>
      <c r="E3474" s="46">
        <v>1046500</v>
      </c>
      <c r="F3474" s="17" t="s">
        <v>456</v>
      </c>
      <c r="G3474" s="9">
        <v>45371</v>
      </c>
    </row>
    <row r="3475" spans="1:7">
      <c r="A3475" s="45">
        <v>45366</v>
      </c>
      <c r="B3475" s="14" t="s">
        <v>2</v>
      </c>
      <c r="C3475" s="46">
        <v>16500000</v>
      </c>
      <c r="D3475" s="46">
        <v>15000000</v>
      </c>
      <c r="E3475" s="46">
        <v>1500000</v>
      </c>
      <c r="F3475" s="17" t="s">
        <v>611</v>
      </c>
      <c r="G3475" s="9">
        <v>45380</v>
      </c>
    </row>
    <row r="3476" spans="1:7">
      <c r="A3476" s="45">
        <v>45366</v>
      </c>
      <c r="B3476" s="14" t="s">
        <v>2</v>
      </c>
      <c r="C3476" s="46">
        <v>2244000</v>
      </c>
      <c r="D3476" s="46">
        <v>2040000</v>
      </c>
      <c r="E3476" s="46">
        <v>204000</v>
      </c>
      <c r="F3476" s="17" t="s">
        <v>646</v>
      </c>
      <c r="G3476" s="9">
        <v>45380</v>
      </c>
    </row>
    <row r="3477" spans="1:7">
      <c r="A3477" s="45">
        <v>45366</v>
      </c>
      <c r="B3477" s="14" t="s">
        <v>2</v>
      </c>
      <c r="C3477" s="46">
        <v>4864200</v>
      </c>
      <c r="D3477" s="46">
        <v>4422000</v>
      </c>
      <c r="E3477" s="46">
        <v>442200</v>
      </c>
      <c r="F3477" s="17" t="s">
        <v>315</v>
      </c>
      <c r="G3477" s="9">
        <v>45371</v>
      </c>
    </row>
    <row r="3478" spans="1:7">
      <c r="A3478" s="45">
        <v>45366</v>
      </c>
      <c r="B3478" s="14" t="s">
        <v>2</v>
      </c>
      <c r="C3478" s="46">
        <v>14483700</v>
      </c>
      <c r="D3478" s="46">
        <v>13167000</v>
      </c>
      <c r="E3478" s="46">
        <v>1316700</v>
      </c>
      <c r="F3478" s="17" t="s">
        <v>734</v>
      </c>
      <c r="G3478" s="9">
        <v>45380</v>
      </c>
    </row>
    <row r="3479" spans="1:7">
      <c r="A3479" s="45">
        <v>45366</v>
      </c>
      <c r="B3479" s="14" t="s">
        <v>2</v>
      </c>
      <c r="C3479" s="46">
        <v>528000</v>
      </c>
      <c r="D3479" s="46">
        <v>480000</v>
      </c>
      <c r="E3479" s="46">
        <v>48000</v>
      </c>
      <c r="F3479" s="17" t="s">
        <v>756</v>
      </c>
      <c r="G3479" s="9">
        <v>45371</v>
      </c>
    </row>
    <row r="3480" spans="1:7">
      <c r="A3480" s="45">
        <v>45366</v>
      </c>
      <c r="B3480" s="14" t="s">
        <v>2</v>
      </c>
      <c r="C3480" s="46">
        <v>17839800</v>
      </c>
      <c r="D3480" s="46">
        <v>16218000</v>
      </c>
      <c r="E3480" s="46">
        <v>1621800</v>
      </c>
      <c r="F3480" s="17" t="s">
        <v>424</v>
      </c>
      <c r="G3480" s="9">
        <v>45371</v>
      </c>
    </row>
    <row r="3481" spans="1:7">
      <c r="A3481" s="45">
        <v>45371</v>
      </c>
      <c r="B3481" s="14" t="s">
        <v>2</v>
      </c>
      <c r="C3481" s="46">
        <v>5456000</v>
      </c>
      <c r="D3481" s="46">
        <v>4960000</v>
      </c>
      <c r="E3481" s="46">
        <v>496000</v>
      </c>
      <c r="F3481" s="17" t="s">
        <v>456</v>
      </c>
      <c r="G3481" s="9">
        <v>45380</v>
      </c>
    </row>
    <row r="3482" spans="1:7">
      <c r="A3482" s="45">
        <v>45372</v>
      </c>
      <c r="B3482" s="14" t="s">
        <v>921</v>
      </c>
      <c r="C3482" s="46">
        <v>10792930</v>
      </c>
      <c r="D3482" s="46">
        <v>10792930</v>
      </c>
      <c r="E3482" s="46">
        <v>0</v>
      </c>
      <c r="F3482" s="17" t="s">
        <v>1010</v>
      </c>
      <c r="G3482" s="9">
        <v>45380</v>
      </c>
    </row>
    <row r="3483" spans="1:7">
      <c r="A3483" s="45">
        <v>45372</v>
      </c>
      <c r="B3483" s="14" t="s">
        <v>902</v>
      </c>
      <c r="C3483" s="46">
        <v>4769740</v>
      </c>
      <c r="D3483" s="46">
        <v>4769740</v>
      </c>
      <c r="E3483" s="46">
        <v>0</v>
      </c>
      <c r="F3483" s="17" t="s">
        <v>1011</v>
      </c>
      <c r="G3483" s="9">
        <v>45380</v>
      </c>
    </row>
    <row r="3484" spans="1:7">
      <c r="A3484" s="45">
        <v>45375</v>
      </c>
      <c r="B3484" s="14" t="s">
        <v>769</v>
      </c>
      <c r="C3484" s="46">
        <v>54063900</v>
      </c>
      <c r="D3484" s="46">
        <v>49149000</v>
      </c>
      <c r="E3484" s="46">
        <v>4914900</v>
      </c>
      <c r="F3484" s="17" t="s">
        <v>387</v>
      </c>
      <c r="G3484" s="9">
        <v>45391</v>
      </c>
    </row>
    <row r="3485" spans="1:7">
      <c r="A3485" s="45">
        <v>45375</v>
      </c>
      <c r="B3485" s="14" t="s">
        <v>769</v>
      </c>
      <c r="C3485" s="46">
        <v>2305600</v>
      </c>
      <c r="D3485" s="46">
        <v>2096000</v>
      </c>
      <c r="E3485" s="46">
        <v>209600</v>
      </c>
      <c r="F3485" s="17" t="s">
        <v>386</v>
      </c>
      <c r="G3485" s="9">
        <v>45391</v>
      </c>
    </row>
    <row r="3486" spans="1:7">
      <c r="A3486" s="45">
        <v>45375</v>
      </c>
      <c r="B3486" s="14" t="s">
        <v>769</v>
      </c>
      <c r="C3486" s="46">
        <v>23460800</v>
      </c>
      <c r="D3486" s="46">
        <v>21328000</v>
      </c>
      <c r="E3486" s="46">
        <v>2132800</v>
      </c>
      <c r="F3486" s="17" t="s">
        <v>705</v>
      </c>
      <c r="G3486" s="9">
        <v>45391</v>
      </c>
    </row>
    <row r="3487" spans="1:7">
      <c r="A3487" s="45">
        <v>45375</v>
      </c>
      <c r="B3487" s="14" t="s">
        <v>769</v>
      </c>
      <c r="C3487" s="46">
        <v>14867600</v>
      </c>
      <c r="D3487" s="46">
        <v>13516000</v>
      </c>
      <c r="E3487" s="46">
        <v>1351600</v>
      </c>
      <c r="F3487" s="17" t="s">
        <v>305</v>
      </c>
      <c r="G3487" s="9">
        <v>45391</v>
      </c>
    </row>
    <row r="3488" spans="1:7">
      <c r="A3488" s="45">
        <v>45375</v>
      </c>
      <c r="B3488" s="14" t="s">
        <v>769</v>
      </c>
      <c r="C3488" s="46">
        <v>10074759</v>
      </c>
      <c r="D3488" s="46">
        <v>9158872</v>
      </c>
      <c r="E3488" s="46">
        <v>915887</v>
      </c>
      <c r="F3488" s="17" t="s">
        <v>794</v>
      </c>
      <c r="G3488" s="9">
        <v>45391</v>
      </c>
    </row>
    <row r="3489" spans="1:17">
      <c r="A3489" s="45">
        <v>45375</v>
      </c>
      <c r="B3489" s="14" t="s">
        <v>769</v>
      </c>
      <c r="C3489" s="46">
        <v>4433000</v>
      </c>
      <c r="D3489" s="46">
        <v>4030000</v>
      </c>
      <c r="E3489" s="46">
        <v>403000</v>
      </c>
      <c r="F3489" s="17" t="s">
        <v>980</v>
      </c>
      <c r="G3489" s="9">
        <v>45391</v>
      </c>
    </row>
    <row r="3490" spans="1:17">
      <c r="A3490" s="45">
        <v>45376</v>
      </c>
      <c r="B3490" s="185" t="s">
        <v>719</v>
      </c>
      <c r="C3490" s="46">
        <v>396000</v>
      </c>
      <c r="D3490" s="46">
        <v>360000</v>
      </c>
      <c r="E3490" s="46">
        <v>36000</v>
      </c>
      <c r="F3490" s="17" t="s">
        <v>1007</v>
      </c>
      <c r="G3490" s="9">
        <v>45401</v>
      </c>
    </row>
    <row r="3491" spans="1:17">
      <c r="A3491" s="45" t="s">
        <v>1013</v>
      </c>
      <c r="B3491" s="187" t="s">
        <v>996</v>
      </c>
      <c r="C3491" s="46">
        <v>8203450</v>
      </c>
      <c r="D3491" s="46">
        <v>8203450</v>
      </c>
      <c r="E3491" s="46">
        <v>0</v>
      </c>
      <c r="F3491" s="17" t="s">
        <v>1014</v>
      </c>
      <c r="G3491" s="9">
        <v>45390</v>
      </c>
      <c r="K3491" s="187"/>
      <c r="L3491" s="187"/>
      <c r="M3491" s="187"/>
      <c r="N3491" s="187"/>
      <c r="O3491" s="187"/>
      <c r="P3491" s="187"/>
      <c r="Q3491" s="187"/>
    </row>
    <row r="3492" spans="1:17">
      <c r="A3492" s="45">
        <v>45382</v>
      </c>
      <c r="B3492" s="14" t="s">
        <v>2</v>
      </c>
      <c r="C3492" s="46">
        <v>18612000</v>
      </c>
      <c r="D3492" s="46">
        <v>16920000</v>
      </c>
      <c r="E3492" s="46">
        <v>1692000</v>
      </c>
      <c r="F3492" s="17" t="s">
        <v>611</v>
      </c>
      <c r="G3492" s="9">
        <v>45393</v>
      </c>
    </row>
    <row r="3493" spans="1:17">
      <c r="A3493" s="45">
        <v>45382</v>
      </c>
      <c r="B3493" s="14" t="s">
        <v>2</v>
      </c>
      <c r="C3493" s="46">
        <v>2068000</v>
      </c>
      <c r="D3493" s="46">
        <v>1880000</v>
      </c>
      <c r="E3493" s="46">
        <v>188000</v>
      </c>
      <c r="F3493" s="17" t="s">
        <v>646</v>
      </c>
      <c r="G3493" s="9">
        <v>45393</v>
      </c>
    </row>
    <row r="3494" spans="1:17">
      <c r="A3494" s="45">
        <v>45382</v>
      </c>
      <c r="B3494" s="14" t="s">
        <v>2</v>
      </c>
      <c r="C3494" s="46">
        <v>4924700</v>
      </c>
      <c r="D3494" s="46">
        <v>4477000</v>
      </c>
      <c r="E3494" s="46">
        <v>447700</v>
      </c>
      <c r="F3494" s="17" t="s">
        <v>315</v>
      </c>
      <c r="G3494" s="9">
        <v>45393</v>
      </c>
    </row>
    <row r="3495" spans="1:17">
      <c r="A3495" s="45">
        <v>45382</v>
      </c>
      <c r="B3495" s="14" t="s">
        <v>2</v>
      </c>
      <c r="C3495" s="46">
        <v>11644600</v>
      </c>
      <c r="D3495" s="46">
        <v>10586000</v>
      </c>
      <c r="E3495" s="46">
        <v>1058600</v>
      </c>
      <c r="F3495" s="17" t="s">
        <v>734</v>
      </c>
      <c r="G3495" s="9">
        <v>45393</v>
      </c>
    </row>
    <row r="3496" spans="1:17">
      <c r="A3496" s="45">
        <v>45382</v>
      </c>
      <c r="B3496" s="14" t="s">
        <v>2</v>
      </c>
      <c r="C3496" s="46">
        <v>792000</v>
      </c>
      <c r="D3496" s="46">
        <v>720000</v>
      </c>
      <c r="E3496" s="46">
        <v>72000</v>
      </c>
      <c r="F3496" s="17" t="s">
        <v>756</v>
      </c>
      <c r="G3496" s="9">
        <v>45393</v>
      </c>
    </row>
    <row r="3497" spans="1:17">
      <c r="A3497" s="45">
        <v>45382</v>
      </c>
      <c r="B3497" s="14" t="s">
        <v>2</v>
      </c>
      <c r="C3497" s="46">
        <v>19937500</v>
      </c>
      <c r="D3497" s="46">
        <v>18125000</v>
      </c>
      <c r="E3497" s="46">
        <v>1812500</v>
      </c>
      <c r="F3497" s="17" t="s">
        <v>424</v>
      </c>
      <c r="G3497" s="9">
        <v>45393</v>
      </c>
    </row>
    <row r="3498" spans="1:17">
      <c r="A3498" s="45">
        <v>45382</v>
      </c>
      <c r="B3498" s="14" t="s">
        <v>2</v>
      </c>
      <c r="C3498" s="46">
        <v>6506500</v>
      </c>
      <c r="D3498" s="46">
        <v>5915000</v>
      </c>
      <c r="E3498" s="46">
        <v>591500</v>
      </c>
      <c r="F3498" s="17" t="s">
        <v>456</v>
      </c>
      <c r="G3498" s="9">
        <v>45393</v>
      </c>
    </row>
    <row r="3499" spans="1:17">
      <c r="A3499" s="45">
        <v>45382</v>
      </c>
      <c r="B3499" s="14" t="s">
        <v>2</v>
      </c>
      <c r="C3499" s="46">
        <v>82500</v>
      </c>
      <c r="D3499" s="46">
        <v>75000</v>
      </c>
      <c r="E3499" s="46">
        <v>7500</v>
      </c>
      <c r="F3499" s="17" t="s">
        <v>860</v>
      </c>
      <c r="G3499" s="9">
        <v>45393</v>
      </c>
    </row>
    <row r="3500" spans="1:17">
      <c r="A3500" s="45">
        <v>45382</v>
      </c>
      <c r="B3500" s="14" t="s">
        <v>2</v>
      </c>
      <c r="C3500" s="46">
        <v>458700</v>
      </c>
      <c r="D3500" s="46">
        <v>417000</v>
      </c>
      <c r="E3500" s="46">
        <v>41700</v>
      </c>
      <c r="F3500" s="17" t="s">
        <v>938</v>
      </c>
      <c r="G3500" s="9">
        <v>45393</v>
      </c>
    </row>
    <row r="3501" spans="1:17">
      <c r="A3501" s="45">
        <v>45382</v>
      </c>
      <c r="B3501" s="14" t="s">
        <v>2</v>
      </c>
      <c r="C3501" s="46">
        <v>1797400</v>
      </c>
      <c r="D3501" s="46">
        <v>1634000</v>
      </c>
      <c r="E3501" s="46">
        <v>163400</v>
      </c>
      <c r="F3501" s="17" t="s">
        <v>859</v>
      </c>
      <c r="G3501" s="9">
        <v>45393</v>
      </c>
    </row>
    <row r="3502" spans="1:17">
      <c r="A3502" s="45">
        <v>45382</v>
      </c>
      <c r="B3502" s="14" t="s">
        <v>2</v>
      </c>
      <c r="C3502" s="46">
        <v>638000</v>
      </c>
      <c r="D3502" s="46">
        <v>580000</v>
      </c>
      <c r="E3502" s="46">
        <v>58000</v>
      </c>
      <c r="F3502" s="17" t="s">
        <v>858</v>
      </c>
      <c r="G3502" s="9">
        <v>45393</v>
      </c>
    </row>
    <row r="3503" spans="1:17">
      <c r="A3503" s="45">
        <v>45382</v>
      </c>
      <c r="B3503" s="14" t="s">
        <v>2</v>
      </c>
      <c r="C3503" s="46">
        <v>1212200</v>
      </c>
      <c r="D3503" s="46">
        <v>1102000</v>
      </c>
      <c r="E3503" s="46">
        <v>110200</v>
      </c>
      <c r="F3503" s="17" t="s">
        <v>999</v>
      </c>
      <c r="G3503" s="9">
        <v>45393</v>
      </c>
    </row>
    <row r="3504" spans="1:17">
      <c r="A3504" s="45">
        <v>45382</v>
      </c>
      <c r="B3504" s="14" t="s">
        <v>730</v>
      </c>
      <c r="C3504" s="46">
        <v>3821400</v>
      </c>
      <c r="D3504" s="46">
        <v>3474000</v>
      </c>
      <c r="E3504" s="46">
        <v>347400</v>
      </c>
      <c r="F3504" s="17" t="s">
        <v>457</v>
      </c>
      <c r="G3504" s="9">
        <v>45393</v>
      </c>
    </row>
    <row r="3505" spans="1:11">
      <c r="A3505" s="45">
        <v>45382</v>
      </c>
      <c r="B3505" s="14" t="s">
        <v>15</v>
      </c>
      <c r="C3505" s="46">
        <v>4428600</v>
      </c>
      <c r="D3505" s="46">
        <v>4026000</v>
      </c>
      <c r="E3505" s="46">
        <v>402600</v>
      </c>
      <c r="F3505" s="17" t="s">
        <v>459</v>
      </c>
      <c r="G3505" s="9">
        <v>45393</v>
      </c>
    </row>
    <row r="3506" spans="1:11">
      <c r="A3506" s="45">
        <v>45382</v>
      </c>
      <c r="B3506" s="14" t="s">
        <v>752</v>
      </c>
      <c r="C3506" s="46">
        <v>2249500</v>
      </c>
      <c r="D3506" s="46">
        <v>2045000</v>
      </c>
      <c r="E3506" s="46">
        <v>204500</v>
      </c>
      <c r="F3506" s="17" t="s">
        <v>753</v>
      </c>
      <c r="G3506" s="9">
        <v>45393</v>
      </c>
    </row>
    <row r="3507" spans="1:11">
      <c r="A3507" s="45">
        <v>45382</v>
      </c>
      <c r="B3507" s="14" t="s">
        <v>432</v>
      </c>
      <c r="C3507" s="46">
        <v>5335000</v>
      </c>
      <c r="D3507" s="46">
        <v>4850000</v>
      </c>
      <c r="E3507" s="46">
        <v>485000</v>
      </c>
      <c r="F3507" s="17" t="s">
        <v>757</v>
      </c>
      <c r="G3507" s="9">
        <v>45399</v>
      </c>
    </row>
    <row r="3508" spans="1:11">
      <c r="A3508" s="45">
        <v>45382</v>
      </c>
      <c r="B3508" s="14" t="s">
        <v>432</v>
      </c>
      <c r="C3508" s="46">
        <v>5324000</v>
      </c>
      <c r="D3508" s="46">
        <v>4840000</v>
      </c>
      <c r="E3508" s="46">
        <v>484000</v>
      </c>
      <c r="F3508" s="17" t="s">
        <v>165</v>
      </c>
      <c r="G3508" s="9">
        <v>45399</v>
      </c>
    </row>
    <row r="3509" spans="1:11">
      <c r="A3509" s="45">
        <v>45382</v>
      </c>
      <c r="B3509" s="14" t="s">
        <v>432</v>
      </c>
      <c r="C3509" s="46">
        <v>1342000</v>
      </c>
      <c r="D3509" s="46">
        <v>1220000</v>
      </c>
      <c r="E3509" s="46">
        <v>122000</v>
      </c>
      <c r="F3509" s="17" t="s">
        <v>811</v>
      </c>
      <c r="G3509" s="9">
        <v>45399</v>
      </c>
    </row>
    <row r="3510" spans="1:11">
      <c r="A3510" s="45">
        <v>45382</v>
      </c>
      <c r="B3510" s="14" t="s">
        <v>432</v>
      </c>
      <c r="C3510" s="46">
        <v>1320000</v>
      </c>
      <c r="D3510" s="46">
        <v>1200000</v>
      </c>
      <c r="E3510" s="46">
        <v>120000</v>
      </c>
      <c r="F3510" s="17" t="s">
        <v>255</v>
      </c>
      <c r="G3510" s="9">
        <v>45399</v>
      </c>
    </row>
    <row r="3511" spans="1:11">
      <c r="A3511" s="45">
        <v>45382</v>
      </c>
      <c r="B3511" s="14" t="s">
        <v>432</v>
      </c>
      <c r="C3511" s="46">
        <v>213400</v>
      </c>
      <c r="D3511" s="46">
        <v>194000</v>
      </c>
      <c r="E3511" s="46">
        <v>19400</v>
      </c>
      <c r="F3511" s="17" t="s">
        <v>1017</v>
      </c>
      <c r="G3511" s="9">
        <v>45394</v>
      </c>
    </row>
    <row r="3512" spans="1:11">
      <c r="A3512" s="45">
        <v>45382</v>
      </c>
      <c r="B3512" s="14" t="s">
        <v>432</v>
      </c>
      <c r="C3512" s="46">
        <v>533500</v>
      </c>
      <c r="D3512" s="46">
        <v>485000</v>
      </c>
      <c r="E3512" s="46">
        <v>48500</v>
      </c>
      <c r="F3512" s="17" t="s">
        <v>969</v>
      </c>
      <c r="G3512" s="9">
        <v>45394</v>
      </c>
      <c r="K3512" s="187"/>
    </row>
    <row r="3513" spans="1:11">
      <c r="A3513" s="45">
        <v>45382</v>
      </c>
      <c r="B3513" s="14" t="s">
        <v>432</v>
      </c>
      <c r="C3513" s="46">
        <v>4326300</v>
      </c>
      <c r="D3513" s="46">
        <v>3933000</v>
      </c>
      <c r="E3513" s="46">
        <v>393300</v>
      </c>
      <c r="F3513" s="17" t="s">
        <v>968</v>
      </c>
      <c r="G3513" s="9">
        <v>45399</v>
      </c>
      <c r="K3513" s="187"/>
    </row>
    <row r="3514" spans="1:11">
      <c r="A3514" s="45">
        <v>45382</v>
      </c>
      <c r="B3514" s="14" t="s">
        <v>1001</v>
      </c>
      <c r="C3514" s="46">
        <v>7161000</v>
      </c>
      <c r="D3514" s="46">
        <v>6510000</v>
      </c>
      <c r="E3514" s="46">
        <v>651000</v>
      </c>
      <c r="F3514" s="17" t="s">
        <v>1002</v>
      </c>
      <c r="G3514" s="9">
        <v>45386</v>
      </c>
      <c r="K3514" s="187"/>
    </row>
    <row r="3515" spans="1:11">
      <c r="A3515" s="45">
        <v>45382</v>
      </c>
      <c r="B3515" s="14" t="s">
        <v>805</v>
      </c>
      <c r="C3515" s="46">
        <v>10296000</v>
      </c>
      <c r="D3515" s="46">
        <v>9360000</v>
      </c>
      <c r="E3515" s="46">
        <v>936000</v>
      </c>
      <c r="F3515" s="17" t="s">
        <v>727</v>
      </c>
      <c r="G3515" s="9">
        <v>45397</v>
      </c>
      <c r="K3515" s="187"/>
    </row>
    <row r="3516" spans="1:11">
      <c r="A3516" s="45">
        <v>45382</v>
      </c>
      <c r="B3516" s="14" t="s">
        <v>984</v>
      </c>
      <c r="C3516" s="46">
        <v>792000</v>
      </c>
      <c r="D3516" s="46">
        <v>720000</v>
      </c>
      <c r="E3516" s="46">
        <v>72000</v>
      </c>
      <c r="F3516" s="17" t="s">
        <v>241</v>
      </c>
      <c r="G3516" s="9">
        <v>45393</v>
      </c>
    </row>
    <row r="3517" spans="1:11">
      <c r="A3517" s="45">
        <v>45382</v>
      </c>
      <c r="B3517" s="14" t="s">
        <v>436</v>
      </c>
      <c r="C3517" s="46">
        <v>106700</v>
      </c>
      <c r="D3517" s="46">
        <v>97000</v>
      </c>
      <c r="E3517" s="46">
        <v>9700</v>
      </c>
      <c r="F3517" s="17" t="s">
        <v>763</v>
      </c>
      <c r="G3517" s="9">
        <v>45393</v>
      </c>
    </row>
    <row r="3518" spans="1:11">
      <c r="A3518" s="45">
        <v>45382</v>
      </c>
      <c r="B3518" s="14" t="s">
        <v>970</v>
      </c>
      <c r="C3518" s="46">
        <v>6204000</v>
      </c>
      <c r="D3518" s="46">
        <v>5640000</v>
      </c>
      <c r="E3518" s="46">
        <v>564000</v>
      </c>
      <c r="F3518" s="17" t="s">
        <v>1000</v>
      </c>
      <c r="G3518" s="9">
        <v>45387</v>
      </c>
    </row>
    <row r="3519" spans="1:11">
      <c r="A3519" s="45">
        <v>45382</v>
      </c>
      <c r="B3519" s="14" t="s">
        <v>970</v>
      </c>
      <c r="C3519" s="46">
        <v>631400</v>
      </c>
      <c r="D3519" s="46">
        <v>574000</v>
      </c>
      <c r="E3519" s="46">
        <v>57400</v>
      </c>
      <c r="F3519" s="17" t="s">
        <v>233</v>
      </c>
      <c r="G3519" s="9">
        <v>45387</v>
      </c>
      <c r="I3519" s="301" t="s">
        <v>1015</v>
      </c>
      <c r="J3519" s="302"/>
      <c r="K3519" s="303"/>
    </row>
    <row r="3520" spans="1:11">
      <c r="A3520" s="45">
        <v>45382</v>
      </c>
      <c r="B3520" s="14" t="s">
        <v>155</v>
      </c>
      <c r="C3520" s="46">
        <v>1144000</v>
      </c>
      <c r="D3520" s="46">
        <v>1040000</v>
      </c>
      <c r="E3520" s="46">
        <v>104000</v>
      </c>
      <c r="F3520" s="17" t="s">
        <v>13</v>
      </c>
      <c r="G3520" s="9">
        <v>45412</v>
      </c>
      <c r="I3520" s="18" t="s">
        <v>46</v>
      </c>
      <c r="J3520" s="182" t="s">
        <v>47</v>
      </c>
      <c r="K3520" s="182" t="s">
        <v>48</v>
      </c>
    </row>
    <row r="3521" spans="1:19">
      <c r="A3521" s="119">
        <v>45382</v>
      </c>
      <c r="B3521" s="42" t="s">
        <v>82</v>
      </c>
      <c r="C3521" s="118">
        <v>484000</v>
      </c>
      <c r="D3521" s="118">
        <v>440000</v>
      </c>
      <c r="E3521" s="118">
        <v>44000</v>
      </c>
      <c r="F3521" s="51" t="s">
        <v>13</v>
      </c>
      <c r="G3521" s="51" t="s">
        <v>1023</v>
      </c>
      <c r="H3521" s="51"/>
      <c r="I3521" s="18">
        <f>SUM(C3473:C3521)</f>
        <v>339932949</v>
      </c>
      <c r="J3521" s="18">
        <f>SUM(D3473:D3521)</f>
        <v>311986062</v>
      </c>
      <c r="K3521" s="18">
        <f>SUM(E3473:E3521)</f>
        <v>27946887</v>
      </c>
      <c r="L3521" s="42"/>
      <c r="M3521" s="42"/>
      <c r="N3521" s="42"/>
      <c r="O3521" s="42"/>
      <c r="P3521" s="42"/>
      <c r="Q3521" s="42"/>
      <c r="R3521" s="42"/>
      <c r="S3521" s="42"/>
    </row>
    <row r="3522" spans="1:19">
      <c r="A3522" s="45">
        <v>45383</v>
      </c>
      <c r="B3522" s="14" t="s">
        <v>958</v>
      </c>
      <c r="C3522" s="46">
        <v>8741470</v>
      </c>
      <c r="D3522" s="46">
        <v>8741470</v>
      </c>
      <c r="E3522" s="46">
        <v>0</v>
      </c>
      <c r="F3522" s="17" t="s">
        <v>1014</v>
      </c>
      <c r="G3522" s="9">
        <v>45391</v>
      </c>
    </row>
    <row r="3523" spans="1:19">
      <c r="A3523" s="45">
        <v>45397</v>
      </c>
      <c r="B3523" s="14" t="s">
        <v>2</v>
      </c>
      <c r="C3523" s="46">
        <v>15312000</v>
      </c>
      <c r="D3523" s="46">
        <v>13920000</v>
      </c>
      <c r="E3523" s="46">
        <v>1392000</v>
      </c>
      <c r="F3523" s="17" t="s">
        <v>611</v>
      </c>
      <c r="G3523" s="9">
        <v>45412</v>
      </c>
    </row>
    <row r="3524" spans="1:19">
      <c r="A3524" s="45">
        <v>45397</v>
      </c>
      <c r="B3524" s="14" t="s">
        <v>2</v>
      </c>
      <c r="C3524" s="46">
        <v>2112000</v>
      </c>
      <c r="D3524" s="46">
        <v>1920000</v>
      </c>
      <c r="E3524" s="46">
        <v>192000</v>
      </c>
      <c r="F3524" s="17" t="s">
        <v>646</v>
      </c>
      <c r="G3524" s="9">
        <v>45420</v>
      </c>
    </row>
    <row r="3525" spans="1:19">
      <c r="A3525" s="45">
        <v>45397</v>
      </c>
      <c r="B3525" s="14" t="s">
        <v>2</v>
      </c>
      <c r="C3525" s="46">
        <v>4658500</v>
      </c>
      <c r="D3525" s="46">
        <v>4235000</v>
      </c>
      <c r="E3525" s="46">
        <v>423500</v>
      </c>
      <c r="F3525" s="17" t="s">
        <v>315</v>
      </c>
      <c r="G3525" s="9">
        <v>45404</v>
      </c>
    </row>
    <row r="3526" spans="1:19">
      <c r="A3526" s="45">
        <v>45397</v>
      </c>
      <c r="B3526" s="14" t="s">
        <v>2</v>
      </c>
      <c r="C3526" s="46">
        <v>9141000</v>
      </c>
      <c r="D3526" s="46">
        <v>8310000</v>
      </c>
      <c r="E3526" s="46">
        <v>831000</v>
      </c>
      <c r="F3526" s="17" t="s">
        <v>734</v>
      </c>
      <c r="G3526" s="9">
        <v>45404</v>
      </c>
    </row>
    <row r="3527" spans="1:19">
      <c r="A3527" s="45">
        <v>45397</v>
      </c>
      <c r="B3527" s="14" t="s">
        <v>2</v>
      </c>
      <c r="C3527" s="46">
        <v>528000</v>
      </c>
      <c r="D3527" s="46">
        <v>480000</v>
      </c>
      <c r="E3527" s="46">
        <v>48000</v>
      </c>
      <c r="F3527" s="17" t="s">
        <v>756</v>
      </c>
      <c r="G3527" s="9">
        <v>45404</v>
      </c>
    </row>
    <row r="3528" spans="1:19">
      <c r="A3528" s="45">
        <v>45397</v>
      </c>
      <c r="B3528" s="14" t="s">
        <v>2</v>
      </c>
      <c r="C3528" s="46">
        <v>16825600</v>
      </c>
      <c r="D3528" s="46">
        <v>15296000</v>
      </c>
      <c r="E3528" s="46">
        <v>1529600</v>
      </c>
      <c r="F3528" s="17" t="s">
        <v>424</v>
      </c>
      <c r="G3528" s="9">
        <v>45404</v>
      </c>
    </row>
    <row r="3529" spans="1:19">
      <c r="A3529" s="45">
        <v>45397</v>
      </c>
      <c r="B3529" s="14" t="s">
        <v>2</v>
      </c>
      <c r="C3529" s="46">
        <v>17561500</v>
      </c>
      <c r="D3529" s="46">
        <v>15965000</v>
      </c>
      <c r="E3529" s="46">
        <v>1596500</v>
      </c>
      <c r="F3529" s="17" t="s">
        <v>456</v>
      </c>
      <c r="G3529" s="9">
        <v>45404</v>
      </c>
    </row>
    <row r="3530" spans="1:19">
      <c r="A3530" s="45">
        <v>45406</v>
      </c>
      <c r="B3530" s="14" t="s">
        <v>769</v>
      </c>
      <c r="C3530" s="46">
        <v>59881800</v>
      </c>
      <c r="D3530" s="46">
        <v>54438000</v>
      </c>
      <c r="E3530" s="46">
        <v>5443800</v>
      </c>
      <c r="F3530" s="17" t="s">
        <v>387</v>
      </c>
      <c r="G3530" s="9">
        <v>45422</v>
      </c>
    </row>
    <row r="3531" spans="1:19">
      <c r="A3531" s="45">
        <v>45406</v>
      </c>
      <c r="B3531" s="14" t="s">
        <v>769</v>
      </c>
      <c r="C3531" s="46">
        <v>2050400</v>
      </c>
      <c r="D3531" s="46">
        <v>1864000</v>
      </c>
      <c r="E3531" s="46">
        <v>186400</v>
      </c>
      <c r="F3531" s="17" t="s">
        <v>386</v>
      </c>
      <c r="G3531" s="9">
        <v>45422</v>
      </c>
    </row>
    <row r="3532" spans="1:19">
      <c r="A3532" s="45">
        <v>45406</v>
      </c>
      <c r="B3532" s="14" t="s">
        <v>769</v>
      </c>
      <c r="C3532" s="46">
        <v>25779600</v>
      </c>
      <c r="D3532" s="46">
        <v>23436000</v>
      </c>
      <c r="E3532" s="46">
        <v>2343600</v>
      </c>
      <c r="F3532" s="17" t="s">
        <v>705</v>
      </c>
      <c r="G3532" s="9">
        <v>45422</v>
      </c>
    </row>
    <row r="3533" spans="1:19">
      <c r="A3533" s="45">
        <v>45406</v>
      </c>
      <c r="B3533" s="14" t="s">
        <v>769</v>
      </c>
      <c r="C3533" s="46">
        <v>14594800</v>
      </c>
      <c r="D3533" s="46">
        <v>13268000</v>
      </c>
      <c r="E3533" s="46">
        <v>1326800</v>
      </c>
      <c r="F3533" s="17" t="s">
        <v>305</v>
      </c>
      <c r="G3533" s="9">
        <v>45422</v>
      </c>
    </row>
    <row r="3534" spans="1:19">
      <c r="A3534" s="45">
        <v>45406</v>
      </c>
      <c r="B3534" s="14" t="s">
        <v>769</v>
      </c>
      <c r="C3534" s="46">
        <v>10074759</v>
      </c>
      <c r="D3534" s="46">
        <v>9158872</v>
      </c>
      <c r="E3534" s="46">
        <v>915887</v>
      </c>
      <c r="F3534" s="17" t="s">
        <v>794</v>
      </c>
      <c r="G3534" s="9">
        <v>45422</v>
      </c>
    </row>
    <row r="3535" spans="1:19">
      <c r="A3535" s="45">
        <v>45404</v>
      </c>
      <c r="B3535" s="14" t="s">
        <v>921</v>
      </c>
      <c r="C3535" s="46">
        <v>10819550</v>
      </c>
      <c r="D3535" s="46">
        <v>10819550</v>
      </c>
      <c r="E3535" s="46">
        <v>0</v>
      </c>
      <c r="F3535" s="17" t="s">
        <v>1018</v>
      </c>
      <c r="G3535" s="9">
        <v>45412</v>
      </c>
    </row>
    <row r="3536" spans="1:19">
      <c r="A3536" s="45">
        <v>45404</v>
      </c>
      <c r="B3536" s="14" t="s">
        <v>902</v>
      </c>
      <c r="C3536" s="46">
        <v>4739820</v>
      </c>
      <c r="D3536" s="46">
        <v>4739820</v>
      </c>
      <c r="E3536" s="46">
        <v>0</v>
      </c>
      <c r="F3536" s="17" t="s">
        <v>1019</v>
      </c>
      <c r="G3536" s="9">
        <v>45412</v>
      </c>
    </row>
    <row r="3537" spans="1:7">
      <c r="A3537" s="45">
        <v>45412</v>
      </c>
      <c r="B3537" s="14" t="s">
        <v>2</v>
      </c>
      <c r="C3537" s="46">
        <v>13068000</v>
      </c>
      <c r="D3537" s="46">
        <v>11880000</v>
      </c>
      <c r="E3537" s="46">
        <v>1188000</v>
      </c>
      <c r="F3537" s="17" t="s">
        <v>611</v>
      </c>
      <c r="G3537" s="9">
        <v>45420</v>
      </c>
    </row>
    <row r="3538" spans="1:7">
      <c r="A3538" s="45">
        <v>45412</v>
      </c>
      <c r="B3538" s="14" t="s">
        <v>2</v>
      </c>
      <c r="C3538" s="46">
        <v>1584000</v>
      </c>
      <c r="D3538" s="46">
        <v>1440000</v>
      </c>
      <c r="E3538" s="46">
        <v>144000</v>
      </c>
      <c r="F3538" s="17" t="s">
        <v>646</v>
      </c>
      <c r="G3538" s="9">
        <v>45420</v>
      </c>
    </row>
    <row r="3539" spans="1:7">
      <c r="A3539" s="45">
        <v>45412</v>
      </c>
      <c r="B3539" s="14" t="s">
        <v>2</v>
      </c>
      <c r="C3539" s="46">
        <v>6474600</v>
      </c>
      <c r="D3539" s="46">
        <v>5886000</v>
      </c>
      <c r="E3539" s="46">
        <v>588600</v>
      </c>
      <c r="F3539" s="17" t="s">
        <v>315</v>
      </c>
      <c r="G3539" s="9">
        <v>45420</v>
      </c>
    </row>
    <row r="3540" spans="1:7">
      <c r="A3540" s="45">
        <v>45412</v>
      </c>
      <c r="B3540" s="14" t="s">
        <v>2</v>
      </c>
      <c r="C3540" s="46">
        <v>10117800</v>
      </c>
      <c r="D3540" s="46">
        <v>9198000</v>
      </c>
      <c r="E3540" s="46">
        <v>919800</v>
      </c>
      <c r="F3540" s="17" t="s">
        <v>734</v>
      </c>
      <c r="G3540" s="9">
        <v>45420</v>
      </c>
    </row>
    <row r="3541" spans="1:7">
      <c r="A3541" s="45">
        <v>45412</v>
      </c>
      <c r="B3541" s="14" t="s">
        <v>2</v>
      </c>
      <c r="C3541" s="46">
        <v>264000</v>
      </c>
      <c r="D3541" s="46">
        <v>240000</v>
      </c>
      <c r="E3541" s="46">
        <v>24000</v>
      </c>
      <c r="F3541" s="17" t="s">
        <v>756</v>
      </c>
      <c r="G3541" s="9">
        <v>45420</v>
      </c>
    </row>
    <row r="3542" spans="1:7">
      <c r="A3542" s="45">
        <v>45412</v>
      </c>
      <c r="B3542" s="14" t="s">
        <v>2</v>
      </c>
      <c r="C3542" s="46">
        <v>16530800</v>
      </c>
      <c r="D3542" s="46">
        <v>15028000</v>
      </c>
      <c r="E3542" s="46">
        <v>1502800</v>
      </c>
      <c r="F3542" s="17" t="s">
        <v>424</v>
      </c>
      <c r="G3542" s="9">
        <v>45420</v>
      </c>
    </row>
    <row r="3543" spans="1:7">
      <c r="A3543" s="45">
        <v>45412</v>
      </c>
      <c r="B3543" s="14" t="s">
        <v>2</v>
      </c>
      <c r="C3543" s="46">
        <v>24931500</v>
      </c>
      <c r="D3543" s="46">
        <v>22665000</v>
      </c>
      <c r="E3543" s="46">
        <v>2266500</v>
      </c>
      <c r="F3543" s="17" t="s">
        <v>456</v>
      </c>
      <c r="G3543" s="9">
        <v>45420</v>
      </c>
    </row>
    <row r="3544" spans="1:7">
      <c r="A3544" s="45">
        <v>45412</v>
      </c>
      <c r="B3544" s="14" t="s">
        <v>2</v>
      </c>
      <c r="C3544" s="46">
        <v>117700</v>
      </c>
      <c r="D3544" s="46">
        <v>107000</v>
      </c>
      <c r="E3544" s="46">
        <v>10700</v>
      </c>
      <c r="F3544" s="17" t="s">
        <v>860</v>
      </c>
      <c r="G3544" s="9">
        <v>45420</v>
      </c>
    </row>
    <row r="3545" spans="1:7">
      <c r="A3545" s="45">
        <v>45412</v>
      </c>
      <c r="B3545" s="14" t="s">
        <v>2</v>
      </c>
      <c r="C3545" s="46">
        <v>293700</v>
      </c>
      <c r="D3545" s="46">
        <v>267000</v>
      </c>
      <c r="E3545" s="46">
        <v>26700</v>
      </c>
      <c r="F3545" s="17" t="s">
        <v>938</v>
      </c>
      <c r="G3545" s="9">
        <v>45420</v>
      </c>
    </row>
    <row r="3546" spans="1:7">
      <c r="A3546" s="45">
        <v>45412</v>
      </c>
      <c r="B3546" s="14" t="s">
        <v>2</v>
      </c>
      <c r="C3546" s="46">
        <v>382800</v>
      </c>
      <c r="D3546" s="46">
        <v>348000</v>
      </c>
      <c r="E3546" s="46">
        <v>34800</v>
      </c>
      <c r="F3546" s="17" t="s">
        <v>859</v>
      </c>
      <c r="G3546" s="9">
        <v>45420</v>
      </c>
    </row>
    <row r="3547" spans="1:7">
      <c r="A3547" s="45">
        <v>45412</v>
      </c>
      <c r="B3547" s="14" t="s">
        <v>2</v>
      </c>
      <c r="C3547" s="46">
        <v>1084600</v>
      </c>
      <c r="D3547" s="46">
        <v>986000</v>
      </c>
      <c r="E3547" s="46">
        <v>98600</v>
      </c>
      <c r="F3547" s="17" t="s">
        <v>858</v>
      </c>
      <c r="G3547" s="9">
        <v>45420</v>
      </c>
    </row>
    <row r="3548" spans="1:7">
      <c r="A3548" s="45">
        <v>45412</v>
      </c>
      <c r="B3548" s="14" t="s">
        <v>2</v>
      </c>
      <c r="C3548" s="46">
        <v>4460500</v>
      </c>
      <c r="D3548" s="46">
        <v>4055000</v>
      </c>
      <c r="E3548" s="46">
        <v>405500</v>
      </c>
      <c r="F3548" s="17" t="s">
        <v>999</v>
      </c>
      <c r="G3548" s="9">
        <v>45420</v>
      </c>
    </row>
    <row r="3549" spans="1:7">
      <c r="A3549" s="45">
        <v>45412</v>
      </c>
      <c r="B3549" s="14" t="s">
        <v>752</v>
      </c>
      <c r="C3549" s="46">
        <v>3740000</v>
      </c>
      <c r="D3549" s="46">
        <v>3400000</v>
      </c>
      <c r="E3549" s="46">
        <v>340000</v>
      </c>
      <c r="F3549" s="17" t="s">
        <v>753</v>
      </c>
      <c r="G3549" s="9">
        <v>45426</v>
      </c>
    </row>
    <row r="3550" spans="1:7">
      <c r="A3550" s="45">
        <v>45412</v>
      </c>
      <c r="B3550" s="14" t="s">
        <v>730</v>
      </c>
      <c r="C3550" s="46">
        <v>5058900</v>
      </c>
      <c r="D3550" s="46">
        <v>4599000</v>
      </c>
      <c r="E3550" s="46">
        <v>459900</v>
      </c>
      <c r="F3550" s="17" t="s">
        <v>457</v>
      </c>
      <c r="G3550" s="9">
        <v>45422</v>
      </c>
    </row>
    <row r="3551" spans="1:7">
      <c r="A3551" s="45">
        <v>45412</v>
      </c>
      <c r="B3551" s="14" t="s">
        <v>432</v>
      </c>
      <c r="C3551" s="46">
        <v>320100</v>
      </c>
      <c r="D3551" s="46">
        <v>291000</v>
      </c>
      <c r="E3551" s="46">
        <v>29100</v>
      </c>
      <c r="F3551" s="17" t="s">
        <v>757</v>
      </c>
      <c r="G3551" s="9">
        <v>45429</v>
      </c>
    </row>
    <row r="3552" spans="1:7">
      <c r="A3552" s="45">
        <v>45412</v>
      </c>
      <c r="B3552" s="14" t="s">
        <v>432</v>
      </c>
      <c r="C3552" s="46">
        <v>6019200</v>
      </c>
      <c r="D3552" s="46">
        <v>5472000</v>
      </c>
      <c r="E3552" s="46">
        <v>547200</v>
      </c>
      <c r="F3552" s="17" t="s">
        <v>165</v>
      </c>
      <c r="G3552" s="9">
        <v>45432</v>
      </c>
    </row>
    <row r="3553" spans="1:19">
      <c r="A3553" s="45">
        <v>45412</v>
      </c>
      <c r="B3553" s="14" t="s">
        <v>432</v>
      </c>
      <c r="C3553" s="46">
        <v>811800</v>
      </c>
      <c r="D3553" s="46">
        <v>738000</v>
      </c>
      <c r="E3553" s="46">
        <v>73800</v>
      </c>
      <c r="F3553" s="17" t="s">
        <v>811</v>
      </c>
      <c r="G3553" s="9">
        <v>45432</v>
      </c>
    </row>
    <row r="3554" spans="1:19">
      <c r="A3554" s="45">
        <v>45412</v>
      </c>
      <c r="B3554" s="14" t="s">
        <v>432</v>
      </c>
      <c r="C3554" s="46">
        <v>264000</v>
      </c>
      <c r="D3554" s="46">
        <v>240000</v>
      </c>
      <c r="E3554" s="46">
        <v>24000</v>
      </c>
      <c r="F3554" s="17" t="s">
        <v>255</v>
      </c>
      <c r="G3554" s="9">
        <v>45432</v>
      </c>
    </row>
    <row r="3555" spans="1:19">
      <c r="A3555" s="45">
        <v>45412</v>
      </c>
      <c r="B3555" s="14" t="s">
        <v>432</v>
      </c>
      <c r="C3555" s="46">
        <v>320100</v>
      </c>
      <c r="D3555" s="46">
        <v>291000</v>
      </c>
      <c r="E3555" s="46">
        <v>29100</v>
      </c>
      <c r="F3555" s="17" t="s">
        <v>969</v>
      </c>
      <c r="G3555" s="9">
        <v>45432</v>
      </c>
    </row>
    <row r="3556" spans="1:19">
      <c r="A3556" s="45">
        <v>45412</v>
      </c>
      <c r="B3556" s="14" t="s">
        <v>970</v>
      </c>
      <c r="C3556" s="46">
        <v>7128000</v>
      </c>
      <c r="D3556" s="46">
        <v>6480000</v>
      </c>
      <c r="E3556" s="46">
        <v>648000</v>
      </c>
      <c r="F3556" s="17" t="s">
        <v>1000</v>
      </c>
      <c r="G3556" s="9">
        <v>45423</v>
      </c>
    </row>
    <row r="3557" spans="1:19">
      <c r="A3557" s="45">
        <v>45412</v>
      </c>
      <c r="B3557" s="14" t="s">
        <v>970</v>
      </c>
      <c r="C3557" s="46">
        <v>180400</v>
      </c>
      <c r="D3557" s="46">
        <v>164000</v>
      </c>
      <c r="E3557" s="46">
        <v>16400</v>
      </c>
      <c r="F3557" s="17" t="s">
        <v>233</v>
      </c>
      <c r="G3557" s="9">
        <v>45423</v>
      </c>
    </row>
    <row r="3558" spans="1:19">
      <c r="A3558" s="45">
        <v>45412</v>
      </c>
      <c r="B3558" s="14" t="s">
        <v>1001</v>
      </c>
      <c r="C3558" s="46">
        <v>6930000</v>
      </c>
      <c r="D3558" s="46">
        <v>6300000</v>
      </c>
      <c r="E3558" s="46">
        <v>630000</v>
      </c>
      <c r="F3558" s="17" t="s">
        <v>1002</v>
      </c>
      <c r="G3558" s="9">
        <v>45421</v>
      </c>
    </row>
    <row r="3559" spans="1:19">
      <c r="A3559" s="45">
        <v>45412</v>
      </c>
      <c r="B3559" s="14" t="s">
        <v>805</v>
      </c>
      <c r="C3559" s="46">
        <v>8882500</v>
      </c>
      <c r="D3559" s="46">
        <v>8075000</v>
      </c>
      <c r="E3559" s="46">
        <v>807500</v>
      </c>
      <c r="F3559" s="17" t="s">
        <v>727</v>
      </c>
      <c r="G3559" s="9">
        <v>45426</v>
      </c>
    </row>
    <row r="3560" spans="1:19">
      <c r="A3560" s="45">
        <v>45412</v>
      </c>
      <c r="B3560" s="14" t="s">
        <v>719</v>
      </c>
      <c r="C3560" s="46">
        <v>4233900</v>
      </c>
      <c r="D3560" s="46">
        <v>3849000</v>
      </c>
      <c r="E3560" s="46">
        <v>384900</v>
      </c>
      <c r="F3560" s="17" t="s">
        <v>912</v>
      </c>
      <c r="G3560" s="9">
        <v>45436</v>
      </c>
    </row>
    <row r="3561" spans="1:19">
      <c r="A3561" s="45">
        <v>45412</v>
      </c>
      <c r="B3561" s="14" t="s">
        <v>436</v>
      </c>
      <c r="C3561" s="46">
        <v>360800</v>
      </c>
      <c r="D3561" s="46">
        <v>328000</v>
      </c>
      <c r="E3561" s="46">
        <v>32800</v>
      </c>
      <c r="F3561" s="17" t="s">
        <v>972</v>
      </c>
      <c r="G3561" s="9">
        <v>45422</v>
      </c>
    </row>
    <row r="3562" spans="1:19">
      <c r="A3562" s="45">
        <v>45412</v>
      </c>
      <c r="B3562" s="14" t="s">
        <v>825</v>
      </c>
      <c r="C3562" s="46">
        <v>363000</v>
      </c>
      <c r="D3562" s="46">
        <v>330000</v>
      </c>
      <c r="E3562" s="46">
        <v>33000</v>
      </c>
      <c r="F3562" s="17" t="s">
        <v>13</v>
      </c>
      <c r="G3562" s="9">
        <v>45419</v>
      </c>
    </row>
    <row r="3563" spans="1:19">
      <c r="A3563" s="45">
        <v>45412</v>
      </c>
      <c r="B3563" s="14" t="s">
        <v>749</v>
      </c>
      <c r="C3563" s="46">
        <v>3326730</v>
      </c>
      <c r="D3563" s="46">
        <v>3024300</v>
      </c>
      <c r="E3563" s="46">
        <v>302430</v>
      </c>
      <c r="F3563" s="17" t="s">
        <v>13</v>
      </c>
      <c r="G3563" s="9">
        <v>45414</v>
      </c>
    </row>
    <row r="3564" spans="1:19">
      <c r="A3564" s="45">
        <v>45412</v>
      </c>
      <c r="B3564" s="14" t="s">
        <v>82</v>
      </c>
      <c r="C3564" s="46">
        <v>2662000</v>
      </c>
      <c r="D3564" s="46">
        <v>2420000</v>
      </c>
      <c r="E3564" s="46">
        <v>242000</v>
      </c>
      <c r="F3564" s="17" t="s">
        <v>13</v>
      </c>
      <c r="G3564" s="9">
        <v>45428</v>
      </c>
    </row>
    <row r="3565" spans="1:19">
      <c r="A3565" s="45">
        <v>45412</v>
      </c>
      <c r="B3565" s="14" t="s">
        <v>1020</v>
      </c>
      <c r="C3565" s="46">
        <v>1628000</v>
      </c>
      <c r="D3565" s="46">
        <v>1480000</v>
      </c>
      <c r="E3565" s="46">
        <v>148000</v>
      </c>
      <c r="F3565" s="17" t="s">
        <v>13</v>
      </c>
      <c r="G3565" s="9">
        <v>45414</v>
      </c>
      <c r="I3565" s="301" t="s">
        <v>1016</v>
      </c>
      <c r="J3565" s="302"/>
      <c r="K3565" s="303"/>
    </row>
    <row r="3566" spans="1:19">
      <c r="A3566" s="45">
        <v>45412</v>
      </c>
      <c r="B3566" s="14" t="s">
        <v>958</v>
      </c>
      <c r="C3566" s="46">
        <v>8713770</v>
      </c>
      <c r="D3566" s="46">
        <v>8713770</v>
      </c>
      <c r="E3566" s="46">
        <v>0</v>
      </c>
      <c r="F3566" s="17" t="s">
        <v>1021</v>
      </c>
      <c r="G3566" s="9">
        <v>45422</v>
      </c>
      <c r="I3566" s="18" t="s">
        <v>46</v>
      </c>
      <c r="J3566" s="186" t="s">
        <v>47</v>
      </c>
      <c r="K3566" s="186" t="s">
        <v>48</v>
      </c>
    </row>
    <row r="3567" spans="1:19">
      <c r="A3567" s="119">
        <v>45412</v>
      </c>
      <c r="B3567" s="42" t="s">
        <v>996</v>
      </c>
      <c r="C3567" s="118">
        <v>8203450</v>
      </c>
      <c r="D3567" s="118">
        <v>8203450</v>
      </c>
      <c r="E3567" s="118">
        <v>0</v>
      </c>
      <c r="F3567" s="51" t="s">
        <v>1021</v>
      </c>
      <c r="G3567" s="10">
        <v>45421</v>
      </c>
      <c r="H3567" s="51"/>
      <c r="I3567" s="18">
        <f>SUM(C3522:C3567)</f>
        <v>351277449</v>
      </c>
      <c r="J3567" s="18">
        <f>SUM(D3522:D3567)</f>
        <v>323090232</v>
      </c>
      <c r="K3567" s="18">
        <f>SUM(E3522:E3567)</f>
        <v>28187217</v>
      </c>
      <c r="L3567" s="42"/>
      <c r="M3567" s="42"/>
      <c r="N3567" s="42"/>
      <c r="O3567" s="42"/>
      <c r="P3567" s="42"/>
      <c r="Q3567" s="42"/>
      <c r="R3567" s="42"/>
      <c r="S3567" s="42"/>
    </row>
    <row r="3568" spans="1:19">
      <c r="A3568" s="45">
        <v>45427</v>
      </c>
      <c r="B3568" s="14" t="s">
        <v>2</v>
      </c>
      <c r="C3568" s="46">
        <v>18348000</v>
      </c>
      <c r="D3568" s="46">
        <v>16680000</v>
      </c>
      <c r="E3568" s="46">
        <v>1668000</v>
      </c>
      <c r="F3568" s="17" t="s">
        <v>611</v>
      </c>
      <c r="G3568" s="9">
        <v>45432</v>
      </c>
    </row>
    <row r="3569" spans="1:7">
      <c r="A3569" s="45">
        <v>45427</v>
      </c>
      <c r="B3569" s="14" t="s">
        <v>2</v>
      </c>
      <c r="C3569" s="46">
        <v>3300000</v>
      </c>
      <c r="D3569" s="46">
        <v>3000000</v>
      </c>
      <c r="E3569" s="46">
        <v>300000</v>
      </c>
      <c r="F3569" s="17" t="s">
        <v>646</v>
      </c>
      <c r="G3569" s="9">
        <v>45453</v>
      </c>
    </row>
    <row r="3570" spans="1:7">
      <c r="A3570" s="45">
        <v>45427</v>
      </c>
      <c r="B3570" s="14" t="s">
        <v>2</v>
      </c>
      <c r="C3570" s="46">
        <v>6681950</v>
      </c>
      <c r="D3570" s="46">
        <v>6074500</v>
      </c>
      <c r="E3570" s="46">
        <v>607450</v>
      </c>
      <c r="F3570" s="17" t="s">
        <v>315</v>
      </c>
      <c r="G3570" s="9">
        <v>45442</v>
      </c>
    </row>
    <row r="3571" spans="1:7">
      <c r="A3571" s="45">
        <v>45427</v>
      </c>
      <c r="B3571" s="14" t="s">
        <v>2</v>
      </c>
      <c r="C3571" s="46">
        <v>9036500</v>
      </c>
      <c r="D3571" s="46">
        <v>8215000</v>
      </c>
      <c r="E3571" s="46">
        <v>821500</v>
      </c>
      <c r="F3571" s="17" t="s">
        <v>734</v>
      </c>
      <c r="G3571" s="9">
        <v>45442</v>
      </c>
    </row>
    <row r="3572" spans="1:7">
      <c r="A3572" s="45">
        <v>45427</v>
      </c>
      <c r="B3572" s="14" t="s">
        <v>2</v>
      </c>
      <c r="C3572" s="46">
        <v>396000</v>
      </c>
      <c r="D3572" s="46">
        <v>360000</v>
      </c>
      <c r="E3572" s="46">
        <v>36000</v>
      </c>
      <c r="F3572" s="17" t="s">
        <v>756</v>
      </c>
      <c r="G3572" s="9">
        <v>45442</v>
      </c>
    </row>
    <row r="3573" spans="1:7">
      <c r="A3573" s="45">
        <v>45427</v>
      </c>
      <c r="B3573" s="14" t="s">
        <v>2</v>
      </c>
      <c r="C3573" s="46">
        <v>16084200</v>
      </c>
      <c r="D3573" s="46">
        <v>14622000</v>
      </c>
      <c r="E3573" s="46">
        <v>1462200</v>
      </c>
      <c r="F3573" s="17" t="s">
        <v>424</v>
      </c>
      <c r="G3573" s="9">
        <v>45442</v>
      </c>
    </row>
    <row r="3574" spans="1:7">
      <c r="A3574" s="45">
        <v>45427</v>
      </c>
      <c r="B3574" s="14" t="s">
        <v>2</v>
      </c>
      <c r="C3574" s="46">
        <v>34028500</v>
      </c>
      <c r="D3574" s="46">
        <v>30935000</v>
      </c>
      <c r="E3574" s="46">
        <v>3093500</v>
      </c>
      <c r="F3574" s="17" t="s">
        <v>456</v>
      </c>
      <c r="G3574" s="9">
        <v>45442</v>
      </c>
    </row>
    <row r="3575" spans="1:7">
      <c r="A3575" s="45">
        <v>45434</v>
      </c>
      <c r="B3575" s="14" t="s">
        <v>921</v>
      </c>
      <c r="C3575" s="46">
        <v>10813250</v>
      </c>
      <c r="D3575" s="46">
        <v>10813250</v>
      </c>
      <c r="E3575" s="46">
        <v>0</v>
      </c>
      <c r="F3575" s="17" t="s">
        <v>1025</v>
      </c>
      <c r="G3575" s="9">
        <v>45443</v>
      </c>
    </row>
    <row r="3576" spans="1:7">
      <c r="A3576" s="45">
        <v>45435</v>
      </c>
      <c r="B3576" s="193" t="s">
        <v>1033</v>
      </c>
      <c r="C3576" s="46">
        <v>7005534</v>
      </c>
      <c r="D3576" s="46">
        <v>7005534</v>
      </c>
      <c r="E3576" s="46">
        <v>0</v>
      </c>
      <c r="F3576" s="17" t="s">
        <v>1026</v>
      </c>
      <c r="G3576" s="9">
        <v>45443</v>
      </c>
    </row>
    <row r="3577" spans="1:7">
      <c r="A3577" s="45">
        <v>45437</v>
      </c>
      <c r="B3577" s="189" t="s">
        <v>719</v>
      </c>
      <c r="C3577" s="46">
        <v>451000</v>
      </c>
      <c r="D3577" s="46">
        <v>410000</v>
      </c>
      <c r="E3577" s="46">
        <v>41000</v>
      </c>
      <c r="F3577" s="17" t="s">
        <v>1007</v>
      </c>
      <c r="G3577" s="9">
        <v>45464</v>
      </c>
    </row>
    <row r="3578" spans="1:7">
      <c r="A3578" s="45">
        <v>45435</v>
      </c>
      <c r="B3578" s="189" t="s">
        <v>769</v>
      </c>
      <c r="C3578" s="46">
        <v>46543200</v>
      </c>
      <c r="D3578" s="46">
        <v>42312000</v>
      </c>
      <c r="E3578" s="46">
        <v>4231200</v>
      </c>
      <c r="F3578" s="17" t="s">
        <v>387</v>
      </c>
      <c r="G3578" s="9">
        <v>45453</v>
      </c>
    </row>
    <row r="3579" spans="1:7">
      <c r="A3579" s="45">
        <v>45435</v>
      </c>
      <c r="B3579" s="14" t="s">
        <v>769</v>
      </c>
      <c r="C3579" s="46">
        <v>2420000</v>
      </c>
      <c r="D3579" s="46">
        <v>2200000</v>
      </c>
      <c r="E3579" s="46">
        <v>220000</v>
      </c>
      <c r="F3579" s="17" t="s">
        <v>386</v>
      </c>
      <c r="G3579" s="9">
        <v>45453</v>
      </c>
    </row>
    <row r="3580" spans="1:7">
      <c r="A3580" s="45">
        <v>45435</v>
      </c>
      <c r="B3580" s="14" t="s">
        <v>769</v>
      </c>
      <c r="C3580" s="46">
        <v>12139600</v>
      </c>
      <c r="D3580" s="46">
        <v>11036000</v>
      </c>
      <c r="E3580" s="46">
        <v>1103600</v>
      </c>
      <c r="F3580" s="17" t="s">
        <v>305</v>
      </c>
      <c r="G3580" s="9">
        <v>45453</v>
      </c>
    </row>
    <row r="3581" spans="1:7">
      <c r="A3581" s="45">
        <v>45435</v>
      </c>
      <c r="B3581" s="14" t="s">
        <v>769</v>
      </c>
      <c r="C3581" s="46">
        <v>22369600</v>
      </c>
      <c r="D3581" s="46">
        <v>20336000</v>
      </c>
      <c r="E3581" s="46">
        <v>2033600</v>
      </c>
      <c r="F3581" s="17" t="s">
        <v>705</v>
      </c>
      <c r="G3581" s="9">
        <v>45453</v>
      </c>
    </row>
    <row r="3582" spans="1:7">
      <c r="A3582" s="45">
        <v>45435</v>
      </c>
      <c r="B3582" s="14" t="s">
        <v>769</v>
      </c>
      <c r="C3582" s="46">
        <v>10442378</v>
      </c>
      <c r="D3582" s="46">
        <v>9493072</v>
      </c>
      <c r="E3582" s="46">
        <v>949306</v>
      </c>
      <c r="F3582" s="17" t="s">
        <v>1027</v>
      </c>
      <c r="G3582" s="9">
        <v>45453</v>
      </c>
    </row>
    <row r="3583" spans="1:7">
      <c r="A3583" s="45">
        <v>45443</v>
      </c>
      <c r="B3583" s="14" t="s">
        <v>958</v>
      </c>
      <c r="C3583" s="46">
        <v>8741470</v>
      </c>
      <c r="D3583" s="46">
        <v>8741470</v>
      </c>
      <c r="E3583" s="46">
        <v>0</v>
      </c>
      <c r="F3583" s="17" t="s">
        <v>1028</v>
      </c>
      <c r="G3583" s="9">
        <v>45453</v>
      </c>
    </row>
    <row r="3584" spans="1:7">
      <c r="A3584" s="45">
        <v>45443</v>
      </c>
      <c r="B3584" s="14" t="s">
        <v>996</v>
      </c>
      <c r="C3584" s="46">
        <v>8203450</v>
      </c>
      <c r="D3584" s="46">
        <v>8203450</v>
      </c>
      <c r="E3584" s="46">
        <v>0</v>
      </c>
      <c r="F3584" s="17" t="s">
        <v>1028</v>
      </c>
      <c r="G3584" s="9">
        <v>45450</v>
      </c>
    </row>
    <row r="3585" spans="1:7">
      <c r="A3585" s="45">
        <v>45443</v>
      </c>
      <c r="B3585" s="14" t="s">
        <v>2</v>
      </c>
      <c r="C3585" s="46">
        <v>12540000</v>
      </c>
      <c r="D3585" s="46">
        <v>11400000</v>
      </c>
      <c r="E3585" s="46">
        <v>1140000</v>
      </c>
      <c r="F3585" s="17" t="s">
        <v>611</v>
      </c>
      <c r="G3585" s="9">
        <v>45453</v>
      </c>
    </row>
    <row r="3586" spans="1:7">
      <c r="A3586" s="45">
        <v>45443</v>
      </c>
      <c r="B3586" s="14" t="s">
        <v>2</v>
      </c>
      <c r="C3586" s="46">
        <v>3300000</v>
      </c>
      <c r="D3586" s="46">
        <v>3000000</v>
      </c>
      <c r="E3586" s="46">
        <v>300000</v>
      </c>
      <c r="F3586" s="17" t="s">
        <v>646</v>
      </c>
      <c r="G3586" s="9">
        <v>45453</v>
      </c>
    </row>
    <row r="3587" spans="1:7">
      <c r="A3587" s="45">
        <v>45443</v>
      </c>
      <c r="B3587" s="14" t="s">
        <v>2</v>
      </c>
      <c r="C3587" s="46">
        <v>5077600</v>
      </c>
      <c r="D3587" s="46">
        <v>4616000</v>
      </c>
      <c r="E3587" s="46">
        <v>461600</v>
      </c>
      <c r="F3587" s="17" t="s">
        <v>315</v>
      </c>
      <c r="G3587" s="9">
        <v>45453</v>
      </c>
    </row>
    <row r="3588" spans="1:7">
      <c r="A3588" s="45">
        <v>45443</v>
      </c>
      <c r="B3588" s="14" t="s">
        <v>2</v>
      </c>
      <c r="C3588" s="46">
        <v>8671300</v>
      </c>
      <c r="D3588" s="46">
        <v>7883000</v>
      </c>
      <c r="E3588" s="46">
        <v>788300</v>
      </c>
      <c r="F3588" s="17" t="s">
        <v>734</v>
      </c>
      <c r="G3588" s="9">
        <v>45453</v>
      </c>
    </row>
    <row r="3589" spans="1:7">
      <c r="A3589" s="45">
        <v>45443</v>
      </c>
      <c r="B3589" s="14" t="s">
        <v>2</v>
      </c>
      <c r="C3589" s="46">
        <v>1595000</v>
      </c>
      <c r="D3589" s="46">
        <v>1450000</v>
      </c>
      <c r="E3589" s="46">
        <v>145000</v>
      </c>
      <c r="F3589" s="17" t="s">
        <v>756</v>
      </c>
      <c r="G3589" s="9">
        <v>45453</v>
      </c>
    </row>
    <row r="3590" spans="1:7">
      <c r="A3590" s="45">
        <v>45443</v>
      </c>
      <c r="B3590" s="14" t="s">
        <v>2</v>
      </c>
      <c r="C3590" s="46">
        <v>17613200</v>
      </c>
      <c r="D3590" s="46">
        <v>16012000</v>
      </c>
      <c r="E3590" s="46">
        <v>1601200</v>
      </c>
      <c r="F3590" s="17" t="s">
        <v>424</v>
      </c>
      <c r="G3590" s="9">
        <v>45453</v>
      </c>
    </row>
    <row r="3591" spans="1:7">
      <c r="A3591" s="45">
        <v>45443</v>
      </c>
      <c r="B3591" s="14" t="s">
        <v>2</v>
      </c>
      <c r="C3591" s="46">
        <v>36704250</v>
      </c>
      <c r="D3591" s="46">
        <v>33367500</v>
      </c>
      <c r="E3591" s="46">
        <v>3336750</v>
      </c>
      <c r="F3591" s="17" t="s">
        <v>456</v>
      </c>
      <c r="G3591" s="9">
        <v>45453</v>
      </c>
    </row>
    <row r="3592" spans="1:7">
      <c r="A3592" s="45">
        <v>45443</v>
      </c>
      <c r="B3592" s="14" t="s">
        <v>2</v>
      </c>
      <c r="C3592" s="46">
        <v>211200</v>
      </c>
      <c r="D3592" s="46">
        <v>192000</v>
      </c>
      <c r="E3592" s="46">
        <v>19200</v>
      </c>
      <c r="F3592" s="17" t="s">
        <v>938</v>
      </c>
      <c r="G3592" s="9">
        <v>45453</v>
      </c>
    </row>
    <row r="3593" spans="1:7">
      <c r="A3593" s="45">
        <v>45443</v>
      </c>
      <c r="B3593" s="14" t="s">
        <v>2</v>
      </c>
      <c r="C3593" s="46">
        <v>701800</v>
      </c>
      <c r="D3593" s="46">
        <v>638000</v>
      </c>
      <c r="E3593" s="46">
        <v>63800</v>
      </c>
      <c r="F3593" s="17" t="s">
        <v>859</v>
      </c>
      <c r="G3593" s="9">
        <v>45453</v>
      </c>
    </row>
    <row r="3594" spans="1:7">
      <c r="A3594" s="45">
        <v>45443</v>
      </c>
      <c r="B3594" s="14" t="s">
        <v>2</v>
      </c>
      <c r="C3594" s="46">
        <v>1031800</v>
      </c>
      <c r="D3594" s="46">
        <v>938000</v>
      </c>
      <c r="E3594" s="46">
        <v>93800</v>
      </c>
      <c r="F3594" s="17" t="s">
        <v>858</v>
      </c>
      <c r="G3594" s="9">
        <v>45453</v>
      </c>
    </row>
    <row r="3595" spans="1:7">
      <c r="A3595" s="45">
        <v>45443</v>
      </c>
      <c r="B3595" s="14" t="s">
        <v>2</v>
      </c>
      <c r="C3595" s="46">
        <v>1745700</v>
      </c>
      <c r="D3595" s="46">
        <v>1587000</v>
      </c>
      <c r="E3595" s="46">
        <v>158700</v>
      </c>
      <c r="F3595" s="17" t="s">
        <v>999</v>
      </c>
      <c r="G3595" s="9">
        <v>45453</v>
      </c>
    </row>
    <row r="3596" spans="1:7">
      <c r="A3596" s="45">
        <v>45443</v>
      </c>
      <c r="B3596" s="14" t="s">
        <v>730</v>
      </c>
      <c r="C3596" s="46">
        <v>11041360</v>
      </c>
      <c r="D3596" s="46">
        <v>10037600</v>
      </c>
      <c r="E3596" s="46">
        <v>1003760</v>
      </c>
      <c r="F3596" s="17" t="s">
        <v>457</v>
      </c>
      <c r="G3596" s="9">
        <v>45453</v>
      </c>
    </row>
    <row r="3597" spans="1:7">
      <c r="A3597" s="45">
        <v>45443</v>
      </c>
      <c r="B3597" s="14" t="s">
        <v>432</v>
      </c>
      <c r="C3597" s="46">
        <v>792000</v>
      </c>
      <c r="D3597" s="46">
        <v>720000</v>
      </c>
      <c r="E3597" s="46">
        <v>72000</v>
      </c>
      <c r="F3597" s="17" t="s">
        <v>757</v>
      </c>
      <c r="G3597" s="9">
        <v>45460</v>
      </c>
    </row>
    <row r="3598" spans="1:7">
      <c r="A3598" s="45">
        <v>45443</v>
      </c>
      <c r="B3598" s="14" t="s">
        <v>432</v>
      </c>
      <c r="C3598" s="46">
        <v>132000</v>
      </c>
      <c r="D3598" s="46">
        <v>120000</v>
      </c>
      <c r="E3598" s="46">
        <v>12000</v>
      </c>
      <c r="F3598" s="17" t="s">
        <v>165</v>
      </c>
      <c r="G3598" s="9">
        <v>45462</v>
      </c>
    </row>
    <row r="3599" spans="1:7">
      <c r="A3599" s="45">
        <v>45443</v>
      </c>
      <c r="B3599" s="14" t="s">
        <v>432</v>
      </c>
      <c r="C3599" s="46">
        <v>1075800</v>
      </c>
      <c r="D3599" s="46">
        <v>978000</v>
      </c>
      <c r="E3599" s="46">
        <v>97800</v>
      </c>
      <c r="F3599" s="17" t="s">
        <v>811</v>
      </c>
      <c r="G3599" s="9">
        <v>45462</v>
      </c>
    </row>
    <row r="3600" spans="1:7">
      <c r="A3600" s="45">
        <v>45443</v>
      </c>
      <c r="B3600" s="14" t="s">
        <v>432</v>
      </c>
      <c r="C3600" s="46">
        <v>396000</v>
      </c>
      <c r="D3600" s="46">
        <v>360000</v>
      </c>
      <c r="E3600" s="46">
        <v>36000</v>
      </c>
      <c r="F3600" s="17" t="s">
        <v>255</v>
      </c>
      <c r="G3600" s="9">
        <v>45462</v>
      </c>
    </row>
    <row r="3601" spans="1:19">
      <c r="A3601" s="45">
        <v>45443</v>
      </c>
      <c r="B3601" s="14" t="s">
        <v>432</v>
      </c>
      <c r="C3601" s="46">
        <v>1516900</v>
      </c>
      <c r="D3601" s="46">
        <v>1379000</v>
      </c>
      <c r="E3601" s="46">
        <v>137900</v>
      </c>
      <c r="F3601" s="17" t="s">
        <v>969</v>
      </c>
      <c r="G3601" s="9">
        <v>45462</v>
      </c>
    </row>
    <row r="3602" spans="1:19">
      <c r="A3602" s="45">
        <v>45443</v>
      </c>
      <c r="B3602" s="14" t="s">
        <v>752</v>
      </c>
      <c r="C3602" s="46">
        <v>5170000</v>
      </c>
      <c r="D3602" s="46">
        <v>4700000</v>
      </c>
      <c r="E3602" s="46">
        <v>470000</v>
      </c>
      <c r="F3602" s="17" t="s">
        <v>753</v>
      </c>
      <c r="G3602" s="9">
        <v>45454</v>
      </c>
    </row>
    <row r="3603" spans="1:19">
      <c r="A3603" s="45">
        <v>45443</v>
      </c>
      <c r="B3603" s="14" t="s">
        <v>1030</v>
      </c>
      <c r="C3603" s="46">
        <v>4950000</v>
      </c>
      <c r="D3603" s="46">
        <v>4500000</v>
      </c>
      <c r="E3603" s="46">
        <v>450000</v>
      </c>
      <c r="F3603" s="17" t="s">
        <v>1031</v>
      </c>
      <c r="G3603" s="9">
        <v>45453</v>
      </c>
    </row>
    <row r="3604" spans="1:19">
      <c r="A3604" s="45">
        <v>45443</v>
      </c>
      <c r="B3604" s="14" t="s">
        <v>436</v>
      </c>
      <c r="C3604" s="46">
        <v>631400</v>
      </c>
      <c r="D3604" s="46">
        <v>574000</v>
      </c>
      <c r="E3604" s="46">
        <v>57400</v>
      </c>
      <c r="F3604" s="17" t="s">
        <v>972</v>
      </c>
      <c r="G3604" s="9">
        <v>45453</v>
      </c>
    </row>
    <row r="3605" spans="1:19">
      <c r="A3605" s="45">
        <v>45443</v>
      </c>
      <c r="B3605" s="14" t="s">
        <v>970</v>
      </c>
      <c r="C3605" s="46">
        <v>6996000</v>
      </c>
      <c r="D3605" s="46">
        <v>6360000</v>
      </c>
      <c r="E3605" s="46">
        <v>636000</v>
      </c>
      <c r="F3605" s="17" t="s">
        <v>1000</v>
      </c>
      <c r="G3605" s="9">
        <v>45450</v>
      </c>
    </row>
    <row r="3606" spans="1:19">
      <c r="A3606" s="45">
        <v>45443</v>
      </c>
      <c r="B3606" s="14" t="s">
        <v>970</v>
      </c>
      <c r="C3606" s="46">
        <v>270600</v>
      </c>
      <c r="D3606" s="46">
        <v>246000</v>
      </c>
      <c r="E3606" s="46">
        <v>24600</v>
      </c>
      <c r="F3606" s="17" t="s">
        <v>233</v>
      </c>
      <c r="G3606" s="9">
        <v>45450</v>
      </c>
      <c r="K3606" s="191"/>
    </row>
    <row r="3607" spans="1:19">
      <c r="A3607" s="45">
        <v>45443</v>
      </c>
      <c r="B3607" s="14" t="s">
        <v>1001</v>
      </c>
      <c r="C3607" s="46">
        <v>7161000</v>
      </c>
      <c r="D3607" s="46">
        <v>6510000</v>
      </c>
      <c r="E3607" s="46">
        <v>651000</v>
      </c>
      <c r="F3607" s="17" t="s">
        <v>1002</v>
      </c>
      <c r="G3607" s="9">
        <v>45450</v>
      </c>
      <c r="K3607" s="192"/>
    </row>
    <row r="3608" spans="1:19">
      <c r="A3608" s="45">
        <v>45443</v>
      </c>
      <c r="B3608" s="14" t="s">
        <v>805</v>
      </c>
      <c r="C3608" s="46">
        <v>7733000</v>
      </c>
      <c r="D3608" s="46">
        <v>7030000</v>
      </c>
      <c r="E3608" s="46">
        <v>703000</v>
      </c>
      <c r="F3608" s="17" t="s">
        <v>727</v>
      </c>
      <c r="G3608" s="9">
        <v>45457</v>
      </c>
      <c r="K3608" s="192"/>
    </row>
    <row r="3609" spans="1:19">
      <c r="A3609" s="45">
        <v>45443</v>
      </c>
      <c r="B3609" s="14" t="s">
        <v>984</v>
      </c>
      <c r="C3609" s="46">
        <v>924000</v>
      </c>
      <c r="D3609" s="46">
        <v>840000</v>
      </c>
      <c r="E3609" s="46">
        <v>84000</v>
      </c>
      <c r="F3609" s="17" t="s">
        <v>1032</v>
      </c>
      <c r="G3609" s="9">
        <v>45453</v>
      </c>
      <c r="K3609" s="191"/>
    </row>
    <row r="3610" spans="1:19">
      <c r="A3610" s="45">
        <v>45443</v>
      </c>
      <c r="B3610" s="14" t="s">
        <v>719</v>
      </c>
      <c r="C3610" s="46">
        <v>3979800</v>
      </c>
      <c r="D3610" s="46">
        <v>3618000</v>
      </c>
      <c r="E3610" s="46">
        <v>361800</v>
      </c>
      <c r="F3610" s="17" t="s">
        <v>912</v>
      </c>
      <c r="G3610" s="9">
        <v>45464</v>
      </c>
    </row>
    <row r="3611" spans="1:19">
      <c r="A3611" s="45">
        <v>45443</v>
      </c>
      <c r="B3611" s="14" t="s">
        <v>825</v>
      </c>
      <c r="C3611" s="46">
        <v>1210000</v>
      </c>
      <c r="D3611" s="46">
        <v>1100000</v>
      </c>
      <c r="E3611" s="46">
        <v>110000</v>
      </c>
      <c r="F3611" s="17" t="s">
        <v>13</v>
      </c>
      <c r="G3611" s="9">
        <v>45446</v>
      </c>
    </row>
    <row r="3612" spans="1:19">
      <c r="A3612" s="45">
        <v>45443</v>
      </c>
      <c r="B3612" s="14" t="s">
        <v>82</v>
      </c>
      <c r="C3612" s="46">
        <v>4911500</v>
      </c>
      <c r="D3612" s="46">
        <v>4465000</v>
      </c>
      <c r="E3612" s="46">
        <v>446500</v>
      </c>
      <c r="F3612" s="17" t="s">
        <v>13</v>
      </c>
      <c r="G3612" s="9">
        <v>45460</v>
      </c>
    </row>
    <row r="3613" spans="1:19">
      <c r="A3613" s="45">
        <v>45443</v>
      </c>
      <c r="B3613" s="14" t="s">
        <v>749</v>
      </c>
      <c r="C3613" s="46">
        <v>2376000</v>
      </c>
      <c r="D3613" s="46">
        <v>2160000</v>
      </c>
      <c r="E3613" s="46">
        <v>216000</v>
      </c>
      <c r="F3613" s="17" t="s">
        <v>13</v>
      </c>
      <c r="G3613" s="9">
        <v>45446</v>
      </c>
      <c r="I3613" s="301" t="s">
        <v>1022</v>
      </c>
      <c r="J3613" s="302"/>
      <c r="K3613" s="303"/>
    </row>
    <row r="3614" spans="1:19">
      <c r="A3614" s="45">
        <v>45443</v>
      </c>
      <c r="B3614" s="14" t="s">
        <v>155</v>
      </c>
      <c r="C3614" s="46">
        <v>26400000</v>
      </c>
      <c r="D3614" s="46">
        <v>24000000</v>
      </c>
      <c r="E3614" s="46">
        <v>2400000</v>
      </c>
      <c r="F3614" s="17" t="s">
        <v>13</v>
      </c>
      <c r="G3614" s="17" t="s">
        <v>1049</v>
      </c>
      <c r="I3614" s="18" t="s">
        <v>46</v>
      </c>
      <c r="J3614" s="188" t="s">
        <v>47</v>
      </c>
      <c r="K3614" s="188" t="s">
        <v>48</v>
      </c>
    </row>
    <row r="3615" spans="1:19">
      <c r="A3615" s="119">
        <v>45443</v>
      </c>
      <c r="B3615" s="42" t="s">
        <v>17</v>
      </c>
      <c r="C3615" s="118">
        <v>176000</v>
      </c>
      <c r="D3615" s="118">
        <v>160000</v>
      </c>
      <c r="E3615" s="118">
        <v>16000</v>
      </c>
      <c r="F3615" s="51" t="s">
        <v>13</v>
      </c>
      <c r="G3615" s="10">
        <v>45489</v>
      </c>
      <c r="H3615" s="51"/>
      <c r="I3615" s="18">
        <f>SUM(C3568:C3615)</f>
        <v>394039842</v>
      </c>
      <c r="J3615" s="18">
        <f>SUM(D3568:D3615)</f>
        <v>361378376</v>
      </c>
      <c r="K3615" s="18">
        <f>SUM(E3568:E3615)</f>
        <v>32661466</v>
      </c>
      <c r="L3615" s="42"/>
      <c r="M3615" s="42"/>
      <c r="N3615" s="42"/>
      <c r="O3615" s="42"/>
      <c r="P3615" s="42"/>
      <c r="Q3615" s="42"/>
      <c r="R3615" s="42"/>
      <c r="S3615" s="42"/>
    </row>
    <row r="3616" spans="1:19">
      <c r="A3616" s="45">
        <v>45458</v>
      </c>
      <c r="B3616" s="14" t="s">
        <v>2</v>
      </c>
      <c r="C3616" s="46">
        <v>15708000</v>
      </c>
      <c r="D3616" s="46">
        <v>14280000</v>
      </c>
      <c r="E3616" s="46">
        <v>1428000</v>
      </c>
      <c r="F3616" s="17" t="s">
        <v>611</v>
      </c>
      <c r="G3616" s="9">
        <v>45471</v>
      </c>
    </row>
    <row r="3617" spans="1:7">
      <c r="A3617" s="45">
        <v>45458</v>
      </c>
      <c r="B3617" s="14" t="s">
        <v>2</v>
      </c>
      <c r="C3617" s="46">
        <v>1980000</v>
      </c>
      <c r="D3617" s="46">
        <v>1800000</v>
      </c>
      <c r="E3617" s="46">
        <v>180000</v>
      </c>
      <c r="F3617" s="17" t="s">
        <v>646</v>
      </c>
      <c r="G3617" s="9">
        <v>45471</v>
      </c>
    </row>
    <row r="3618" spans="1:7">
      <c r="A3618" s="45">
        <v>45458</v>
      </c>
      <c r="B3618" s="14" t="s">
        <v>2</v>
      </c>
      <c r="C3618" s="46">
        <v>5451600</v>
      </c>
      <c r="D3618" s="46">
        <v>4956000</v>
      </c>
      <c r="E3618" s="46">
        <v>495600</v>
      </c>
      <c r="F3618" s="17" t="s">
        <v>315</v>
      </c>
      <c r="G3618" s="9">
        <v>45471</v>
      </c>
    </row>
    <row r="3619" spans="1:7">
      <c r="A3619" s="45">
        <v>45458</v>
      </c>
      <c r="B3619" s="14" t="s">
        <v>2</v>
      </c>
      <c r="C3619" s="46">
        <v>7761600</v>
      </c>
      <c r="D3619" s="46">
        <v>7056000</v>
      </c>
      <c r="E3619" s="46">
        <v>705600</v>
      </c>
      <c r="F3619" s="17" t="s">
        <v>734</v>
      </c>
      <c r="G3619" s="9">
        <v>45463</v>
      </c>
    </row>
    <row r="3620" spans="1:7">
      <c r="A3620" s="45">
        <v>45458</v>
      </c>
      <c r="B3620" s="14" t="s">
        <v>2</v>
      </c>
      <c r="C3620" s="46">
        <v>3047000</v>
      </c>
      <c r="D3620" s="46">
        <v>2770000</v>
      </c>
      <c r="E3620" s="46">
        <v>277000</v>
      </c>
      <c r="F3620" s="17" t="s">
        <v>756</v>
      </c>
      <c r="G3620" s="9">
        <v>45463</v>
      </c>
    </row>
    <row r="3621" spans="1:7">
      <c r="A3621" s="45">
        <v>45458</v>
      </c>
      <c r="B3621" s="14" t="s">
        <v>2</v>
      </c>
      <c r="C3621" s="46">
        <v>16804700</v>
      </c>
      <c r="D3621" s="46">
        <v>15277000</v>
      </c>
      <c r="E3621" s="46">
        <v>1527700</v>
      </c>
      <c r="F3621" s="17" t="s">
        <v>424</v>
      </c>
      <c r="G3621" s="9">
        <v>45463</v>
      </c>
    </row>
    <row r="3622" spans="1:7">
      <c r="A3622" s="45">
        <v>45458</v>
      </c>
      <c r="B3622" s="14" t="s">
        <v>2</v>
      </c>
      <c r="C3622" s="46">
        <v>41797250</v>
      </c>
      <c r="D3622" s="46">
        <v>37997500</v>
      </c>
      <c r="E3622" s="46">
        <v>3799750</v>
      </c>
      <c r="F3622" s="17" t="s">
        <v>456</v>
      </c>
      <c r="G3622" s="9">
        <v>45471</v>
      </c>
    </row>
    <row r="3623" spans="1:7">
      <c r="A3623" s="45">
        <v>45467</v>
      </c>
      <c r="B3623" s="14" t="s">
        <v>902</v>
      </c>
      <c r="C3623" s="46">
        <v>4561405</v>
      </c>
      <c r="D3623" s="46">
        <v>4561405</v>
      </c>
      <c r="E3623" s="46">
        <v>0</v>
      </c>
      <c r="F3623" s="17" t="s">
        <v>1034</v>
      </c>
      <c r="G3623" s="9">
        <v>45471</v>
      </c>
    </row>
    <row r="3624" spans="1:7">
      <c r="A3624" s="45">
        <v>45467</v>
      </c>
      <c r="B3624" s="14" t="s">
        <v>921</v>
      </c>
      <c r="C3624" s="46">
        <v>10963550</v>
      </c>
      <c r="D3624" s="46">
        <v>10963550</v>
      </c>
      <c r="E3624" s="46">
        <v>0</v>
      </c>
      <c r="F3624" s="17" t="s">
        <v>1035</v>
      </c>
      <c r="G3624" s="9">
        <v>45471</v>
      </c>
    </row>
    <row r="3625" spans="1:7">
      <c r="A3625" s="45">
        <v>45468</v>
      </c>
      <c r="B3625" s="14" t="s">
        <v>769</v>
      </c>
      <c r="C3625" s="46">
        <v>10074759</v>
      </c>
      <c r="D3625" s="46">
        <v>9158872</v>
      </c>
      <c r="E3625" s="46">
        <v>915887</v>
      </c>
      <c r="F3625" s="17" t="s">
        <v>794</v>
      </c>
      <c r="G3625" s="9">
        <v>45483</v>
      </c>
    </row>
    <row r="3626" spans="1:7">
      <c r="A3626" s="45">
        <v>45468</v>
      </c>
      <c r="B3626" s="14" t="s">
        <v>769</v>
      </c>
      <c r="C3626" s="46">
        <v>11730400</v>
      </c>
      <c r="D3626" s="46">
        <v>10664000</v>
      </c>
      <c r="E3626" s="46">
        <v>1066400</v>
      </c>
      <c r="F3626" s="17" t="s">
        <v>305</v>
      </c>
      <c r="G3626" s="9">
        <v>45483</v>
      </c>
    </row>
    <row r="3627" spans="1:7">
      <c r="A3627" s="45">
        <v>45468</v>
      </c>
      <c r="B3627" s="14" t="s">
        <v>769</v>
      </c>
      <c r="C3627" s="46">
        <v>23597200</v>
      </c>
      <c r="D3627" s="46">
        <v>21452000</v>
      </c>
      <c r="E3627" s="46">
        <v>2145200</v>
      </c>
      <c r="F3627" s="17" t="s">
        <v>705</v>
      </c>
      <c r="G3627" s="9">
        <v>45483</v>
      </c>
    </row>
    <row r="3628" spans="1:7">
      <c r="A3628" s="45">
        <v>45468</v>
      </c>
      <c r="B3628" s="14" t="s">
        <v>769</v>
      </c>
      <c r="C3628" s="46">
        <v>2736800</v>
      </c>
      <c r="D3628" s="46">
        <v>2488000</v>
      </c>
      <c r="E3628" s="46">
        <v>248800</v>
      </c>
      <c r="F3628" s="17" t="s">
        <v>386</v>
      </c>
      <c r="G3628" s="9">
        <v>45483</v>
      </c>
    </row>
    <row r="3629" spans="1:7">
      <c r="A3629" s="45">
        <v>45468</v>
      </c>
      <c r="B3629" s="14" t="s">
        <v>769</v>
      </c>
      <c r="C3629" s="46">
        <v>56746888</v>
      </c>
      <c r="D3629" s="46">
        <v>51588080</v>
      </c>
      <c r="E3629" s="46">
        <v>5158808</v>
      </c>
      <c r="F3629" s="17" t="s">
        <v>387</v>
      </c>
      <c r="G3629" s="9">
        <v>45483</v>
      </c>
    </row>
    <row r="3630" spans="1:7">
      <c r="A3630" s="45">
        <v>45468</v>
      </c>
      <c r="B3630" s="194" t="s">
        <v>719</v>
      </c>
      <c r="C3630" s="46">
        <f>D3630+E3630</f>
        <v>811800</v>
      </c>
      <c r="D3630" s="46">
        <v>738000</v>
      </c>
      <c r="E3630" s="46">
        <v>73800</v>
      </c>
      <c r="F3630" s="17" t="s">
        <v>1007</v>
      </c>
      <c r="G3630" s="9">
        <v>45492</v>
      </c>
    </row>
    <row r="3631" spans="1:7">
      <c r="A3631" s="45">
        <v>45471</v>
      </c>
      <c r="B3631" s="194" t="s">
        <v>996</v>
      </c>
      <c r="C3631" s="46">
        <v>8203450</v>
      </c>
      <c r="D3631" s="46">
        <v>8203450</v>
      </c>
      <c r="E3631" s="46">
        <v>0</v>
      </c>
      <c r="F3631" s="17" t="s">
        <v>1036</v>
      </c>
      <c r="G3631" s="9">
        <v>45482</v>
      </c>
    </row>
    <row r="3632" spans="1:7">
      <c r="A3632" s="45">
        <v>45471</v>
      </c>
      <c r="B3632" s="194" t="s">
        <v>958</v>
      </c>
      <c r="C3632" s="46">
        <v>8534560</v>
      </c>
      <c r="D3632" s="46">
        <v>8534560</v>
      </c>
      <c r="E3632" s="46">
        <v>0</v>
      </c>
      <c r="F3632" s="17" t="s">
        <v>1036</v>
      </c>
      <c r="G3632" s="9">
        <v>45483</v>
      </c>
    </row>
    <row r="3633" spans="1:7">
      <c r="A3633" s="45">
        <v>45473</v>
      </c>
      <c r="B3633" s="194" t="s">
        <v>2</v>
      </c>
      <c r="C3633" s="46">
        <v>15048000</v>
      </c>
      <c r="D3633" s="46">
        <v>13680000</v>
      </c>
      <c r="E3633" s="46">
        <v>1368000</v>
      </c>
      <c r="F3633" s="17" t="s">
        <v>611</v>
      </c>
      <c r="G3633" s="9">
        <v>45483</v>
      </c>
    </row>
    <row r="3634" spans="1:7">
      <c r="A3634" s="45">
        <v>45473</v>
      </c>
      <c r="B3634" s="194" t="s">
        <v>2</v>
      </c>
      <c r="C3634" s="46">
        <v>1188000</v>
      </c>
      <c r="D3634" s="46">
        <v>1080000</v>
      </c>
      <c r="E3634" s="46">
        <v>108000</v>
      </c>
      <c r="F3634" s="17" t="s">
        <v>646</v>
      </c>
      <c r="G3634" s="9">
        <v>45483</v>
      </c>
    </row>
    <row r="3635" spans="1:7">
      <c r="A3635" s="45">
        <v>45473</v>
      </c>
      <c r="B3635" s="194" t="s">
        <v>2</v>
      </c>
      <c r="C3635" s="46">
        <v>4817791</v>
      </c>
      <c r="D3635" s="46">
        <v>4379810</v>
      </c>
      <c r="E3635" s="46">
        <v>437981</v>
      </c>
      <c r="F3635" s="17" t="s">
        <v>315</v>
      </c>
      <c r="G3635" s="9">
        <v>45483</v>
      </c>
    </row>
    <row r="3636" spans="1:7">
      <c r="A3636" s="45">
        <v>45473</v>
      </c>
      <c r="B3636" s="14" t="s">
        <v>2</v>
      </c>
      <c r="C3636" s="46">
        <v>7436000</v>
      </c>
      <c r="D3636" s="46">
        <v>6760000</v>
      </c>
      <c r="E3636" s="46">
        <v>676000</v>
      </c>
      <c r="F3636" s="17" t="s">
        <v>734</v>
      </c>
      <c r="G3636" s="9">
        <v>45483</v>
      </c>
    </row>
    <row r="3637" spans="1:7">
      <c r="A3637" s="45">
        <v>45473</v>
      </c>
      <c r="B3637" s="14" t="s">
        <v>2</v>
      </c>
      <c r="C3637" s="46">
        <v>528000</v>
      </c>
      <c r="D3637" s="46">
        <v>480000</v>
      </c>
      <c r="E3637" s="46">
        <v>48000</v>
      </c>
      <c r="F3637" s="17" t="s">
        <v>756</v>
      </c>
      <c r="G3637" s="9">
        <v>45483</v>
      </c>
    </row>
    <row r="3638" spans="1:7">
      <c r="A3638" s="45">
        <v>45473</v>
      </c>
      <c r="B3638" s="14" t="s">
        <v>2</v>
      </c>
      <c r="C3638" s="46">
        <v>18135700</v>
      </c>
      <c r="D3638" s="46">
        <v>16487000</v>
      </c>
      <c r="E3638" s="46">
        <v>1648700</v>
      </c>
      <c r="F3638" s="17" t="s">
        <v>424</v>
      </c>
      <c r="G3638" s="9">
        <v>45483</v>
      </c>
    </row>
    <row r="3639" spans="1:7">
      <c r="A3639" s="45">
        <v>45473</v>
      </c>
      <c r="B3639" s="14" t="s">
        <v>2</v>
      </c>
      <c r="C3639" s="46">
        <v>48614500</v>
      </c>
      <c r="D3639" s="46">
        <v>44195000</v>
      </c>
      <c r="E3639" s="46">
        <v>4419500</v>
      </c>
      <c r="F3639" s="17" t="s">
        <v>456</v>
      </c>
      <c r="G3639" s="9">
        <v>45483</v>
      </c>
    </row>
    <row r="3640" spans="1:7">
      <c r="A3640" s="45">
        <v>45473</v>
      </c>
      <c r="B3640" s="14" t="s">
        <v>2</v>
      </c>
      <c r="C3640" s="46">
        <v>293700</v>
      </c>
      <c r="D3640" s="46">
        <v>267000</v>
      </c>
      <c r="E3640" s="46">
        <v>26700</v>
      </c>
      <c r="F3640" s="17" t="s">
        <v>938</v>
      </c>
      <c r="G3640" s="9">
        <v>45483</v>
      </c>
    </row>
    <row r="3641" spans="1:7">
      <c r="A3641" s="45">
        <v>45473</v>
      </c>
      <c r="B3641" s="14" t="s">
        <v>2</v>
      </c>
      <c r="C3641" s="46">
        <v>1302400</v>
      </c>
      <c r="D3641" s="46">
        <v>1184000</v>
      </c>
      <c r="E3641" s="46">
        <v>118400</v>
      </c>
      <c r="F3641" s="17" t="s">
        <v>859</v>
      </c>
      <c r="G3641" s="9">
        <v>45483</v>
      </c>
    </row>
    <row r="3642" spans="1:7">
      <c r="A3642" s="45">
        <v>45473</v>
      </c>
      <c r="B3642" s="14" t="s">
        <v>2</v>
      </c>
      <c r="C3642" s="46">
        <v>770000</v>
      </c>
      <c r="D3642" s="46">
        <v>700000</v>
      </c>
      <c r="E3642" s="46">
        <v>70000</v>
      </c>
      <c r="F3642" s="17" t="s">
        <v>858</v>
      </c>
      <c r="G3642" s="9">
        <v>45483</v>
      </c>
    </row>
    <row r="3643" spans="1:7">
      <c r="A3643" s="45">
        <v>45473</v>
      </c>
      <c r="B3643" s="14" t="s">
        <v>2</v>
      </c>
      <c r="C3643" s="46">
        <v>2497000</v>
      </c>
      <c r="D3643" s="46">
        <v>2270000</v>
      </c>
      <c r="E3643" s="46">
        <v>227000</v>
      </c>
      <c r="F3643" s="17" t="s">
        <v>999</v>
      </c>
      <c r="G3643" s="9">
        <v>45483</v>
      </c>
    </row>
    <row r="3644" spans="1:7">
      <c r="A3644" s="45">
        <v>45473</v>
      </c>
      <c r="B3644" s="14" t="s">
        <v>432</v>
      </c>
      <c r="C3644" s="46">
        <v>264000</v>
      </c>
      <c r="D3644" s="46">
        <v>240000</v>
      </c>
      <c r="E3644" s="46">
        <v>24000</v>
      </c>
      <c r="F3644" s="17" t="s">
        <v>757</v>
      </c>
      <c r="G3644" s="9">
        <v>45492</v>
      </c>
    </row>
    <row r="3645" spans="1:7">
      <c r="A3645" s="45">
        <v>45473</v>
      </c>
      <c r="B3645" s="14" t="s">
        <v>432</v>
      </c>
      <c r="C3645" s="46">
        <v>1082400</v>
      </c>
      <c r="D3645" s="46">
        <v>984000</v>
      </c>
      <c r="E3645" s="46">
        <v>98400</v>
      </c>
      <c r="F3645" s="17" t="s">
        <v>811</v>
      </c>
      <c r="G3645" s="9">
        <v>45492</v>
      </c>
    </row>
    <row r="3646" spans="1:7">
      <c r="A3646" s="45">
        <v>45473</v>
      </c>
      <c r="B3646" s="14" t="s">
        <v>432</v>
      </c>
      <c r="C3646" s="46">
        <v>1716000</v>
      </c>
      <c r="D3646" s="46">
        <v>1560000</v>
      </c>
      <c r="E3646" s="46">
        <v>156000</v>
      </c>
      <c r="F3646" s="17" t="s">
        <v>255</v>
      </c>
      <c r="G3646" s="9">
        <v>45492</v>
      </c>
    </row>
    <row r="3647" spans="1:7">
      <c r="A3647" s="45">
        <v>45473</v>
      </c>
      <c r="B3647" s="14" t="s">
        <v>432</v>
      </c>
      <c r="C3647" s="46">
        <v>413600</v>
      </c>
      <c r="D3647" s="46">
        <v>376000</v>
      </c>
      <c r="E3647" s="46">
        <v>37600</v>
      </c>
      <c r="F3647" s="17" t="s">
        <v>969</v>
      </c>
      <c r="G3647" s="9">
        <v>45492</v>
      </c>
    </row>
    <row r="3648" spans="1:7">
      <c r="A3648" s="45">
        <v>45473</v>
      </c>
      <c r="B3648" s="14" t="s">
        <v>432</v>
      </c>
      <c r="C3648" s="46">
        <v>270600</v>
      </c>
      <c r="D3648" s="46">
        <v>246000</v>
      </c>
      <c r="E3648" s="46">
        <v>24600</v>
      </c>
      <c r="F3648" s="17" t="s">
        <v>968</v>
      </c>
      <c r="G3648" s="9">
        <v>45492</v>
      </c>
    </row>
    <row r="3649" spans="1:19">
      <c r="A3649" s="45">
        <v>45473</v>
      </c>
      <c r="B3649" s="14" t="s">
        <v>970</v>
      </c>
      <c r="C3649" s="46">
        <v>5724400</v>
      </c>
      <c r="D3649" s="46">
        <v>5204000</v>
      </c>
      <c r="E3649" s="46">
        <v>520400</v>
      </c>
      <c r="F3649" s="17" t="s">
        <v>1000</v>
      </c>
      <c r="G3649" s="9">
        <v>45478</v>
      </c>
    </row>
    <row r="3650" spans="1:19">
      <c r="A3650" s="45">
        <v>45473</v>
      </c>
      <c r="B3650" s="14" t="s">
        <v>970</v>
      </c>
      <c r="C3650" s="46">
        <v>3143800</v>
      </c>
      <c r="D3650" s="46">
        <v>2858000</v>
      </c>
      <c r="E3650" s="46">
        <v>285800</v>
      </c>
      <c r="F3650" s="17" t="s">
        <v>233</v>
      </c>
      <c r="G3650" s="9">
        <v>45478</v>
      </c>
    </row>
    <row r="3651" spans="1:19">
      <c r="A3651" s="45">
        <v>45473</v>
      </c>
      <c r="B3651" s="14" t="s">
        <v>970</v>
      </c>
      <c r="C3651" s="46">
        <v>924000</v>
      </c>
      <c r="D3651" s="46">
        <v>840000</v>
      </c>
      <c r="E3651" s="46">
        <v>84000</v>
      </c>
      <c r="F3651" s="17" t="s">
        <v>1038</v>
      </c>
      <c r="G3651" s="9">
        <v>45478</v>
      </c>
    </row>
    <row r="3652" spans="1:19">
      <c r="A3652" s="45">
        <v>45473</v>
      </c>
      <c r="B3652" s="14" t="s">
        <v>752</v>
      </c>
      <c r="C3652" s="46">
        <v>4510000</v>
      </c>
      <c r="D3652" s="46">
        <v>4100000</v>
      </c>
      <c r="E3652" s="46">
        <v>410000</v>
      </c>
      <c r="F3652" s="17" t="s">
        <v>753</v>
      </c>
      <c r="G3652" s="9">
        <v>45484</v>
      </c>
    </row>
    <row r="3653" spans="1:19">
      <c r="A3653" s="45">
        <v>45473</v>
      </c>
      <c r="B3653" s="14" t="s">
        <v>1030</v>
      </c>
      <c r="C3653" s="46">
        <v>3080000</v>
      </c>
      <c r="D3653" s="46">
        <v>2800000</v>
      </c>
      <c r="E3653" s="46">
        <v>280000</v>
      </c>
      <c r="F3653" s="17" t="s">
        <v>1031</v>
      </c>
      <c r="G3653" s="9">
        <v>45483</v>
      </c>
    </row>
    <row r="3654" spans="1:19">
      <c r="A3654" s="45">
        <v>45473</v>
      </c>
      <c r="B3654" s="14" t="s">
        <v>730</v>
      </c>
      <c r="C3654" s="46">
        <v>7233600</v>
      </c>
      <c r="D3654" s="46">
        <v>6576000</v>
      </c>
      <c r="E3654" s="46">
        <v>657600</v>
      </c>
      <c r="F3654" s="17" t="s">
        <v>457</v>
      </c>
      <c r="G3654" s="9">
        <v>45483</v>
      </c>
      <c r="K3654" s="196"/>
    </row>
    <row r="3655" spans="1:19">
      <c r="A3655" s="45">
        <v>45473</v>
      </c>
      <c r="B3655" s="14" t="s">
        <v>644</v>
      </c>
      <c r="C3655" s="46">
        <v>132000</v>
      </c>
      <c r="D3655" s="46">
        <v>120000</v>
      </c>
      <c r="E3655" s="46">
        <v>12000</v>
      </c>
      <c r="F3655" s="17" t="s">
        <v>684</v>
      </c>
      <c r="G3655" s="9">
        <v>45483</v>
      </c>
      <c r="K3655" s="196"/>
    </row>
    <row r="3656" spans="1:19">
      <c r="A3656" s="45">
        <v>45473</v>
      </c>
      <c r="B3656" s="14" t="s">
        <v>436</v>
      </c>
      <c r="C3656" s="46">
        <v>541200</v>
      </c>
      <c r="D3656" s="46">
        <v>492000</v>
      </c>
      <c r="E3656" s="46">
        <v>49200</v>
      </c>
      <c r="F3656" s="17" t="s">
        <v>972</v>
      </c>
      <c r="G3656" s="9">
        <v>45483</v>
      </c>
    </row>
    <row r="3657" spans="1:19">
      <c r="A3657" s="45">
        <v>45473</v>
      </c>
      <c r="B3657" s="14" t="s">
        <v>1001</v>
      </c>
      <c r="C3657" s="46">
        <v>6930000</v>
      </c>
      <c r="D3657" s="46">
        <v>6300000</v>
      </c>
      <c r="E3657" s="46">
        <v>630000</v>
      </c>
      <c r="F3657" s="17" t="s">
        <v>1002</v>
      </c>
      <c r="G3657" s="9">
        <v>45482</v>
      </c>
    </row>
    <row r="3658" spans="1:19">
      <c r="A3658" s="45">
        <v>45473</v>
      </c>
      <c r="B3658" s="14" t="s">
        <v>805</v>
      </c>
      <c r="C3658" s="46">
        <v>6462500</v>
      </c>
      <c r="D3658" s="46">
        <v>5875000</v>
      </c>
      <c r="E3658" s="46">
        <v>587500</v>
      </c>
      <c r="F3658" s="17" t="s">
        <v>727</v>
      </c>
      <c r="G3658" s="9">
        <v>45488</v>
      </c>
    </row>
    <row r="3659" spans="1:19">
      <c r="A3659" s="45">
        <v>45473</v>
      </c>
      <c r="B3659" s="14" t="s">
        <v>719</v>
      </c>
      <c r="C3659" s="46">
        <v>867900</v>
      </c>
      <c r="D3659" s="46">
        <v>789000</v>
      </c>
      <c r="E3659" s="46">
        <v>78900</v>
      </c>
      <c r="F3659" s="17" t="s">
        <v>912</v>
      </c>
      <c r="G3659" s="9">
        <v>45492</v>
      </c>
    </row>
    <row r="3660" spans="1:19">
      <c r="A3660" s="45">
        <v>45473</v>
      </c>
      <c r="B3660" s="14" t="s">
        <v>825</v>
      </c>
      <c r="C3660" s="46">
        <v>429000</v>
      </c>
      <c r="D3660" s="46">
        <v>390000</v>
      </c>
      <c r="E3660" s="46">
        <v>39000</v>
      </c>
      <c r="F3660" s="17" t="s">
        <v>13</v>
      </c>
      <c r="G3660" s="9">
        <v>45477</v>
      </c>
    </row>
    <row r="3661" spans="1:19">
      <c r="A3661" s="45">
        <v>45473</v>
      </c>
      <c r="B3661" s="14" t="s">
        <v>82</v>
      </c>
      <c r="C3661" s="46">
        <v>440000</v>
      </c>
      <c r="D3661" s="46">
        <v>400000</v>
      </c>
      <c r="E3661" s="46">
        <v>40000</v>
      </c>
      <c r="F3661" s="17" t="s">
        <v>13</v>
      </c>
      <c r="G3661" s="9">
        <v>45488</v>
      </c>
    </row>
    <row r="3662" spans="1:19">
      <c r="A3662" s="45">
        <v>45473</v>
      </c>
      <c r="B3662" s="14" t="s">
        <v>749</v>
      </c>
      <c r="C3662" s="46">
        <v>220000</v>
      </c>
      <c r="D3662" s="46">
        <v>200000</v>
      </c>
      <c r="E3662" s="46">
        <v>20000</v>
      </c>
      <c r="F3662" s="17" t="s">
        <v>13</v>
      </c>
      <c r="G3662" s="9">
        <v>45483</v>
      </c>
      <c r="I3662" s="301" t="s">
        <v>1029</v>
      </c>
      <c r="J3662" s="302"/>
      <c r="K3662" s="303"/>
    </row>
    <row r="3663" spans="1:19">
      <c r="A3663" s="45">
        <v>45473</v>
      </c>
      <c r="B3663" s="14" t="s">
        <v>155</v>
      </c>
      <c r="C3663" s="46">
        <v>528000</v>
      </c>
      <c r="D3663" s="46">
        <v>480000</v>
      </c>
      <c r="E3663" s="46">
        <v>48000</v>
      </c>
      <c r="F3663" s="17" t="s">
        <v>13</v>
      </c>
      <c r="G3663" s="9">
        <v>45532</v>
      </c>
      <c r="I3663" s="18" t="s">
        <v>46</v>
      </c>
      <c r="J3663" s="190" t="s">
        <v>47</v>
      </c>
      <c r="K3663" s="190" t="s">
        <v>48</v>
      </c>
    </row>
    <row r="3664" spans="1:19">
      <c r="A3664" s="119">
        <v>45473</v>
      </c>
      <c r="B3664" s="42" t="s">
        <v>17</v>
      </c>
      <c r="C3664" s="118">
        <v>396000</v>
      </c>
      <c r="D3664" s="118">
        <v>360000</v>
      </c>
      <c r="E3664" s="118">
        <v>36000</v>
      </c>
      <c r="F3664" s="51" t="s">
        <v>13</v>
      </c>
      <c r="G3664" s="10">
        <v>45489</v>
      </c>
      <c r="H3664" s="51"/>
      <c r="I3664" s="18">
        <f>SUM(C3616:C3664)</f>
        <v>376451053</v>
      </c>
      <c r="J3664" s="18">
        <f>SUM(D3616:D3664)</f>
        <v>345161227</v>
      </c>
      <c r="K3664" s="18">
        <f>SUM(E3616:E3664)</f>
        <v>31289826</v>
      </c>
      <c r="L3664" s="42"/>
      <c r="M3664" s="42"/>
      <c r="N3664" s="42"/>
      <c r="O3664" s="42"/>
      <c r="P3664" s="42"/>
      <c r="Q3664" s="42"/>
      <c r="R3664" s="42"/>
      <c r="S3664" s="42"/>
    </row>
    <row r="3665" spans="1:7">
      <c r="A3665" s="45" t="s">
        <v>1209</v>
      </c>
      <c r="B3665" s="14" t="s">
        <v>432</v>
      </c>
      <c r="C3665" s="46">
        <v>22000000</v>
      </c>
      <c r="D3665" s="46">
        <v>20000000</v>
      </c>
      <c r="E3665" s="46">
        <v>2000000</v>
      </c>
      <c r="F3665" s="17" t="s">
        <v>1039</v>
      </c>
      <c r="G3665" s="9">
        <v>45492</v>
      </c>
    </row>
    <row r="3666" spans="1:7">
      <c r="A3666" s="45">
        <v>45488</v>
      </c>
      <c r="B3666" s="14" t="s">
        <v>2</v>
      </c>
      <c r="C3666" s="46">
        <v>4092000</v>
      </c>
      <c r="D3666" s="46">
        <v>3720000</v>
      </c>
      <c r="E3666" s="46">
        <v>372000</v>
      </c>
      <c r="F3666" s="17" t="s">
        <v>611</v>
      </c>
      <c r="G3666" s="9">
        <v>45503</v>
      </c>
    </row>
    <row r="3667" spans="1:7">
      <c r="A3667" s="45">
        <v>45488</v>
      </c>
      <c r="B3667" s="14" t="s">
        <v>2</v>
      </c>
      <c r="C3667" s="46">
        <v>264000</v>
      </c>
      <c r="D3667" s="46">
        <v>240000</v>
      </c>
      <c r="E3667" s="46">
        <v>24000</v>
      </c>
      <c r="F3667" s="17" t="s">
        <v>646</v>
      </c>
      <c r="G3667" s="9">
        <v>45516</v>
      </c>
    </row>
    <row r="3668" spans="1:7">
      <c r="A3668" s="45">
        <v>45488</v>
      </c>
      <c r="B3668" s="14" t="s">
        <v>2</v>
      </c>
      <c r="C3668" s="46">
        <v>8028900</v>
      </c>
      <c r="D3668" s="46">
        <v>7299000</v>
      </c>
      <c r="E3668" s="46">
        <v>729900</v>
      </c>
      <c r="F3668" s="17" t="s">
        <v>315</v>
      </c>
      <c r="G3668" s="9">
        <v>45495</v>
      </c>
    </row>
    <row r="3669" spans="1:7">
      <c r="A3669" s="45">
        <v>45488</v>
      </c>
      <c r="B3669" s="14" t="s">
        <v>2</v>
      </c>
      <c r="C3669" s="46">
        <v>7615300</v>
      </c>
      <c r="D3669" s="46">
        <v>6923000</v>
      </c>
      <c r="E3669" s="46">
        <v>692300</v>
      </c>
      <c r="F3669" s="17" t="s">
        <v>734</v>
      </c>
      <c r="G3669" s="9">
        <v>45495</v>
      </c>
    </row>
    <row r="3670" spans="1:7">
      <c r="A3670" s="45">
        <v>45488</v>
      </c>
      <c r="B3670" s="14" t="s">
        <v>2</v>
      </c>
      <c r="C3670" s="46">
        <v>7260000</v>
      </c>
      <c r="D3670" s="46">
        <v>6600000</v>
      </c>
      <c r="E3670" s="46">
        <v>660000</v>
      </c>
      <c r="F3670" s="17" t="s">
        <v>756</v>
      </c>
      <c r="G3670" s="9">
        <v>45495</v>
      </c>
    </row>
    <row r="3671" spans="1:7">
      <c r="A3671" s="45">
        <v>45488</v>
      </c>
      <c r="B3671" s="14" t="s">
        <v>2</v>
      </c>
      <c r="C3671" s="46">
        <v>17666000</v>
      </c>
      <c r="D3671" s="46">
        <v>16060000</v>
      </c>
      <c r="E3671" s="46">
        <v>1606000</v>
      </c>
      <c r="F3671" s="17" t="s">
        <v>424</v>
      </c>
      <c r="G3671" s="9">
        <v>45495</v>
      </c>
    </row>
    <row r="3672" spans="1:7">
      <c r="A3672" s="45">
        <v>45488</v>
      </c>
      <c r="B3672" s="14" t="s">
        <v>2</v>
      </c>
      <c r="C3672" s="46">
        <v>60788750</v>
      </c>
      <c r="D3672" s="46">
        <v>55262500</v>
      </c>
      <c r="E3672" s="46">
        <v>5526250</v>
      </c>
      <c r="F3672" s="17" t="s">
        <v>456</v>
      </c>
      <c r="G3672" s="9">
        <v>45495</v>
      </c>
    </row>
    <row r="3673" spans="1:7">
      <c r="A3673" s="45">
        <v>45489</v>
      </c>
      <c r="B3673" s="14" t="s">
        <v>1040</v>
      </c>
      <c r="C3673" s="46">
        <v>429000</v>
      </c>
      <c r="D3673" s="46">
        <v>390000</v>
      </c>
      <c r="E3673" s="46">
        <v>39000</v>
      </c>
      <c r="F3673" s="17" t="s">
        <v>13</v>
      </c>
      <c r="G3673" s="9">
        <v>45492</v>
      </c>
    </row>
    <row r="3674" spans="1:7">
      <c r="A3674" s="45">
        <v>45495</v>
      </c>
      <c r="B3674" s="14" t="s">
        <v>921</v>
      </c>
      <c r="C3674" s="46">
        <v>10813910</v>
      </c>
      <c r="D3674" s="46">
        <v>10813910</v>
      </c>
      <c r="E3674" s="46">
        <v>0</v>
      </c>
      <c r="F3674" s="17" t="s">
        <v>1041</v>
      </c>
      <c r="G3674" s="9">
        <v>45504</v>
      </c>
    </row>
    <row r="3675" spans="1:7">
      <c r="A3675" s="45">
        <v>45495</v>
      </c>
      <c r="B3675" s="14" t="s">
        <v>902</v>
      </c>
      <c r="C3675" s="46">
        <v>4872410</v>
      </c>
      <c r="D3675" s="46">
        <v>4872410</v>
      </c>
      <c r="E3675" s="46">
        <v>0</v>
      </c>
      <c r="F3675" s="17" t="s">
        <v>1042</v>
      </c>
      <c r="G3675" s="9">
        <v>45504</v>
      </c>
    </row>
    <row r="3676" spans="1:7">
      <c r="A3676" s="45">
        <v>45497</v>
      </c>
      <c r="B3676" s="197" t="s">
        <v>769</v>
      </c>
      <c r="C3676" s="46">
        <v>60449400</v>
      </c>
      <c r="D3676" s="46">
        <v>54954000</v>
      </c>
      <c r="E3676" s="46">
        <v>5495400</v>
      </c>
      <c r="F3676" s="17" t="s">
        <v>387</v>
      </c>
      <c r="G3676" s="9">
        <v>45513</v>
      </c>
    </row>
    <row r="3677" spans="1:7">
      <c r="A3677" s="45">
        <v>45497</v>
      </c>
      <c r="B3677" s="197" t="s">
        <v>769</v>
      </c>
      <c r="C3677" s="46">
        <v>1962400</v>
      </c>
      <c r="D3677" s="46">
        <v>1784000</v>
      </c>
      <c r="E3677" s="46">
        <v>178400</v>
      </c>
      <c r="F3677" s="17" t="s">
        <v>386</v>
      </c>
      <c r="G3677" s="9">
        <v>45513</v>
      </c>
    </row>
    <row r="3678" spans="1:7">
      <c r="A3678" s="45">
        <v>45497</v>
      </c>
      <c r="B3678" s="197" t="s">
        <v>769</v>
      </c>
      <c r="C3678" s="46">
        <v>25506800</v>
      </c>
      <c r="D3678" s="46">
        <v>23188000</v>
      </c>
      <c r="E3678" s="46">
        <v>2318800</v>
      </c>
      <c r="F3678" s="17" t="s">
        <v>705</v>
      </c>
      <c r="G3678" s="9">
        <v>45513</v>
      </c>
    </row>
    <row r="3679" spans="1:7">
      <c r="A3679" s="45">
        <v>45497</v>
      </c>
      <c r="B3679" s="197" t="s">
        <v>769</v>
      </c>
      <c r="C3679" s="46">
        <v>11730400</v>
      </c>
      <c r="D3679" s="46">
        <v>10664000</v>
      </c>
      <c r="E3679" s="46">
        <v>1066400</v>
      </c>
      <c r="F3679" s="17" t="s">
        <v>305</v>
      </c>
      <c r="G3679" s="9">
        <v>45513</v>
      </c>
    </row>
    <row r="3680" spans="1:7">
      <c r="A3680" s="45">
        <v>45497</v>
      </c>
      <c r="B3680" s="197" t="s">
        <v>769</v>
      </c>
      <c r="C3680" s="46">
        <v>10074759</v>
      </c>
      <c r="D3680" s="46">
        <v>9158872</v>
      </c>
      <c r="E3680" s="46">
        <v>915887</v>
      </c>
      <c r="F3680" s="17" t="s">
        <v>794</v>
      </c>
      <c r="G3680" s="9">
        <v>45513</v>
      </c>
    </row>
    <row r="3681" spans="1:7">
      <c r="A3681" s="45">
        <v>45498</v>
      </c>
      <c r="B3681" s="14" t="s">
        <v>719</v>
      </c>
      <c r="C3681" s="46">
        <v>583000</v>
      </c>
      <c r="D3681" s="46">
        <v>530000</v>
      </c>
      <c r="E3681" s="46">
        <v>53000</v>
      </c>
      <c r="F3681" s="17" t="s">
        <v>710</v>
      </c>
      <c r="G3681" s="9">
        <v>45583</v>
      </c>
    </row>
    <row r="3682" spans="1:7">
      <c r="A3682" s="45">
        <v>45504</v>
      </c>
      <c r="B3682" s="199" t="s">
        <v>719</v>
      </c>
      <c r="C3682" s="46">
        <f>D3682+E3682</f>
        <v>2121900</v>
      </c>
      <c r="D3682" s="46">
        <v>1929000</v>
      </c>
      <c r="E3682" s="46">
        <v>192900</v>
      </c>
      <c r="F3682" s="17" t="s">
        <v>912</v>
      </c>
      <c r="G3682" s="9">
        <v>45523</v>
      </c>
    </row>
    <row r="3683" spans="1:7">
      <c r="A3683" s="45">
        <v>45504</v>
      </c>
      <c r="B3683" s="14" t="s">
        <v>2</v>
      </c>
      <c r="C3683" s="46">
        <v>6204000</v>
      </c>
      <c r="D3683" s="46">
        <v>5640000</v>
      </c>
      <c r="E3683" s="46">
        <v>564000</v>
      </c>
      <c r="F3683" s="17" t="s">
        <v>611</v>
      </c>
      <c r="G3683" s="9">
        <v>45516</v>
      </c>
    </row>
    <row r="3684" spans="1:7">
      <c r="A3684" s="45">
        <v>45504</v>
      </c>
      <c r="B3684" s="199" t="s">
        <v>2</v>
      </c>
      <c r="C3684" s="46">
        <v>132000</v>
      </c>
      <c r="D3684" s="46">
        <v>120000</v>
      </c>
      <c r="E3684" s="46">
        <v>12000</v>
      </c>
      <c r="F3684" s="17" t="s">
        <v>646</v>
      </c>
      <c r="G3684" s="9">
        <v>45516</v>
      </c>
    </row>
    <row r="3685" spans="1:7">
      <c r="A3685" s="45">
        <v>45504</v>
      </c>
      <c r="B3685" s="199" t="s">
        <v>2</v>
      </c>
      <c r="C3685" s="46">
        <v>7466140</v>
      </c>
      <c r="D3685" s="46">
        <v>6787400</v>
      </c>
      <c r="E3685" s="46">
        <v>678740</v>
      </c>
      <c r="F3685" s="17" t="s">
        <v>315</v>
      </c>
      <c r="G3685" s="9">
        <v>45512</v>
      </c>
    </row>
    <row r="3686" spans="1:7">
      <c r="A3686" s="45">
        <v>45504</v>
      </c>
      <c r="B3686" s="14" t="s">
        <v>2</v>
      </c>
      <c r="C3686" s="46">
        <v>7598800</v>
      </c>
      <c r="D3686" s="46">
        <v>6908000</v>
      </c>
      <c r="E3686" s="46">
        <v>690800</v>
      </c>
      <c r="F3686" s="17" t="s">
        <v>734</v>
      </c>
      <c r="G3686" s="9">
        <v>45512</v>
      </c>
    </row>
    <row r="3687" spans="1:7">
      <c r="A3687" s="45">
        <v>45504</v>
      </c>
      <c r="B3687" s="14" t="s">
        <v>2</v>
      </c>
      <c r="C3687" s="46">
        <v>21266300</v>
      </c>
      <c r="D3687" s="46">
        <v>19333000</v>
      </c>
      <c r="E3687" s="46">
        <v>1933300</v>
      </c>
      <c r="F3687" s="17" t="s">
        <v>424</v>
      </c>
      <c r="G3687" s="9">
        <v>45512</v>
      </c>
    </row>
    <row r="3688" spans="1:7">
      <c r="A3688" s="45">
        <v>45504</v>
      </c>
      <c r="B3688" s="14" t="s">
        <v>2</v>
      </c>
      <c r="C3688" s="46">
        <v>99594000</v>
      </c>
      <c r="D3688" s="46">
        <v>90540000</v>
      </c>
      <c r="E3688" s="46">
        <v>9054000</v>
      </c>
      <c r="F3688" s="17" t="s">
        <v>456</v>
      </c>
      <c r="G3688" s="9">
        <v>45512</v>
      </c>
    </row>
    <row r="3689" spans="1:7">
      <c r="A3689" s="45">
        <v>45504</v>
      </c>
      <c r="B3689" s="14" t="s">
        <v>2</v>
      </c>
      <c r="C3689" s="46">
        <v>1102200</v>
      </c>
      <c r="D3689" s="46">
        <v>1002000</v>
      </c>
      <c r="E3689" s="46">
        <v>100200</v>
      </c>
      <c r="F3689" s="17" t="s">
        <v>938</v>
      </c>
      <c r="G3689" s="9">
        <v>45516</v>
      </c>
    </row>
    <row r="3690" spans="1:7">
      <c r="A3690" s="45">
        <v>45504</v>
      </c>
      <c r="B3690" s="14" t="s">
        <v>2</v>
      </c>
      <c r="C3690" s="46">
        <v>1741300</v>
      </c>
      <c r="D3690" s="46">
        <v>1583000</v>
      </c>
      <c r="E3690" s="46">
        <v>158300</v>
      </c>
      <c r="F3690" s="17" t="s">
        <v>859</v>
      </c>
      <c r="G3690" s="9">
        <v>45516</v>
      </c>
    </row>
    <row r="3691" spans="1:7">
      <c r="A3691" s="45">
        <v>45504</v>
      </c>
      <c r="B3691" s="14" t="s">
        <v>2</v>
      </c>
      <c r="C3691" s="46">
        <v>675400</v>
      </c>
      <c r="D3691" s="46">
        <v>614000</v>
      </c>
      <c r="E3691" s="46">
        <v>61400</v>
      </c>
      <c r="F3691" s="17" t="s">
        <v>858</v>
      </c>
      <c r="G3691" s="9">
        <v>45516</v>
      </c>
    </row>
    <row r="3692" spans="1:7">
      <c r="A3692" s="45">
        <v>45504</v>
      </c>
      <c r="B3692" s="14" t="s">
        <v>2</v>
      </c>
      <c r="C3692" s="46">
        <v>2735700</v>
      </c>
      <c r="D3692" s="46">
        <v>2487000</v>
      </c>
      <c r="E3692" s="46">
        <v>248700</v>
      </c>
      <c r="F3692" s="17" t="s">
        <v>999</v>
      </c>
      <c r="G3692" s="9">
        <v>45516</v>
      </c>
    </row>
    <row r="3693" spans="1:7">
      <c r="A3693" s="45">
        <v>45504</v>
      </c>
      <c r="B3693" s="14" t="s">
        <v>432</v>
      </c>
      <c r="C3693" s="46">
        <v>132000</v>
      </c>
      <c r="D3693" s="46">
        <v>120000</v>
      </c>
      <c r="E3693" s="46">
        <v>12000</v>
      </c>
      <c r="F3693" s="17" t="s">
        <v>757</v>
      </c>
      <c r="G3693" s="9">
        <v>45525</v>
      </c>
    </row>
    <row r="3694" spans="1:7">
      <c r="A3694" s="45">
        <v>45504</v>
      </c>
      <c r="B3694" s="14" t="s">
        <v>432</v>
      </c>
      <c r="C3694" s="46">
        <v>853600</v>
      </c>
      <c r="D3694" s="46">
        <v>776000</v>
      </c>
      <c r="E3694" s="46">
        <v>77600</v>
      </c>
      <c r="F3694" s="17" t="s">
        <v>811</v>
      </c>
      <c r="G3694" s="9">
        <v>45518</v>
      </c>
    </row>
    <row r="3695" spans="1:7">
      <c r="A3695" s="45">
        <v>45504</v>
      </c>
      <c r="B3695" s="14" t="s">
        <v>432</v>
      </c>
      <c r="C3695" s="46">
        <v>3036000</v>
      </c>
      <c r="D3695" s="46">
        <v>2760000</v>
      </c>
      <c r="E3695" s="46">
        <v>276000</v>
      </c>
      <c r="F3695" s="17" t="s">
        <v>255</v>
      </c>
      <c r="G3695" s="9">
        <v>45525</v>
      </c>
    </row>
    <row r="3696" spans="1:7">
      <c r="A3696" s="45">
        <v>45504</v>
      </c>
      <c r="B3696" s="14" t="s">
        <v>432</v>
      </c>
      <c r="C3696" s="46">
        <v>132000</v>
      </c>
      <c r="D3696" s="46">
        <v>120000</v>
      </c>
      <c r="E3696" s="46">
        <v>12000</v>
      </c>
      <c r="F3696" s="17" t="s">
        <v>320</v>
      </c>
      <c r="G3696" s="9">
        <v>45518</v>
      </c>
    </row>
    <row r="3697" spans="1:19">
      <c r="A3697" s="45">
        <v>45504</v>
      </c>
      <c r="B3697" s="14" t="s">
        <v>432</v>
      </c>
      <c r="C3697" s="46">
        <v>320100</v>
      </c>
      <c r="D3697" s="46">
        <v>291000</v>
      </c>
      <c r="E3697" s="46">
        <v>29100</v>
      </c>
      <c r="F3697" s="17" t="s">
        <v>969</v>
      </c>
      <c r="G3697" s="9">
        <v>45518</v>
      </c>
    </row>
    <row r="3698" spans="1:19">
      <c r="A3698" s="45">
        <v>45504</v>
      </c>
      <c r="B3698" s="14" t="s">
        <v>432</v>
      </c>
      <c r="C3698" s="46">
        <v>811800</v>
      </c>
      <c r="D3698" s="46">
        <v>738000</v>
      </c>
      <c r="E3698" s="46">
        <v>73800</v>
      </c>
      <c r="F3698" s="17" t="s">
        <v>968</v>
      </c>
      <c r="G3698" s="9">
        <v>45518</v>
      </c>
    </row>
    <row r="3699" spans="1:19">
      <c r="A3699" s="45">
        <v>45504</v>
      </c>
      <c r="B3699" s="200" t="s">
        <v>1046</v>
      </c>
      <c r="C3699" s="46">
        <v>48017640</v>
      </c>
      <c r="D3699" s="46">
        <v>43652400</v>
      </c>
      <c r="E3699" s="46">
        <v>4365240</v>
      </c>
      <c r="F3699" s="17" t="s">
        <v>1045</v>
      </c>
      <c r="G3699" s="9">
        <v>45525</v>
      </c>
    </row>
    <row r="3700" spans="1:19">
      <c r="A3700" s="45">
        <v>45504</v>
      </c>
      <c r="B3700" s="14" t="s">
        <v>970</v>
      </c>
      <c r="C3700" s="46">
        <v>4356000</v>
      </c>
      <c r="D3700" s="46">
        <v>3960000</v>
      </c>
      <c r="E3700" s="46">
        <v>396000</v>
      </c>
      <c r="F3700" s="17" t="s">
        <v>1000</v>
      </c>
      <c r="G3700" s="9">
        <v>45513</v>
      </c>
    </row>
    <row r="3701" spans="1:19">
      <c r="A3701" s="45">
        <v>45504</v>
      </c>
      <c r="B3701" s="14" t="s">
        <v>970</v>
      </c>
      <c r="C3701" s="46">
        <v>2074600</v>
      </c>
      <c r="D3701" s="46">
        <v>1886000</v>
      </c>
      <c r="E3701" s="46">
        <v>188600</v>
      </c>
      <c r="F3701" s="17" t="s">
        <v>233</v>
      </c>
      <c r="G3701" s="9">
        <v>45513</v>
      </c>
    </row>
    <row r="3702" spans="1:19">
      <c r="A3702" s="45">
        <v>45504</v>
      </c>
      <c r="B3702" s="14" t="s">
        <v>970</v>
      </c>
      <c r="C3702" s="46">
        <v>1072500</v>
      </c>
      <c r="D3702" s="46">
        <v>975000</v>
      </c>
      <c r="E3702" s="46">
        <v>97500</v>
      </c>
      <c r="F3702" s="17" t="s">
        <v>1038</v>
      </c>
      <c r="G3702" s="9">
        <v>45513</v>
      </c>
      <c r="K3702" s="196"/>
    </row>
    <row r="3703" spans="1:19">
      <c r="A3703" s="45">
        <v>45504</v>
      </c>
      <c r="B3703" s="14" t="s">
        <v>752</v>
      </c>
      <c r="C3703" s="46">
        <v>3300000</v>
      </c>
      <c r="D3703" s="46">
        <v>3000000</v>
      </c>
      <c r="E3703" s="46">
        <v>300000</v>
      </c>
      <c r="F3703" s="17" t="s">
        <v>753</v>
      </c>
      <c r="G3703" s="9">
        <v>45516</v>
      </c>
    </row>
    <row r="3704" spans="1:19">
      <c r="A3704" s="45">
        <v>45504</v>
      </c>
      <c r="B3704" s="14" t="s">
        <v>730</v>
      </c>
      <c r="C3704" s="46">
        <v>2075700</v>
      </c>
      <c r="D3704" s="46">
        <v>1887000</v>
      </c>
      <c r="E3704" s="46">
        <v>188700</v>
      </c>
      <c r="F3704" s="17" t="s">
        <v>457</v>
      </c>
      <c r="G3704" s="9">
        <v>45516</v>
      </c>
    </row>
    <row r="3705" spans="1:19">
      <c r="A3705" s="45">
        <v>45504</v>
      </c>
      <c r="B3705" s="14" t="s">
        <v>1001</v>
      </c>
      <c r="C3705" s="46">
        <v>7161000</v>
      </c>
      <c r="D3705" s="46">
        <v>6510000</v>
      </c>
      <c r="E3705" s="46">
        <v>651000</v>
      </c>
      <c r="F3705" s="17" t="s">
        <v>1002</v>
      </c>
      <c r="G3705" s="9">
        <v>45510</v>
      </c>
    </row>
    <row r="3706" spans="1:19">
      <c r="A3706" s="45">
        <v>45504</v>
      </c>
      <c r="B3706" s="14" t="s">
        <v>805</v>
      </c>
      <c r="C3706" s="46">
        <v>6737500</v>
      </c>
      <c r="D3706" s="46">
        <v>6125000</v>
      </c>
      <c r="E3706" s="46">
        <v>612500</v>
      </c>
      <c r="F3706" s="17" t="s">
        <v>727</v>
      </c>
      <c r="G3706" s="9">
        <v>45518</v>
      </c>
    </row>
    <row r="3707" spans="1:19">
      <c r="A3707" s="45">
        <v>45504</v>
      </c>
      <c r="B3707" s="14" t="s">
        <v>82</v>
      </c>
      <c r="C3707" s="46">
        <v>1199000</v>
      </c>
      <c r="D3707" s="46">
        <v>1090000</v>
      </c>
      <c r="E3707" s="46">
        <v>109000</v>
      </c>
      <c r="F3707" s="17" t="s">
        <v>13</v>
      </c>
      <c r="G3707" s="9">
        <v>45520</v>
      </c>
      <c r="I3707" s="301" t="s">
        <v>1037</v>
      </c>
      <c r="J3707" s="302"/>
      <c r="K3707" s="303"/>
    </row>
    <row r="3708" spans="1:19">
      <c r="A3708" s="45">
        <v>45504</v>
      </c>
      <c r="B3708" s="14" t="s">
        <v>155</v>
      </c>
      <c r="C3708" s="46">
        <v>1507000</v>
      </c>
      <c r="D3708" s="46">
        <v>1370000</v>
      </c>
      <c r="E3708" s="46">
        <v>137000</v>
      </c>
      <c r="F3708" s="17" t="s">
        <v>13</v>
      </c>
      <c r="G3708" s="9">
        <v>45554</v>
      </c>
      <c r="I3708" s="18" t="s">
        <v>46</v>
      </c>
      <c r="J3708" s="195" t="s">
        <v>47</v>
      </c>
      <c r="K3708" s="195" t="s">
        <v>48</v>
      </c>
    </row>
    <row r="3709" spans="1:19">
      <c r="A3709" s="119">
        <v>45504</v>
      </c>
      <c r="B3709" s="42" t="s">
        <v>996</v>
      </c>
      <c r="C3709" s="118">
        <v>8203450</v>
      </c>
      <c r="D3709" s="118">
        <v>8203450</v>
      </c>
      <c r="E3709" s="118">
        <v>0</v>
      </c>
      <c r="F3709" s="51" t="s">
        <v>1043</v>
      </c>
      <c r="G3709" s="10">
        <v>45512</v>
      </c>
      <c r="H3709" s="51"/>
      <c r="I3709" s="18">
        <f>SUM(C3665:C3709)</f>
        <v>495764659</v>
      </c>
      <c r="J3709" s="18">
        <f>SUM(D3665:D3709)</f>
        <v>452866942</v>
      </c>
      <c r="K3709" s="18">
        <f>SUM(E3665:E3709)</f>
        <v>42897717</v>
      </c>
      <c r="L3709" s="42"/>
      <c r="M3709" s="42"/>
      <c r="N3709" s="42"/>
      <c r="O3709" s="42"/>
      <c r="P3709" s="42"/>
      <c r="Q3709" s="42"/>
      <c r="R3709" s="42"/>
      <c r="S3709" s="42"/>
    </row>
    <row r="3710" spans="1:19">
      <c r="A3710" s="45">
        <v>45505</v>
      </c>
      <c r="B3710" s="199" t="s">
        <v>958</v>
      </c>
      <c r="C3710" s="46">
        <v>8661690</v>
      </c>
      <c r="D3710" s="46">
        <v>8661690</v>
      </c>
      <c r="E3710" s="46">
        <v>0</v>
      </c>
      <c r="F3710" s="17" t="s">
        <v>1043</v>
      </c>
      <c r="G3710" s="9">
        <v>45513</v>
      </c>
    </row>
    <row r="3711" spans="1:19">
      <c r="A3711" s="45">
        <v>45516</v>
      </c>
      <c r="B3711" s="14" t="s">
        <v>432</v>
      </c>
      <c r="C3711" s="46">
        <v>47999622</v>
      </c>
      <c r="D3711" s="46">
        <v>43636020</v>
      </c>
      <c r="E3711" s="46">
        <v>4363602</v>
      </c>
      <c r="F3711" s="17" t="s">
        <v>409</v>
      </c>
      <c r="G3711" s="9">
        <v>45544</v>
      </c>
    </row>
    <row r="3712" spans="1:19">
      <c r="A3712" s="45">
        <v>45519</v>
      </c>
      <c r="B3712" s="14" t="s">
        <v>2</v>
      </c>
      <c r="C3712" s="46">
        <v>8448000</v>
      </c>
      <c r="D3712" s="46">
        <v>7680000</v>
      </c>
      <c r="E3712" s="46">
        <v>768000</v>
      </c>
      <c r="F3712" s="17" t="s">
        <v>611</v>
      </c>
      <c r="G3712" s="9">
        <v>45534</v>
      </c>
    </row>
    <row r="3713" spans="1:7">
      <c r="A3713" s="45">
        <v>45519</v>
      </c>
      <c r="B3713" s="199" t="s">
        <v>2</v>
      </c>
      <c r="C3713" s="46">
        <v>9734587</v>
      </c>
      <c r="D3713" s="46">
        <v>8849625</v>
      </c>
      <c r="E3713" s="46">
        <v>884962</v>
      </c>
      <c r="F3713" s="17" t="s">
        <v>315</v>
      </c>
      <c r="G3713" s="9">
        <v>45534</v>
      </c>
    </row>
    <row r="3714" spans="1:7">
      <c r="A3714" s="45">
        <v>45519</v>
      </c>
      <c r="B3714" s="199" t="s">
        <v>2</v>
      </c>
      <c r="C3714" s="46">
        <v>9133740</v>
      </c>
      <c r="D3714" s="46">
        <v>8303400</v>
      </c>
      <c r="E3714" s="46">
        <v>830340</v>
      </c>
      <c r="F3714" s="17" t="s">
        <v>734</v>
      </c>
      <c r="G3714" s="9">
        <v>45534</v>
      </c>
    </row>
    <row r="3715" spans="1:7">
      <c r="A3715" s="45">
        <v>45519</v>
      </c>
      <c r="B3715" s="14" t="s">
        <v>2</v>
      </c>
      <c r="C3715" s="46">
        <v>20675600</v>
      </c>
      <c r="D3715" s="46">
        <v>18796000</v>
      </c>
      <c r="E3715" s="46">
        <v>1879600</v>
      </c>
      <c r="F3715" s="17" t="s">
        <v>424</v>
      </c>
      <c r="G3715" s="9">
        <v>45524</v>
      </c>
    </row>
    <row r="3716" spans="1:7">
      <c r="A3716" s="45">
        <v>45519</v>
      </c>
      <c r="B3716" s="14" t="s">
        <v>2</v>
      </c>
      <c r="C3716" s="46">
        <v>110757402</v>
      </c>
      <c r="D3716" s="46">
        <v>100688548</v>
      </c>
      <c r="E3716" s="46">
        <v>10068854</v>
      </c>
      <c r="F3716" s="17" t="s">
        <v>456</v>
      </c>
      <c r="G3716" s="9">
        <v>45530</v>
      </c>
    </row>
    <row r="3717" spans="1:7">
      <c r="A3717" s="45">
        <v>45526</v>
      </c>
      <c r="B3717" s="201" t="s">
        <v>921</v>
      </c>
      <c r="C3717" s="46">
        <v>10813910</v>
      </c>
      <c r="D3717" s="46">
        <v>10813910</v>
      </c>
      <c r="E3717" s="46">
        <v>0</v>
      </c>
      <c r="F3717" s="17" t="s">
        <v>1047</v>
      </c>
      <c r="G3717" s="9">
        <v>45534</v>
      </c>
    </row>
    <row r="3718" spans="1:7">
      <c r="A3718" s="45">
        <v>45526</v>
      </c>
      <c r="B3718" s="201" t="s">
        <v>902</v>
      </c>
      <c r="C3718" s="46">
        <v>4761120</v>
      </c>
      <c r="D3718" s="46">
        <v>4761120</v>
      </c>
      <c r="E3718" s="46">
        <v>0</v>
      </c>
      <c r="F3718" s="17" t="s">
        <v>1048</v>
      </c>
      <c r="G3718" s="9">
        <v>45534</v>
      </c>
    </row>
    <row r="3719" spans="1:7">
      <c r="A3719" s="45">
        <v>45527</v>
      </c>
      <c r="B3719" s="14" t="s">
        <v>769</v>
      </c>
      <c r="C3719" s="46">
        <v>60733200</v>
      </c>
      <c r="D3719" s="46">
        <v>55212000</v>
      </c>
      <c r="E3719" s="46">
        <v>5521200</v>
      </c>
      <c r="F3719" s="17" t="s">
        <v>387</v>
      </c>
      <c r="G3719" s="9">
        <v>45545</v>
      </c>
    </row>
    <row r="3720" spans="1:7">
      <c r="A3720" s="45">
        <v>45527</v>
      </c>
      <c r="B3720" s="14" t="s">
        <v>769</v>
      </c>
      <c r="C3720" s="46">
        <v>2081200</v>
      </c>
      <c r="D3720" s="46">
        <v>1892000</v>
      </c>
      <c r="E3720" s="46">
        <v>189200</v>
      </c>
      <c r="F3720" s="17" t="s">
        <v>386</v>
      </c>
      <c r="G3720" s="9">
        <v>45545</v>
      </c>
    </row>
    <row r="3721" spans="1:7">
      <c r="A3721" s="45">
        <v>45527</v>
      </c>
      <c r="B3721" s="14" t="s">
        <v>769</v>
      </c>
      <c r="C3721" s="46">
        <v>24688400</v>
      </c>
      <c r="D3721" s="46">
        <v>22444000</v>
      </c>
      <c r="E3721" s="46">
        <v>2244400</v>
      </c>
      <c r="F3721" s="17" t="s">
        <v>705</v>
      </c>
      <c r="G3721" s="9">
        <v>45545</v>
      </c>
    </row>
    <row r="3722" spans="1:7">
      <c r="A3722" s="45">
        <v>45527</v>
      </c>
      <c r="B3722" s="14" t="s">
        <v>769</v>
      </c>
      <c r="C3722" s="46">
        <v>10502800</v>
      </c>
      <c r="D3722" s="46">
        <v>9548000</v>
      </c>
      <c r="E3722" s="46">
        <v>954800</v>
      </c>
      <c r="F3722" s="17" t="s">
        <v>305</v>
      </c>
      <c r="G3722" s="9">
        <v>45545</v>
      </c>
    </row>
    <row r="3723" spans="1:7">
      <c r="A3723" s="45">
        <v>45527</v>
      </c>
      <c r="B3723" s="14" t="s">
        <v>769</v>
      </c>
      <c r="C3723" s="46">
        <v>10074759</v>
      </c>
      <c r="D3723" s="46">
        <v>9158872</v>
      </c>
      <c r="E3723" s="46">
        <v>915887</v>
      </c>
      <c r="F3723" s="17" t="s">
        <v>794</v>
      </c>
      <c r="G3723" s="9">
        <v>45545</v>
      </c>
    </row>
    <row r="3724" spans="1:7">
      <c r="A3724" s="45">
        <v>45529</v>
      </c>
      <c r="B3724" s="202" t="s">
        <v>719</v>
      </c>
      <c r="C3724" s="46">
        <f>D3724+E3724</f>
        <v>1804000</v>
      </c>
      <c r="D3724" s="46">
        <v>1640000</v>
      </c>
      <c r="E3724" s="46">
        <f>D3724*0.1</f>
        <v>164000</v>
      </c>
      <c r="F3724" s="17" t="s">
        <v>710</v>
      </c>
      <c r="G3724" s="9">
        <v>45562</v>
      </c>
    </row>
    <row r="3725" spans="1:7">
      <c r="A3725" s="45">
        <v>45534</v>
      </c>
      <c r="B3725" s="14" t="s">
        <v>996</v>
      </c>
      <c r="C3725" s="46">
        <v>8086840</v>
      </c>
      <c r="D3725" s="46">
        <v>8086840</v>
      </c>
      <c r="E3725" s="46">
        <v>0</v>
      </c>
      <c r="F3725" s="17" t="s">
        <v>1050</v>
      </c>
      <c r="G3725" s="9">
        <v>45546</v>
      </c>
    </row>
    <row r="3726" spans="1:7">
      <c r="A3726" s="45">
        <v>45534</v>
      </c>
      <c r="B3726" s="14" t="s">
        <v>958</v>
      </c>
      <c r="C3726" s="46">
        <v>8585310</v>
      </c>
      <c r="D3726" s="46">
        <v>8585310</v>
      </c>
      <c r="E3726" s="46">
        <v>0</v>
      </c>
      <c r="F3726" s="17" t="s">
        <v>1050</v>
      </c>
      <c r="G3726" s="9">
        <v>45545</v>
      </c>
    </row>
    <row r="3727" spans="1:7">
      <c r="A3727" s="45">
        <v>45535</v>
      </c>
      <c r="B3727" s="14" t="s">
        <v>2</v>
      </c>
      <c r="C3727" s="46">
        <v>7656000</v>
      </c>
      <c r="D3727" s="46">
        <v>6960000</v>
      </c>
      <c r="E3727" s="46">
        <v>696000</v>
      </c>
      <c r="F3727" s="17" t="s">
        <v>611</v>
      </c>
      <c r="G3727" s="9">
        <v>45545</v>
      </c>
    </row>
    <row r="3728" spans="1:7">
      <c r="A3728" s="45">
        <v>45535</v>
      </c>
      <c r="B3728" s="14" t="s">
        <v>2</v>
      </c>
      <c r="C3728" s="46">
        <v>8845100</v>
      </c>
      <c r="D3728" s="46">
        <v>8041000</v>
      </c>
      <c r="E3728" s="46">
        <v>804100</v>
      </c>
      <c r="F3728" s="17" t="s">
        <v>315</v>
      </c>
      <c r="G3728" s="9">
        <v>45545</v>
      </c>
    </row>
    <row r="3729" spans="1:11">
      <c r="A3729" s="45">
        <v>45535</v>
      </c>
      <c r="B3729" s="14" t="s">
        <v>2</v>
      </c>
      <c r="C3729" s="46">
        <v>10093160</v>
      </c>
      <c r="D3729" s="46">
        <v>9175600</v>
      </c>
      <c r="E3729" s="46">
        <v>917560</v>
      </c>
      <c r="F3729" s="17" t="s">
        <v>1055</v>
      </c>
      <c r="G3729" s="9">
        <v>45545</v>
      </c>
    </row>
    <row r="3730" spans="1:11">
      <c r="A3730" s="45">
        <v>45535</v>
      </c>
      <c r="B3730" s="14" t="s">
        <v>2</v>
      </c>
      <c r="C3730" s="46">
        <v>22987800</v>
      </c>
      <c r="D3730" s="46">
        <v>20898000</v>
      </c>
      <c r="E3730" s="46">
        <v>2089800</v>
      </c>
      <c r="F3730" s="17" t="s">
        <v>424</v>
      </c>
      <c r="G3730" s="9">
        <v>45545</v>
      </c>
    </row>
    <row r="3731" spans="1:11">
      <c r="A3731" s="45">
        <v>45535</v>
      </c>
      <c r="B3731" s="14" t="s">
        <v>2</v>
      </c>
      <c r="C3731" s="46">
        <v>81614500</v>
      </c>
      <c r="D3731" s="46">
        <v>74195000</v>
      </c>
      <c r="E3731" s="46">
        <v>7419500</v>
      </c>
      <c r="F3731" s="17" t="s">
        <v>1056</v>
      </c>
      <c r="G3731" s="9">
        <v>45544</v>
      </c>
    </row>
    <row r="3732" spans="1:11">
      <c r="A3732" s="45">
        <v>45535</v>
      </c>
      <c r="B3732" s="14" t="s">
        <v>2</v>
      </c>
      <c r="C3732" s="46">
        <v>416900</v>
      </c>
      <c r="D3732" s="46">
        <v>379000</v>
      </c>
      <c r="E3732" s="46">
        <v>37900</v>
      </c>
      <c r="F3732" s="17" t="s">
        <v>860</v>
      </c>
      <c r="G3732" s="9">
        <v>45545</v>
      </c>
    </row>
    <row r="3733" spans="1:11">
      <c r="A3733" s="45">
        <v>45535</v>
      </c>
      <c r="B3733" s="14" t="s">
        <v>2</v>
      </c>
      <c r="C3733" s="46">
        <v>600600</v>
      </c>
      <c r="D3733" s="46">
        <v>546000</v>
      </c>
      <c r="E3733" s="46">
        <v>54600</v>
      </c>
      <c r="F3733" s="17" t="s">
        <v>859</v>
      </c>
      <c r="G3733" s="9">
        <v>45545</v>
      </c>
      <c r="K3733" s="204"/>
    </row>
    <row r="3734" spans="1:11">
      <c r="A3734" s="45">
        <v>45535</v>
      </c>
      <c r="B3734" s="14" t="s">
        <v>2</v>
      </c>
      <c r="C3734" s="46">
        <v>592900</v>
      </c>
      <c r="D3734" s="46">
        <v>539000</v>
      </c>
      <c r="E3734" s="46">
        <v>53900</v>
      </c>
      <c r="F3734" s="17" t="s">
        <v>858</v>
      </c>
      <c r="G3734" s="9">
        <v>45545</v>
      </c>
    </row>
    <row r="3735" spans="1:11">
      <c r="A3735" s="45">
        <v>45535</v>
      </c>
      <c r="B3735" s="14" t="s">
        <v>2</v>
      </c>
      <c r="C3735" s="46">
        <v>3616800</v>
      </c>
      <c r="D3735" s="46">
        <v>3288000</v>
      </c>
      <c r="E3735" s="46">
        <v>328800</v>
      </c>
      <c r="F3735" s="17" t="s">
        <v>999</v>
      </c>
      <c r="G3735" s="9">
        <v>45545</v>
      </c>
    </row>
    <row r="3736" spans="1:11">
      <c r="A3736" s="45">
        <v>45535</v>
      </c>
      <c r="B3736" s="14" t="s">
        <v>432</v>
      </c>
      <c r="C3736" s="46">
        <v>2828100</v>
      </c>
      <c r="D3736" s="46">
        <v>2571000</v>
      </c>
      <c r="E3736" s="46">
        <v>257100</v>
      </c>
      <c r="F3736" s="17" t="s">
        <v>255</v>
      </c>
      <c r="G3736" s="9">
        <v>45558</v>
      </c>
    </row>
    <row r="3737" spans="1:11">
      <c r="A3737" s="45">
        <v>45535</v>
      </c>
      <c r="B3737" s="14" t="s">
        <v>432</v>
      </c>
      <c r="C3737" s="46">
        <v>132000</v>
      </c>
      <c r="D3737" s="46">
        <v>120000</v>
      </c>
      <c r="E3737" s="46">
        <v>12000</v>
      </c>
      <c r="F3737" s="17" t="s">
        <v>320</v>
      </c>
      <c r="G3737" s="9">
        <v>45558</v>
      </c>
    </row>
    <row r="3738" spans="1:11">
      <c r="A3738" s="45">
        <v>45535</v>
      </c>
      <c r="B3738" s="14" t="s">
        <v>432</v>
      </c>
      <c r="C3738" s="46">
        <v>1214400</v>
      </c>
      <c r="D3738" s="46">
        <v>1104000</v>
      </c>
      <c r="E3738" s="46">
        <v>110400</v>
      </c>
      <c r="F3738" s="17" t="s">
        <v>1052</v>
      </c>
      <c r="G3738" s="9">
        <v>45555</v>
      </c>
    </row>
    <row r="3739" spans="1:11">
      <c r="A3739" s="45">
        <v>45535</v>
      </c>
      <c r="B3739" s="14" t="s">
        <v>432</v>
      </c>
      <c r="C3739" s="46">
        <v>5461500</v>
      </c>
      <c r="D3739" s="46">
        <v>4965000</v>
      </c>
      <c r="E3739" s="46">
        <v>496500</v>
      </c>
      <c r="F3739" s="17" t="s">
        <v>757</v>
      </c>
      <c r="G3739" s="9">
        <v>45555</v>
      </c>
    </row>
    <row r="3740" spans="1:11">
      <c r="A3740" s="45">
        <v>45535</v>
      </c>
      <c r="B3740" s="14" t="s">
        <v>432</v>
      </c>
      <c r="C3740" s="46">
        <v>320100</v>
      </c>
      <c r="D3740" s="46">
        <v>291000</v>
      </c>
      <c r="E3740" s="46">
        <v>29100</v>
      </c>
      <c r="F3740" s="17" t="s">
        <v>969</v>
      </c>
      <c r="G3740" s="9">
        <v>45555</v>
      </c>
      <c r="K3740" s="204"/>
    </row>
    <row r="3741" spans="1:11">
      <c r="A3741" s="45">
        <v>45535</v>
      </c>
      <c r="B3741" s="14" t="s">
        <v>432</v>
      </c>
      <c r="C3741" s="46">
        <v>1485000</v>
      </c>
      <c r="D3741" s="46">
        <v>1350000</v>
      </c>
      <c r="E3741" s="46">
        <v>135000</v>
      </c>
      <c r="F3741" s="17" t="s">
        <v>811</v>
      </c>
      <c r="G3741" s="9">
        <v>45548</v>
      </c>
      <c r="K3741" s="204"/>
    </row>
    <row r="3742" spans="1:11">
      <c r="A3742" s="45">
        <v>45535</v>
      </c>
      <c r="B3742" s="14" t="s">
        <v>432</v>
      </c>
      <c r="C3742" s="46">
        <v>3082200</v>
      </c>
      <c r="D3742" s="46">
        <v>2802000</v>
      </c>
      <c r="E3742" s="46">
        <v>280200</v>
      </c>
      <c r="F3742" s="17" t="s">
        <v>968</v>
      </c>
      <c r="G3742" s="9">
        <v>45548</v>
      </c>
      <c r="K3742" s="204"/>
    </row>
    <row r="3743" spans="1:11">
      <c r="A3743" s="45">
        <v>45535</v>
      </c>
      <c r="B3743" s="14" t="s">
        <v>752</v>
      </c>
      <c r="C3743" s="46">
        <v>3080000</v>
      </c>
      <c r="D3743" s="46">
        <v>2800000</v>
      </c>
      <c r="E3743" s="46">
        <v>280000</v>
      </c>
      <c r="F3743" s="17" t="s">
        <v>753</v>
      </c>
      <c r="G3743" s="9">
        <v>45546</v>
      </c>
      <c r="K3743" s="204"/>
    </row>
    <row r="3744" spans="1:11">
      <c r="A3744" s="45">
        <v>45535</v>
      </c>
      <c r="B3744" s="14" t="s">
        <v>730</v>
      </c>
      <c r="C3744" s="46">
        <v>623700</v>
      </c>
      <c r="D3744" s="46">
        <v>567000</v>
      </c>
      <c r="E3744" s="46">
        <v>56700</v>
      </c>
      <c r="F3744" s="17" t="s">
        <v>457</v>
      </c>
      <c r="G3744" s="9">
        <v>45545</v>
      </c>
      <c r="K3744" s="204"/>
    </row>
    <row r="3745" spans="1:19">
      <c r="A3745" s="45">
        <v>45535</v>
      </c>
      <c r="B3745" s="14" t="s">
        <v>1001</v>
      </c>
      <c r="C3745" s="46">
        <v>7821000</v>
      </c>
      <c r="D3745" s="46">
        <v>7110000</v>
      </c>
      <c r="E3745" s="46">
        <v>711000</v>
      </c>
      <c r="F3745" s="17" t="s">
        <v>1002</v>
      </c>
      <c r="G3745" s="9">
        <v>45539</v>
      </c>
    </row>
    <row r="3746" spans="1:19">
      <c r="A3746" s="45">
        <v>45535</v>
      </c>
      <c r="B3746" s="14" t="s">
        <v>805</v>
      </c>
      <c r="C3746" s="46">
        <v>8453500</v>
      </c>
      <c r="D3746" s="46">
        <v>7685000</v>
      </c>
      <c r="E3746" s="46">
        <v>768500</v>
      </c>
      <c r="F3746" s="17" t="s">
        <v>727</v>
      </c>
      <c r="G3746" s="9">
        <v>45548</v>
      </c>
    </row>
    <row r="3747" spans="1:19">
      <c r="A3747" s="45">
        <v>45535</v>
      </c>
      <c r="B3747" s="14" t="s">
        <v>984</v>
      </c>
      <c r="C3747" s="46">
        <v>99000</v>
      </c>
      <c r="D3747" s="46">
        <v>90000</v>
      </c>
      <c r="E3747" s="46">
        <v>9000</v>
      </c>
      <c r="F3747" s="17" t="s">
        <v>1053</v>
      </c>
      <c r="G3747" s="9">
        <v>45545</v>
      </c>
    </row>
    <row r="3748" spans="1:19">
      <c r="A3748" s="45">
        <v>45535</v>
      </c>
      <c r="B3748" s="14" t="s">
        <v>984</v>
      </c>
      <c r="C3748" s="46">
        <v>346500</v>
      </c>
      <c r="D3748" s="46">
        <v>315000</v>
      </c>
      <c r="E3748" s="46">
        <v>31500</v>
      </c>
      <c r="F3748" s="17" t="s">
        <v>1054</v>
      </c>
      <c r="G3748" s="9">
        <v>45545</v>
      </c>
    </row>
    <row r="3749" spans="1:19">
      <c r="A3749" s="45">
        <v>45535</v>
      </c>
      <c r="B3749" s="14" t="s">
        <v>719</v>
      </c>
      <c r="C3749" s="46">
        <v>1197900</v>
      </c>
      <c r="D3749" s="46">
        <v>1089000</v>
      </c>
      <c r="E3749" s="46">
        <v>108900</v>
      </c>
      <c r="F3749" s="17" t="s">
        <v>912</v>
      </c>
      <c r="G3749" s="9">
        <v>45562</v>
      </c>
    </row>
    <row r="3750" spans="1:19">
      <c r="A3750" s="45">
        <v>45535</v>
      </c>
      <c r="B3750" s="14" t="s">
        <v>970</v>
      </c>
      <c r="C3750" s="46">
        <v>6404200</v>
      </c>
      <c r="D3750" s="46">
        <v>5822000</v>
      </c>
      <c r="E3750" s="46">
        <v>582200</v>
      </c>
      <c r="F3750" s="17" t="s">
        <v>233</v>
      </c>
      <c r="G3750" s="9">
        <v>45541</v>
      </c>
    </row>
    <row r="3751" spans="1:19">
      <c r="A3751" s="45">
        <v>45535</v>
      </c>
      <c r="B3751" s="14" t="s">
        <v>970</v>
      </c>
      <c r="C3751" s="46">
        <v>3432000</v>
      </c>
      <c r="D3751" s="46">
        <v>3120000</v>
      </c>
      <c r="E3751" s="46">
        <v>312000</v>
      </c>
      <c r="F3751" s="17" t="s">
        <v>971</v>
      </c>
      <c r="G3751" s="9">
        <v>45541</v>
      </c>
    </row>
    <row r="3752" spans="1:19">
      <c r="A3752" s="45">
        <v>45535</v>
      </c>
      <c r="B3752" s="14" t="s">
        <v>82</v>
      </c>
      <c r="C3752" s="46">
        <v>440000</v>
      </c>
      <c r="D3752" s="46">
        <v>400000</v>
      </c>
      <c r="E3752" s="46">
        <v>40000</v>
      </c>
      <c r="F3752" s="17" t="s">
        <v>13</v>
      </c>
      <c r="G3752" s="9">
        <v>45554</v>
      </c>
      <c r="I3752" s="301" t="s">
        <v>1044</v>
      </c>
      <c r="J3752" s="302"/>
      <c r="K3752" s="303"/>
    </row>
    <row r="3753" spans="1:19">
      <c r="A3753" s="45">
        <v>45535</v>
      </c>
      <c r="B3753" s="14" t="s">
        <v>749</v>
      </c>
      <c r="C3753" s="46">
        <v>2255000</v>
      </c>
      <c r="D3753" s="46">
        <v>2050000</v>
      </c>
      <c r="E3753" s="46">
        <v>205000</v>
      </c>
      <c r="F3753" s="17" t="s">
        <v>13</v>
      </c>
      <c r="G3753" s="9">
        <v>45548</v>
      </c>
      <c r="I3753" s="18" t="s">
        <v>46</v>
      </c>
      <c r="J3753" s="198" t="s">
        <v>47</v>
      </c>
      <c r="K3753" s="198" t="s">
        <v>48</v>
      </c>
    </row>
    <row r="3754" spans="1:19">
      <c r="A3754" s="45">
        <v>45535</v>
      </c>
      <c r="B3754" s="14" t="s">
        <v>155</v>
      </c>
      <c r="C3754" s="46">
        <v>3146000</v>
      </c>
      <c r="D3754" s="46">
        <v>2860000</v>
      </c>
      <c r="E3754" s="46">
        <v>286000</v>
      </c>
      <c r="F3754" s="17" t="s">
        <v>13</v>
      </c>
      <c r="G3754" s="9">
        <v>45573</v>
      </c>
      <c r="I3754" s="18">
        <f>SUM(C3710:C3755)</f>
        <v>582723708</v>
      </c>
      <c r="J3754" s="18">
        <f>SUM(D3710:D3755)</f>
        <v>533467815</v>
      </c>
      <c r="K3754" s="18">
        <f>SUM(E3710:E3755)</f>
        <v>49255893</v>
      </c>
    </row>
    <row r="3755" spans="1:19">
      <c r="A3755" s="119">
        <v>45535</v>
      </c>
      <c r="B3755" s="42" t="s">
        <v>432</v>
      </c>
      <c r="C3755" s="118">
        <v>36935668</v>
      </c>
      <c r="D3755" s="118">
        <v>33577880</v>
      </c>
      <c r="E3755" s="118">
        <v>3357788</v>
      </c>
      <c r="F3755" s="51" t="s">
        <v>13</v>
      </c>
      <c r="G3755" s="10">
        <v>45555</v>
      </c>
      <c r="H3755" s="51"/>
      <c r="I3755" s="121"/>
      <c r="J3755" s="122"/>
      <c r="K3755" s="42"/>
      <c r="L3755" s="42"/>
      <c r="M3755" s="42"/>
      <c r="N3755" s="42"/>
      <c r="O3755" s="42"/>
      <c r="P3755" s="42"/>
      <c r="Q3755" s="42"/>
      <c r="R3755" s="42"/>
      <c r="S3755" s="42"/>
    </row>
    <row r="3756" spans="1:19">
      <c r="A3756" s="45">
        <v>45545</v>
      </c>
      <c r="B3756" s="14" t="s">
        <v>432</v>
      </c>
      <c r="C3756" s="46">
        <v>47817000</v>
      </c>
      <c r="D3756" s="46">
        <v>43470000</v>
      </c>
      <c r="E3756" s="46">
        <v>4347000</v>
      </c>
      <c r="F3756" s="17" t="s">
        <v>13</v>
      </c>
      <c r="G3756" s="9">
        <v>45562</v>
      </c>
    </row>
    <row r="3757" spans="1:19">
      <c r="A3757" s="45">
        <v>45545</v>
      </c>
      <c r="B3757" s="14" t="s">
        <v>432</v>
      </c>
      <c r="C3757" s="46">
        <v>32969750</v>
      </c>
      <c r="D3757" s="46">
        <v>29972500</v>
      </c>
      <c r="E3757" s="46">
        <v>2997250</v>
      </c>
      <c r="F3757" s="17" t="s">
        <v>13</v>
      </c>
      <c r="G3757" s="9">
        <v>45562</v>
      </c>
    </row>
    <row r="3758" spans="1:19">
      <c r="A3758" s="45">
        <v>45550</v>
      </c>
      <c r="B3758" s="14" t="s">
        <v>2</v>
      </c>
      <c r="C3758" s="46">
        <v>16500000</v>
      </c>
      <c r="D3758" s="46">
        <v>15000000</v>
      </c>
      <c r="E3758" s="46">
        <v>1500000</v>
      </c>
      <c r="F3758" s="17" t="s">
        <v>611</v>
      </c>
      <c r="G3758" s="9">
        <v>45565</v>
      </c>
    </row>
    <row r="3759" spans="1:19">
      <c r="A3759" s="45">
        <v>45550</v>
      </c>
      <c r="B3759" s="14" t="s">
        <v>2</v>
      </c>
      <c r="C3759" s="46">
        <v>1188000</v>
      </c>
      <c r="D3759" s="46">
        <v>1080000</v>
      </c>
      <c r="E3759" s="46">
        <v>108000</v>
      </c>
      <c r="F3759" s="17" t="s">
        <v>646</v>
      </c>
      <c r="G3759" s="9">
        <v>45565</v>
      </c>
    </row>
    <row r="3760" spans="1:19">
      <c r="A3760" s="45">
        <v>45550</v>
      </c>
      <c r="B3760" s="14" t="s">
        <v>2</v>
      </c>
      <c r="C3760" s="46">
        <v>5698000</v>
      </c>
      <c r="D3760" s="46">
        <v>5180000</v>
      </c>
      <c r="E3760" s="46">
        <v>518000</v>
      </c>
      <c r="F3760" s="17" t="s">
        <v>315</v>
      </c>
      <c r="G3760" s="9">
        <v>45565</v>
      </c>
    </row>
    <row r="3761" spans="1:7">
      <c r="A3761" s="45">
        <v>45550</v>
      </c>
      <c r="B3761" s="14" t="s">
        <v>2</v>
      </c>
      <c r="C3761" s="46">
        <v>7469000</v>
      </c>
      <c r="D3761" s="46">
        <v>6790000</v>
      </c>
      <c r="E3761" s="46">
        <v>679000</v>
      </c>
      <c r="F3761" s="17" t="s">
        <v>734</v>
      </c>
      <c r="G3761" s="9">
        <v>45565</v>
      </c>
    </row>
    <row r="3762" spans="1:7">
      <c r="A3762" s="45">
        <v>45550</v>
      </c>
      <c r="B3762" s="14" t="s">
        <v>2</v>
      </c>
      <c r="C3762" s="46">
        <v>20475400</v>
      </c>
      <c r="D3762" s="46">
        <v>18614000</v>
      </c>
      <c r="E3762" s="46">
        <v>1861400</v>
      </c>
      <c r="F3762" s="17" t="s">
        <v>424</v>
      </c>
      <c r="G3762" s="9">
        <v>45565</v>
      </c>
    </row>
    <row r="3763" spans="1:7">
      <c r="A3763" s="45">
        <v>45550</v>
      </c>
      <c r="B3763" s="14" t="s">
        <v>2</v>
      </c>
      <c r="C3763" s="46">
        <v>41233500</v>
      </c>
      <c r="D3763" s="46">
        <v>37485000</v>
      </c>
      <c r="E3763" s="46">
        <v>3748500</v>
      </c>
      <c r="F3763" s="17" t="s">
        <v>1056</v>
      </c>
      <c r="G3763" s="9">
        <v>45562</v>
      </c>
    </row>
    <row r="3764" spans="1:7">
      <c r="A3764" s="45">
        <v>45559</v>
      </c>
      <c r="B3764" s="14" t="s">
        <v>921</v>
      </c>
      <c r="C3764" s="46">
        <v>10813910</v>
      </c>
      <c r="D3764" s="46">
        <v>10813910</v>
      </c>
      <c r="E3764" s="46">
        <v>0</v>
      </c>
      <c r="F3764" s="17" t="s">
        <v>1057</v>
      </c>
      <c r="G3764" s="9">
        <v>45565</v>
      </c>
    </row>
    <row r="3765" spans="1:7">
      <c r="A3765" s="45">
        <v>45559</v>
      </c>
      <c r="B3765" s="14" t="s">
        <v>902</v>
      </c>
      <c r="C3765" s="46">
        <v>4761120</v>
      </c>
      <c r="D3765" s="46">
        <v>4761120</v>
      </c>
      <c r="E3765" s="46">
        <v>0</v>
      </c>
      <c r="F3765" s="17" t="s">
        <v>1058</v>
      </c>
      <c r="G3765" s="9">
        <v>45565</v>
      </c>
    </row>
    <row r="3766" spans="1:7">
      <c r="A3766" s="45">
        <v>45559</v>
      </c>
      <c r="B3766" s="14" t="s">
        <v>769</v>
      </c>
      <c r="C3766" s="46">
        <v>49948800</v>
      </c>
      <c r="D3766" s="46">
        <v>45408000</v>
      </c>
      <c r="E3766" s="46">
        <v>4540800</v>
      </c>
      <c r="F3766" s="17" t="s">
        <v>387</v>
      </c>
      <c r="G3766" s="9">
        <v>45575</v>
      </c>
    </row>
    <row r="3767" spans="1:7">
      <c r="A3767" s="45">
        <v>45559</v>
      </c>
      <c r="B3767" s="14" t="s">
        <v>769</v>
      </c>
      <c r="C3767" s="46">
        <v>3286800</v>
      </c>
      <c r="D3767" s="46">
        <v>2988000</v>
      </c>
      <c r="E3767" s="46">
        <v>298800</v>
      </c>
      <c r="F3767" s="17" t="s">
        <v>386</v>
      </c>
      <c r="G3767" s="9">
        <v>45575</v>
      </c>
    </row>
    <row r="3768" spans="1:7">
      <c r="A3768" s="45">
        <v>45559</v>
      </c>
      <c r="B3768" s="14" t="s">
        <v>769</v>
      </c>
      <c r="C3768" s="46">
        <v>23597200</v>
      </c>
      <c r="D3768" s="46">
        <v>21452000</v>
      </c>
      <c r="E3768" s="46">
        <v>2145200</v>
      </c>
      <c r="F3768" s="17" t="s">
        <v>705</v>
      </c>
      <c r="G3768" s="9">
        <v>45575</v>
      </c>
    </row>
    <row r="3769" spans="1:7">
      <c r="A3769" s="45">
        <v>45559</v>
      </c>
      <c r="B3769" s="14" t="s">
        <v>769</v>
      </c>
      <c r="C3769" s="46">
        <v>9548000</v>
      </c>
      <c r="D3769" s="46">
        <v>8680000</v>
      </c>
      <c r="E3769" s="46">
        <v>868000</v>
      </c>
      <c r="F3769" s="17" t="s">
        <v>305</v>
      </c>
      <c r="G3769" s="9">
        <v>45575</v>
      </c>
    </row>
    <row r="3770" spans="1:7">
      <c r="A3770" s="45">
        <v>45559</v>
      </c>
      <c r="B3770" s="14" t="s">
        <v>769</v>
      </c>
      <c r="C3770" s="46">
        <v>10074759</v>
      </c>
      <c r="D3770" s="46">
        <v>9158872</v>
      </c>
      <c r="E3770" s="46">
        <v>915887</v>
      </c>
      <c r="F3770" s="17" t="s">
        <v>794</v>
      </c>
      <c r="G3770" s="9">
        <v>45575</v>
      </c>
    </row>
    <row r="3771" spans="1:7">
      <c r="A3771" s="45">
        <v>45560</v>
      </c>
      <c r="B3771" s="205" t="s">
        <v>719</v>
      </c>
      <c r="C3771" s="46">
        <v>451000</v>
      </c>
      <c r="D3771" s="46">
        <v>410000</v>
      </c>
      <c r="E3771" s="46">
        <v>41000</v>
      </c>
      <c r="F3771" s="17" t="s">
        <v>710</v>
      </c>
      <c r="G3771" s="9">
        <v>45583</v>
      </c>
    </row>
    <row r="3772" spans="1:7">
      <c r="A3772" s="45" t="s">
        <v>1059</v>
      </c>
      <c r="B3772" s="14" t="s">
        <v>958</v>
      </c>
      <c r="C3772" s="46">
        <v>8661690</v>
      </c>
      <c r="D3772" s="46">
        <v>8661690</v>
      </c>
      <c r="E3772" s="46">
        <v>0</v>
      </c>
      <c r="F3772" s="17" t="s">
        <v>1060</v>
      </c>
      <c r="G3772" s="9">
        <v>45575</v>
      </c>
    </row>
    <row r="3773" spans="1:7">
      <c r="A3773" s="45" t="s">
        <v>1059</v>
      </c>
      <c r="B3773" s="14" t="s">
        <v>996</v>
      </c>
      <c r="C3773" s="46">
        <v>8075110</v>
      </c>
      <c r="D3773" s="46">
        <v>8075110</v>
      </c>
      <c r="E3773" s="46">
        <v>0</v>
      </c>
      <c r="F3773" s="17" t="s">
        <v>1060</v>
      </c>
      <c r="G3773" s="9">
        <v>45573</v>
      </c>
    </row>
    <row r="3774" spans="1:7">
      <c r="A3774" s="45">
        <v>45565</v>
      </c>
      <c r="B3774" s="14" t="s">
        <v>2</v>
      </c>
      <c r="C3774" s="46">
        <v>15840000</v>
      </c>
      <c r="D3774" s="46">
        <v>14400000</v>
      </c>
      <c r="E3774" s="46">
        <v>1440000</v>
      </c>
      <c r="F3774" s="17" t="s">
        <v>611</v>
      </c>
      <c r="G3774" s="9">
        <v>45575</v>
      </c>
    </row>
    <row r="3775" spans="1:7">
      <c r="A3775" s="45">
        <v>45565</v>
      </c>
      <c r="B3775" s="14" t="s">
        <v>2</v>
      </c>
      <c r="C3775" s="46">
        <v>924000</v>
      </c>
      <c r="D3775" s="46">
        <v>840000</v>
      </c>
      <c r="E3775" s="46">
        <v>84000</v>
      </c>
      <c r="F3775" s="17" t="s">
        <v>646</v>
      </c>
      <c r="G3775" s="9">
        <v>45575</v>
      </c>
    </row>
    <row r="3776" spans="1:7">
      <c r="A3776" s="45">
        <v>45565</v>
      </c>
      <c r="B3776" s="14" t="s">
        <v>2</v>
      </c>
      <c r="C3776" s="46">
        <v>6312900</v>
      </c>
      <c r="D3776" s="46">
        <v>5739000</v>
      </c>
      <c r="E3776" s="46">
        <v>573900</v>
      </c>
      <c r="F3776" s="17" t="s">
        <v>315</v>
      </c>
      <c r="G3776" s="9">
        <v>45575</v>
      </c>
    </row>
    <row r="3777" spans="1:11">
      <c r="A3777" s="45">
        <v>45565</v>
      </c>
      <c r="B3777" s="14" t="s">
        <v>2</v>
      </c>
      <c r="C3777" s="46">
        <v>8159800</v>
      </c>
      <c r="D3777" s="46">
        <v>7418000</v>
      </c>
      <c r="E3777" s="46">
        <v>741800</v>
      </c>
      <c r="F3777" s="17" t="s">
        <v>734</v>
      </c>
      <c r="G3777" s="9">
        <v>45575</v>
      </c>
    </row>
    <row r="3778" spans="1:11">
      <c r="A3778" s="45">
        <v>45565</v>
      </c>
      <c r="B3778" s="14" t="s">
        <v>2</v>
      </c>
      <c r="C3778" s="46">
        <v>20702000</v>
      </c>
      <c r="D3778" s="46">
        <v>18820000</v>
      </c>
      <c r="E3778" s="46">
        <v>1882000</v>
      </c>
      <c r="F3778" s="17" t="s">
        <v>424</v>
      </c>
      <c r="G3778" s="9">
        <v>45575</v>
      </c>
    </row>
    <row r="3779" spans="1:11">
      <c r="A3779" s="45">
        <v>45565</v>
      </c>
      <c r="B3779" s="14" t="s">
        <v>2</v>
      </c>
      <c r="C3779" s="46">
        <v>39971250</v>
      </c>
      <c r="D3779" s="46">
        <v>36337500</v>
      </c>
      <c r="E3779" s="46">
        <v>3633750</v>
      </c>
      <c r="F3779" s="17" t="s">
        <v>456</v>
      </c>
      <c r="G3779" s="9">
        <v>45575</v>
      </c>
    </row>
    <row r="3780" spans="1:11">
      <c r="A3780" s="45">
        <v>45565</v>
      </c>
      <c r="B3780" s="14" t="s">
        <v>2</v>
      </c>
      <c r="C3780" s="46">
        <v>273900</v>
      </c>
      <c r="D3780" s="46">
        <v>249000</v>
      </c>
      <c r="E3780" s="46">
        <v>24900</v>
      </c>
      <c r="F3780" s="17" t="s">
        <v>859</v>
      </c>
      <c r="G3780" s="9">
        <v>45575</v>
      </c>
    </row>
    <row r="3781" spans="1:11">
      <c r="A3781" s="45">
        <v>45565</v>
      </c>
      <c r="B3781" s="14" t="s">
        <v>2</v>
      </c>
      <c r="C3781" s="46">
        <v>1076900</v>
      </c>
      <c r="D3781" s="46">
        <v>979000</v>
      </c>
      <c r="E3781" s="46">
        <v>97900</v>
      </c>
      <c r="F3781" s="17" t="s">
        <v>858</v>
      </c>
      <c r="G3781" s="9">
        <v>45575</v>
      </c>
    </row>
    <row r="3782" spans="1:11">
      <c r="A3782" s="45">
        <v>45565</v>
      </c>
      <c r="B3782" s="14" t="s">
        <v>2</v>
      </c>
      <c r="C3782" s="46">
        <v>1729200</v>
      </c>
      <c r="D3782" s="46">
        <v>1572000</v>
      </c>
      <c r="E3782" s="46">
        <v>157200</v>
      </c>
      <c r="F3782" s="17" t="s">
        <v>999</v>
      </c>
      <c r="G3782" s="9">
        <v>45575</v>
      </c>
    </row>
    <row r="3783" spans="1:11">
      <c r="A3783" s="45">
        <v>45565</v>
      </c>
      <c r="B3783" s="14" t="s">
        <v>752</v>
      </c>
      <c r="C3783" s="46">
        <v>2750000</v>
      </c>
      <c r="D3783" s="46">
        <v>2500000</v>
      </c>
      <c r="E3783" s="46">
        <v>250000</v>
      </c>
      <c r="F3783" s="17" t="s">
        <v>753</v>
      </c>
      <c r="G3783" s="9">
        <v>45576</v>
      </c>
    </row>
    <row r="3784" spans="1:11">
      <c r="A3784" s="45">
        <v>45565</v>
      </c>
      <c r="B3784" s="14" t="s">
        <v>730</v>
      </c>
      <c r="C3784" s="46">
        <v>330000</v>
      </c>
      <c r="D3784" s="46">
        <v>300000</v>
      </c>
      <c r="E3784" s="46">
        <v>30000</v>
      </c>
      <c r="F3784" s="17" t="s">
        <v>457</v>
      </c>
      <c r="G3784" s="9">
        <v>45575</v>
      </c>
    </row>
    <row r="3785" spans="1:11">
      <c r="A3785" s="45">
        <v>45565</v>
      </c>
      <c r="B3785" s="14" t="s">
        <v>432</v>
      </c>
      <c r="C3785" s="46">
        <v>4620000</v>
      </c>
      <c r="D3785" s="46">
        <v>4200000</v>
      </c>
      <c r="E3785" s="46">
        <v>420000</v>
      </c>
      <c r="F3785" s="17" t="s">
        <v>757</v>
      </c>
      <c r="G3785" s="9">
        <v>45588</v>
      </c>
      <c r="K3785" s="207"/>
    </row>
    <row r="3786" spans="1:11">
      <c r="A3786" s="45">
        <v>45565</v>
      </c>
      <c r="B3786" s="14" t="s">
        <v>432</v>
      </c>
      <c r="C3786" s="46">
        <v>360800</v>
      </c>
      <c r="D3786" s="46">
        <v>328000</v>
      </c>
      <c r="E3786" s="46">
        <v>32800</v>
      </c>
      <c r="F3786" s="17" t="s">
        <v>811</v>
      </c>
      <c r="G3786" s="9">
        <v>45588</v>
      </c>
      <c r="K3786" s="207"/>
    </row>
    <row r="3787" spans="1:11">
      <c r="A3787" s="45">
        <v>45565</v>
      </c>
      <c r="B3787" s="14" t="s">
        <v>432</v>
      </c>
      <c r="C3787" s="46">
        <v>2904000</v>
      </c>
      <c r="D3787" s="46">
        <v>2640000</v>
      </c>
      <c r="E3787" s="46">
        <v>264000</v>
      </c>
      <c r="F3787" s="17" t="s">
        <v>255</v>
      </c>
      <c r="G3787" s="9">
        <v>45588</v>
      </c>
      <c r="K3787" s="207"/>
    </row>
    <row r="3788" spans="1:11">
      <c r="A3788" s="45">
        <v>45565</v>
      </c>
      <c r="B3788" s="14" t="s">
        <v>432</v>
      </c>
      <c r="C3788" s="46">
        <v>202400</v>
      </c>
      <c r="D3788" s="46">
        <v>184000</v>
      </c>
      <c r="E3788" s="46">
        <v>18400</v>
      </c>
      <c r="F3788" s="17" t="s">
        <v>1052</v>
      </c>
      <c r="G3788" s="9">
        <v>45588</v>
      </c>
      <c r="K3788" s="207"/>
    </row>
    <row r="3789" spans="1:11">
      <c r="A3789" s="45">
        <v>45565</v>
      </c>
      <c r="B3789" s="14" t="s">
        <v>432</v>
      </c>
      <c r="C3789" s="46">
        <v>426800</v>
      </c>
      <c r="D3789" s="46">
        <v>388000</v>
      </c>
      <c r="E3789" s="46">
        <v>38800</v>
      </c>
      <c r="F3789" s="17" t="s">
        <v>969</v>
      </c>
      <c r="G3789" s="9">
        <v>45588</v>
      </c>
      <c r="K3789" s="207"/>
    </row>
    <row r="3790" spans="1:11">
      <c r="A3790" s="45">
        <v>45565</v>
      </c>
      <c r="B3790" s="14" t="s">
        <v>432</v>
      </c>
      <c r="C3790" s="46">
        <v>1980000</v>
      </c>
      <c r="D3790" s="46">
        <v>1800000</v>
      </c>
      <c r="E3790" s="46">
        <v>180000</v>
      </c>
      <c r="F3790" s="17" t="s">
        <v>968</v>
      </c>
      <c r="G3790" s="9">
        <v>45588</v>
      </c>
      <c r="K3790" s="207"/>
    </row>
    <row r="3791" spans="1:11">
      <c r="A3791" s="45">
        <v>45565</v>
      </c>
      <c r="B3791" s="14" t="s">
        <v>970</v>
      </c>
      <c r="C3791" s="46">
        <v>3696000</v>
      </c>
      <c r="D3791" s="46">
        <v>3360000</v>
      </c>
      <c r="E3791" s="46">
        <v>336000</v>
      </c>
      <c r="F3791" s="17" t="s">
        <v>1000</v>
      </c>
      <c r="G3791" s="9">
        <v>45575</v>
      </c>
      <c r="K3791" s="207"/>
    </row>
    <row r="3792" spans="1:11">
      <c r="A3792" s="45">
        <v>45565</v>
      </c>
      <c r="B3792" s="14" t="s">
        <v>970</v>
      </c>
      <c r="C3792" s="46">
        <v>6903600</v>
      </c>
      <c r="D3792" s="46">
        <v>6276000</v>
      </c>
      <c r="E3792" s="46">
        <v>627600</v>
      </c>
      <c r="F3792" s="17" t="s">
        <v>233</v>
      </c>
      <c r="G3792" s="9">
        <v>45575</v>
      </c>
      <c r="K3792" s="207"/>
    </row>
    <row r="3793" spans="1:19">
      <c r="A3793" s="45">
        <v>45565</v>
      </c>
      <c r="B3793" s="14" t="s">
        <v>1001</v>
      </c>
      <c r="C3793" s="46">
        <v>7986000</v>
      </c>
      <c r="D3793" s="46">
        <v>7260000</v>
      </c>
      <c r="E3793" s="46">
        <v>726000</v>
      </c>
      <c r="F3793" s="17" t="s">
        <v>1002</v>
      </c>
      <c r="G3793" s="9">
        <v>45581</v>
      </c>
      <c r="K3793" s="207"/>
    </row>
    <row r="3794" spans="1:19">
      <c r="A3794" s="45">
        <v>45565</v>
      </c>
      <c r="B3794" s="14" t="s">
        <v>805</v>
      </c>
      <c r="C3794" s="46">
        <v>5362500</v>
      </c>
      <c r="D3794" s="46">
        <v>4875000</v>
      </c>
      <c r="E3794" s="46">
        <v>487500</v>
      </c>
      <c r="F3794" s="17" t="s">
        <v>727</v>
      </c>
      <c r="G3794" s="9">
        <v>45580</v>
      </c>
    </row>
    <row r="3795" spans="1:19">
      <c r="A3795" s="45">
        <v>45565</v>
      </c>
      <c r="B3795" s="14" t="s">
        <v>984</v>
      </c>
      <c r="C3795" s="46">
        <v>115500</v>
      </c>
      <c r="D3795" s="46">
        <v>105000</v>
      </c>
      <c r="E3795" s="46">
        <v>10500</v>
      </c>
      <c r="F3795" s="17" t="s">
        <v>1062</v>
      </c>
      <c r="G3795" s="9">
        <v>45575</v>
      </c>
    </row>
    <row r="3796" spans="1:19">
      <c r="A3796" s="45">
        <v>45565</v>
      </c>
      <c r="B3796" s="14" t="s">
        <v>984</v>
      </c>
      <c r="C3796" s="46">
        <v>121000</v>
      </c>
      <c r="D3796" s="46">
        <v>110000</v>
      </c>
      <c r="E3796" s="46">
        <v>11000</v>
      </c>
      <c r="F3796" s="17" t="s">
        <v>1054</v>
      </c>
      <c r="G3796" s="9">
        <v>45575</v>
      </c>
    </row>
    <row r="3797" spans="1:19">
      <c r="A3797" s="45">
        <v>45565</v>
      </c>
      <c r="B3797" s="14" t="s">
        <v>984</v>
      </c>
      <c r="C3797" s="46">
        <v>968000</v>
      </c>
      <c r="D3797" s="46">
        <v>880000</v>
      </c>
      <c r="E3797" s="46">
        <v>88000</v>
      </c>
      <c r="F3797" s="17" t="s">
        <v>241</v>
      </c>
      <c r="G3797" s="9">
        <v>45575</v>
      </c>
    </row>
    <row r="3798" spans="1:19">
      <c r="A3798" s="45">
        <v>45565</v>
      </c>
      <c r="B3798" s="208" t="s">
        <v>79</v>
      </c>
      <c r="C3798" s="46">
        <v>352000</v>
      </c>
      <c r="D3798" s="46">
        <v>320000</v>
      </c>
      <c r="E3798" s="46">
        <v>32000</v>
      </c>
      <c r="F3798" s="17" t="s">
        <v>13</v>
      </c>
      <c r="G3798" s="9">
        <v>45567</v>
      </c>
      <c r="K3798" s="208"/>
      <c r="L3798" s="208"/>
      <c r="M3798" s="208"/>
      <c r="N3798" s="208"/>
      <c r="O3798" s="208"/>
      <c r="P3798" s="208"/>
      <c r="Q3798" s="208"/>
    </row>
    <row r="3799" spans="1:19">
      <c r="A3799" s="45">
        <v>45565</v>
      </c>
      <c r="B3799" s="208" t="s">
        <v>987</v>
      </c>
      <c r="C3799" s="46">
        <v>440000</v>
      </c>
      <c r="D3799" s="46">
        <v>400000</v>
      </c>
      <c r="E3799" s="46">
        <v>40000</v>
      </c>
      <c r="F3799" s="17" t="s">
        <v>13</v>
      </c>
      <c r="G3799" s="9">
        <v>45624</v>
      </c>
      <c r="K3799" s="208"/>
    </row>
    <row r="3800" spans="1:19">
      <c r="A3800" s="45">
        <v>45565</v>
      </c>
      <c r="B3800" s="208" t="s">
        <v>825</v>
      </c>
      <c r="C3800" s="46">
        <v>715000</v>
      </c>
      <c r="D3800" s="46">
        <v>650000</v>
      </c>
      <c r="E3800" s="46">
        <v>65000</v>
      </c>
      <c r="F3800" s="17" t="s">
        <v>13</v>
      </c>
      <c r="G3800" s="9">
        <v>45570</v>
      </c>
    </row>
    <row r="3801" spans="1:19">
      <c r="A3801" s="45">
        <v>45565</v>
      </c>
      <c r="B3801" s="208" t="s">
        <v>82</v>
      </c>
      <c r="C3801" s="46">
        <v>2244000</v>
      </c>
      <c r="D3801" s="46">
        <v>2040000</v>
      </c>
      <c r="E3801" s="46">
        <v>204000</v>
      </c>
      <c r="F3801" s="17" t="s">
        <v>13</v>
      </c>
      <c r="G3801" s="9">
        <v>45580</v>
      </c>
    </row>
    <row r="3802" spans="1:19">
      <c r="A3802" s="45">
        <v>45565</v>
      </c>
      <c r="B3802" s="208" t="s">
        <v>749</v>
      </c>
      <c r="C3802" s="46">
        <v>2332000</v>
      </c>
      <c r="D3802" s="46">
        <v>2120000</v>
      </c>
      <c r="E3802" s="46">
        <v>212000</v>
      </c>
      <c r="F3802" s="17" t="s">
        <v>13</v>
      </c>
      <c r="G3802" s="9">
        <v>45601</v>
      </c>
    </row>
    <row r="3803" spans="1:19">
      <c r="A3803" s="45">
        <v>45565</v>
      </c>
      <c r="B3803" s="208" t="s">
        <v>155</v>
      </c>
      <c r="C3803" s="46">
        <v>6985000</v>
      </c>
      <c r="D3803" s="46">
        <v>6350000</v>
      </c>
      <c r="E3803" s="46">
        <v>635000</v>
      </c>
      <c r="F3803" s="17" t="s">
        <v>13</v>
      </c>
      <c r="G3803" s="210" t="s">
        <v>1066</v>
      </c>
      <c r="I3803" s="301" t="s">
        <v>1051</v>
      </c>
      <c r="J3803" s="302"/>
      <c r="K3803" s="303"/>
    </row>
    <row r="3804" spans="1:19">
      <c r="A3804" s="45">
        <v>45565</v>
      </c>
      <c r="B3804" s="208" t="s">
        <v>432</v>
      </c>
      <c r="C3804" s="46">
        <v>44871134</v>
      </c>
      <c r="D3804" s="46">
        <v>40791940</v>
      </c>
      <c r="E3804" s="46">
        <v>4079194</v>
      </c>
      <c r="F3804" s="17" t="s">
        <v>13</v>
      </c>
      <c r="G3804" s="9">
        <v>45581</v>
      </c>
      <c r="I3804" s="18" t="s">
        <v>46</v>
      </c>
      <c r="J3804" s="203" t="s">
        <v>47</v>
      </c>
      <c r="K3804" s="203" t="s">
        <v>48</v>
      </c>
    </row>
    <row r="3805" spans="1:19">
      <c r="A3805" s="119">
        <v>45565</v>
      </c>
      <c r="B3805" s="42" t="s">
        <v>432</v>
      </c>
      <c r="C3805" s="118">
        <v>38101800</v>
      </c>
      <c r="D3805" s="118">
        <v>34638000</v>
      </c>
      <c r="E3805" s="118">
        <v>3463800</v>
      </c>
      <c r="F3805" s="51" t="s">
        <v>13</v>
      </c>
      <c r="G3805" s="10">
        <v>45581</v>
      </c>
      <c r="H3805" s="51"/>
      <c r="I3805" s="18">
        <f>SUM(C3756:C3805)</f>
        <v>532326523</v>
      </c>
      <c r="J3805" s="18">
        <f>SUM(D3756:D3805)</f>
        <v>486870642</v>
      </c>
      <c r="K3805" s="18">
        <f>SUM(E3756:E3805)</f>
        <v>45455881</v>
      </c>
      <c r="L3805" s="42"/>
      <c r="M3805" s="42"/>
      <c r="N3805" s="42"/>
      <c r="O3805" s="42"/>
      <c r="P3805" s="42"/>
      <c r="Q3805" s="42"/>
      <c r="R3805" s="42"/>
      <c r="S3805" s="42"/>
    </row>
    <row r="3806" spans="1:19">
      <c r="A3806" s="45">
        <v>45567</v>
      </c>
      <c r="B3806" s="208" t="s">
        <v>1063</v>
      </c>
      <c r="C3806" s="46">
        <v>286000</v>
      </c>
      <c r="D3806" s="46">
        <v>260000</v>
      </c>
      <c r="E3806" s="46">
        <v>26000</v>
      </c>
      <c r="F3806" s="17" t="s">
        <v>13</v>
      </c>
      <c r="G3806" s="9">
        <v>45593</v>
      </c>
    </row>
    <row r="3807" spans="1:19">
      <c r="A3807" s="45">
        <v>45580</v>
      </c>
      <c r="B3807" s="208" t="s">
        <v>2</v>
      </c>
      <c r="C3807" s="46">
        <v>16335000</v>
      </c>
      <c r="D3807" s="46">
        <v>14850000</v>
      </c>
      <c r="E3807" s="46">
        <v>1485000</v>
      </c>
      <c r="F3807" s="17" t="s">
        <v>611</v>
      </c>
      <c r="G3807" s="9">
        <v>45595</v>
      </c>
    </row>
    <row r="3808" spans="1:19">
      <c r="A3808" s="45">
        <v>45580</v>
      </c>
      <c r="B3808" s="208" t="s">
        <v>2</v>
      </c>
      <c r="C3808" s="46">
        <v>1320000</v>
      </c>
      <c r="D3808" s="46">
        <v>1200000</v>
      </c>
      <c r="E3808" s="46">
        <v>120000</v>
      </c>
      <c r="F3808" s="17" t="s">
        <v>646</v>
      </c>
      <c r="G3808" s="9">
        <v>45595</v>
      </c>
    </row>
    <row r="3809" spans="1:7">
      <c r="A3809" s="45">
        <v>45580</v>
      </c>
      <c r="B3809" s="14" t="s">
        <v>2</v>
      </c>
      <c r="C3809" s="46">
        <v>6206200</v>
      </c>
      <c r="D3809" s="46">
        <v>5642000</v>
      </c>
      <c r="E3809" s="46">
        <v>564200</v>
      </c>
      <c r="F3809" s="17" t="s">
        <v>315</v>
      </c>
      <c r="G3809" s="9">
        <v>45595</v>
      </c>
    </row>
    <row r="3810" spans="1:7">
      <c r="A3810" s="45">
        <v>45580</v>
      </c>
      <c r="B3810" s="14" t="s">
        <v>2</v>
      </c>
      <c r="C3810" s="46">
        <v>7730800</v>
      </c>
      <c r="D3810" s="46">
        <v>7028000</v>
      </c>
      <c r="E3810" s="46">
        <v>702800</v>
      </c>
      <c r="F3810" s="17" t="s">
        <v>734</v>
      </c>
      <c r="G3810" s="9">
        <v>45595</v>
      </c>
    </row>
    <row r="3811" spans="1:7">
      <c r="A3811" s="45">
        <v>45580</v>
      </c>
      <c r="B3811" s="14" t="s">
        <v>2</v>
      </c>
      <c r="C3811" s="46">
        <v>19614100</v>
      </c>
      <c r="D3811" s="46">
        <v>17831000</v>
      </c>
      <c r="E3811" s="46">
        <v>1783100</v>
      </c>
      <c r="F3811" s="17" t="s">
        <v>424</v>
      </c>
      <c r="G3811" s="9">
        <v>45586</v>
      </c>
    </row>
    <row r="3812" spans="1:7">
      <c r="A3812" s="45">
        <v>45580</v>
      </c>
      <c r="B3812" s="14" t="s">
        <v>2</v>
      </c>
      <c r="C3812" s="46">
        <v>22178750</v>
      </c>
      <c r="D3812" s="46">
        <v>20162500</v>
      </c>
      <c r="E3812" s="46">
        <v>2016250</v>
      </c>
      <c r="F3812" s="17" t="s">
        <v>456</v>
      </c>
      <c r="G3812" s="9">
        <v>45586</v>
      </c>
    </row>
    <row r="3813" spans="1:7">
      <c r="A3813" s="45">
        <v>45587</v>
      </c>
      <c r="B3813" s="14" t="s">
        <v>902</v>
      </c>
      <c r="C3813" s="46">
        <v>4761120</v>
      </c>
      <c r="D3813" s="46">
        <v>4761120</v>
      </c>
      <c r="E3813" s="46">
        <v>0</v>
      </c>
      <c r="F3813" s="17" t="s">
        <v>956</v>
      </c>
      <c r="G3813" s="9">
        <v>45596</v>
      </c>
    </row>
    <row r="3814" spans="1:7">
      <c r="A3814" s="45">
        <v>45587</v>
      </c>
      <c r="B3814" s="14" t="s">
        <v>921</v>
      </c>
      <c r="C3814" s="46">
        <v>10813910</v>
      </c>
      <c r="D3814" s="46">
        <v>10813910</v>
      </c>
      <c r="E3814" s="46">
        <v>0</v>
      </c>
      <c r="F3814" s="17" t="s">
        <v>1064</v>
      </c>
      <c r="G3814" s="9">
        <v>45596</v>
      </c>
    </row>
    <row r="3815" spans="1:7">
      <c r="A3815" s="45">
        <v>45589</v>
      </c>
      <c r="B3815" s="14" t="s">
        <v>769</v>
      </c>
      <c r="C3815" s="46">
        <v>52786800</v>
      </c>
      <c r="D3815" s="46">
        <v>47988000</v>
      </c>
      <c r="E3815" s="46">
        <v>4798800</v>
      </c>
      <c r="F3815" s="17" t="s">
        <v>387</v>
      </c>
      <c r="G3815" s="9">
        <v>45604</v>
      </c>
    </row>
    <row r="3816" spans="1:7">
      <c r="A3816" s="45">
        <v>45589</v>
      </c>
      <c r="B3816" s="14" t="s">
        <v>769</v>
      </c>
      <c r="C3816" s="46">
        <v>3009600</v>
      </c>
      <c r="D3816" s="46">
        <v>2736000</v>
      </c>
      <c r="E3816" s="46">
        <v>273600</v>
      </c>
      <c r="F3816" s="17" t="s">
        <v>386</v>
      </c>
      <c r="G3816" s="9">
        <v>45604</v>
      </c>
    </row>
    <row r="3817" spans="1:7">
      <c r="A3817" s="45">
        <v>45589</v>
      </c>
      <c r="B3817" s="14" t="s">
        <v>769</v>
      </c>
      <c r="C3817" s="46">
        <v>10912000</v>
      </c>
      <c r="D3817" s="46">
        <v>9920000</v>
      </c>
      <c r="E3817" s="46">
        <v>992000</v>
      </c>
      <c r="F3817" s="17" t="s">
        <v>305</v>
      </c>
      <c r="G3817" s="9">
        <v>45604</v>
      </c>
    </row>
    <row r="3818" spans="1:7">
      <c r="A3818" s="45">
        <v>45589</v>
      </c>
      <c r="B3818" s="14" t="s">
        <v>769</v>
      </c>
      <c r="C3818" s="46">
        <v>22096800</v>
      </c>
      <c r="D3818" s="46">
        <v>20088000</v>
      </c>
      <c r="E3818" s="46">
        <v>2008800</v>
      </c>
      <c r="F3818" s="17" t="s">
        <v>705</v>
      </c>
      <c r="G3818" s="9">
        <v>45604</v>
      </c>
    </row>
    <row r="3819" spans="1:7">
      <c r="A3819" s="45">
        <v>45589</v>
      </c>
      <c r="B3819" s="14" t="s">
        <v>769</v>
      </c>
      <c r="C3819" s="46">
        <v>10074759</v>
      </c>
      <c r="D3819" s="46">
        <v>9158872</v>
      </c>
      <c r="E3819" s="46">
        <v>915887</v>
      </c>
      <c r="F3819" s="17" t="s">
        <v>1095</v>
      </c>
      <c r="G3819" s="9">
        <v>45604</v>
      </c>
    </row>
    <row r="3820" spans="1:7">
      <c r="A3820" s="45">
        <v>45596</v>
      </c>
      <c r="B3820" s="14" t="s">
        <v>996</v>
      </c>
      <c r="C3820" s="46">
        <v>8203450</v>
      </c>
      <c r="D3820" s="46">
        <v>8203450</v>
      </c>
      <c r="E3820" s="46">
        <v>0</v>
      </c>
      <c r="F3820" s="17" t="s">
        <v>959</v>
      </c>
      <c r="G3820" s="9">
        <v>45604</v>
      </c>
    </row>
    <row r="3821" spans="1:7">
      <c r="A3821" s="45">
        <v>45596</v>
      </c>
      <c r="B3821" s="14" t="s">
        <v>2</v>
      </c>
      <c r="C3821" s="46">
        <v>10692000</v>
      </c>
      <c r="D3821" s="46">
        <v>9720000</v>
      </c>
      <c r="E3821" s="46">
        <v>972000</v>
      </c>
      <c r="F3821" s="17" t="s">
        <v>1068</v>
      </c>
      <c r="G3821" s="9">
        <v>45607</v>
      </c>
    </row>
    <row r="3822" spans="1:7">
      <c r="A3822" s="45">
        <v>45596</v>
      </c>
      <c r="B3822" s="14" t="s">
        <v>2</v>
      </c>
      <c r="C3822" s="46">
        <v>4843300</v>
      </c>
      <c r="D3822" s="46">
        <v>4403000</v>
      </c>
      <c r="E3822" s="46">
        <v>440300</v>
      </c>
      <c r="F3822" s="17" t="s">
        <v>1069</v>
      </c>
      <c r="G3822" s="9">
        <v>45607</v>
      </c>
    </row>
    <row r="3823" spans="1:7">
      <c r="A3823" s="45">
        <v>45596</v>
      </c>
      <c r="B3823" s="14" t="s">
        <v>2</v>
      </c>
      <c r="C3823" s="46">
        <v>8421600</v>
      </c>
      <c r="D3823" s="46">
        <v>7656000</v>
      </c>
      <c r="E3823" s="46">
        <v>765600</v>
      </c>
      <c r="F3823" s="17" t="s">
        <v>1070</v>
      </c>
      <c r="G3823" s="9">
        <v>45607</v>
      </c>
    </row>
    <row r="3824" spans="1:7">
      <c r="A3824" s="45">
        <v>45596</v>
      </c>
      <c r="B3824" s="14" t="s">
        <v>2</v>
      </c>
      <c r="C3824" s="46">
        <v>23111000</v>
      </c>
      <c r="D3824" s="46">
        <v>21010000</v>
      </c>
      <c r="E3824" s="46">
        <v>2101000</v>
      </c>
      <c r="F3824" s="17" t="s">
        <v>1071</v>
      </c>
      <c r="G3824" s="9">
        <v>45607</v>
      </c>
    </row>
    <row r="3825" spans="1:17">
      <c r="A3825" s="45">
        <v>45596</v>
      </c>
      <c r="B3825" s="14" t="s">
        <v>2</v>
      </c>
      <c r="C3825" s="46">
        <v>18485500</v>
      </c>
      <c r="D3825" s="46">
        <v>16805000</v>
      </c>
      <c r="E3825" s="46">
        <v>1680500</v>
      </c>
      <c r="F3825" s="17" t="s">
        <v>1072</v>
      </c>
      <c r="G3825" s="9">
        <v>45607</v>
      </c>
    </row>
    <row r="3826" spans="1:17">
      <c r="A3826" s="45">
        <v>45596</v>
      </c>
      <c r="B3826" s="14" t="s">
        <v>2</v>
      </c>
      <c r="C3826" s="46">
        <v>1456400</v>
      </c>
      <c r="D3826" s="46">
        <v>1324000</v>
      </c>
      <c r="E3826" s="46">
        <v>132400</v>
      </c>
      <c r="F3826" s="17" t="s">
        <v>1073</v>
      </c>
      <c r="G3826" s="9">
        <v>45607</v>
      </c>
    </row>
    <row r="3827" spans="1:17">
      <c r="A3827" s="45">
        <v>45596</v>
      </c>
      <c r="B3827" s="14" t="s">
        <v>2</v>
      </c>
      <c r="C3827" s="46">
        <v>717200</v>
      </c>
      <c r="D3827" s="46">
        <v>652000</v>
      </c>
      <c r="E3827" s="46">
        <v>65200</v>
      </c>
      <c r="F3827" s="17" t="s">
        <v>1074</v>
      </c>
      <c r="G3827" s="9">
        <v>45607</v>
      </c>
    </row>
    <row r="3828" spans="1:17">
      <c r="A3828" s="45">
        <v>45596</v>
      </c>
      <c r="B3828" s="14" t="s">
        <v>2</v>
      </c>
      <c r="C3828" s="46">
        <v>3867600</v>
      </c>
      <c r="D3828" s="46">
        <v>3516000</v>
      </c>
      <c r="E3828" s="46">
        <v>351600</v>
      </c>
      <c r="F3828" s="17" t="s">
        <v>1075</v>
      </c>
      <c r="G3828" s="9">
        <v>45607</v>
      </c>
    </row>
    <row r="3829" spans="1:17">
      <c r="A3829" s="45">
        <v>45596</v>
      </c>
      <c r="B3829" s="14" t="s">
        <v>1076</v>
      </c>
      <c r="C3829" s="46">
        <v>396000</v>
      </c>
      <c r="D3829" s="46">
        <v>360000</v>
      </c>
      <c r="E3829" s="46">
        <v>36000</v>
      </c>
      <c r="F3829" s="17" t="s">
        <v>1077</v>
      </c>
      <c r="G3829" s="9">
        <v>45607</v>
      </c>
    </row>
    <row r="3830" spans="1:17">
      <c r="A3830" s="45">
        <v>45596</v>
      </c>
      <c r="B3830" s="14" t="s">
        <v>717</v>
      </c>
      <c r="C3830" s="46">
        <v>3036000</v>
      </c>
      <c r="D3830" s="46">
        <v>2760000</v>
      </c>
      <c r="E3830" s="46">
        <v>276000</v>
      </c>
      <c r="F3830" s="17" t="s">
        <v>1078</v>
      </c>
      <c r="G3830" s="9">
        <v>45611</v>
      </c>
    </row>
    <row r="3831" spans="1:17">
      <c r="A3831" s="45">
        <v>45596</v>
      </c>
      <c r="B3831" s="14" t="s">
        <v>432</v>
      </c>
      <c r="C3831" s="46">
        <v>5412000</v>
      </c>
      <c r="D3831" s="46">
        <v>4920000</v>
      </c>
      <c r="E3831" s="46">
        <v>492000</v>
      </c>
      <c r="F3831" s="17" t="s">
        <v>1079</v>
      </c>
      <c r="G3831" s="9">
        <v>45616</v>
      </c>
    </row>
    <row r="3832" spans="1:17">
      <c r="A3832" s="45">
        <v>45596</v>
      </c>
      <c r="B3832" s="14" t="s">
        <v>432</v>
      </c>
      <c r="C3832" s="46">
        <v>2772000</v>
      </c>
      <c r="D3832" s="46">
        <v>2520000</v>
      </c>
      <c r="E3832" s="46">
        <v>252000</v>
      </c>
      <c r="F3832" s="17" t="s">
        <v>1080</v>
      </c>
      <c r="G3832" s="9">
        <v>45616</v>
      </c>
    </row>
    <row r="3833" spans="1:17">
      <c r="A3833" s="45">
        <v>45596</v>
      </c>
      <c r="B3833" s="14" t="s">
        <v>432</v>
      </c>
      <c r="C3833" s="46">
        <v>213400</v>
      </c>
      <c r="D3833" s="46">
        <v>194000</v>
      </c>
      <c r="E3833" s="46">
        <v>19400</v>
      </c>
      <c r="F3833" s="17" t="s">
        <v>1081</v>
      </c>
      <c r="G3833" s="9">
        <v>45616</v>
      </c>
    </row>
    <row r="3834" spans="1:17">
      <c r="A3834" s="45">
        <v>45596</v>
      </c>
      <c r="B3834" s="212" t="s">
        <v>432</v>
      </c>
      <c r="C3834" s="46">
        <v>30604200</v>
      </c>
      <c r="D3834" s="46">
        <v>27822000</v>
      </c>
      <c r="E3834" s="46">
        <v>2782200</v>
      </c>
      <c r="F3834" s="17" t="s">
        <v>13</v>
      </c>
      <c r="G3834" s="9">
        <v>45616</v>
      </c>
      <c r="K3834" s="212"/>
      <c r="L3834" s="212"/>
      <c r="M3834" s="212"/>
      <c r="N3834" s="212"/>
      <c r="O3834" s="212"/>
      <c r="P3834" s="212"/>
      <c r="Q3834" s="212"/>
    </row>
    <row r="3835" spans="1:17">
      <c r="A3835" s="45">
        <v>45596</v>
      </c>
      <c r="B3835" s="212" t="s">
        <v>432</v>
      </c>
      <c r="C3835" s="46">
        <v>53780012</v>
      </c>
      <c r="D3835" s="46">
        <v>48890920</v>
      </c>
      <c r="E3835" s="46">
        <v>4889092</v>
      </c>
      <c r="F3835" s="17" t="s">
        <v>13</v>
      </c>
      <c r="G3835" s="9">
        <v>45616</v>
      </c>
      <c r="K3835" s="212"/>
      <c r="L3835" s="212"/>
      <c r="M3835" s="212"/>
      <c r="N3835" s="212"/>
      <c r="O3835" s="212"/>
      <c r="P3835" s="212"/>
      <c r="Q3835" s="212"/>
    </row>
    <row r="3836" spans="1:17">
      <c r="A3836" s="45">
        <v>45596</v>
      </c>
      <c r="B3836" s="14" t="s">
        <v>970</v>
      </c>
      <c r="C3836" s="46">
        <v>2244000</v>
      </c>
      <c r="D3836" s="46">
        <v>2040000</v>
      </c>
      <c r="E3836" s="46">
        <v>204000</v>
      </c>
      <c r="F3836" s="17" t="s">
        <v>1082</v>
      </c>
      <c r="G3836" s="9">
        <v>45604</v>
      </c>
      <c r="K3836" s="207"/>
    </row>
    <row r="3837" spans="1:17">
      <c r="A3837" s="45">
        <v>45596</v>
      </c>
      <c r="B3837" s="14" t="s">
        <v>970</v>
      </c>
      <c r="C3837" s="46">
        <v>4422000</v>
      </c>
      <c r="D3837" s="46">
        <v>4020000</v>
      </c>
      <c r="E3837" s="46">
        <v>402000</v>
      </c>
      <c r="F3837" s="17" t="s">
        <v>1083</v>
      </c>
      <c r="G3837" s="9">
        <v>45604</v>
      </c>
      <c r="K3837" s="207"/>
    </row>
    <row r="3838" spans="1:17">
      <c r="A3838" s="45">
        <v>45596</v>
      </c>
      <c r="B3838" s="14" t="s">
        <v>1001</v>
      </c>
      <c r="C3838" s="46">
        <v>699600</v>
      </c>
      <c r="D3838" s="46">
        <v>636000</v>
      </c>
      <c r="E3838" s="46">
        <v>63600</v>
      </c>
      <c r="F3838" s="17" t="s">
        <v>1084</v>
      </c>
      <c r="G3838" s="9">
        <v>45603</v>
      </c>
      <c r="K3838" s="207"/>
    </row>
    <row r="3839" spans="1:17">
      <c r="A3839" s="45">
        <v>45596</v>
      </c>
      <c r="B3839" s="14" t="s">
        <v>1001</v>
      </c>
      <c r="C3839" s="46">
        <v>8085000</v>
      </c>
      <c r="D3839" s="46">
        <v>7350000</v>
      </c>
      <c r="E3839" s="46">
        <v>735000</v>
      </c>
      <c r="F3839" s="17" t="s">
        <v>1085</v>
      </c>
      <c r="G3839" s="9">
        <v>45604</v>
      </c>
    </row>
    <row r="3840" spans="1:17">
      <c r="A3840" s="45">
        <v>45596</v>
      </c>
      <c r="B3840" s="14" t="s">
        <v>805</v>
      </c>
      <c r="C3840" s="46">
        <v>7506400</v>
      </c>
      <c r="D3840" s="46">
        <v>6824000</v>
      </c>
      <c r="E3840" s="46">
        <v>682400</v>
      </c>
      <c r="F3840" s="17" t="s">
        <v>1086</v>
      </c>
      <c r="G3840" s="9">
        <v>45611</v>
      </c>
    </row>
    <row r="3841" spans="1:19">
      <c r="A3841" s="45">
        <v>45596</v>
      </c>
      <c r="B3841" s="14" t="s">
        <v>984</v>
      </c>
      <c r="C3841" s="46">
        <v>231000</v>
      </c>
      <c r="D3841" s="46">
        <v>210000</v>
      </c>
      <c r="E3841" s="46">
        <v>21000</v>
      </c>
      <c r="F3841" s="17" t="s">
        <v>1087</v>
      </c>
      <c r="G3841" s="9">
        <v>45604</v>
      </c>
    </row>
    <row r="3842" spans="1:19">
      <c r="A3842" s="45">
        <v>45596</v>
      </c>
      <c r="B3842" s="14" t="s">
        <v>984</v>
      </c>
      <c r="C3842" s="46">
        <v>242000</v>
      </c>
      <c r="D3842" s="46">
        <v>220000</v>
      </c>
      <c r="E3842" s="46">
        <v>22000</v>
      </c>
      <c r="F3842" s="17" t="s">
        <v>1088</v>
      </c>
      <c r="G3842" s="9">
        <v>45604</v>
      </c>
    </row>
    <row r="3843" spans="1:19">
      <c r="A3843" s="45">
        <v>45596</v>
      </c>
      <c r="B3843" s="212" t="s">
        <v>1090</v>
      </c>
      <c r="C3843" s="46">
        <v>128700</v>
      </c>
      <c r="D3843" s="46">
        <v>117000</v>
      </c>
      <c r="E3843" s="46">
        <v>11700</v>
      </c>
      <c r="F3843" s="17" t="s">
        <v>1089</v>
      </c>
      <c r="G3843" s="9">
        <v>45604</v>
      </c>
    </row>
    <row r="3844" spans="1:19">
      <c r="A3844" s="45">
        <v>45596</v>
      </c>
      <c r="B3844" s="14" t="s">
        <v>82</v>
      </c>
      <c r="C3844" s="46">
        <v>3036000</v>
      </c>
      <c r="D3844" s="46">
        <v>2760000</v>
      </c>
      <c r="E3844" s="46">
        <v>276000</v>
      </c>
      <c r="F3844" s="17" t="s">
        <v>13</v>
      </c>
      <c r="G3844" s="9">
        <v>45611</v>
      </c>
      <c r="I3844" s="301" t="s">
        <v>1061</v>
      </c>
      <c r="J3844" s="302"/>
      <c r="K3844" s="303"/>
    </row>
    <row r="3845" spans="1:19">
      <c r="A3845" s="45">
        <v>45596</v>
      </c>
      <c r="B3845" s="14" t="s">
        <v>749</v>
      </c>
      <c r="C3845" s="46">
        <v>1193500</v>
      </c>
      <c r="D3845" s="46">
        <v>1085000</v>
      </c>
      <c r="E3845" s="46">
        <v>108500</v>
      </c>
      <c r="F3845" s="17" t="s">
        <v>13</v>
      </c>
      <c r="G3845" s="9">
        <v>45611</v>
      </c>
      <c r="I3845" s="18" t="s">
        <v>46</v>
      </c>
      <c r="J3845" s="206" t="s">
        <v>47</v>
      </c>
      <c r="K3845" s="206" t="s">
        <v>48</v>
      </c>
    </row>
    <row r="3846" spans="1:19">
      <c r="A3846" s="119">
        <v>45596</v>
      </c>
      <c r="B3846" s="42" t="s">
        <v>155</v>
      </c>
      <c r="C3846" s="118">
        <v>3861000</v>
      </c>
      <c r="D3846" s="118">
        <v>3510000</v>
      </c>
      <c r="E3846" s="118">
        <v>351000</v>
      </c>
      <c r="F3846" s="51" t="s">
        <v>13</v>
      </c>
      <c r="G3846" s="10">
        <v>45611</v>
      </c>
      <c r="H3846" s="51"/>
      <c r="I3846" s="18">
        <f>SUM(C3806:C3846)</f>
        <v>395786701</v>
      </c>
      <c r="J3846" s="18">
        <f>SUM(D3806:D3846)</f>
        <v>361967772</v>
      </c>
      <c r="K3846" s="18">
        <f>SUM(E3806:E3846)</f>
        <v>33818929</v>
      </c>
      <c r="L3846" s="42"/>
      <c r="M3846" s="42"/>
      <c r="N3846" s="42"/>
      <c r="O3846" s="42"/>
      <c r="P3846" s="42"/>
      <c r="Q3846" s="42"/>
      <c r="R3846" s="42"/>
      <c r="S3846" s="42"/>
    </row>
    <row r="3847" spans="1:19">
      <c r="A3847" s="45">
        <v>45597</v>
      </c>
      <c r="B3847" s="14" t="s">
        <v>958</v>
      </c>
      <c r="C3847" s="46">
        <v>8661690</v>
      </c>
      <c r="D3847" s="46">
        <v>8661690</v>
      </c>
      <c r="E3847" s="46">
        <v>0</v>
      </c>
      <c r="F3847" s="17" t="s">
        <v>959</v>
      </c>
      <c r="G3847" s="9">
        <v>45604</v>
      </c>
    </row>
    <row r="3848" spans="1:19">
      <c r="A3848" s="45">
        <v>45611</v>
      </c>
      <c r="B3848" s="14" t="s">
        <v>2</v>
      </c>
      <c r="C3848" s="46">
        <v>10395000</v>
      </c>
      <c r="D3848" s="46">
        <v>9450000</v>
      </c>
      <c r="E3848" s="46">
        <v>945000</v>
      </c>
      <c r="F3848" s="17" t="s">
        <v>1068</v>
      </c>
      <c r="G3848" s="9">
        <v>45625</v>
      </c>
    </row>
    <row r="3849" spans="1:19">
      <c r="A3849" s="45">
        <v>45611</v>
      </c>
      <c r="B3849" s="14" t="s">
        <v>2</v>
      </c>
      <c r="C3849" s="46">
        <v>660000</v>
      </c>
      <c r="D3849" s="46">
        <v>600000</v>
      </c>
      <c r="E3849" s="46">
        <v>60000</v>
      </c>
      <c r="F3849" s="17" t="s">
        <v>1091</v>
      </c>
      <c r="G3849" s="9">
        <v>45625</v>
      </c>
    </row>
    <row r="3850" spans="1:19">
      <c r="A3850" s="45">
        <v>45611</v>
      </c>
      <c r="B3850" s="14" t="s">
        <v>2</v>
      </c>
      <c r="C3850" s="46">
        <v>4459400</v>
      </c>
      <c r="D3850" s="46">
        <v>4054000</v>
      </c>
      <c r="E3850" s="46">
        <v>405400</v>
      </c>
      <c r="F3850" s="17" t="s">
        <v>1069</v>
      </c>
      <c r="G3850" s="9">
        <v>45616</v>
      </c>
    </row>
    <row r="3851" spans="1:19">
      <c r="A3851" s="45">
        <v>45611</v>
      </c>
      <c r="B3851" s="14" t="s">
        <v>2</v>
      </c>
      <c r="C3851" s="46">
        <v>5821200</v>
      </c>
      <c r="D3851" s="46">
        <v>5292000</v>
      </c>
      <c r="E3851" s="46">
        <v>529200</v>
      </c>
      <c r="F3851" s="17" t="s">
        <v>1070</v>
      </c>
      <c r="G3851" s="9">
        <v>45625</v>
      </c>
    </row>
    <row r="3852" spans="1:19">
      <c r="A3852" s="45">
        <v>45611</v>
      </c>
      <c r="B3852" s="14" t="s">
        <v>2</v>
      </c>
      <c r="C3852" s="46">
        <v>21682100</v>
      </c>
      <c r="D3852" s="46">
        <v>19711000</v>
      </c>
      <c r="E3852" s="46">
        <v>1971100</v>
      </c>
      <c r="F3852" s="17" t="s">
        <v>1071</v>
      </c>
      <c r="G3852" s="9">
        <v>45616</v>
      </c>
    </row>
    <row r="3853" spans="1:19">
      <c r="A3853" s="45">
        <v>45611</v>
      </c>
      <c r="B3853" s="14" t="s">
        <v>2</v>
      </c>
      <c r="C3853" s="46">
        <v>11099000</v>
      </c>
      <c r="D3853" s="46">
        <v>10090000</v>
      </c>
      <c r="E3853" s="46">
        <v>1009000</v>
      </c>
      <c r="F3853" s="17" t="s">
        <v>456</v>
      </c>
      <c r="G3853" s="9">
        <v>45616</v>
      </c>
    </row>
    <row r="3854" spans="1:19">
      <c r="A3854" s="45">
        <v>45618</v>
      </c>
      <c r="B3854" s="213" t="s">
        <v>902</v>
      </c>
      <c r="C3854" s="46">
        <v>4761120</v>
      </c>
      <c r="D3854" s="46">
        <v>4761120</v>
      </c>
      <c r="E3854" s="46">
        <v>0</v>
      </c>
      <c r="F3854" s="17" t="s">
        <v>1092</v>
      </c>
      <c r="G3854" s="9">
        <v>45625</v>
      </c>
    </row>
    <row r="3855" spans="1:19">
      <c r="A3855" s="45">
        <v>45618</v>
      </c>
      <c r="B3855" s="213" t="s">
        <v>921</v>
      </c>
      <c r="C3855" s="46">
        <v>10813910</v>
      </c>
      <c r="D3855" s="46">
        <v>10813910</v>
      </c>
      <c r="E3855" s="46">
        <v>0</v>
      </c>
      <c r="F3855" s="17" t="s">
        <v>1093</v>
      </c>
      <c r="G3855" s="9">
        <v>45625</v>
      </c>
    </row>
    <row r="3856" spans="1:19">
      <c r="A3856" s="45">
        <v>45620</v>
      </c>
      <c r="B3856" s="14" t="s">
        <v>769</v>
      </c>
      <c r="C3856" s="46">
        <v>56050500</v>
      </c>
      <c r="D3856" s="46">
        <v>50955000</v>
      </c>
      <c r="E3856" s="46">
        <v>5095500</v>
      </c>
      <c r="F3856" s="17" t="s">
        <v>1096</v>
      </c>
      <c r="G3856" s="9">
        <v>45636</v>
      </c>
    </row>
    <row r="3857" spans="1:7">
      <c r="A3857" s="45">
        <v>45620</v>
      </c>
      <c r="B3857" s="14" t="s">
        <v>769</v>
      </c>
      <c r="C3857" s="46">
        <v>6377800</v>
      </c>
      <c r="D3857" s="46">
        <v>5798000</v>
      </c>
      <c r="E3857" s="46">
        <v>579800</v>
      </c>
      <c r="F3857" s="17" t="s">
        <v>1097</v>
      </c>
      <c r="G3857" s="9">
        <v>45636</v>
      </c>
    </row>
    <row r="3858" spans="1:7">
      <c r="A3858" s="45">
        <v>45620</v>
      </c>
      <c r="B3858" s="14" t="s">
        <v>769</v>
      </c>
      <c r="C3858" s="46">
        <v>25506800</v>
      </c>
      <c r="D3858" s="46">
        <v>23188000</v>
      </c>
      <c r="E3858" s="46">
        <v>2318800</v>
      </c>
      <c r="F3858" s="17" t="s">
        <v>1098</v>
      </c>
      <c r="G3858" s="9">
        <v>45636</v>
      </c>
    </row>
    <row r="3859" spans="1:7">
      <c r="A3859" s="45">
        <v>45620</v>
      </c>
      <c r="B3859" s="14" t="s">
        <v>769</v>
      </c>
      <c r="C3859" s="46">
        <v>12254000</v>
      </c>
      <c r="D3859" s="46">
        <v>11140000</v>
      </c>
      <c r="E3859" s="46">
        <v>1114000</v>
      </c>
      <c r="F3859" s="17" t="s">
        <v>1099</v>
      </c>
      <c r="G3859" s="9">
        <v>45636</v>
      </c>
    </row>
    <row r="3860" spans="1:7">
      <c r="A3860" s="45">
        <v>45620</v>
      </c>
      <c r="B3860" s="14" t="s">
        <v>769</v>
      </c>
      <c r="C3860" s="46">
        <v>10074759</v>
      </c>
      <c r="D3860" s="46">
        <v>9158872</v>
      </c>
      <c r="E3860" s="46">
        <v>915887</v>
      </c>
      <c r="F3860" s="17" t="s">
        <v>1119</v>
      </c>
      <c r="G3860" s="9">
        <v>45636</v>
      </c>
    </row>
    <row r="3861" spans="1:7">
      <c r="A3861" s="45">
        <v>45621</v>
      </c>
      <c r="B3861" s="214" t="s">
        <v>719</v>
      </c>
      <c r="C3861" s="46">
        <v>1082400</v>
      </c>
      <c r="D3861" s="46">
        <v>984000</v>
      </c>
      <c r="E3861" s="46">
        <v>98400</v>
      </c>
      <c r="F3861" s="17" t="s">
        <v>1094</v>
      </c>
      <c r="G3861" s="9">
        <v>45758</v>
      </c>
    </row>
    <row r="3862" spans="1:7">
      <c r="A3862" s="45">
        <v>45625</v>
      </c>
      <c r="B3862" s="14" t="s">
        <v>958</v>
      </c>
      <c r="C3862" s="46">
        <v>10044989</v>
      </c>
      <c r="D3862" s="46">
        <v>10044989</v>
      </c>
      <c r="E3862" s="46">
        <v>0</v>
      </c>
      <c r="F3862" s="17" t="s">
        <v>967</v>
      </c>
      <c r="G3862" s="9">
        <v>45636</v>
      </c>
    </row>
    <row r="3863" spans="1:7">
      <c r="A3863" s="45">
        <v>45625</v>
      </c>
      <c r="B3863" s="14" t="s">
        <v>996</v>
      </c>
      <c r="C3863" s="46">
        <v>8203450</v>
      </c>
      <c r="D3863" s="46">
        <v>8203450</v>
      </c>
      <c r="E3863" s="46">
        <v>0</v>
      </c>
      <c r="F3863" s="17" t="s">
        <v>967</v>
      </c>
      <c r="G3863" s="9">
        <v>45635</v>
      </c>
    </row>
    <row r="3864" spans="1:7">
      <c r="A3864" s="45">
        <v>45626</v>
      </c>
      <c r="B3864" s="14" t="s">
        <v>2</v>
      </c>
      <c r="C3864" s="46">
        <v>8580000</v>
      </c>
      <c r="D3864" s="46">
        <v>7800000</v>
      </c>
      <c r="E3864" s="46">
        <v>780000</v>
      </c>
      <c r="F3864" s="17" t="s">
        <v>1068</v>
      </c>
      <c r="G3864" s="9">
        <v>45636</v>
      </c>
    </row>
    <row r="3865" spans="1:7">
      <c r="A3865" s="45">
        <v>45626</v>
      </c>
      <c r="B3865" s="14" t="s">
        <v>2</v>
      </c>
      <c r="C3865" s="46">
        <v>924000</v>
      </c>
      <c r="D3865" s="46">
        <v>840000</v>
      </c>
      <c r="E3865" s="46">
        <v>84000</v>
      </c>
      <c r="F3865" s="17" t="s">
        <v>1100</v>
      </c>
      <c r="G3865" s="9">
        <v>45656</v>
      </c>
    </row>
    <row r="3866" spans="1:7">
      <c r="A3866" s="45">
        <v>45626</v>
      </c>
      <c r="B3866" s="14" t="s">
        <v>2</v>
      </c>
      <c r="C3866" s="46">
        <v>5581400</v>
      </c>
      <c r="D3866" s="46">
        <v>5074000</v>
      </c>
      <c r="E3866" s="46">
        <v>507400</v>
      </c>
      <c r="F3866" s="17" t="s">
        <v>1069</v>
      </c>
      <c r="G3866" s="9">
        <v>45636</v>
      </c>
    </row>
    <row r="3867" spans="1:7">
      <c r="A3867" s="45">
        <v>45626</v>
      </c>
      <c r="B3867" s="14" t="s">
        <v>2</v>
      </c>
      <c r="C3867" s="46">
        <v>7070800</v>
      </c>
      <c r="D3867" s="46">
        <v>6428000</v>
      </c>
      <c r="E3867" s="46">
        <v>642800</v>
      </c>
      <c r="F3867" s="17" t="s">
        <v>1070</v>
      </c>
      <c r="G3867" s="9">
        <v>45636</v>
      </c>
    </row>
    <row r="3868" spans="1:7">
      <c r="A3868" s="45">
        <v>45626</v>
      </c>
      <c r="B3868" s="14" t="s">
        <v>2</v>
      </c>
      <c r="C3868" s="46">
        <v>21558240</v>
      </c>
      <c r="D3868" s="46">
        <v>19598400</v>
      </c>
      <c r="E3868" s="46">
        <v>1959840</v>
      </c>
      <c r="F3868" s="17" t="s">
        <v>1071</v>
      </c>
      <c r="G3868" s="9">
        <v>45636</v>
      </c>
    </row>
    <row r="3869" spans="1:7">
      <c r="A3869" s="45">
        <v>45626</v>
      </c>
      <c r="B3869" s="14" t="s">
        <v>2</v>
      </c>
      <c r="C3869" s="46">
        <v>11973500</v>
      </c>
      <c r="D3869" s="46">
        <v>10885000</v>
      </c>
      <c r="E3869" s="46">
        <v>1088500</v>
      </c>
      <c r="F3869" s="17" t="s">
        <v>1072</v>
      </c>
      <c r="G3869" s="9">
        <v>45636</v>
      </c>
    </row>
    <row r="3870" spans="1:7">
      <c r="A3870" s="45">
        <v>45626</v>
      </c>
      <c r="B3870" s="14" t="s">
        <v>2</v>
      </c>
      <c r="C3870" s="46">
        <v>82500</v>
      </c>
      <c r="D3870" s="46">
        <v>75000</v>
      </c>
      <c r="E3870" s="46">
        <v>7500</v>
      </c>
      <c r="F3870" s="17" t="s">
        <v>1101</v>
      </c>
      <c r="G3870" s="9">
        <v>45636</v>
      </c>
    </row>
    <row r="3871" spans="1:7">
      <c r="A3871" s="45">
        <v>45626</v>
      </c>
      <c r="B3871" s="14" t="s">
        <v>2</v>
      </c>
      <c r="C3871" s="46">
        <v>382800</v>
      </c>
      <c r="D3871" s="46">
        <v>348000</v>
      </c>
      <c r="E3871" s="46">
        <v>34800</v>
      </c>
      <c r="F3871" s="17" t="s">
        <v>1102</v>
      </c>
      <c r="G3871" s="9">
        <v>45636</v>
      </c>
    </row>
    <row r="3872" spans="1:7">
      <c r="A3872" s="45">
        <v>45626</v>
      </c>
      <c r="B3872" s="14" t="s">
        <v>2</v>
      </c>
      <c r="C3872" s="46">
        <v>723800</v>
      </c>
      <c r="D3872" s="46">
        <v>658000</v>
      </c>
      <c r="E3872" s="46">
        <v>65800</v>
      </c>
      <c r="F3872" s="17" t="s">
        <v>1103</v>
      </c>
      <c r="G3872" s="9">
        <v>45636</v>
      </c>
    </row>
    <row r="3873" spans="1:17">
      <c r="A3873" s="45">
        <v>45626</v>
      </c>
      <c r="B3873" s="14" t="s">
        <v>2</v>
      </c>
      <c r="C3873" s="46">
        <v>2899600</v>
      </c>
      <c r="D3873" s="46">
        <v>2636000</v>
      </c>
      <c r="E3873" s="46">
        <v>263600</v>
      </c>
      <c r="F3873" s="17" t="s">
        <v>1104</v>
      </c>
      <c r="G3873" s="9">
        <v>45636</v>
      </c>
    </row>
    <row r="3874" spans="1:17">
      <c r="A3874" s="45">
        <v>45626</v>
      </c>
      <c r="B3874" s="14" t="s">
        <v>1076</v>
      </c>
      <c r="C3874" s="46">
        <v>132000</v>
      </c>
      <c r="D3874" s="46">
        <v>120000</v>
      </c>
      <c r="E3874" s="46">
        <v>12000</v>
      </c>
      <c r="F3874" s="17" t="s">
        <v>1079</v>
      </c>
      <c r="G3874" s="9">
        <v>45636</v>
      </c>
    </row>
    <row r="3875" spans="1:17">
      <c r="A3875" s="45">
        <v>45626</v>
      </c>
      <c r="B3875" s="14" t="s">
        <v>717</v>
      </c>
      <c r="C3875" s="46">
        <v>924000</v>
      </c>
      <c r="D3875" s="46">
        <v>840000</v>
      </c>
      <c r="E3875" s="46">
        <v>84000</v>
      </c>
      <c r="F3875" s="17" t="s">
        <v>1105</v>
      </c>
      <c r="G3875" s="9">
        <v>45639</v>
      </c>
    </row>
    <row r="3876" spans="1:17">
      <c r="A3876" s="45">
        <v>45626</v>
      </c>
      <c r="B3876" s="14" t="s">
        <v>432</v>
      </c>
      <c r="C3876" s="46">
        <v>4884000</v>
      </c>
      <c r="D3876" s="46">
        <v>4440000</v>
      </c>
      <c r="E3876" s="46">
        <v>444000</v>
      </c>
      <c r="F3876" s="17" t="s">
        <v>1079</v>
      </c>
      <c r="G3876" s="9">
        <v>45644</v>
      </c>
    </row>
    <row r="3877" spans="1:17">
      <c r="A3877" s="45">
        <v>45626</v>
      </c>
      <c r="B3877" s="14" t="s">
        <v>432</v>
      </c>
      <c r="C3877" s="46">
        <v>2772000</v>
      </c>
      <c r="D3877" s="46">
        <v>2520000</v>
      </c>
      <c r="E3877" s="46">
        <v>252000</v>
      </c>
      <c r="F3877" s="17" t="s">
        <v>1080</v>
      </c>
      <c r="G3877" s="9">
        <v>45644</v>
      </c>
      <c r="K3877" s="215"/>
    </row>
    <row r="3878" spans="1:17">
      <c r="A3878" s="45">
        <v>45626</v>
      </c>
      <c r="B3878" s="14" t="s">
        <v>432</v>
      </c>
      <c r="C3878" s="46">
        <v>264000</v>
      </c>
      <c r="D3878" s="46">
        <v>240000</v>
      </c>
      <c r="E3878" s="46">
        <v>24000</v>
      </c>
      <c r="F3878" s="17" t="s">
        <v>1106</v>
      </c>
      <c r="G3878" s="9">
        <v>45644</v>
      </c>
      <c r="K3878" s="215"/>
    </row>
    <row r="3879" spans="1:17">
      <c r="A3879" s="45">
        <v>45626</v>
      </c>
      <c r="B3879" s="14" t="s">
        <v>432</v>
      </c>
      <c r="C3879" s="46">
        <v>853600</v>
      </c>
      <c r="D3879" s="46">
        <v>776000</v>
      </c>
      <c r="E3879" s="46">
        <v>77600</v>
      </c>
      <c r="F3879" s="17" t="s">
        <v>1081</v>
      </c>
      <c r="G3879" s="9">
        <v>45644</v>
      </c>
      <c r="K3879" s="215"/>
    </row>
    <row r="3880" spans="1:17">
      <c r="A3880" s="45" t="s">
        <v>1113</v>
      </c>
      <c r="B3880" s="217" t="s">
        <v>432</v>
      </c>
      <c r="C3880" s="46">
        <v>36922600</v>
      </c>
      <c r="D3880" s="46">
        <v>33566000</v>
      </c>
      <c r="E3880" s="46">
        <v>3356600</v>
      </c>
      <c r="F3880" s="17" t="s">
        <v>13</v>
      </c>
      <c r="G3880" s="9">
        <v>45656</v>
      </c>
      <c r="K3880" s="217"/>
      <c r="L3880" s="217"/>
      <c r="M3880" s="217"/>
      <c r="N3880" s="217"/>
      <c r="O3880" s="217"/>
      <c r="P3880" s="217"/>
      <c r="Q3880" s="217"/>
    </row>
    <row r="3881" spans="1:17">
      <c r="A3881" s="45" t="s">
        <v>1113</v>
      </c>
      <c r="B3881" s="217" t="s">
        <v>432</v>
      </c>
      <c r="C3881" s="46">
        <v>38252720</v>
      </c>
      <c r="D3881" s="46">
        <v>34775200</v>
      </c>
      <c r="E3881" s="46">
        <v>3477520</v>
      </c>
      <c r="F3881" s="17" t="s">
        <v>13</v>
      </c>
      <c r="G3881" s="9">
        <v>45656</v>
      </c>
      <c r="K3881" s="217"/>
      <c r="L3881" s="217"/>
      <c r="M3881" s="217"/>
      <c r="N3881" s="217"/>
      <c r="O3881" s="217"/>
      <c r="P3881" s="217"/>
      <c r="Q3881" s="217"/>
    </row>
    <row r="3882" spans="1:17">
      <c r="A3882" s="45">
        <v>45626</v>
      </c>
      <c r="B3882" s="14" t="s">
        <v>730</v>
      </c>
      <c r="C3882" s="46">
        <v>128700</v>
      </c>
      <c r="D3882" s="46">
        <v>117000</v>
      </c>
      <c r="E3882" s="46">
        <v>11700</v>
      </c>
      <c r="F3882" s="17" t="s">
        <v>1108</v>
      </c>
      <c r="G3882" s="9">
        <v>45637</v>
      </c>
    </row>
    <row r="3883" spans="1:17">
      <c r="A3883" s="45">
        <v>45601</v>
      </c>
      <c r="B3883" s="8" t="s">
        <v>841</v>
      </c>
      <c r="C3883" s="46">
        <v>46048200</v>
      </c>
      <c r="D3883" s="46">
        <v>41862000</v>
      </c>
      <c r="E3883" s="46">
        <v>4186200</v>
      </c>
      <c r="F3883" s="17" t="s">
        <v>13</v>
      </c>
      <c r="G3883" s="9">
        <v>45663</v>
      </c>
      <c r="H3883" s="17" t="s">
        <v>1134</v>
      </c>
    </row>
    <row r="3884" spans="1:17">
      <c r="A3884" s="45">
        <v>45611</v>
      </c>
      <c r="B3884" s="8" t="s">
        <v>841</v>
      </c>
      <c r="C3884" s="46">
        <v>51419500</v>
      </c>
      <c r="D3884" s="46">
        <v>46745000</v>
      </c>
      <c r="E3884" s="46">
        <v>4674500</v>
      </c>
      <c r="F3884" s="17" t="s">
        <v>13</v>
      </c>
      <c r="G3884" s="9">
        <v>45663</v>
      </c>
      <c r="H3884" s="17" t="s">
        <v>1134</v>
      </c>
    </row>
    <row r="3885" spans="1:17">
      <c r="A3885" s="45">
        <v>45621</v>
      </c>
      <c r="B3885" s="8" t="s">
        <v>841</v>
      </c>
      <c r="C3885" s="46">
        <v>49992800</v>
      </c>
      <c r="D3885" s="46">
        <v>45448000</v>
      </c>
      <c r="E3885" s="46">
        <v>4544800</v>
      </c>
      <c r="F3885" s="17" t="s">
        <v>13</v>
      </c>
      <c r="G3885" s="9">
        <v>45663</v>
      </c>
      <c r="H3885" s="17" t="s">
        <v>1134</v>
      </c>
    </row>
    <row r="3886" spans="1:17">
      <c r="A3886" s="45">
        <v>45606</v>
      </c>
      <c r="B3886" s="8" t="s">
        <v>1112</v>
      </c>
      <c r="C3886" s="46">
        <v>48202440</v>
      </c>
      <c r="D3886" s="46">
        <v>43820400</v>
      </c>
      <c r="E3886" s="46">
        <v>4382040</v>
      </c>
      <c r="F3886" s="17" t="s">
        <v>13</v>
      </c>
      <c r="G3886" s="9">
        <v>45663</v>
      </c>
      <c r="H3886" s="17" t="s">
        <v>1134</v>
      </c>
    </row>
    <row r="3887" spans="1:17">
      <c r="A3887" s="45">
        <v>45616</v>
      </c>
      <c r="B3887" s="8" t="s">
        <v>1112</v>
      </c>
      <c r="C3887" s="46">
        <v>45723700</v>
      </c>
      <c r="D3887" s="46">
        <v>41567000</v>
      </c>
      <c r="E3887" s="46">
        <v>4156700</v>
      </c>
      <c r="F3887" s="17" t="s">
        <v>13</v>
      </c>
      <c r="G3887" s="9">
        <v>45663</v>
      </c>
      <c r="H3887" s="17" t="s">
        <v>1134</v>
      </c>
    </row>
    <row r="3888" spans="1:17">
      <c r="A3888" s="45">
        <v>45626</v>
      </c>
      <c r="B3888" s="8" t="s">
        <v>1112</v>
      </c>
      <c r="C3888" s="46">
        <v>43387850</v>
      </c>
      <c r="D3888" s="46">
        <v>39443500</v>
      </c>
      <c r="E3888" s="46">
        <v>3944350</v>
      </c>
      <c r="F3888" s="17" t="s">
        <v>13</v>
      </c>
      <c r="G3888" s="9">
        <v>45663</v>
      </c>
      <c r="H3888" s="17" t="s">
        <v>1134</v>
      </c>
    </row>
    <row r="3889" spans="1:19">
      <c r="A3889" s="45">
        <v>45606</v>
      </c>
      <c r="B3889" s="8" t="s">
        <v>1114</v>
      </c>
      <c r="C3889" s="46">
        <v>38750800</v>
      </c>
      <c r="D3889" s="46">
        <v>35228000</v>
      </c>
      <c r="E3889" s="46">
        <v>3522800</v>
      </c>
      <c r="F3889" s="17" t="s">
        <v>13</v>
      </c>
      <c r="G3889" s="9">
        <v>45681</v>
      </c>
      <c r="H3889" s="17" t="s">
        <v>1134</v>
      </c>
    </row>
    <row r="3890" spans="1:19">
      <c r="A3890" s="45">
        <v>45616</v>
      </c>
      <c r="B3890" s="8" t="s">
        <v>1114</v>
      </c>
      <c r="C3890" s="46">
        <v>42794070</v>
      </c>
      <c r="D3890" s="46">
        <v>38903700</v>
      </c>
      <c r="E3890" s="46">
        <v>3890370</v>
      </c>
      <c r="F3890" s="17" t="s">
        <v>13</v>
      </c>
      <c r="G3890" s="9">
        <v>45681</v>
      </c>
      <c r="H3890" s="17" t="s">
        <v>1134</v>
      </c>
    </row>
    <row r="3891" spans="1:19">
      <c r="A3891" s="45">
        <v>45606</v>
      </c>
      <c r="B3891" s="8" t="s">
        <v>1115</v>
      </c>
      <c r="C3891" s="46">
        <v>37868600</v>
      </c>
      <c r="D3891" s="46">
        <v>34426000</v>
      </c>
      <c r="E3891" s="46">
        <v>3442600</v>
      </c>
      <c r="F3891" s="17" t="s">
        <v>13</v>
      </c>
      <c r="G3891" s="9">
        <v>45663</v>
      </c>
      <c r="H3891" s="17" t="s">
        <v>1134</v>
      </c>
    </row>
    <row r="3892" spans="1:19">
      <c r="A3892" s="45">
        <v>45616</v>
      </c>
      <c r="B3892" s="8" t="s">
        <v>1115</v>
      </c>
      <c r="C3892" s="46">
        <v>38580300</v>
      </c>
      <c r="D3892" s="46">
        <v>35073000</v>
      </c>
      <c r="E3892" s="46">
        <v>3507300</v>
      </c>
      <c r="F3892" s="17" t="s">
        <v>13</v>
      </c>
      <c r="G3892" s="9">
        <v>45663</v>
      </c>
      <c r="H3892" s="17" t="s">
        <v>1134</v>
      </c>
    </row>
    <row r="3893" spans="1:19">
      <c r="A3893" s="45">
        <v>45626</v>
      </c>
      <c r="B3893" s="8" t="s">
        <v>1115</v>
      </c>
      <c r="C3893" s="46">
        <v>38003900</v>
      </c>
      <c r="D3893" s="46">
        <v>34549000</v>
      </c>
      <c r="E3893" s="46">
        <v>3454900</v>
      </c>
      <c r="F3893" s="17" t="s">
        <v>13</v>
      </c>
      <c r="G3893" s="9">
        <v>45663</v>
      </c>
      <c r="H3893" s="17" t="s">
        <v>1134</v>
      </c>
    </row>
    <row r="3894" spans="1:19">
      <c r="A3894" s="45">
        <v>45626</v>
      </c>
      <c r="B3894" s="14" t="s">
        <v>970</v>
      </c>
      <c r="C3894" s="46">
        <v>6732000</v>
      </c>
      <c r="D3894" s="46">
        <v>6120000</v>
      </c>
      <c r="E3894" s="46">
        <v>612000</v>
      </c>
      <c r="F3894" s="17" t="s">
        <v>1082</v>
      </c>
      <c r="G3894" s="9">
        <v>45632</v>
      </c>
    </row>
    <row r="3895" spans="1:19">
      <c r="A3895" s="45">
        <v>45626</v>
      </c>
      <c r="B3895" s="14" t="s">
        <v>970</v>
      </c>
      <c r="C3895" s="46">
        <v>1643400</v>
      </c>
      <c r="D3895" s="46">
        <v>1494000</v>
      </c>
      <c r="E3895" s="46">
        <v>149400</v>
      </c>
      <c r="F3895" s="17" t="s">
        <v>1083</v>
      </c>
      <c r="G3895" s="9">
        <v>45632</v>
      </c>
    </row>
    <row r="3896" spans="1:19">
      <c r="A3896" s="45">
        <v>45626</v>
      </c>
      <c r="B3896" s="14" t="s">
        <v>970</v>
      </c>
      <c r="C3896" s="46">
        <v>2508000</v>
      </c>
      <c r="D3896" s="46">
        <v>2280000</v>
      </c>
      <c r="E3896" s="46">
        <v>228000</v>
      </c>
      <c r="F3896" s="17" t="s">
        <v>1109</v>
      </c>
      <c r="G3896" s="9">
        <v>45632</v>
      </c>
    </row>
    <row r="3897" spans="1:19">
      <c r="A3897" s="45">
        <v>45626</v>
      </c>
      <c r="B3897" s="14" t="s">
        <v>1001</v>
      </c>
      <c r="C3897" s="46">
        <v>6930000</v>
      </c>
      <c r="D3897" s="46">
        <v>6300000</v>
      </c>
      <c r="E3897" s="46">
        <v>630000</v>
      </c>
      <c r="F3897" s="17" t="s">
        <v>1110</v>
      </c>
      <c r="G3897" s="9">
        <v>45636</v>
      </c>
    </row>
    <row r="3898" spans="1:19">
      <c r="A3898" s="45">
        <v>45626</v>
      </c>
      <c r="B3898" s="218" t="s">
        <v>1116</v>
      </c>
      <c r="C3898" s="46">
        <v>10151900</v>
      </c>
      <c r="D3898" s="46">
        <v>9229000</v>
      </c>
      <c r="E3898" s="46">
        <v>922900</v>
      </c>
      <c r="F3898" s="17" t="s">
        <v>1086</v>
      </c>
      <c r="G3898" s="9">
        <v>45639</v>
      </c>
    </row>
    <row r="3899" spans="1:19">
      <c r="A3899" s="45">
        <v>45626</v>
      </c>
      <c r="B3899" s="14" t="s">
        <v>984</v>
      </c>
      <c r="C3899" s="46">
        <v>363000</v>
      </c>
      <c r="D3899" s="46">
        <v>330000</v>
      </c>
      <c r="E3899" s="46">
        <v>33000</v>
      </c>
      <c r="F3899" s="17" t="s">
        <v>1088</v>
      </c>
      <c r="G3899" s="9">
        <v>45636</v>
      </c>
    </row>
    <row r="3900" spans="1:19">
      <c r="A3900" s="45">
        <v>45626</v>
      </c>
      <c r="B3900" s="14" t="s">
        <v>984</v>
      </c>
      <c r="C3900" s="46">
        <v>484000</v>
      </c>
      <c r="D3900" s="46">
        <v>440000</v>
      </c>
      <c r="E3900" s="46">
        <v>44000</v>
      </c>
      <c r="F3900" s="17" t="s">
        <v>1111</v>
      </c>
      <c r="G3900" s="9">
        <v>45636</v>
      </c>
      <c r="I3900" s="301" t="s">
        <v>1065</v>
      </c>
      <c r="J3900" s="302"/>
      <c r="K3900" s="303"/>
    </row>
    <row r="3901" spans="1:19">
      <c r="A3901" s="45">
        <v>45626</v>
      </c>
      <c r="B3901" s="14" t="s">
        <v>749</v>
      </c>
      <c r="C3901" s="46">
        <v>88000</v>
      </c>
      <c r="D3901" s="46">
        <v>80000</v>
      </c>
      <c r="E3901" s="46">
        <v>8000</v>
      </c>
      <c r="F3901" s="17" t="s">
        <v>13</v>
      </c>
      <c r="G3901" s="9">
        <v>45642</v>
      </c>
      <c r="I3901" s="18" t="s">
        <v>46</v>
      </c>
      <c r="J3901" s="209" t="s">
        <v>47</v>
      </c>
      <c r="K3901" s="209" t="s">
        <v>48</v>
      </c>
    </row>
    <row r="3902" spans="1:19">
      <c r="A3902" s="119">
        <v>45626</v>
      </c>
      <c r="B3902" s="42" t="s">
        <v>155</v>
      </c>
      <c r="C3902" s="118">
        <v>1578500</v>
      </c>
      <c r="D3902" s="118">
        <v>1435000</v>
      </c>
      <c r="E3902" s="118">
        <v>143500</v>
      </c>
      <c r="F3902" s="51" t="s">
        <v>13</v>
      </c>
      <c r="G3902" s="10">
        <v>45642</v>
      </c>
      <c r="H3902" s="51"/>
      <c r="I3902" s="18">
        <f>SUM(C3847:C3902)</f>
        <v>864109338</v>
      </c>
      <c r="J3902" s="18">
        <f>SUM(D3847:D3902)</f>
        <v>789416231</v>
      </c>
      <c r="K3902" s="18">
        <f>SUM(E3847:E3902)</f>
        <v>74693107</v>
      </c>
      <c r="L3902" s="42"/>
      <c r="M3902" s="42"/>
      <c r="N3902" s="42"/>
      <c r="O3902" s="42"/>
      <c r="P3902" s="42"/>
      <c r="Q3902" s="42"/>
      <c r="R3902" s="42"/>
      <c r="S3902" s="42"/>
    </row>
    <row r="3903" spans="1:19">
      <c r="A3903" s="45">
        <v>45627</v>
      </c>
      <c r="B3903" s="216" t="s">
        <v>432</v>
      </c>
      <c r="C3903" s="46">
        <v>902000</v>
      </c>
      <c r="D3903" s="46">
        <v>820000</v>
      </c>
      <c r="E3903" s="46">
        <v>82000</v>
      </c>
      <c r="F3903" s="17" t="s">
        <v>1107</v>
      </c>
      <c r="G3903" s="9">
        <v>45672</v>
      </c>
    </row>
    <row r="3904" spans="1:19">
      <c r="A3904" s="45">
        <v>45641</v>
      </c>
      <c r="B3904" s="14" t="s">
        <v>2</v>
      </c>
      <c r="C3904" s="46">
        <v>12102750</v>
      </c>
      <c r="D3904" s="46">
        <v>11002500</v>
      </c>
      <c r="E3904" s="46">
        <v>1100250</v>
      </c>
      <c r="F3904" s="17" t="s">
        <v>1068</v>
      </c>
      <c r="G3904" s="9">
        <v>45656</v>
      </c>
    </row>
    <row r="3905" spans="1:11">
      <c r="A3905" s="45">
        <v>45641</v>
      </c>
      <c r="B3905" s="14" t="s">
        <v>2</v>
      </c>
      <c r="C3905" s="46">
        <v>2112000</v>
      </c>
      <c r="D3905" s="46">
        <v>1920000</v>
      </c>
      <c r="E3905" s="46">
        <v>192000</v>
      </c>
      <c r="F3905" s="17" t="s">
        <v>1091</v>
      </c>
      <c r="G3905" s="9">
        <v>45656</v>
      </c>
      <c r="K3905" s="223"/>
    </row>
    <row r="3906" spans="1:11">
      <c r="A3906" s="45">
        <v>45641</v>
      </c>
      <c r="B3906" s="14" t="s">
        <v>2</v>
      </c>
      <c r="C3906" s="46">
        <v>11173800</v>
      </c>
      <c r="D3906" s="46">
        <v>10158000</v>
      </c>
      <c r="E3906" s="46">
        <v>1015800</v>
      </c>
      <c r="F3906" s="17" t="s">
        <v>1069</v>
      </c>
      <c r="G3906" s="9">
        <v>45646</v>
      </c>
      <c r="K3906" s="223"/>
    </row>
    <row r="3907" spans="1:11">
      <c r="A3907" s="45">
        <v>45641</v>
      </c>
      <c r="B3907" s="14" t="s">
        <v>2</v>
      </c>
      <c r="C3907" s="46">
        <v>7730800</v>
      </c>
      <c r="D3907" s="46">
        <v>7028000</v>
      </c>
      <c r="E3907" s="46">
        <v>702800</v>
      </c>
      <c r="F3907" s="17" t="s">
        <v>1070</v>
      </c>
      <c r="G3907" s="9">
        <v>45646</v>
      </c>
      <c r="K3907" s="223"/>
    </row>
    <row r="3908" spans="1:11">
      <c r="A3908" s="45">
        <v>45641</v>
      </c>
      <c r="B3908" s="14" t="s">
        <v>2</v>
      </c>
      <c r="C3908" s="46">
        <v>21434600</v>
      </c>
      <c r="D3908" s="46">
        <v>19486000</v>
      </c>
      <c r="E3908" s="46">
        <v>1948600</v>
      </c>
      <c r="F3908" s="17" t="s">
        <v>1071</v>
      </c>
      <c r="G3908" s="9">
        <v>45646</v>
      </c>
      <c r="K3908" s="223"/>
    </row>
    <row r="3909" spans="1:11">
      <c r="A3909" s="45">
        <v>45641</v>
      </c>
      <c r="B3909" s="14" t="s">
        <v>2</v>
      </c>
      <c r="C3909" s="46">
        <v>13684000</v>
      </c>
      <c r="D3909" s="46">
        <v>12440000</v>
      </c>
      <c r="E3909" s="46">
        <v>1244000</v>
      </c>
      <c r="F3909" s="17" t="s">
        <v>1072</v>
      </c>
      <c r="G3909" s="9">
        <v>45656</v>
      </c>
      <c r="K3909" s="223"/>
    </row>
    <row r="3910" spans="1:11">
      <c r="A3910" s="45">
        <v>45649</v>
      </c>
      <c r="B3910" s="219" t="s">
        <v>902</v>
      </c>
      <c r="C3910" s="46">
        <v>4761120</v>
      </c>
      <c r="D3910" s="46">
        <v>4761120</v>
      </c>
      <c r="E3910" s="46">
        <v>0</v>
      </c>
      <c r="F3910" s="17" t="s">
        <v>1117</v>
      </c>
      <c r="G3910" s="9">
        <v>45657</v>
      </c>
      <c r="K3910" s="223"/>
    </row>
    <row r="3911" spans="1:11">
      <c r="A3911" s="45">
        <v>45649</v>
      </c>
      <c r="B3911" s="219" t="s">
        <v>921</v>
      </c>
      <c r="C3911" s="46">
        <v>10232500</v>
      </c>
      <c r="D3911" s="46">
        <v>10232500</v>
      </c>
      <c r="E3911" s="46">
        <v>0</v>
      </c>
      <c r="F3911" s="17" t="s">
        <v>1118</v>
      </c>
      <c r="G3911" s="9">
        <v>45657</v>
      </c>
      <c r="K3911" s="223"/>
    </row>
    <row r="3912" spans="1:11">
      <c r="A3912" s="45" t="s">
        <v>1126</v>
      </c>
      <c r="B3912" s="220" t="s">
        <v>769</v>
      </c>
      <c r="C3912" s="46">
        <v>56618100</v>
      </c>
      <c r="D3912" s="46">
        <v>51471000</v>
      </c>
      <c r="E3912" s="46">
        <v>5147100</v>
      </c>
      <c r="F3912" s="17" t="s">
        <v>1096</v>
      </c>
      <c r="G3912" s="9">
        <v>45667</v>
      </c>
      <c r="K3912" s="223"/>
    </row>
    <row r="3913" spans="1:11">
      <c r="A3913" s="45" t="s">
        <v>1126</v>
      </c>
      <c r="B3913" s="220" t="s">
        <v>769</v>
      </c>
      <c r="C3913" s="46">
        <v>3139400</v>
      </c>
      <c r="D3913" s="46">
        <v>2854000</v>
      </c>
      <c r="E3913" s="46">
        <v>285400</v>
      </c>
      <c r="F3913" s="17" t="s">
        <v>1127</v>
      </c>
      <c r="G3913" s="9">
        <v>45667</v>
      </c>
      <c r="K3913" s="223"/>
    </row>
    <row r="3914" spans="1:11">
      <c r="A3914" s="45" t="s">
        <v>1126</v>
      </c>
      <c r="B3914" s="220" t="s">
        <v>769</v>
      </c>
      <c r="C3914" s="46">
        <v>24006400</v>
      </c>
      <c r="D3914" s="46">
        <v>21824000</v>
      </c>
      <c r="E3914" s="46">
        <v>2182400</v>
      </c>
      <c r="F3914" s="17" t="s">
        <v>1098</v>
      </c>
      <c r="G3914" s="9">
        <v>45667</v>
      </c>
      <c r="K3914" s="223"/>
    </row>
    <row r="3915" spans="1:11">
      <c r="A3915" s="45" t="s">
        <v>1126</v>
      </c>
      <c r="B3915" s="220" t="s">
        <v>769</v>
      </c>
      <c r="C3915" s="46">
        <v>15686000</v>
      </c>
      <c r="D3915" s="46">
        <v>14260000</v>
      </c>
      <c r="E3915" s="46">
        <v>1426000</v>
      </c>
      <c r="F3915" s="17" t="s">
        <v>1099</v>
      </c>
      <c r="G3915" s="9">
        <v>45667</v>
      </c>
      <c r="K3915" s="223"/>
    </row>
    <row r="3916" spans="1:11">
      <c r="A3916" s="45" t="s">
        <v>1126</v>
      </c>
      <c r="B3916" s="220" t="s">
        <v>769</v>
      </c>
      <c r="C3916" s="46">
        <v>12721359</v>
      </c>
      <c r="D3916" s="46">
        <v>11564872</v>
      </c>
      <c r="E3916" s="46">
        <v>1156487</v>
      </c>
      <c r="F3916" s="17" t="s">
        <v>1144</v>
      </c>
      <c r="G3916" s="9">
        <v>45667</v>
      </c>
      <c r="K3916" s="223"/>
    </row>
    <row r="3917" spans="1:11">
      <c r="A3917" s="45" t="s">
        <v>1120</v>
      </c>
      <c r="B3917" s="8" t="s">
        <v>841</v>
      </c>
      <c r="C3917" s="46">
        <v>31171360</v>
      </c>
      <c r="D3917" s="46">
        <v>28337600</v>
      </c>
      <c r="E3917" s="46">
        <v>2833760</v>
      </c>
      <c r="F3917" s="17" t="s">
        <v>13</v>
      </c>
      <c r="G3917" s="9">
        <v>45681</v>
      </c>
      <c r="H3917" s="17" t="s">
        <v>1134</v>
      </c>
      <c r="K3917" s="223"/>
    </row>
    <row r="3918" spans="1:11">
      <c r="A3918" s="45" t="s">
        <v>1121</v>
      </c>
      <c r="B3918" s="8" t="s">
        <v>841</v>
      </c>
      <c r="C3918" s="46">
        <v>29470100</v>
      </c>
      <c r="D3918" s="46">
        <v>26791000</v>
      </c>
      <c r="E3918" s="46">
        <v>2679100</v>
      </c>
      <c r="F3918" s="17" t="s">
        <v>13</v>
      </c>
      <c r="G3918" s="9">
        <v>45681</v>
      </c>
      <c r="H3918" s="17" t="s">
        <v>1134</v>
      </c>
      <c r="K3918" s="223"/>
    </row>
    <row r="3919" spans="1:11">
      <c r="A3919" s="45" t="s">
        <v>1122</v>
      </c>
      <c r="B3919" s="8" t="s">
        <v>841</v>
      </c>
      <c r="C3919" s="46">
        <v>27670280</v>
      </c>
      <c r="D3919" s="46">
        <v>25154800</v>
      </c>
      <c r="E3919" s="46">
        <v>2515480</v>
      </c>
      <c r="F3919" s="17" t="s">
        <v>13</v>
      </c>
      <c r="G3919" s="9">
        <v>45681</v>
      </c>
      <c r="H3919" s="17" t="s">
        <v>1134</v>
      </c>
      <c r="K3919" s="223"/>
    </row>
    <row r="3920" spans="1:11">
      <c r="A3920" s="45" t="s">
        <v>1123</v>
      </c>
      <c r="B3920" s="8" t="s">
        <v>841</v>
      </c>
      <c r="C3920" s="46">
        <v>30451300</v>
      </c>
      <c r="D3920" s="46">
        <v>27683000</v>
      </c>
      <c r="E3920" s="46">
        <v>2768300</v>
      </c>
      <c r="F3920" s="17" t="s">
        <v>13</v>
      </c>
      <c r="G3920" s="9">
        <v>45681</v>
      </c>
      <c r="H3920" s="17" t="s">
        <v>1134</v>
      </c>
      <c r="K3920" s="223"/>
    </row>
    <row r="3921" spans="1:17">
      <c r="A3921" s="45" t="s">
        <v>1124</v>
      </c>
      <c r="B3921" s="8" t="s">
        <v>841</v>
      </c>
      <c r="C3921" s="46">
        <v>31939490</v>
      </c>
      <c r="D3921" s="46">
        <v>29035900</v>
      </c>
      <c r="E3921" s="46">
        <v>2903590</v>
      </c>
      <c r="F3921" s="17" t="s">
        <v>13</v>
      </c>
      <c r="G3921" s="9">
        <v>45681</v>
      </c>
      <c r="H3921" s="17" t="s">
        <v>1134</v>
      </c>
      <c r="K3921" s="223"/>
    </row>
    <row r="3922" spans="1:17">
      <c r="A3922" s="45" t="s">
        <v>1125</v>
      </c>
      <c r="B3922" s="8" t="s">
        <v>841</v>
      </c>
      <c r="C3922" s="46">
        <v>32012200</v>
      </c>
      <c r="D3922" s="46">
        <v>29102000</v>
      </c>
      <c r="E3922" s="46">
        <v>2910200</v>
      </c>
      <c r="F3922" s="17" t="s">
        <v>13</v>
      </c>
      <c r="G3922" s="9">
        <v>45681</v>
      </c>
      <c r="H3922" s="17" t="s">
        <v>1134</v>
      </c>
      <c r="K3922" s="223"/>
    </row>
    <row r="3923" spans="1:17">
      <c r="A3923" s="45" t="s">
        <v>1121</v>
      </c>
      <c r="B3923" s="8" t="s">
        <v>1112</v>
      </c>
      <c r="C3923" s="46">
        <v>48071100</v>
      </c>
      <c r="D3923" s="46">
        <v>43701000</v>
      </c>
      <c r="E3923" s="46">
        <v>4370100</v>
      </c>
      <c r="F3923" s="17" t="s">
        <v>13</v>
      </c>
      <c r="G3923" s="9">
        <v>45663</v>
      </c>
      <c r="H3923" s="17" t="s">
        <v>1134</v>
      </c>
      <c r="K3923" s="223"/>
    </row>
    <row r="3924" spans="1:17">
      <c r="A3924" s="55" t="s">
        <v>1121</v>
      </c>
      <c r="B3924" s="228" t="s">
        <v>1112</v>
      </c>
      <c r="C3924" s="120">
        <v>-48071100</v>
      </c>
      <c r="D3924" s="120">
        <v>-43701000</v>
      </c>
      <c r="E3924" s="120">
        <v>-4370100</v>
      </c>
      <c r="F3924" s="31" t="s">
        <v>13</v>
      </c>
      <c r="G3924" s="81" t="s">
        <v>1136</v>
      </c>
      <c r="K3924" s="227"/>
      <c r="L3924" s="227"/>
      <c r="M3924" s="227"/>
      <c r="N3924" s="227"/>
      <c r="O3924" s="227"/>
      <c r="P3924" s="227"/>
      <c r="Q3924" s="227"/>
    </row>
    <row r="3925" spans="1:17">
      <c r="A3925" s="45" t="s">
        <v>1123</v>
      </c>
      <c r="B3925" s="8" t="s">
        <v>1112</v>
      </c>
      <c r="C3925" s="46">
        <v>45403380</v>
      </c>
      <c r="D3925" s="46">
        <v>41275800</v>
      </c>
      <c r="E3925" s="46">
        <v>4127580</v>
      </c>
      <c r="F3925" s="17" t="s">
        <v>13</v>
      </c>
      <c r="G3925" s="9">
        <v>45663</v>
      </c>
      <c r="H3925" s="17" t="s">
        <v>1134</v>
      </c>
      <c r="K3925" s="223"/>
    </row>
    <row r="3926" spans="1:17">
      <c r="A3926" s="55" t="s">
        <v>1123</v>
      </c>
      <c r="B3926" s="228" t="s">
        <v>1112</v>
      </c>
      <c r="C3926" s="120">
        <v>-45403380</v>
      </c>
      <c r="D3926" s="120">
        <v>-41275800</v>
      </c>
      <c r="E3926" s="120">
        <v>-4127580</v>
      </c>
      <c r="F3926" s="31" t="s">
        <v>13</v>
      </c>
      <c r="G3926" s="81" t="s">
        <v>1136</v>
      </c>
      <c r="K3926" s="227"/>
      <c r="L3926" s="227"/>
      <c r="M3926" s="227"/>
      <c r="N3926" s="227"/>
      <c r="O3926" s="227"/>
      <c r="P3926" s="227"/>
      <c r="Q3926" s="227"/>
    </row>
    <row r="3927" spans="1:17">
      <c r="A3927" s="45" t="s">
        <v>1123</v>
      </c>
      <c r="B3927" s="8" t="s">
        <v>1112</v>
      </c>
      <c r="C3927" s="46">
        <f>D3927+E3927</f>
        <v>27474480</v>
      </c>
      <c r="D3927" s="46">
        <v>24976800</v>
      </c>
      <c r="E3927" s="46">
        <v>2497680</v>
      </c>
      <c r="F3927" s="17" t="s">
        <v>13</v>
      </c>
      <c r="G3927" s="9" t="s">
        <v>1137</v>
      </c>
      <c r="H3927" s="17" t="s">
        <v>1134</v>
      </c>
      <c r="K3927" s="227"/>
      <c r="L3927" s="227"/>
      <c r="M3927" s="227"/>
      <c r="N3927" s="227"/>
      <c r="O3927" s="227"/>
      <c r="P3927" s="227"/>
      <c r="Q3927" s="227"/>
    </row>
    <row r="3928" spans="1:17">
      <c r="A3928" s="45" t="s">
        <v>1125</v>
      </c>
      <c r="B3928" s="8" t="s">
        <v>1112</v>
      </c>
      <c r="C3928" s="46">
        <v>44298100</v>
      </c>
      <c r="D3928" s="46">
        <v>40271000</v>
      </c>
      <c r="E3928" s="46">
        <v>4027100</v>
      </c>
      <c r="F3928" s="17" t="s">
        <v>13</v>
      </c>
      <c r="G3928" s="9">
        <v>45663</v>
      </c>
      <c r="H3928" s="17" t="s">
        <v>1134</v>
      </c>
      <c r="K3928" s="223"/>
    </row>
    <row r="3929" spans="1:17">
      <c r="A3929" s="45" t="s">
        <v>1121</v>
      </c>
      <c r="B3929" s="8" t="s">
        <v>1114</v>
      </c>
      <c r="C3929" s="46">
        <v>39979280</v>
      </c>
      <c r="D3929" s="46">
        <v>36344800</v>
      </c>
      <c r="E3929" s="46">
        <v>3634480</v>
      </c>
      <c r="F3929" s="17" t="s">
        <v>13</v>
      </c>
      <c r="G3929" s="9">
        <v>45681</v>
      </c>
      <c r="H3929" s="17" t="s">
        <v>1134</v>
      </c>
      <c r="K3929" s="223"/>
    </row>
    <row r="3930" spans="1:17">
      <c r="A3930" s="45" t="s">
        <v>1123</v>
      </c>
      <c r="B3930" s="8" t="s">
        <v>1114</v>
      </c>
      <c r="C3930" s="46">
        <v>43573530</v>
      </c>
      <c r="D3930" s="46">
        <v>39612300</v>
      </c>
      <c r="E3930" s="46">
        <v>3961230</v>
      </c>
      <c r="F3930" s="17" t="s">
        <v>13</v>
      </c>
      <c r="G3930" s="9">
        <v>45681</v>
      </c>
      <c r="H3930" s="17" t="s">
        <v>1134</v>
      </c>
    </row>
    <row r="3931" spans="1:17">
      <c r="A3931" s="45">
        <v>45657</v>
      </c>
      <c r="B3931" s="221" t="s">
        <v>719</v>
      </c>
      <c r="C3931" s="46">
        <f>D3931+E3931</f>
        <v>2444200</v>
      </c>
      <c r="D3931" s="46">
        <v>2222000</v>
      </c>
      <c r="E3931" s="46">
        <f>D3931*0.1</f>
        <v>222200</v>
      </c>
      <c r="F3931" s="17" t="s">
        <v>1007</v>
      </c>
      <c r="G3931" s="9">
        <v>45758</v>
      </c>
    </row>
    <row r="3932" spans="1:17">
      <c r="A3932" s="45">
        <v>45657</v>
      </c>
      <c r="B3932" s="14" t="s">
        <v>958</v>
      </c>
      <c r="C3932" s="46">
        <v>6180350</v>
      </c>
      <c r="D3932" s="46">
        <v>6180350</v>
      </c>
      <c r="E3932" s="46">
        <v>0</v>
      </c>
      <c r="F3932" s="17" t="s">
        <v>977</v>
      </c>
      <c r="G3932" s="9">
        <v>45667</v>
      </c>
    </row>
    <row r="3933" spans="1:17">
      <c r="A3933" s="45">
        <v>45657</v>
      </c>
      <c r="B3933" s="14" t="s">
        <v>2</v>
      </c>
      <c r="C3933" s="46">
        <v>13538250</v>
      </c>
      <c r="D3933" s="46">
        <v>12307500</v>
      </c>
      <c r="E3933" s="46">
        <v>1230750</v>
      </c>
      <c r="F3933" s="17" t="s">
        <v>1068</v>
      </c>
      <c r="G3933" s="9">
        <v>45667</v>
      </c>
    </row>
    <row r="3934" spans="1:17">
      <c r="A3934" s="45">
        <v>45657</v>
      </c>
      <c r="B3934" s="14" t="s">
        <v>2</v>
      </c>
      <c r="C3934" s="46">
        <v>2508000</v>
      </c>
      <c r="D3934" s="46">
        <v>2280000</v>
      </c>
      <c r="E3934" s="46">
        <v>228000</v>
      </c>
      <c r="F3934" s="17" t="s">
        <v>1128</v>
      </c>
      <c r="G3934" s="9">
        <v>45667</v>
      </c>
    </row>
    <row r="3935" spans="1:17">
      <c r="A3935" s="45">
        <v>45657</v>
      </c>
      <c r="B3935" s="14" t="s">
        <v>2</v>
      </c>
      <c r="C3935" s="46">
        <v>18702200</v>
      </c>
      <c r="D3935" s="46">
        <v>17002000</v>
      </c>
      <c r="E3935" s="46">
        <v>1700200</v>
      </c>
      <c r="F3935" s="17" t="s">
        <v>1069</v>
      </c>
      <c r="G3935" s="9">
        <v>45667</v>
      </c>
    </row>
    <row r="3936" spans="1:17">
      <c r="A3936" s="45">
        <v>45657</v>
      </c>
      <c r="B3936" s="14" t="s">
        <v>2</v>
      </c>
      <c r="C3936" s="46">
        <v>8157600</v>
      </c>
      <c r="D3936" s="46">
        <v>7416000</v>
      </c>
      <c r="E3936" s="46">
        <v>741600</v>
      </c>
      <c r="F3936" s="17" t="s">
        <v>1070</v>
      </c>
      <c r="G3936" s="9">
        <v>45667</v>
      </c>
    </row>
    <row r="3937" spans="1:17">
      <c r="A3937" s="45">
        <v>45657</v>
      </c>
      <c r="B3937" s="14" t="s">
        <v>2</v>
      </c>
      <c r="C3937" s="46">
        <v>19136700</v>
      </c>
      <c r="D3937" s="46">
        <v>17397000</v>
      </c>
      <c r="E3937" s="46">
        <v>1739700</v>
      </c>
      <c r="F3937" s="17" t="s">
        <v>1071</v>
      </c>
      <c r="G3937" s="9">
        <v>45667</v>
      </c>
    </row>
    <row r="3938" spans="1:17">
      <c r="A3938" s="45">
        <v>45657</v>
      </c>
      <c r="B3938" s="14" t="s">
        <v>2</v>
      </c>
      <c r="C3938" s="46">
        <v>20138250</v>
      </c>
      <c r="D3938" s="46">
        <v>18307500</v>
      </c>
      <c r="E3938" s="46">
        <v>1830750</v>
      </c>
      <c r="F3938" s="17" t="s">
        <v>1072</v>
      </c>
      <c r="G3938" s="9">
        <v>45667</v>
      </c>
    </row>
    <row r="3939" spans="1:17">
      <c r="A3939" s="45">
        <v>45657</v>
      </c>
      <c r="B3939" s="14" t="s">
        <v>2</v>
      </c>
      <c r="C3939" s="46">
        <v>1084600</v>
      </c>
      <c r="D3939" s="46">
        <v>986000</v>
      </c>
      <c r="E3939" s="46">
        <v>98600</v>
      </c>
      <c r="F3939" s="17" t="s">
        <v>1102</v>
      </c>
      <c r="G3939" s="9">
        <v>45667</v>
      </c>
    </row>
    <row r="3940" spans="1:17">
      <c r="A3940" s="45">
        <v>45657</v>
      </c>
      <c r="B3940" s="14" t="s">
        <v>2</v>
      </c>
      <c r="C3940" s="46">
        <v>1039500</v>
      </c>
      <c r="D3940" s="46">
        <v>945000</v>
      </c>
      <c r="E3940" s="46">
        <v>94500</v>
      </c>
      <c r="F3940" s="17" t="s">
        <v>1103</v>
      </c>
      <c r="G3940" s="9">
        <v>45667</v>
      </c>
    </row>
    <row r="3941" spans="1:17">
      <c r="A3941" s="45">
        <v>45657</v>
      </c>
      <c r="B3941" s="14" t="s">
        <v>2</v>
      </c>
      <c r="C3941" s="46">
        <v>2772000</v>
      </c>
      <c r="D3941" s="46">
        <v>2520000</v>
      </c>
      <c r="E3941" s="46">
        <v>252000</v>
      </c>
      <c r="F3941" s="17" t="s">
        <v>1104</v>
      </c>
      <c r="G3941" s="9">
        <v>45667</v>
      </c>
    </row>
    <row r="3942" spans="1:17">
      <c r="A3942" s="45">
        <v>45657</v>
      </c>
      <c r="B3942" s="14" t="s">
        <v>730</v>
      </c>
      <c r="C3942" s="46">
        <v>376200</v>
      </c>
      <c r="D3942" s="46">
        <v>342000</v>
      </c>
      <c r="E3942" s="46">
        <v>34200</v>
      </c>
      <c r="F3942" s="17" t="s">
        <v>1108</v>
      </c>
      <c r="G3942" s="9">
        <v>45667</v>
      </c>
    </row>
    <row r="3943" spans="1:17">
      <c r="A3943" s="45">
        <v>45657</v>
      </c>
      <c r="B3943" s="14" t="s">
        <v>432</v>
      </c>
      <c r="C3943" s="46">
        <v>2112000</v>
      </c>
      <c r="D3943" s="46">
        <v>1920000</v>
      </c>
      <c r="E3943" s="46">
        <v>192000</v>
      </c>
      <c r="F3943" s="17" t="s">
        <v>1129</v>
      </c>
      <c r="G3943" s="9">
        <v>45674</v>
      </c>
    </row>
    <row r="3944" spans="1:17">
      <c r="A3944" s="45">
        <v>45657</v>
      </c>
      <c r="B3944" s="14" t="s">
        <v>432</v>
      </c>
      <c r="C3944" s="46">
        <v>3036000</v>
      </c>
      <c r="D3944" s="46">
        <v>2760000</v>
      </c>
      <c r="E3944" s="46">
        <v>276000</v>
      </c>
      <c r="F3944" s="17" t="s">
        <v>1080</v>
      </c>
      <c r="G3944" s="9">
        <v>45679</v>
      </c>
    </row>
    <row r="3945" spans="1:17">
      <c r="A3945" s="45">
        <v>45657</v>
      </c>
      <c r="B3945" s="14" t="s">
        <v>432</v>
      </c>
      <c r="C3945" s="46">
        <v>533500</v>
      </c>
      <c r="D3945" s="46">
        <v>485000</v>
      </c>
      <c r="E3945" s="46">
        <v>48500</v>
      </c>
      <c r="F3945" s="17" t="s">
        <v>1081</v>
      </c>
      <c r="G3945" s="9">
        <v>45679</v>
      </c>
    </row>
    <row r="3946" spans="1:17">
      <c r="A3946" s="45">
        <v>45657</v>
      </c>
      <c r="B3946" s="14" t="s">
        <v>432</v>
      </c>
      <c r="C3946" s="46">
        <v>2904000</v>
      </c>
      <c r="D3946" s="46">
        <v>2640000</v>
      </c>
      <c r="E3946" s="46">
        <v>264000</v>
      </c>
      <c r="F3946" s="17" t="s">
        <v>1130</v>
      </c>
      <c r="G3946" s="9">
        <v>45679</v>
      </c>
    </row>
    <row r="3947" spans="1:17">
      <c r="A3947" s="45">
        <v>45657</v>
      </c>
      <c r="B3947" s="224" t="s">
        <v>432</v>
      </c>
      <c r="C3947" s="46">
        <v>154000</v>
      </c>
      <c r="D3947" s="46">
        <v>140000</v>
      </c>
      <c r="E3947" s="46">
        <v>14000</v>
      </c>
      <c r="F3947" s="17" t="s">
        <v>1131</v>
      </c>
      <c r="G3947" s="9">
        <v>45679</v>
      </c>
      <c r="K3947" s="224"/>
      <c r="L3947" s="224"/>
      <c r="M3947" s="224"/>
      <c r="N3947" s="224"/>
      <c r="O3947" s="224"/>
      <c r="P3947" s="224"/>
      <c r="Q3947" s="224"/>
    </row>
    <row r="3948" spans="1:17">
      <c r="A3948" s="45">
        <v>45657</v>
      </c>
      <c r="B3948" s="225" t="s">
        <v>432</v>
      </c>
      <c r="C3948" s="46">
        <v>39261970</v>
      </c>
      <c r="D3948" s="46">
        <v>35692700</v>
      </c>
      <c r="E3948" s="46">
        <v>3569270</v>
      </c>
      <c r="F3948" s="17" t="s">
        <v>13</v>
      </c>
      <c r="G3948" s="9">
        <v>45674</v>
      </c>
      <c r="K3948" s="225"/>
      <c r="L3948" s="225"/>
      <c r="M3948" s="225"/>
      <c r="N3948" s="225"/>
      <c r="O3948" s="225"/>
      <c r="P3948" s="225"/>
      <c r="Q3948" s="225"/>
    </row>
    <row r="3949" spans="1:17">
      <c r="A3949" s="45">
        <v>45657</v>
      </c>
      <c r="B3949" s="225" t="s">
        <v>432</v>
      </c>
      <c r="C3949" s="46">
        <v>26868600</v>
      </c>
      <c r="D3949" s="46">
        <v>24426000</v>
      </c>
      <c r="E3949" s="46">
        <v>2442600</v>
      </c>
      <c r="F3949" s="17" t="s">
        <v>13</v>
      </c>
      <c r="G3949" s="9">
        <v>45674</v>
      </c>
      <c r="K3949" s="225"/>
      <c r="L3949" s="225"/>
      <c r="M3949" s="225"/>
      <c r="N3949" s="225"/>
      <c r="O3949" s="225"/>
      <c r="P3949" s="225"/>
      <c r="Q3949" s="225"/>
    </row>
    <row r="3950" spans="1:17">
      <c r="A3950" s="45">
        <v>45657</v>
      </c>
      <c r="B3950" s="224" t="s">
        <v>970</v>
      </c>
      <c r="C3950" s="46">
        <v>5610000</v>
      </c>
      <c r="D3950" s="46">
        <v>5100000</v>
      </c>
      <c r="E3950" s="46">
        <v>510000</v>
      </c>
      <c r="F3950" s="17" t="s">
        <v>1082</v>
      </c>
      <c r="G3950" s="9">
        <v>45667</v>
      </c>
      <c r="K3950" s="224"/>
      <c r="L3950" s="224"/>
      <c r="M3950" s="224"/>
      <c r="N3950" s="224"/>
      <c r="O3950" s="224"/>
      <c r="P3950" s="224"/>
      <c r="Q3950" s="224"/>
    </row>
    <row r="3951" spans="1:17">
      <c r="A3951" s="45">
        <v>45657</v>
      </c>
      <c r="B3951" s="14" t="s">
        <v>970</v>
      </c>
      <c r="C3951" s="46">
        <v>3443000</v>
      </c>
      <c r="D3951" s="46">
        <v>3130000</v>
      </c>
      <c r="E3951" s="46">
        <v>313000</v>
      </c>
      <c r="F3951" s="17" t="s">
        <v>1083</v>
      </c>
      <c r="G3951" s="9">
        <v>45667</v>
      </c>
    </row>
    <row r="3952" spans="1:17">
      <c r="A3952" s="45">
        <v>45657</v>
      </c>
      <c r="B3952" s="14" t="s">
        <v>970</v>
      </c>
      <c r="C3952" s="46">
        <v>3258750</v>
      </c>
      <c r="D3952" s="46">
        <v>2962500</v>
      </c>
      <c r="E3952" s="46">
        <v>296250</v>
      </c>
      <c r="F3952" s="17" t="s">
        <v>1132</v>
      </c>
      <c r="G3952" s="9">
        <v>45667</v>
      </c>
    </row>
    <row r="3953" spans="1:19">
      <c r="A3953" s="45">
        <v>45657</v>
      </c>
      <c r="B3953" s="14" t="s">
        <v>1001</v>
      </c>
      <c r="C3953" s="46">
        <v>466400</v>
      </c>
      <c r="D3953" s="46">
        <v>424000</v>
      </c>
      <c r="E3953" s="46">
        <v>42400</v>
      </c>
      <c r="F3953" s="17" t="s">
        <v>1133</v>
      </c>
      <c r="G3953" s="9">
        <v>45674</v>
      </c>
    </row>
    <row r="3954" spans="1:19">
      <c r="A3954" s="45">
        <v>45657</v>
      </c>
      <c r="B3954" s="14" t="s">
        <v>1001</v>
      </c>
      <c r="C3954" s="46">
        <v>7161000</v>
      </c>
      <c r="D3954" s="46">
        <v>6510000</v>
      </c>
      <c r="E3954" s="46">
        <v>651000</v>
      </c>
      <c r="F3954" s="17" t="s">
        <v>1110</v>
      </c>
      <c r="G3954" s="9">
        <v>45667</v>
      </c>
    </row>
    <row r="3955" spans="1:19">
      <c r="A3955" s="45">
        <v>45657</v>
      </c>
      <c r="B3955" s="14" t="s">
        <v>805</v>
      </c>
      <c r="C3955" s="46">
        <v>11111100</v>
      </c>
      <c r="D3955" s="46">
        <v>10101000</v>
      </c>
      <c r="E3955" s="46">
        <v>1010100</v>
      </c>
      <c r="F3955" s="17" t="s">
        <v>1086</v>
      </c>
      <c r="G3955" s="9">
        <v>45672</v>
      </c>
    </row>
    <row r="3956" spans="1:19">
      <c r="A3956" s="45">
        <v>45657</v>
      </c>
      <c r="B3956" s="14" t="s">
        <v>984</v>
      </c>
      <c r="C3956" s="46">
        <v>363000</v>
      </c>
      <c r="D3956" s="46">
        <v>330000</v>
      </c>
      <c r="E3956" s="46">
        <v>33000</v>
      </c>
      <c r="F3956" s="17" t="s">
        <v>1088</v>
      </c>
      <c r="G3956" s="9">
        <v>45667</v>
      </c>
    </row>
    <row r="3957" spans="1:19">
      <c r="A3957" s="45">
        <v>45657</v>
      </c>
      <c r="B3957" s="223" t="s">
        <v>825</v>
      </c>
      <c r="C3957" s="46">
        <v>3014000</v>
      </c>
      <c r="D3957" s="46">
        <v>2740000</v>
      </c>
      <c r="E3957" s="46">
        <v>274000</v>
      </c>
      <c r="F3957" s="17" t="s">
        <v>13</v>
      </c>
      <c r="G3957" s="9">
        <v>45681</v>
      </c>
      <c r="K3957" s="223"/>
      <c r="L3957" s="223"/>
      <c r="M3957" s="223"/>
      <c r="N3957" s="223"/>
      <c r="O3957" s="223"/>
      <c r="P3957" s="223"/>
      <c r="Q3957" s="223"/>
    </row>
    <row r="3958" spans="1:19">
      <c r="A3958" s="45">
        <v>45657</v>
      </c>
      <c r="B3958" s="14" t="s">
        <v>82</v>
      </c>
      <c r="C3958" s="46">
        <v>1716000</v>
      </c>
      <c r="D3958" s="46">
        <v>1560000</v>
      </c>
      <c r="E3958" s="46">
        <v>156000</v>
      </c>
      <c r="F3958" s="17" t="s">
        <v>13</v>
      </c>
      <c r="G3958" s="9">
        <v>45672</v>
      </c>
    </row>
    <row r="3959" spans="1:19">
      <c r="A3959" s="45">
        <v>45657</v>
      </c>
      <c r="B3959" s="14" t="s">
        <v>749</v>
      </c>
      <c r="C3959" s="46">
        <v>5225000</v>
      </c>
      <c r="D3959" s="46">
        <v>4750000</v>
      </c>
      <c r="E3959" s="46">
        <v>475000</v>
      </c>
      <c r="F3959" s="17" t="s">
        <v>13</v>
      </c>
      <c r="G3959" s="232" t="s">
        <v>1157</v>
      </c>
      <c r="I3959" s="301" t="s">
        <v>1067</v>
      </c>
      <c r="J3959" s="302"/>
      <c r="K3959" s="303"/>
    </row>
    <row r="3960" spans="1:19">
      <c r="A3960" s="45">
        <v>45657</v>
      </c>
      <c r="B3960" s="14" t="s">
        <v>155</v>
      </c>
      <c r="C3960" s="46">
        <v>6127000</v>
      </c>
      <c r="D3960" s="46">
        <v>5570000</v>
      </c>
      <c r="E3960" s="46">
        <v>557000</v>
      </c>
      <c r="F3960" s="17" t="s">
        <v>13</v>
      </c>
      <c r="G3960" s="9">
        <v>45681</v>
      </c>
      <c r="I3960" s="18" t="s">
        <v>46</v>
      </c>
      <c r="J3960" s="211" t="s">
        <v>47</v>
      </c>
      <c r="K3960" s="211" t="s">
        <v>48</v>
      </c>
    </row>
    <row r="3961" spans="1:19" s="226" customFormat="1">
      <c r="A3961" s="119">
        <v>45657</v>
      </c>
      <c r="B3961" s="42" t="s">
        <v>986</v>
      </c>
      <c r="C3961" s="118">
        <v>825000</v>
      </c>
      <c r="D3961" s="118">
        <v>750000</v>
      </c>
      <c r="E3961" s="118">
        <v>75000</v>
      </c>
      <c r="F3961" s="51" t="s">
        <v>13</v>
      </c>
      <c r="G3961" s="10">
        <v>45666</v>
      </c>
      <c r="H3961" s="51"/>
      <c r="I3961" s="18">
        <f>SUM(C3903:C3961)</f>
        <v>753613119</v>
      </c>
      <c r="J3961" s="18">
        <f>SUM(D3903:D3961)</f>
        <v>687027742</v>
      </c>
      <c r="K3961" s="18">
        <f>SUM(E3903:E3961)</f>
        <v>66585377</v>
      </c>
      <c r="L3961" s="42"/>
      <c r="M3961" s="42"/>
      <c r="N3961" s="42"/>
      <c r="O3961" s="42"/>
      <c r="P3961" s="42"/>
      <c r="Q3961" s="42"/>
      <c r="R3961" s="42"/>
      <c r="S3961" s="42"/>
    </row>
    <row r="3962" spans="1:19">
      <c r="A3962" s="45">
        <v>45664</v>
      </c>
      <c r="B3962" s="14" t="s">
        <v>996</v>
      </c>
      <c r="C3962" s="46">
        <v>14179005</v>
      </c>
      <c r="D3962" s="46">
        <v>14179005</v>
      </c>
      <c r="E3962" s="46">
        <v>0</v>
      </c>
      <c r="F3962" s="17" t="s">
        <v>977</v>
      </c>
      <c r="G3962" s="9">
        <v>45667</v>
      </c>
    </row>
    <row r="3963" spans="1:19">
      <c r="A3963" s="45">
        <v>45665</v>
      </c>
      <c r="B3963" s="14" t="s">
        <v>921</v>
      </c>
      <c r="C3963" s="46">
        <v>11499917</v>
      </c>
      <c r="D3963" s="46">
        <v>11499917</v>
      </c>
      <c r="E3963" s="46">
        <v>0</v>
      </c>
      <c r="F3963" s="17" t="s">
        <v>1135</v>
      </c>
      <c r="G3963" s="9">
        <v>45688</v>
      </c>
    </row>
    <row r="3964" spans="1:19">
      <c r="A3964" s="45">
        <v>45672</v>
      </c>
      <c r="B3964" s="14" t="s">
        <v>2</v>
      </c>
      <c r="C3964" s="46">
        <v>11670312</v>
      </c>
      <c r="D3964" s="46">
        <v>10609375</v>
      </c>
      <c r="E3964" s="46">
        <v>1060937</v>
      </c>
      <c r="F3964" s="17" t="s">
        <v>1068</v>
      </c>
      <c r="G3964" s="9">
        <v>45677</v>
      </c>
    </row>
    <row r="3965" spans="1:19">
      <c r="A3965" s="45">
        <v>45672</v>
      </c>
      <c r="B3965" s="14" t="s">
        <v>2</v>
      </c>
      <c r="C3965" s="46">
        <v>17124800</v>
      </c>
      <c r="D3965" s="46">
        <v>15568000</v>
      </c>
      <c r="E3965" s="46">
        <v>1556800</v>
      </c>
      <c r="F3965" s="17" t="s">
        <v>1069</v>
      </c>
      <c r="G3965" s="9">
        <v>45681</v>
      </c>
    </row>
    <row r="3966" spans="1:19">
      <c r="A3966" s="45">
        <v>45672</v>
      </c>
      <c r="B3966" s="14" t="s">
        <v>2</v>
      </c>
      <c r="C3966" s="46">
        <v>15709100</v>
      </c>
      <c r="D3966" s="46">
        <v>14281000</v>
      </c>
      <c r="E3966" s="46">
        <v>1428100</v>
      </c>
      <c r="F3966" s="17" t="s">
        <v>1071</v>
      </c>
      <c r="G3966" s="9">
        <v>45677</v>
      </c>
    </row>
    <row r="3967" spans="1:19">
      <c r="A3967" s="45">
        <v>45672</v>
      </c>
      <c r="B3967" s="14" t="s">
        <v>2</v>
      </c>
      <c r="C3967" s="46">
        <v>30089125</v>
      </c>
      <c r="D3967" s="46">
        <v>27353750</v>
      </c>
      <c r="E3967" s="46">
        <v>2735375</v>
      </c>
      <c r="F3967" s="17" t="s">
        <v>1072</v>
      </c>
      <c r="G3967" s="9">
        <v>45681</v>
      </c>
    </row>
    <row r="3968" spans="1:19">
      <c r="A3968" s="45">
        <v>45672</v>
      </c>
      <c r="B3968" s="14" t="s">
        <v>1140</v>
      </c>
      <c r="C3968" s="46">
        <v>2200000</v>
      </c>
      <c r="D3968" s="46">
        <v>2000000</v>
      </c>
      <c r="E3968" s="46">
        <v>200000</v>
      </c>
      <c r="F3968" s="17" t="s">
        <v>1100</v>
      </c>
      <c r="G3968" s="9">
        <v>45681</v>
      </c>
    </row>
    <row r="3969" spans="1:7">
      <c r="A3969" s="45" t="s">
        <v>1138</v>
      </c>
      <c r="B3969" s="14" t="s">
        <v>923</v>
      </c>
      <c r="C3969" s="46">
        <v>3206390</v>
      </c>
      <c r="D3969" s="46">
        <v>2914900</v>
      </c>
      <c r="E3969" s="46">
        <v>291490</v>
      </c>
      <c r="F3969" s="17" t="s">
        <v>1139</v>
      </c>
      <c r="G3969" s="9">
        <v>45693</v>
      </c>
    </row>
    <row r="3970" spans="1:7">
      <c r="A3970" s="45">
        <v>45677</v>
      </c>
      <c r="B3970" s="14" t="s">
        <v>902</v>
      </c>
      <c r="C3970" s="46">
        <v>4837600</v>
      </c>
      <c r="D3970" s="46">
        <v>4837600</v>
      </c>
      <c r="E3970" s="46">
        <v>0</v>
      </c>
      <c r="F3970" s="17" t="s">
        <v>1141</v>
      </c>
      <c r="G3970" s="9">
        <v>45688</v>
      </c>
    </row>
    <row r="3971" spans="1:7">
      <c r="A3971" s="45">
        <v>45681</v>
      </c>
      <c r="B3971" s="14" t="s">
        <v>769</v>
      </c>
      <c r="C3971" s="46">
        <v>56926100</v>
      </c>
      <c r="D3971" s="46">
        <v>51751000</v>
      </c>
      <c r="E3971" s="46">
        <v>5175100</v>
      </c>
      <c r="F3971" s="17" t="s">
        <v>1096</v>
      </c>
      <c r="G3971" s="9">
        <v>45698</v>
      </c>
    </row>
    <row r="3972" spans="1:7">
      <c r="A3972" s="45">
        <v>45681</v>
      </c>
      <c r="B3972" s="14" t="s">
        <v>769</v>
      </c>
      <c r="C3972" s="46">
        <v>2851200</v>
      </c>
      <c r="D3972" s="46">
        <v>2592000</v>
      </c>
      <c r="E3972" s="46">
        <v>259200</v>
      </c>
      <c r="F3972" s="17" t="s">
        <v>1127</v>
      </c>
      <c r="G3972" s="9">
        <v>45698</v>
      </c>
    </row>
    <row r="3973" spans="1:7">
      <c r="A3973" s="45">
        <v>45681</v>
      </c>
      <c r="B3973" s="14" t="s">
        <v>769</v>
      </c>
      <c r="C3973" s="46">
        <v>25196600</v>
      </c>
      <c r="D3973" s="46">
        <v>22906000</v>
      </c>
      <c r="E3973" s="46">
        <v>2290600</v>
      </c>
      <c r="F3973" s="17" t="s">
        <v>1098</v>
      </c>
      <c r="G3973" s="9">
        <v>45698</v>
      </c>
    </row>
    <row r="3974" spans="1:7">
      <c r="A3974" s="45">
        <v>45681</v>
      </c>
      <c r="B3974" s="14" t="s">
        <v>769</v>
      </c>
      <c r="C3974" s="46">
        <v>13790700</v>
      </c>
      <c r="D3974" s="46">
        <v>12537000</v>
      </c>
      <c r="E3974" s="46">
        <v>1253700</v>
      </c>
      <c r="F3974" s="17" t="s">
        <v>1099</v>
      </c>
      <c r="G3974" s="9">
        <v>45698</v>
      </c>
    </row>
    <row r="3975" spans="1:7">
      <c r="A3975" s="45">
        <v>45681</v>
      </c>
      <c r="B3975" s="14" t="s">
        <v>769</v>
      </c>
      <c r="C3975" s="46">
        <v>12104180</v>
      </c>
      <c r="D3975" s="46">
        <v>11003800</v>
      </c>
      <c r="E3975" s="46">
        <v>1100380</v>
      </c>
      <c r="F3975" s="17" t="s">
        <v>1174</v>
      </c>
      <c r="G3975" s="9">
        <v>45698</v>
      </c>
    </row>
    <row r="3976" spans="1:7">
      <c r="A3976" s="45">
        <v>45688</v>
      </c>
      <c r="B3976" s="14" t="s">
        <v>958</v>
      </c>
      <c r="C3976" s="46">
        <v>8895770</v>
      </c>
      <c r="D3976" s="46">
        <v>8895770</v>
      </c>
      <c r="E3976" s="46">
        <v>0</v>
      </c>
      <c r="F3976" s="17" t="s">
        <v>1143</v>
      </c>
      <c r="G3976" s="9">
        <v>45698</v>
      </c>
    </row>
    <row r="3977" spans="1:7">
      <c r="A3977" s="45">
        <v>45688</v>
      </c>
      <c r="B3977" s="14" t="s">
        <v>2</v>
      </c>
      <c r="C3977" s="46">
        <v>275000</v>
      </c>
      <c r="D3977" s="46">
        <v>250000</v>
      </c>
      <c r="E3977" s="46">
        <v>25000</v>
      </c>
      <c r="F3977" s="17" t="s">
        <v>1145</v>
      </c>
      <c r="G3977" s="9">
        <v>45698</v>
      </c>
    </row>
    <row r="3978" spans="1:7">
      <c r="A3978" s="45">
        <v>45688</v>
      </c>
      <c r="B3978" s="14" t="s">
        <v>2</v>
      </c>
      <c r="C3978" s="46">
        <v>12650000</v>
      </c>
      <c r="D3978" s="46">
        <v>11500000</v>
      </c>
      <c r="E3978" s="46">
        <v>1150000</v>
      </c>
      <c r="F3978" s="17" t="s">
        <v>1068</v>
      </c>
      <c r="G3978" s="9">
        <v>45698</v>
      </c>
    </row>
    <row r="3979" spans="1:7">
      <c r="A3979" s="45">
        <v>45688</v>
      </c>
      <c r="B3979" s="14" t="s">
        <v>2</v>
      </c>
      <c r="C3979" s="46">
        <v>12777600</v>
      </c>
      <c r="D3979" s="46">
        <v>11616000</v>
      </c>
      <c r="E3979" s="46">
        <v>1161600</v>
      </c>
      <c r="F3979" s="17" t="s">
        <v>1069</v>
      </c>
      <c r="G3979" s="9">
        <v>45698</v>
      </c>
    </row>
    <row r="3980" spans="1:7">
      <c r="A3980" s="45">
        <v>45688</v>
      </c>
      <c r="B3980" s="14" t="s">
        <v>2</v>
      </c>
      <c r="C3980" s="46">
        <v>14254900</v>
      </c>
      <c r="D3980" s="46">
        <v>12959000</v>
      </c>
      <c r="E3980" s="46">
        <v>1295900</v>
      </c>
      <c r="F3980" s="17" t="s">
        <v>1071</v>
      </c>
      <c r="G3980" s="9">
        <v>45698</v>
      </c>
    </row>
    <row r="3981" spans="1:7">
      <c r="A3981" s="45">
        <v>45688</v>
      </c>
      <c r="B3981" s="14" t="s">
        <v>2</v>
      </c>
      <c r="C3981" s="46">
        <v>31757000</v>
      </c>
      <c r="D3981" s="46">
        <v>28870000</v>
      </c>
      <c r="E3981" s="46">
        <v>2887000</v>
      </c>
      <c r="F3981" s="17" t="s">
        <v>1072</v>
      </c>
      <c r="G3981" s="9">
        <v>45698</v>
      </c>
    </row>
    <row r="3982" spans="1:7">
      <c r="A3982" s="45">
        <v>45688</v>
      </c>
      <c r="B3982" s="14" t="s">
        <v>2</v>
      </c>
      <c r="C3982" s="46">
        <v>221100</v>
      </c>
      <c r="D3982" s="46">
        <v>201000</v>
      </c>
      <c r="E3982" s="46">
        <v>20100</v>
      </c>
      <c r="F3982" s="17" t="s">
        <v>1101</v>
      </c>
      <c r="G3982" s="9">
        <v>45698</v>
      </c>
    </row>
    <row r="3983" spans="1:7">
      <c r="A3983" s="45">
        <v>45688</v>
      </c>
      <c r="B3983" s="14" t="s">
        <v>2</v>
      </c>
      <c r="C3983" s="46">
        <v>1558700</v>
      </c>
      <c r="D3983" s="46">
        <v>1417000</v>
      </c>
      <c r="E3983" s="46">
        <v>141700</v>
      </c>
      <c r="F3983" s="17" t="s">
        <v>1102</v>
      </c>
      <c r="G3983" s="9">
        <v>45698</v>
      </c>
    </row>
    <row r="3984" spans="1:7">
      <c r="A3984" s="45">
        <v>45688</v>
      </c>
      <c r="B3984" s="14" t="s">
        <v>2</v>
      </c>
      <c r="C3984" s="46">
        <v>447700</v>
      </c>
      <c r="D3984" s="46">
        <v>407000</v>
      </c>
      <c r="E3984" s="46">
        <v>40700</v>
      </c>
      <c r="F3984" s="17" t="s">
        <v>1103</v>
      </c>
      <c r="G3984" s="9">
        <v>45698</v>
      </c>
    </row>
    <row r="3985" spans="1:18">
      <c r="A3985" s="45">
        <v>45688</v>
      </c>
      <c r="B3985" s="14" t="s">
        <v>2</v>
      </c>
      <c r="C3985" s="46">
        <v>2211000</v>
      </c>
      <c r="D3985" s="46">
        <v>2010000</v>
      </c>
      <c r="E3985" s="46">
        <v>201000</v>
      </c>
      <c r="F3985" s="17" t="s">
        <v>1104</v>
      </c>
      <c r="G3985" s="9">
        <v>45698</v>
      </c>
    </row>
    <row r="3986" spans="1:18">
      <c r="A3986" s="45">
        <v>45688</v>
      </c>
      <c r="B3986" s="14" t="s">
        <v>1146</v>
      </c>
      <c r="C3986" s="46">
        <v>5923500</v>
      </c>
      <c r="D3986" s="46">
        <v>5385000</v>
      </c>
      <c r="E3986" s="46">
        <v>538500</v>
      </c>
      <c r="F3986" s="17" t="s">
        <v>1082</v>
      </c>
      <c r="G3986" s="9">
        <v>45694</v>
      </c>
    </row>
    <row r="3987" spans="1:18">
      <c r="A3987" s="45">
        <v>45688</v>
      </c>
      <c r="B3987" s="14" t="s">
        <v>1147</v>
      </c>
      <c r="C3987" s="46">
        <v>1244100</v>
      </c>
      <c r="D3987" s="46">
        <v>1131000</v>
      </c>
      <c r="E3987" s="46">
        <v>113100</v>
      </c>
      <c r="F3987" s="17" t="s">
        <v>1148</v>
      </c>
      <c r="G3987" s="9">
        <v>45698</v>
      </c>
    </row>
    <row r="3988" spans="1:18">
      <c r="A3988" s="45">
        <v>45688</v>
      </c>
      <c r="B3988" s="14" t="s">
        <v>717</v>
      </c>
      <c r="C3988" s="46">
        <v>3987500</v>
      </c>
      <c r="D3988" s="46">
        <v>3625000</v>
      </c>
      <c r="E3988" s="46">
        <v>362500</v>
      </c>
      <c r="F3988" s="17" t="s">
        <v>1105</v>
      </c>
      <c r="G3988" s="9">
        <v>45702</v>
      </c>
    </row>
    <row r="3989" spans="1:18">
      <c r="A3989" s="45">
        <v>45688</v>
      </c>
      <c r="B3989" s="14" t="s">
        <v>1149</v>
      </c>
      <c r="C3989" s="46">
        <f>D3989+E3989</f>
        <v>14420560</v>
      </c>
      <c r="D3989" s="46">
        <v>13109600</v>
      </c>
      <c r="E3989" s="46">
        <f>D3989*0.1</f>
        <v>1310960</v>
      </c>
      <c r="F3989" s="17" t="s">
        <v>1070</v>
      </c>
      <c r="G3989" s="233" t="s">
        <v>1160</v>
      </c>
    </row>
    <row r="3990" spans="1:18">
      <c r="A3990" s="45">
        <v>45688</v>
      </c>
      <c r="B3990" s="14" t="s">
        <v>1149</v>
      </c>
      <c r="C3990" s="46">
        <v>3608000</v>
      </c>
      <c r="D3990" s="46">
        <v>3280000</v>
      </c>
      <c r="E3990" s="46">
        <v>328000</v>
      </c>
      <c r="F3990" s="17" t="s">
        <v>1150</v>
      </c>
      <c r="G3990" s="9">
        <v>45705</v>
      </c>
    </row>
    <row r="3991" spans="1:18">
      <c r="A3991" s="45">
        <v>45688</v>
      </c>
      <c r="B3991" s="14" t="s">
        <v>432</v>
      </c>
      <c r="C3991" s="46">
        <v>1375000</v>
      </c>
      <c r="D3991" s="46">
        <v>1250000</v>
      </c>
      <c r="E3991" s="46">
        <v>125000</v>
      </c>
      <c r="F3991" s="17" t="s">
        <v>1151</v>
      </c>
      <c r="G3991" s="9">
        <v>45707</v>
      </c>
    </row>
    <row r="3992" spans="1:18">
      <c r="A3992" s="45">
        <v>45688</v>
      </c>
      <c r="B3992" s="14" t="s">
        <v>432</v>
      </c>
      <c r="C3992" s="46">
        <v>6237000</v>
      </c>
      <c r="D3992" s="46">
        <v>5670000</v>
      </c>
      <c r="E3992" s="46">
        <v>567000</v>
      </c>
      <c r="F3992" s="17" t="s">
        <v>1107</v>
      </c>
      <c r="G3992" s="9">
        <v>45707</v>
      </c>
    </row>
    <row r="3993" spans="1:18">
      <c r="A3993" s="45">
        <v>45688</v>
      </c>
      <c r="B3993" s="230" t="s">
        <v>432</v>
      </c>
      <c r="C3993" s="46">
        <v>3575000</v>
      </c>
      <c r="D3993" s="46">
        <v>3250000</v>
      </c>
      <c r="E3993" s="46">
        <v>325000</v>
      </c>
      <c r="F3993" s="17" t="s">
        <v>1129</v>
      </c>
      <c r="G3993" s="9">
        <v>45707</v>
      </c>
      <c r="L3993" s="230"/>
      <c r="M3993" s="230"/>
      <c r="N3993" s="230"/>
      <c r="O3993" s="230"/>
      <c r="P3993" s="230"/>
      <c r="Q3993" s="230"/>
      <c r="R3993" s="230"/>
    </row>
    <row r="3994" spans="1:18">
      <c r="A3994" s="45">
        <v>45688</v>
      </c>
      <c r="B3994" s="230" t="s">
        <v>432</v>
      </c>
      <c r="C3994" s="46">
        <v>2337500</v>
      </c>
      <c r="D3994" s="46">
        <v>2125000</v>
      </c>
      <c r="E3994" s="46">
        <v>212500</v>
      </c>
      <c r="F3994" s="17" t="s">
        <v>1152</v>
      </c>
      <c r="G3994" s="9">
        <v>45707</v>
      </c>
      <c r="K3994" s="231"/>
    </row>
    <row r="3995" spans="1:18">
      <c r="A3995" s="45">
        <v>45688</v>
      </c>
      <c r="B3995" s="231" t="s">
        <v>432</v>
      </c>
      <c r="C3995" s="46">
        <v>63020980</v>
      </c>
      <c r="D3995" s="46">
        <v>57291800</v>
      </c>
      <c r="E3995" s="46">
        <v>5729180</v>
      </c>
      <c r="F3995" s="17" t="s">
        <v>13</v>
      </c>
      <c r="G3995" s="9">
        <v>45707</v>
      </c>
      <c r="K3995" s="231"/>
      <c r="L3995" s="231"/>
      <c r="M3995" s="231"/>
      <c r="N3995" s="231"/>
      <c r="O3995" s="231"/>
      <c r="P3995" s="231"/>
      <c r="Q3995" s="231"/>
      <c r="R3995" s="231"/>
    </row>
    <row r="3996" spans="1:18">
      <c r="A3996" s="45">
        <v>45688</v>
      </c>
      <c r="B3996" s="231" t="s">
        <v>432</v>
      </c>
      <c r="C3996" s="46">
        <v>36280200</v>
      </c>
      <c r="D3996" s="46">
        <v>32982000</v>
      </c>
      <c r="E3996" s="46">
        <v>3298200</v>
      </c>
      <c r="F3996" s="17" t="s">
        <v>13</v>
      </c>
      <c r="G3996" s="9">
        <v>45707</v>
      </c>
      <c r="L3996" s="231"/>
      <c r="M3996" s="231"/>
      <c r="N3996" s="231"/>
      <c r="O3996" s="231"/>
      <c r="P3996" s="231"/>
      <c r="Q3996" s="231"/>
      <c r="R3996" s="231"/>
    </row>
    <row r="3997" spans="1:18">
      <c r="A3997" s="45">
        <v>45688</v>
      </c>
      <c r="B3997" s="230" t="s">
        <v>1140</v>
      </c>
      <c r="C3997" s="46">
        <v>1925000</v>
      </c>
      <c r="D3997" s="46">
        <v>1750000</v>
      </c>
      <c r="E3997" s="46">
        <v>175000</v>
      </c>
      <c r="F3997" s="17" t="s">
        <v>1128</v>
      </c>
      <c r="G3997" s="9">
        <v>45701</v>
      </c>
    </row>
    <row r="3998" spans="1:18">
      <c r="A3998" s="45">
        <v>45688</v>
      </c>
      <c r="B3998" s="230" t="s">
        <v>730</v>
      </c>
      <c r="C3998" s="46">
        <v>88000</v>
      </c>
      <c r="D3998" s="46">
        <v>80000</v>
      </c>
      <c r="E3998" s="46">
        <v>8000</v>
      </c>
      <c r="F3998" s="17" t="s">
        <v>1108</v>
      </c>
      <c r="G3998" s="9">
        <v>45708</v>
      </c>
    </row>
    <row r="3999" spans="1:18">
      <c r="A3999" s="45">
        <v>45688</v>
      </c>
      <c r="B3999" s="230" t="s">
        <v>1001</v>
      </c>
      <c r="C3999" s="46">
        <v>8811000</v>
      </c>
      <c r="D3999" s="46">
        <v>8010000</v>
      </c>
      <c r="E3999" s="46">
        <v>801000</v>
      </c>
      <c r="F3999" s="17" t="s">
        <v>1110</v>
      </c>
      <c r="G3999" s="9">
        <v>45699</v>
      </c>
    </row>
    <row r="4000" spans="1:18">
      <c r="A4000" s="45">
        <v>45688</v>
      </c>
      <c r="B4000" s="230" t="s">
        <v>805</v>
      </c>
      <c r="C4000" s="46">
        <v>12359600</v>
      </c>
      <c r="D4000" s="46">
        <v>11236000</v>
      </c>
      <c r="E4000" s="46">
        <v>1123600</v>
      </c>
      <c r="F4000" s="17" t="s">
        <v>1086</v>
      </c>
      <c r="G4000" s="9">
        <v>45702</v>
      </c>
    </row>
    <row r="4001" spans="1:19">
      <c r="A4001" s="45">
        <v>45688</v>
      </c>
      <c r="B4001" s="230" t="s">
        <v>749</v>
      </c>
      <c r="C4001" s="46">
        <v>1292621</v>
      </c>
      <c r="D4001" s="46">
        <v>1175110</v>
      </c>
      <c r="E4001" s="46">
        <v>117511</v>
      </c>
      <c r="F4001" s="17" t="s">
        <v>13</v>
      </c>
      <c r="G4001" s="232" t="s">
        <v>1157</v>
      </c>
    </row>
    <row r="4002" spans="1:19">
      <c r="A4002" s="45">
        <v>45688</v>
      </c>
      <c r="B4002" s="230" t="s">
        <v>155</v>
      </c>
      <c r="C4002" s="46">
        <v>572000</v>
      </c>
      <c r="D4002" s="46">
        <v>520000</v>
      </c>
      <c r="E4002" s="46">
        <v>52000</v>
      </c>
      <c r="F4002" s="17" t="s">
        <v>13</v>
      </c>
      <c r="G4002" s="9">
        <v>45705</v>
      </c>
    </row>
    <row r="4003" spans="1:19">
      <c r="A4003" s="45">
        <v>45688</v>
      </c>
      <c r="B4003" s="230" t="s">
        <v>970</v>
      </c>
      <c r="C4003" s="46">
        <v>3934700</v>
      </c>
      <c r="D4003" s="46">
        <v>3577000</v>
      </c>
      <c r="E4003" s="46">
        <v>357700</v>
      </c>
      <c r="F4003" s="17" t="s">
        <v>1177</v>
      </c>
      <c r="G4003" s="9">
        <v>45695</v>
      </c>
      <c r="I4003" s="301" t="s">
        <v>545</v>
      </c>
      <c r="J4003" s="302"/>
      <c r="K4003" s="303"/>
    </row>
    <row r="4004" spans="1:19">
      <c r="A4004" s="45">
        <v>45688</v>
      </c>
      <c r="B4004" s="230" t="s">
        <v>970</v>
      </c>
      <c r="C4004" s="46">
        <v>6875000</v>
      </c>
      <c r="D4004" s="46">
        <v>6250000</v>
      </c>
      <c r="E4004" s="46">
        <v>625000</v>
      </c>
      <c r="F4004" s="17" t="s">
        <v>1176</v>
      </c>
      <c r="G4004" s="9">
        <v>45695</v>
      </c>
      <c r="I4004" s="18" t="s">
        <v>46</v>
      </c>
      <c r="J4004" s="222" t="s">
        <v>47</v>
      </c>
      <c r="K4004" s="222" t="s">
        <v>48</v>
      </c>
    </row>
    <row r="4005" spans="1:19">
      <c r="A4005" s="45">
        <v>45688</v>
      </c>
      <c r="B4005" s="230" t="s">
        <v>970</v>
      </c>
      <c r="C4005" s="46">
        <v>3850000</v>
      </c>
      <c r="D4005" s="46">
        <v>3500000</v>
      </c>
      <c r="E4005" s="46">
        <v>350000</v>
      </c>
      <c r="F4005" s="17" t="s">
        <v>1109</v>
      </c>
      <c r="G4005" s="9">
        <v>45695</v>
      </c>
      <c r="I4005" s="18">
        <f>SUM(C3962:C4009)</f>
        <v>480808439</v>
      </c>
      <c r="J4005" s="18">
        <f>SUM(D3962:D4009)</f>
        <v>440681517</v>
      </c>
      <c r="K4005" s="18">
        <f>SUM(E3962:E4009)</f>
        <v>40126922</v>
      </c>
    </row>
    <row r="4006" spans="1:19">
      <c r="A4006" s="55" t="s">
        <v>1158</v>
      </c>
      <c r="B4006" s="30" t="s">
        <v>749</v>
      </c>
      <c r="C4006" s="120">
        <v>-5225000</v>
      </c>
      <c r="D4006" s="120">
        <v>-4750000</v>
      </c>
      <c r="E4006" s="120">
        <v>-475000</v>
      </c>
      <c r="F4006" s="31" t="s">
        <v>13</v>
      </c>
      <c r="G4006" s="232" t="s">
        <v>1157</v>
      </c>
      <c r="K4006" s="223"/>
    </row>
    <row r="4007" spans="1:19">
      <c r="A4007" s="55" t="s">
        <v>1155</v>
      </c>
      <c r="B4007" s="30" t="s">
        <v>749</v>
      </c>
      <c r="C4007" s="120">
        <v>-1292621</v>
      </c>
      <c r="D4007" s="120">
        <v>-1175110</v>
      </c>
      <c r="E4007" s="120">
        <v>-117511</v>
      </c>
      <c r="F4007" s="31" t="s">
        <v>13</v>
      </c>
      <c r="G4007" s="232" t="s">
        <v>1157</v>
      </c>
      <c r="K4007" s="223"/>
    </row>
    <row r="4008" spans="1:19">
      <c r="A4008" s="55">
        <v>45688</v>
      </c>
      <c r="B4008" s="30" t="s">
        <v>1149</v>
      </c>
      <c r="C4008" s="120">
        <v>-14420560</v>
      </c>
      <c r="D4008" s="120">
        <v>-13109600</v>
      </c>
      <c r="E4008" s="120">
        <v>-1310960</v>
      </c>
      <c r="F4008" s="31" t="s">
        <v>1070</v>
      </c>
      <c r="G4008" s="233" t="s">
        <v>1159</v>
      </c>
      <c r="K4008" s="223"/>
    </row>
    <row r="4009" spans="1:19" s="226" customFormat="1">
      <c r="A4009" s="119">
        <v>45688</v>
      </c>
      <c r="B4009" s="42" t="s">
        <v>1149</v>
      </c>
      <c r="C4009" s="118">
        <v>13595560</v>
      </c>
      <c r="D4009" s="118">
        <v>12359600</v>
      </c>
      <c r="E4009" s="118">
        <v>1235960</v>
      </c>
      <c r="F4009" s="51" t="s">
        <v>1070</v>
      </c>
      <c r="G4009" s="10">
        <v>45716</v>
      </c>
      <c r="H4009" s="51"/>
      <c r="I4009" s="121"/>
      <c r="J4009" s="122">
        <v>1292621</v>
      </c>
      <c r="K4009" s="42" t="s">
        <v>1165</v>
      </c>
      <c r="L4009" s="42"/>
      <c r="M4009" s="42"/>
      <c r="N4009" s="42"/>
      <c r="O4009" s="42"/>
      <c r="P4009" s="42"/>
      <c r="Q4009" s="42"/>
      <c r="R4009" s="42"/>
      <c r="S4009" s="42"/>
    </row>
    <row r="4010" spans="1:19">
      <c r="A4010" s="45">
        <v>45698</v>
      </c>
      <c r="B4010" s="235" t="s">
        <v>2</v>
      </c>
      <c r="C4010" s="46">
        <v>14388000</v>
      </c>
      <c r="D4010" s="46">
        <v>13080000</v>
      </c>
      <c r="E4010" s="46">
        <v>1308000</v>
      </c>
      <c r="F4010" s="17" t="s">
        <v>1072</v>
      </c>
      <c r="G4010" s="9">
        <v>45705</v>
      </c>
      <c r="J4010" s="16">
        <v>5225000</v>
      </c>
      <c r="K4010" s="236" t="s">
        <v>1166</v>
      </c>
    </row>
    <row r="4011" spans="1:19">
      <c r="A4011" s="45">
        <v>45698</v>
      </c>
      <c r="B4011" s="235" t="s">
        <v>2</v>
      </c>
      <c r="C4011" s="46">
        <v>6562600</v>
      </c>
      <c r="D4011" s="251">
        <v>5966000</v>
      </c>
      <c r="E4011" s="46">
        <v>596600</v>
      </c>
      <c r="F4011" s="17" t="s">
        <v>1162</v>
      </c>
      <c r="G4011" s="9">
        <v>45705</v>
      </c>
      <c r="J4011" s="16">
        <f>SUM(J4009:J4010)</f>
        <v>6517621</v>
      </c>
      <c r="K4011" s="236" t="s">
        <v>1167</v>
      </c>
    </row>
    <row r="4012" spans="1:19">
      <c r="A4012" s="45">
        <v>45698</v>
      </c>
      <c r="B4012" s="241" t="s">
        <v>1192</v>
      </c>
      <c r="C4012" s="46">
        <v>56620300</v>
      </c>
      <c r="D4012" s="46">
        <v>51473000</v>
      </c>
      <c r="E4012" s="46">
        <v>5147300</v>
      </c>
      <c r="F4012" s="17" t="s">
        <v>1193</v>
      </c>
      <c r="G4012" s="9" t="s">
        <v>1195</v>
      </c>
      <c r="K4012" s="241"/>
      <c r="L4012" s="241"/>
      <c r="M4012" s="241"/>
      <c r="N4012" s="241"/>
      <c r="O4012" s="241"/>
      <c r="P4012" s="241"/>
      <c r="Q4012" s="241"/>
      <c r="R4012" s="241"/>
    </row>
    <row r="4013" spans="1:19">
      <c r="A4013" s="45">
        <v>45703</v>
      </c>
      <c r="B4013" s="14" t="s">
        <v>1140</v>
      </c>
      <c r="C4013" s="46">
        <v>412500</v>
      </c>
      <c r="D4013" s="46">
        <v>375000</v>
      </c>
      <c r="E4013" s="46">
        <v>37500</v>
      </c>
      <c r="F4013" s="17" t="s">
        <v>1100</v>
      </c>
      <c r="G4013" s="9">
        <v>45709</v>
      </c>
      <c r="J4013" s="16">
        <v>6517600</v>
      </c>
      <c r="K4013" s="236" t="s">
        <v>1168</v>
      </c>
    </row>
    <row r="4014" spans="1:19">
      <c r="A4014" s="45">
        <v>45703</v>
      </c>
      <c r="B4014" s="14" t="s">
        <v>2</v>
      </c>
      <c r="C4014" s="46">
        <v>4812500</v>
      </c>
      <c r="D4014" s="46">
        <v>4375000</v>
      </c>
      <c r="E4014" s="46">
        <v>437500</v>
      </c>
      <c r="F4014" s="17" t="s">
        <v>1068</v>
      </c>
      <c r="G4014" s="9">
        <v>45708</v>
      </c>
      <c r="J4014" s="16">
        <v>6380936</v>
      </c>
      <c r="K4014" s="236" t="s">
        <v>1169</v>
      </c>
    </row>
    <row r="4015" spans="1:19">
      <c r="A4015" s="45">
        <v>45703</v>
      </c>
      <c r="B4015" s="14" t="s">
        <v>2</v>
      </c>
      <c r="C4015" s="46">
        <v>7840800</v>
      </c>
      <c r="D4015" s="46">
        <v>7128000</v>
      </c>
      <c r="E4015" s="46">
        <v>712800</v>
      </c>
      <c r="F4015" s="17" t="s">
        <v>1069</v>
      </c>
      <c r="G4015" s="9">
        <v>45708</v>
      </c>
      <c r="J4015" s="16">
        <f>J4013-J4014</f>
        <v>136664</v>
      </c>
      <c r="K4015" s="236" t="s">
        <v>1173</v>
      </c>
    </row>
    <row r="4016" spans="1:19">
      <c r="A4016" s="45">
        <v>45703</v>
      </c>
      <c r="B4016" s="14" t="s">
        <v>2</v>
      </c>
      <c r="C4016" s="46">
        <v>14383600</v>
      </c>
      <c r="D4016" s="46">
        <v>13076000</v>
      </c>
      <c r="E4016" s="46">
        <v>1307600</v>
      </c>
      <c r="F4016" s="17" t="s">
        <v>1071</v>
      </c>
      <c r="G4016" s="9">
        <v>45708</v>
      </c>
      <c r="J4016" s="16">
        <v>6367696</v>
      </c>
      <c r="K4016" s="236" t="s">
        <v>1170</v>
      </c>
    </row>
    <row r="4017" spans="1:18">
      <c r="A4017" s="45">
        <v>45706</v>
      </c>
      <c r="B4017" s="14" t="s">
        <v>1156</v>
      </c>
      <c r="C4017" s="46">
        <v>337692</v>
      </c>
      <c r="D4017" s="46">
        <v>306993</v>
      </c>
      <c r="E4017" s="46">
        <v>30699</v>
      </c>
      <c r="F4017" s="17" t="s">
        <v>1161</v>
      </c>
      <c r="G4017" s="9">
        <v>45708</v>
      </c>
      <c r="J4017" s="16">
        <f>J4013-J4016</f>
        <v>149904</v>
      </c>
      <c r="K4017" s="236" t="s">
        <v>1171</v>
      </c>
    </row>
    <row r="4018" spans="1:18">
      <c r="A4018" s="45">
        <v>45714</v>
      </c>
      <c r="B4018" s="234" t="s">
        <v>1163</v>
      </c>
      <c r="C4018" s="46">
        <v>2660000</v>
      </c>
      <c r="D4018" s="46">
        <v>2418182</v>
      </c>
      <c r="E4018" s="46">
        <v>241818</v>
      </c>
      <c r="F4018" s="17" t="s">
        <v>1164</v>
      </c>
      <c r="G4018" s="9">
        <v>45715</v>
      </c>
      <c r="J4018" s="16">
        <v>13240</v>
      </c>
      <c r="K4018" s="236" t="s">
        <v>1172</v>
      </c>
    </row>
    <row r="4019" spans="1:18">
      <c r="A4019" s="45">
        <v>45708</v>
      </c>
      <c r="B4019" s="235" t="s">
        <v>2</v>
      </c>
      <c r="C4019" s="46">
        <v>15444000</v>
      </c>
      <c r="D4019" s="46">
        <v>14040000</v>
      </c>
      <c r="E4019" s="46">
        <v>1404000</v>
      </c>
      <c r="F4019" s="17" t="s">
        <v>1072</v>
      </c>
      <c r="G4019" s="9">
        <v>45723</v>
      </c>
      <c r="K4019" s="223"/>
    </row>
    <row r="4020" spans="1:18">
      <c r="A4020" s="45" t="s">
        <v>1194</v>
      </c>
      <c r="B4020" s="241" t="s">
        <v>1192</v>
      </c>
      <c r="C4020" s="46">
        <v>57935900</v>
      </c>
      <c r="D4020" s="46">
        <v>52669000</v>
      </c>
      <c r="E4020" s="46">
        <v>5266900</v>
      </c>
      <c r="F4020" s="17" t="s">
        <v>1193</v>
      </c>
      <c r="G4020" s="9" t="s">
        <v>1195</v>
      </c>
      <c r="K4020" s="241"/>
      <c r="L4020" s="241"/>
      <c r="M4020" s="241"/>
      <c r="N4020" s="241"/>
      <c r="O4020" s="241"/>
      <c r="P4020" s="241"/>
      <c r="Q4020" s="241"/>
      <c r="R4020" s="241"/>
    </row>
    <row r="4021" spans="1:18">
      <c r="A4021" s="45">
        <v>45709</v>
      </c>
      <c r="B4021" s="235" t="s">
        <v>902</v>
      </c>
      <c r="C4021" s="46">
        <v>4843630</v>
      </c>
      <c r="D4021" s="46">
        <v>4843630</v>
      </c>
      <c r="E4021" s="46">
        <v>0</v>
      </c>
      <c r="F4021" s="17" t="s">
        <v>1005</v>
      </c>
      <c r="G4021" s="9">
        <v>45716</v>
      </c>
      <c r="K4021" s="223"/>
    </row>
    <row r="4022" spans="1:18">
      <c r="A4022" s="45">
        <v>45712</v>
      </c>
      <c r="B4022" s="235" t="s">
        <v>769</v>
      </c>
      <c r="C4022" s="46">
        <v>47462800</v>
      </c>
      <c r="D4022" s="46">
        <v>43148000</v>
      </c>
      <c r="E4022" s="46">
        <v>4314800</v>
      </c>
      <c r="F4022" s="17" t="s">
        <v>1096</v>
      </c>
      <c r="G4022" s="9">
        <v>45726</v>
      </c>
      <c r="K4022" s="223"/>
    </row>
    <row r="4023" spans="1:18">
      <c r="A4023" s="45">
        <v>45712</v>
      </c>
      <c r="B4023" s="235" t="s">
        <v>769</v>
      </c>
      <c r="C4023" s="46">
        <v>3293400</v>
      </c>
      <c r="D4023" s="46">
        <v>2994000</v>
      </c>
      <c r="E4023" s="46">
        <v>299400</v>
      </c>
      <c r="F4023" s="17" t="s">
        <v>1097</v>
      </c>
      <c r="G4023" s="9">
        <v>45726</v>
      </c>
      <c r="K4023" s="223"/>
    </row>
    <row r="4024" spans="1:18">
      <c r="A4024" s="45">
        <v>45712</v>
      </c>
      <c r="B4024" s="235" t="s">
        <v>769</v>
      </c>
      <c r="C4024" s="46">
        <v>23981100</v>
      </c>
      <c r="D4024" s="46">
        <v>21801000</v>
      </c>
      <c r="E4024" s="46">
        <v>2180100</v>
      </c>
      <c r="F4024" s="17" t="s">
        <v>1098</v>
      </c>
      <c r="G4024" s="9">
        <v>45726</v>
      </c>
      <c r="K4024" s="223"/>
    </row>
    <row r="4025" spans="1:18">
      <c r="A4025" s="45">
        <v>45712</v>
      </c>
      <c r="B4025" s="235" t="s">
        <v>769</v>
      </c>
      <c r="C4025" s="46">
        <v>11438900</v>
      </c>
      <c r="D4025" s="46">
        <v>10399000</v>
      </c>
      <c r="E4025" s="46">
        <v>1039900</v>
      </c>
      <c r="F4025" s="17" t="s">
        <v>1099</v>
      </c>
      <c r="G4025" s="9">
        <v>45726</v>
      </c>
      <c r="K4025" s="223"/>
    </row>
    <row r="4026" spans="1:18">
      <c r="A4026" s="45">
        <v>45712</v>
      </c>
      <c r="B4026" s="235" t="s">
        <v>769</v>
      </c>
      <c r="C4026" s="46">
        <v>9908360</v>
      </c>
      <c r="D4026" s="46">
        <v>9007600</v>
      </c>
      <c r="E4026" s="46">
        <v>900760</v>
      </c>
      <c r="F4026" s="17" t="s">
        <v>801</v>
      </c>
      <c r="G4026" s="9">
        <v>45726</v>
      </c>
      <c r="K4026" s="223"/>
    </row>
    <row r="4027" spans="1:18">
      <c r="A4027" s="45">
        <v>45716</v>
      </c>
      <c r="B4027" s="235" t="s">
        <v>958</v>
      </c>
      <c r="C4027" s="46">
        <v>8895770</v>
      </c>
      <c r="D4027" s="46">
        <v>8895770</v>
      </c>
      <c r="E4027" s="46">
        <v>0</v>
      </c>
      <c r="F4027" s="17" t="s">
        <v>1008</v>
      </c>
      <c r="G4027" s="9">
        <v>45726</v>
      </c>
      <c r="K4027" s="223"/>
    </row>
    <row r="4028" spans="1:18">
      <c r="A4028" s="45">
        <v>45716</v>
      </c>
      <c r="B4028" s="235" t="s">
        <v>1185</v>
      </c>
      <c r="C4028" s="46">
        <v>1244100</v>
      </c>
      <c r="D4028" s="46">
        <v>1131000</v>
      </c>
      <c r="E4028" s="46">
        <v>113100</v>
      </c>
      <c r="F4028" s="17" t="s">
        <v>1148</v>
      </c>
      <c r="G4028" s="9">
        <v>45726</v>
      </c>
      <c r="K4028" s="223"/>
    </row>
    <row r="4029" spans="1:18">
      <c r="A4029" s="45">
        <v>45716</v>
      </c>
      <c r="B4029" s="235" t="s">
        <v>2</v>
      </c>
      <c r="C4029" s="46">
        <v>137500</v>
      </c>
      <c r="D4029" s="46">
        <v>125000</v>
      </c>
      <c r="E4029" s="46">
        <v>12500</v>
      </c>
      <c r="F4029" s="17" t="s">
        <v>1145</v>
      </c>
      <c r="G4029" s="9">
        <v>45726</v>
      </c>
      <c r="K4029" s="223"/>
    </row>
    <row r="4030" spans="1:18">
      <c r="A4030" s="45">
        <v>45716</v>
      </c>
      <c r="B4030" s="235" t="s">
        <v>2</v>
      </c>
      <c r="C4030" s="46">
        <v>6325000</v>
      </c>
      <c r="D4030" s="46">
        <v>5750000</v>
      </c>
      <c r="E4030" s="46">
        <v>575000</v>
      </c>
      <c r="F4030" s="17" t="s">
        <v>1068</v>
      </c>
      <c r="G4030" s="9">
        <v>45726</v>
      </c>
      <c r="K4030" s="223"/>
    </row>
    <row r="4031" spans="1:18">
      <c r="A4031" s="45">
        <v>45716</v>
      </c>
      <c r="B4031" s="14" t="s">
        <v>2</v>
      </c>
      <c r="C4031" s="46">
        <v>7260000</v>
      </c>
      <c r="D4031" s="46">
        <v>6600000</v>
      </c>
      <c r="E4031" s="46">
        <v>660000</v>
      </c>
      <c r="F4031" s="17" t="s">
        <v>1069</v>
      </c>
      <c r="G4031" s="9">
        <v>45726</v>
      </c>
      <c r="K4031" s="223"/>
    </row>
    <row r="4032" spans="1:18">
      <c r="A4032" s="45">
        <v>45716</v>
      </c>
      <c r="B4032" s="14" t="s">
        <v>2</v>
      </c>
      <c r="C4032" s="46">
        <v>12357400</v>
      </c>
      <c r="D4032" s="46">
        <v>11234000</v>
      </c>
      <c r="E4032" s="46">
        <v>1123400</v>
      </c>
      <c r="F4032" s="17" t="s">
        <v>1071</v>
      </c>
      <c r="G4032" s="9">
        <v>45726</v>
      </c>
      <c r="K4032" s="223"/>
    </row>
    <row r="4033" spans="1:18">
      <c r="A4033" s="45">
        <v>45716</v>
      </c>
      <c r="B4033" s="14" t="s">
        <v>2</v>
      </c>
      <c r="C4033" s="46">
        <v>17820000</v>
      </c>
      <c r="D4033" s="46">
        <v>16200000</v>
      </c>
      <c r="E4033" s="46">
        <v>1620000</v>
      </c>
      <c r="F4033" s="17" t="s">
        <v>1072</v>
      </c>
      <c r="G4033" s="9">
        <v>45723</v>
      </c>
      <c r="K4033" s="223"/>
    </row>
    <row r="4034" spans="1:18">
      <c r="A4034" s="45">
        <v>45716</v>
      </c>
      <c r="B4034" s="14" t="s">
        <v>2</v>
      </c>
      <c r="C4034" s="46">
        <v>5912500</v>
      </c>
      <c r="D4034" s="46">
        <v>5375000</v>
      </c>
      <c r="E4034" s="46">
        <v>537500</v>
      </c>
      <c r="F4034" s="17" t="s">
        <v>1178</v>
      </c>
      <c r="G4034" s="9">
        <v>45726</v>
      </c>
      <c r="K4034" s="223"/>
    </row>
    <row r="4035" spans="1:18">
      <c r="A4035" s="45">
        <v>45716</v>
      </c>
      <c r="B4035" s="14" t="s">
        <v>2</v>
      </c>
      <c r="C4035" s="46">
        <v>380600</v>
      </c>
      <c r="D4035" s="46">
        <v>346000</v>
      </c>
      <c r="E4035" s="46">
        <v>34600</v>
      </c>
      <c r="F4035" s="17" t="s">
        <v>1179</v>
      </c>
      <c r="G4035" s="9">
        <v>45726</v>
      </c>
      <c r="K4035" s="223"/>
    </row>
    <row r="4036" spans="1:18">
      <c r="A4036" s="45">
        <v>45716</v>
      </c>
      <c r="B4036" s="14" t="s">
        <v>2</v>
      </c>
      <c r="C4036" s="46">
        <v>1421200</v>
      </c>
      <c r="D4036" s="46">
        <v>1292000</v>
      </c>
      <c r="E4036" s="46">
        <v>129200</v>
      </c>
      <c r="F4036" s="17" t="s">
        <v>1180</v>
      </c>
      <c r="G4036" s="9">
        <v>45726</v>
      </c>
      <c r="K4036" s="223"/>
    </row>
    <row r="4037" spans="1:18">
      <c r="A4037" s="45">
        <v>45716</v>
      </c>
      <c r="B4037" s="14" t="s">
        <v>2</v>
      </c>
      <c r="C4037" s="46">
        <v>728200</v>
      </c>
      <c r="D4037" s="46">
        <v>662000</v>
      </c>
      <c r="E4037" s="46">
        <v>66200</v>
      </c>
      <c r="F4037" s="17" t="s">
        <v>1103</v>
      </c>
      <c r="G4037" s="9">
        <v>45726</v>
      </c>
      <c r="K4037" s="223"/>
    </row>
    <row r="4038" spans="1:18">
      <c r="A4038" s="45">
        <v>45716</v>
      </c>
      <c r="B4038" s="14" t="s">
        <v>2</v>
      </c>
      <c r="C4038" s="46">
        <v>3263700</v>
      </c>
      <c r="D4038" s="46">
        <v>2967000</v>
      </c>
      <c r="E4038" s="46">
        <v>296700</v>
      </c>
      <c r="F4038" s="17" t="s">
        <v>1104</v>
      </c>
      <c r="G4038" s="9">
        <v>45726</v>
      </c>
      <c r="K4038" s="223"/>
    </row>
    <row r="4039" spans="1:18">
      <c r="A4039" s="45" t="s">
        <v>1175</v>
      </c>
      <c r="B4039" s="241" t="s">
        <v>1192</v>
      </c>
      <c r="C4039" s="46">
        <v>56359600</v>
      </c>
      <c r="D4039" s="46">
        <v>51236000</v>
      </c>
      <c r="E4039" s="46">
        <v>5123600</v>
      </c>
      <c r="F4039" s="17" t="s">
        <v>1193</v>
      </c>
      <c r="G4039" s="9" t="s">
        <v>1195</v>
      </c>
      <c r="K4039" s="241"/>
      <c r="L4039" s="241"/>
      <c r="M4039" s="241"/>
      <c r="N4039" s="241"/>
      <c r="O4039" s="241"/>
      <c r="P4039" s="241"/>
      <c r="Q4039" s="241"/>
      <c r="R4039" s="241"/>
    </row>
    <row r="4040" spans="1:18">
      <c r="A4040" s="45">
        <v>45716</v>
      </c>
      <c r="B4040" s="14" t="s">
        <v>1149</v>
      </c>
      <c r="C4040" s="46">
        <v>2475000</v>
      </c>
      <c r="D4040" s="46">
        <v>2250000</v>
      </c>
      <c r="E4040" s="46">
        <v>225000</v>
      </c>
      <c r="F4040" s="17" t="s">
        <v>1181</v>
      </c>
      <c r="G4040" s="9">
        <v>45734</v>
      </c>
      <c r="K4040" s="223"/>
    </row>
    <row r="4041" spans="1:18">
      <c r="A4041" s="45">
        <v>45716</v>
      </c>
      <c r="B4041" s="14" t="s">
        <v>1149</v>
      </c>
      <c r="C4041" s="46">
        <v>275000</v>
      </c>
      <c r="D4041" s="46">
        <v>250000</v>
      </c>
      <c r="E4041" s="46">
        <v>25000</v>
      </c>
      <c r="F4041" s="17" t="s">
        <v>1182</v>
      </c>
      <c r="G4041" s="9">
        <v>45740</v>
      </c>
      <c r="K4041" s="223"/>
    </row>
    <row r="4042" spans="1:18">
      <c r="A4042" s="45">
        <v>45716</v>
      </c>
      <c r="B4042" s="14" t="s">
        <v>1149</v>
      </c>
      <c r="C4042" s="46">
        <v>8749400</v>
      </c>
      <c r="D4042" s="46">
        <v>7954000</v>
      </c>
      <c r="E4042" s="46">
        <v>795400</v>
      </c>
      <c r="F4042" s="17" t="s">
        <v>1070</v>
      </c>
      <c r="G4042" s="9">
        <v>45740</v>
      </c>
      <c r="K4042" s="223"/>
    </row>
    <row r="4043" spans="1:18">
      <c r="A4043" s="45">
        <v>45716</v>
      </c>
      <c r="B4043" s="14" t="s">
        <v>717</v>
      </c>
      <c r="C4043" s="46">
        <v>1650000</v>
      </c>
      <c r="D4043" s="46">
        <v>1500000</v>
      </c>
      <c r="E4043" s="46">
        <v>150000</v>
      </c>
      <c r="F4043" s="17" t="s">
        <v>1105</v>
      </c>
      <c r="G4043" s="9">
        <v>45730</v>
      </c>
      <c r="K4043" s="223"/>
    </row>
    <row r="4044" spans="1:18">
      <c r="A4044" s="45">
        <v>45716</v>
      </c>
      <c r="B4044" s="239" t="s">
        <v>432</v>
      </c>
      <c r="C4044" s="46">
        <v>5362500</v>
      </c>
      <c r="D4044" s="46">
        <v>4875000</v>
      </c>
      <c r="E4044" s="46">
        <v>487500</v>
      </c>
      <c r="F4044" s="17" t="s">
        <v>1151</v>
      </c>
      <c r="G4044" s="9">
        <v>45735</v>
      </c>
      <c r="K4044" s="223"/>
    </row>
    <row r="4045" spans="1:18">
      <c r="A4045" s="45">
        <v>45716</v>
      </c>
      <c r="B4045" s="239" t="s">
        <v>432</v>
      </c>
      <c r="C4045" s="46">
        <v>1848000</v>
      </c>
      <c r="D4045" s="46">
        <v>1680000</v>
      </c>
      <c r="E4045" s="46">
        <v>168000</v>
      </c>
      <c r="F4045" s="17" t="s">
        <v>1183</v>
      </c>
      <c r="G4045" s="9">
        <v>45735</v>
      </c>
      <c r="K4045" s="223"/>
    </row>
    <row r="4046" spans="1:18">
      <c r="A4046" s="45">
        <v>45716</v>
      </c>
      <c r="B4046" s="239" t="s">
        <v>432</v>
      </c>
      <c r="C4046" s="46">
        <v>336600</v>
      </c>
      <c r="D4046" s="46">
        <v>306000</v>
      </c>
      <c r="E4046" s="46">
        <v>30600</v>
      </c>
      <c r="F4046" s="17" t="s">
        <v>1184</v>
      </c>
      <c r="G4046" s="9">
        <v>45728</v>
      </c>
      <c r="K4046" s="223"/>
    </row>
    <row r="4047" spans="1:18">
      <c r="A4047" s="45">
        <v>45716</v>
      </c>
      <c r="B4047" s="239" t="s">
        <v>432</v>
      </c>
      <c r="C4047" s="46">
        <v>3025000</v>
      </c>
      <c r="D4047" s="46">
        <v>2750000</v>
      </c>
      <c r="E4047" s="46">
        <v>275000</v>
      </c>
      <c r="F4047" s="17" t="s">
        <v>1129</v>
      </c>
      <c r="G4047" s="9">
        <v>45735</v>
      </c>
      <c r="K4047" s="223"/>
    </row>
    <row r="4048" spans="1:18">
      <c r="A4048" s="45">
        <v>45716</v>
      </c>
      <c r="B4048" s="239" t="s">
        <v>432</v>
      </c>
      <c r="C4048" s="46">
        <v>2475000</v>
      </c>
      <c r="D4048" s="46">
        <v>2250000</v>
      </c>
      <c r="E4048" s="46">
        <v>225000</v>
      </c>
      <c r="F4048" s="17" t="s">
        <v>1152</v>
      </c>
      <c r="G4048" s="9">
        <v>45735</v>
      </c>
      <c r="K4048" s="223"/>
    </row>
    <row r="4049" spans="1:19">
      <c r="A4049" s="45" t="s">
        <v>1175</v>
      </c>
      <c r="B4049" s="240" t="s">
        <v>432</v>
      </c>
      <c r="C4049" s="46">
        <v>48467540</v>
      </c>
      <c r="D4049" s="46">
        <v>44061400</v>
      </c>
      <c r="E4049" s="46">
        <v>4406140</v>
      </c>
      <c r="F4049" s="17" t="s">
        <v>13</v>
      </c>
      <c r="G4049" s="9">
        <v>45730</v>
      </c>
      <c r="K4049" s="240"/>
      <c r="L4049" s="240"/>
      <c r="M4049" s="240"/>
      <c r="N4049" s="240"/>
      <c r="O4049" s="240"/>
      <c r="P4049" s="240"/>
      <c r="Q4049" s="240"/>
      <c r="R4049" s="240"/>
    </row>
    <row r="4050" spans="1:19">
      <c r="A4050" s="45" t="s">
        <v>1175</v>
      </c>
      <c r="B4050" s="240" t="s">
        <v>432</v>
      </c>
      <c r="C4050" s="46">
        <v>36735600</v>
      </c>
      <c r="D4050" s="46">
        <v>33396000</v>
      </c>
      <c r="E4050" s="46">
        <v>3339600</v>
      </c>
      <c r="F4050" s="17" t="s">
        <v>1191</v>
      </c>
      <c r="G4050" s="9">
        <v>45730</v>
      </c>
      <c r="K4050" s="240"/>
      <c r="L4050" s="240"/>
      <c r="M4050" s="240"/>
      <c r="N4050" s="240"/>
      <c r="O4050" s="240"/>
      <c r="P4050" s="240"/>
      <c r="Q4050" s="240"/>
      <c r="R4050" s="240"/>
    </row>
    <row r="4051" spans="1:19">
      <c r="A4051" s="45">
        <v>45716</v>
      </c>
      <c r="B4051" s="239" t="s">
        <v>1146</v>
      </c>
      <c r="C4051" s="46">
        <v>4812500</v>
      </c>
      <c r="D4051" s="46">
        <v>4375000</v>
      </c>
      <c r="E4051" s="46">
        <v>437500</v>
      </c>
      <c r="F4051" s="17" t="s">
        <v>1082</v>
      </c>
      <c r="G4051" s="9">
        <v>45721</v>
      </c>
      <c r="K4051" s="223"/>
    </row>
    <row r="4052" spans="1:19">
      <c r="A4052" s="45">
        <v>45716</v>
      </c>
      <c r="B4052" s="239" t="s">
        <v>1001</v>
      </c>
      <c r="C4052" s="46">
        <v>6468000</v>
      </c>
      <c r="D4052" s="46">
        <v>5880000</v>
      </c>
      <c r="E4052" s="46">
        <v>588000</v>
      </c>
      <c r="F4052" s="17" t="s">
        <v>1110</v>
      </c>
      <c r="G4052" s="9">
        <v>45722</v>
      </c>
      <c r="K4052" s="223"/>
    </row>
    <row r="4053" spans="1:19">
      <c r="A4053" s="45">
        <v>45716</v>
      </c>
      <c r="B4053" s="239" t="s">
        <v>805</v>
      </c>
      <c r="C4053" s="46">
        <v>10189300</v>
      </c>
      <c r="D4053" s="46">
        <v>9263000</v>
      </c>
      <c r="E4053" s="46">
        <v>926300</v>
      </c>
      <c r="F4053" s="17" t="s">
        <v>1086</v>
      </c>
      <c r="G4053" s="9">
        <v>45730</v>
      </c>
      <c r="I4053" s="301" t="s">
        <v>259</v>
      </c>
      <c r="J4053" s="302"/>
      <c r="K4053" s="303"/>
    </row>
    <row r="4054" spans="1:19">
      <c r="A4054" s="45">
        <v>45716</v>
      </c>
      <c r="B4054" s="239" t="s">
        <v>970</v>
      </c>
      <c r="C4054" s="46">
        <v>957000</v>
      </c>
      <c r="D4054" s="46">
        <v>870000</v>
      </c>
      <c r="E4054" s="46">
        <v>87000</v>
      </c>
      <c r="F4054" s="17" t="s">
        <v>1201</v>
      </c>
      <c r="G4054" s="9">
        <v>45723</v>
      </c>
      <c r="I4054" s="18" t="s">
        <v>46</v>
      </c>
      <c r="J4054" s="222" t="s">
        <v>47</v>
      </c>
      <c r="K4054" s="222" t="s">
        <v>48</v>
      </c>
    </row>
    <row r="4055" spans="1:19" s="226" customFormat="1">
      <c r="A4055" s="119">
        <v>45716</v>
      </c>
      <c r="B4055" s="42" t="s">
        <v>970</v>
      </c>
      <c r="C4055" s="118">
        <v>4125000</v>
      </c>
      <c r="D4055" s="118">
        <v>3750000</v>
      </c>
      <c r="E4055" s="118">
        <v>375000</v>
      </c>
      <c r="F4055" s="51" t="s">
        <v>1200</v>
      </c>
      <c r="G4055" s="10">
        <v>45723</v>
      </c>
      <c r="H4055" s="51"/>
      <c r="I4055" s="18">
        <f>SUM(C4010:C4055)</f>
        <v>542383092</v>
      </c>
      <c r="J4055" s="18">
        <f>SUM(D4010:D4055)</f>
        <v>494324575</v>
      </c>
      <c r="K4055" s="18">
        <f>SUM(E4010:E4055)</f>
        <v>48058517</v>
      </c>
      <c r="L4055" s="42"/>
      <c r="M4055" s="42"/>
      <c r="N4055" s="42"/>
      <c r="O4055" s="42"/>
      <c r="P4055" s="42"/>
      <c r="Q4055" s="42"/>
      <c r="R4055" s="42"/>
      <c r="S4055" s="42"/>
    </row>
    <row r="4056" spans="1:19">
      <c r="A4056" s="45">
        <v>45722</v>
      </c>
      <c r="B4056" s="239" t="s">
        <v>1186</v>
      </c>
      <c r="C4056" s="46">
        <v>1837000</v>
      </c>
      <c r="D4056" s="46">
        <v>1670000</v>
      </c>
      <c r="E4056" s="46">
        <v>167000</v>
      </c>
      <c r="F4056" s="17" t="s">
        <v>1187</v>
      </c>
      <c r="G4056" s="9">
        <v>45765</v>
      </c>
      <c r="K4056" s="223"/>
    </row>
    <row r="4057" spans="1:19">
      <c r="A4057" s="45">
        <v>45723</v>
      </c>
      <c r="B4057" s="239" t="s">
        <v>1188</v>
      </c>
      <c r="C4057" s="46">
        <v>1056000</v>
      </c>
      <c r="D4057" s="46">
        <v>960000</v>
      </c>
      <c r="E4057" s="46">
        <v>96000</v>
      </c>
      <c r="F4057" s="17" t="s">
        <v>1189</v>
      </c>
      <c r="G4057" s="9">
        <v>45726</v>
      </c>
      <c r="K4057" s="223"/>
    </row>
    <row r="4058" spans="1:19">
      <c r="A4058" s="45">
        <v>45727</v>
      </c>
      <c r="B4058" s="238" t="s">
        <v>1163</v>
      </c>
      <c r="C4058" s="46">
        <v>1794000</v>
      </c>
      <c r="D4058" s="46">
        <v>1630909</v>
      </c>
      <c r="E4058" s="46">
        <v>163091</v>
      </c>
      <c r="F4058" s="17" t="s">
        <v>1190</v>
      </c>
      <c r="G4058" s="9">
        <v>45729</v>
      </c>
      <c r="K4058" s="223"/>
    </row>
    <row r="4059" spans="1:19">
      <c r="A4059" s="45">
        <v>45726</v>
      </c>
      <c r="B4059" s="238" t="s">
        <v>2</v>
      </c>
      <c r="C4059" s="46">
        <v>9405000</v>
      </c>
      <c r="D4059" s="46">
        <v>8550000</v>
      </c>
      <c r="E4059" s="46">
        <v>855000</v>
      </c>
      <c r="F4059" s="17" t="s">
        <v>1072</v>
      </c>
      <c r="G4059" s="9">
        <v>45736</v>
      </c>
      <c r="K4059" s="223"/>
    </row>
    <row r="4060" spans="1:19">
      <c r="A4060" s="45">
        <v>45731</v>
      </c>
      <c r="B4060" s="14" t="s">
        <v>2</v>
      </c>
      <c r="C4060" s="46">
        <v>12512500</v>
      </c>
      <c r="D4060" s="46">
        <v>11375000</v>
      </c>
      <c r="E4060" s="46">
        <v>1137500</v>
      </c>
      <c r="F4060" s="17" t="s">
        <v>1068</v>
      </c>
      <c r="G4060" s="9">
        <v>45736</v>
      </c>
      <c r="K4060" s="223"/>
    </row>
    <row r="4061" spans="1:19">
      <c r="A4061" s="45">
        <v>45731</v>
      </c>
      <c r="B4061" s="14" t="s">
        <v>2</v>
      </c>
      <c r="C4061" s="46">
        <v>11884400</v>
      </c>
      <c r="D4061" s="46">
        <v>10804000</v>
      </c>
      <c r="E4061" s="46">
        <v>1080400</v>
      </c>
      <c r="F4061" s="17" t="s">
        <v>1069</v>
      </c>
      <c r="G4061" s="9">
        <v>45737</v>
      </c>
      <c r="K4061" s="223"/>
    </row>
    <row r="4062" spans="1:19">
      <c r="A4062" s="45">
        <v>45731</v>
      </c>
      <c r="B4062" s="14" t="s">
        <v>2</v>
      </c>
      <c r="C4062" s="46">
        <v>14372600</v>
      </c>
      <c r="D4062" s="46">
        <v>13066000</v>
      </c>
      <c r="E4062" s="46">
        <v>1306600</v>
      </c>
      <c r="F4062" s="17" t="s">
        <v>1071</v>
      </c>
      <c r="G4062" s="9">
        <v>45736</v>
      </c>
      <c r="K4062" s="223"/>
    </row>
    <row r="4063" spans="1:19">
      <c r="A4063" s="45">
        <v>45733</v>
      </c>
      <c r="B4063" s="242" t="s">
        <v>1156</v>
      </c>
      <c r="C4063" s="46">
        <f>D4063+E4063</f>
        <v>420835</v>
      </c>
      <c r="D4063" s="46">
        <v>382577</v>
      </c>
      <c r="E4063" s="46">
        <v>38258</v>
      </c>
      <c r="F4063" s="17" t="s">
        <v>1161</v>
      </c>
      <c r="G4063" s="244" t="s">
        <v>1198</v>
      </c>
      <c r="K4063" s="223"/>
    </row>
    <row r="4064" spans="1:19">
      <c r="A4064" s="45">
        <v>45732</v>
      </c>
      <c r="B4064" s="14" t="s">
        <v>1196</v>
      </c>
      <c r="C4064" s="46">
        <v>374000</v>
      </c>
      <c r="D4064" s="46">
        <v>340000</v>
      </c>
      <c r="E4064" s="46">
        <v>34000</v>
      </c>
      <c r="F4064" s="17" t="s">
        <v>1197</v>
      </c>
      <c r="G4064" s="9">
        <v>45749</v>
      </c>
      <c r="K4064" s="223"/>
    </row>
    <row r="4065" spans="1:11">
      <c r="A4065" s="45">
        <v>45736</v>
      </c>
      <c r="B4065" s="14" t="s">
        <v>902</v>
      </c>
      <c r="C4065" s="46">
        <v>4840660</v>
      </c>
      <c r="D4065" s="46">
        <v>4840660</v>
      </c>
      <c r="E4065" s="46">
        <v>0</v>
      </c>
      <c r="F4065" s="17" t="s">
        <v>1011</v>
      </c>
      <c r="G4065" s="9">
        <v>45747</v>
      </c>
      <c r="K4065" s="223"/>
    </row>
    <row r="4066" spans="1:11">
      <c r="A4066" s="45">
        <v>45736</v>
      </c>
      <c r="B4066" s="243" t="s">
        <v>2</v>
      </c>
      <c r="C4066" s="46">
        <v>5016000</v>
      </c>
      <c r="D4066" s="46">
        <v>4560000</v>
      </c>
      <c r="E4066" s="46">
        <v>456000</v>
      </c>
      <c r="F4066" s="17" t="s">
        <v>1072</v>
      </c>
      <c r="G4066" s="9">
        <v>45747</v>
      </c>
      <c r="K4066" s="223"/>
    </row>
    <row r="4067" spans="1:11">
      <c r="A4067" s="45">
        <v>45740</v>
      </c>
      <c r="B4067" s="14" t="s">
        <v>769</v>
      </c>
      <c r="C4067" s="46">
        <v>50853000</v>
      </c>
      <c r="D4067" s="46">
        <v>46230000</v>
      </c>
      <c r="E4067" s="46">
        <v>4623000</v>
      </c>
      <c r="F4067" s="17" t="s">
        <v>1096</v>
      </c>
      <c r="G4067" s="9">
        <v>45757</v>
      </c>
      <c r="K4067" s="223"/>
    </row>
    <row r="4068" spans="1:11">
      <c r="A4068" s="45">
        <v>45740</v>
      </c>
      <c r="B4068" s="14" t="s">
        <v>769</v>
      </c>
      <c r="C4068" s="46">
        <v>2618000</v>
      </c>
      <c r="D4068" s="46">
        <v>2380000</v>
      </c>
      <c r="E4068" s="46">
        <v>238000</v>
      </c>
      <c r="F4068" s="17" t="s">
        <v>1097</v>
      </c>
      <c r="G4068" s="9">
        <v>45757</v>
      </c>
      <c r="K4068" s="223"/>
    </row>
    <row r="4069" spans="1:11">
      <c r="A4069" s="45">
        <v>45740</v>
      </c>
      <c r="B4069" s="14" t="s">
        <v>769</v>
      </c>
      <c r="C4069" s="46">
        <v>22987800</v>
      </c>
      <c r="D4069" s="46">
        <v>20898000</v>
      </c>
      <c r="E4069" s="46">
        <v>2089800</v>
      </c>
      <c r="F4069" s="17" t="s">
        <v>1098</v>
      </c>
      <c r="G4069" s="9">
        <v>45757</v>
      </c>
      <c r="K4069" s="223"/>
    </row>
    <row r="4070" spans="1:11">
      <c r="A4070" s="45">
        <v>45740</v>
      </c>
      <c r="B4070" s="14" t="s">
        <v>769</v>
      </c>
      <c r="C4070" s="46">
        <v>10871300</v>
      </c>
      <c r="D4070" s="46">
        <v>9883000</v>
      </c>
      <c r="E4070" s="46">
        <v>988300</v>
      </c>
      <c r="F4070" s="17" t="s">
        <v>1099</v>
      </c>
      <c r="G4070" s="9">
        <v>45757</v>
      </c>
      <c r="K4070" s="223"/>
    </row>
    <row r="4071" spans="1:11">
      <c r="A4071" s="45">
        <v>45740</v>
      </c>
      <c r="B4071" s="14" t="s">
        <v>769</v>
      </c>
      <c r="C4071" s="46">
        <v>11006270</v>
      </c>
      <c r="D4071" s="46">
        <v>10005700</v>
      </c>
      <c r="E4071" s="46">
        <v>1000570</v>
      </c>
      <c r="F4071" s="17" t="s">
        <v>794</v>
      </c>
      <c r="G4071" s="9">
        <v>45757</v>
      </c>
      <c r="K4071" s="223"/>
    </row>
    <row r="4072" spans="1:11">
      <c r="A4072" s="45">
        <v>45747</v>
      </c>
      <c r="B4072" s="245" t="s">
        <v>1147</v>
      </c>
      <c r="C4072" s="46">
        <f>D4072+E4072</f>
        <v>669900</v>
      </c>
      <c r="D4072" s="46">
        <v>609000</v>
      </c>
      <c r="E4072" s="46">
        <v>60900</v>
      </c>
      <c r="F4072" s="17" t="s">
        <v>1148</v>
      </c>
      <c r="G4072" s="9">
        <v>45757</v>
      </c>
      <c r="K4072" s="223"/>
    </row>
    <row r="4073" spans="1:11">
      <c r="A4073" s="45">
        <v>45747</v>
      </c>
      <c r="B4073" s="246" t="s">
        <v>2</v>
      </c>
      <c r="C4073" s="46">
        <v>687500</v>
      </c>
      <c r="D4073" s="46">
        <v>625000</v>
      </c>
      <c r="E4073" s="46">
        <v>62500</v>
      </c>
      <c r="F4073" s="17" t="s">
        <v>1203</v>
      </c>
      <c r="G4073" s="9">
        <v>45757</v>
      </c>
      <c r="K4073" s="223"/>
    </row>
    <row r="4074" spans="1:11">
      <c r="A4074" s="45">
        <v>45747</v>
      </c>
      <c r="B4074" s="246" t="s">
        <v>2</v>
      </c>
      <c r="C4074" s="46">
        <v>9900000</v>
      </c>
      <c r="D4074" s="46">
        <v>9000000</v>
      </c>
      <c r="E4074" s="46">
        <v>900000</v>
      </c>
      <c r="F4074" s="17" t="s">
        <v>1068</v>
      </c>
      <c r="G4074" s="9">
        <v>45757</v>
      </c>
      <c r="K4074" s="223"/>
    </row>
    <row r="4075" spans="1:11">
      <c r="A4075" s="45">
        <v>45747</v>
      </c>
      <c r="B4075" s="246" t="s">
        <v>2</v>
      </c>
      <c r="C4075" s="46">
        <v>11755700</v>
      </c>
      <c r="D4075" s="46">
        <v>10687000</v>
      </c>
      <c r="E4075" s="46">
        <v>1068700</v>
      </c>
      <c r="F4075" s="17" t="s">
        <v>1069</v>
      </c>
      <c r="G4075" s="9">
        <v>45757</v>
      </c>
      <c r="K4075" s="223"/>
    </row>
    <row r="4076" spans="1:11">
      <c r="A4076" s="45">
        <v>45747</v>
      </c>
      <c r="B4076" s="246" t="s">
        <v>2</v>
      </c>
      <c r="C4076" s="46">
        <v>14797200</v>
      </c>
      <c r="D4076" s="46">
        <v>13452000</v>
      </c>
      <c r="E4076" s="46">
        <v>1345200</v>
      </c>
      <c r="F4076" s="17" t="s">
        <v>1071</v>
      </c>
      <c r="G4076" s="9">
        <v>45757</v>
      </c>
      <c r="K4076" s="223"/>
    </row>
    <row r="4077" spans="1:11">
      <c r="A4077" s="45">
        <v>45747</v>
      </c>
      <c r="B4077" s="246" t="s">
        <v>2</v>
      </c>
      <c r="C4077" s="46">
        <v>7392000</v>
      </c>
      <c r="D4077" s="46">
        <v>6720000</v>
      </c>
      <c r="E4077" s="46">
        <v>672000</v>
      </c>
      <c r="F4077" s="17" t="s">
        <v>1072</v>
      </c>
      <c r="G4077" s="9">
        <v>45757</v>
      </c>
      <c r="K4077" s="223"/>
    </row>
    <row r="4078" spans="1:11">
      <c r="A4078" s="45">
        <v>45747</v>
      </c>
      <c r="B4078" s="246" t="s">
        <v>2</v>
      </c>
      <c r="C4078" s="46">
        <v>6050000</v>
      </c>
      <c r="D4078" s="46">
        <v>5500000</v>
      </c>
      <c r="E4078" s="46">
        <v>550000</v>
      </c>
      <c r="F4078" s="17" t="s">
        <v>1204</v>
      </c>
      <c r="G4078" s="9">
        <v>45757</v>
      </c>
      <c r="K4078" s="223"/>
    </row>
    <row r="4079" spans="1:11">
      <c r="A4079" s="45">
        <v>45747</v>
      </c>
      <c r="B4079" s="246" t="s">
        <v>2</v>
      </c>
      <c r="C4079" s="46">
        <v>536800</v>
      </c>
      <c r="D4079" s="46">
        <v>488000</v>
      </c>
      <c r="E4079" s="46">
        <v>48800</v>
      </c>
      <c r="F4079" s="17" t="s">
        <v>1179</v>
      </c>
      <c r="G4079" s="9">
        <v>45757</v>
      </c>
      <c r="K4079" s="223"/>
    </row>
    <row r="4080" spans="1:11">
      <c r="A4080" s="45">
        <v>45747</v>
      </c>
      <c r="B4080" s="246" t="s">
        <v>2</v>
      </c>
      <c r="C4080" s="46">
        <v>838200</v>
      </c>
      <c r="D4080" s="46">
        <v>762000</v>
      </c>
      <c r="E4080" s="46">
        <v>76200</v>
      </c>
      <c r="F4080" s="17" t="s">
        <v>1102</v>
      </c>
      <c r="G4080" s="9">
        <v>45757</v>
      </c>
      <c r="K4080" s="223"/>
    </row>
    <row r="4081" spans="1:18">
      <c r="A4081" s="45">
        <v>45747</v>
      </c>
      <c r="B4081" s="247" t="s">
        <v>2</v>
      </c>
      <c r="C4081" s="46">
        <v>3212000</v>
      </c>
      <c r="D4081" s="46">
        <v>2920000</v>
      </c>
      <c r="E4081" s="46">
        <v>292000</v>
      </c>
      <c r="F4081" s="17" t="s">
        <v>1103</v>
      </c>
      <c r="G4081" s="9">
        <v>45757</v>
      </c>
      <c r="K4081" s="247"/>
      <c r="L4081" s="247"/>
      <c r="M4081" s="247"/>
      <c r="N4081" s="247"/>
      <c r="O4081" s="247"/>
      <c r="P4081" s="247"/>
      <c r="Q4081" s="247"/>
      <c r="R4081" s="247"/>
    </row>
    <row r="4082" spans="1:18">
      <c r="A4082" s="45">
        <v>45747</v>
      </c>
      <c r="B4082" s="247" t="s">
        <v>2</v>
      </c>
      <c r="C4082" s="46">
        <v>2619100</v>
      </c>
      <c r="D4082" s="46">
        <v>2381000</v>
      </c>
      <c r="E4082" s="46">
        <v>238100</v>
      </c>
      <c r="F4082" s="17" t="s">
        <v>1104</v>
      </c>
      <c r="G4082" s="9">
        <v>45757</v>
      </c>
      <c r="K4082" s="247"/>
      <c r="L4082" s="247"/>
      <c r="M4082" s="247"/>
      <c r="N4082" s="247"/>
      <c r="O4082" s="247"/>
      <c r="P4082" s="247"/>
      <c r="Q4082" s="247"/>
      <c r="R4082" s="247"/>
    </row>
    <row r="4083" spans="1:18">
      <c r="A4083" s="45">
        <v>45747</v>
      </c>
      <c r="B4083" s="246" t="s">
        <v>1149</v>
      </c>
      <c r="C4083" s="46">
        <v>3712500</v>
      </c>
      <c r="D4083" s="46">
        <v>3375000</v>
      </c>
      <c r="E4083" s="46">
        <v>337500</v>
      </c>
      <c r="F4083" s="17" t="s">
        <v>1181</v>
      </c>
      <c r="G4083" s="9">
        <v>45762</v>
      </c>
      <c r="K4083" s="223"/>
    </row>
    <row r="4084" spans="1:18">
      <c r="A4084" s="45">
        <v>45747</v>
      </c>
      <c r="B4084" s="246" t="s">
        <v>1149</v>
      </c>
      <c r="C4084" s="46">
        <v>7016900</v>
      </c>
      <c r="D4084" s="46">
        <v>6379000</v>
      </c>
      <c r="E4084" s="46">
        <v>637900</v>
      </c>
      <c r="F4084" s="17" t="s">
        <v>1070</v>
      </c>
      <c r="G4084" s="9">
        <v>45784</v>
      </c>
      <c r="K4084" s="223"/>
    </row>
    <row r="4085" spans="1:18">
      <c r="A4085" s="45">
        <v>45747</v>
      </c>
      <c r="B4085" s="246" t="s">
        <v>432</v>
      </c>
      <c r="C4085" s="46">
        <v>137500</v>
      </c>
      <c r="D4085" s="46">
        <v>125000</v>
      </c>
      <c r="E4085" s="46">
        <v>12500</v>
      </c>
      <c r="F4085" s="17" t="s">
        <v>1202</v>
      </c>
      <c r="G4085" s="9">
        <v>45765</v>
      </c>
      <c r="K4085" s="223"/>
    </row>
    <row r="4086" spans="1:18">
      <c r="A4086" s="45">
        <v>45747</v>
      </c>
      <c r="B4086" s="246" t="s">
        <v>432</v>
      </c>
      <c r="C4086" s="46">
        <v>137500</v>
      </c>
      <c r="D4086" s="46">
        <v>125000</v>
      </c>
      <c r="E4086" s="46">
        <v>12500</v>
      </c>
      <c r="F4086" s="17" t="s">
        <v>1183</v>
      </c>
      <c r="G4086" s="9">
        <v>45765</v>
      </c>
      <c r="K4086" s="223"/>
    </row>
    <row r="4087" spans="1:18">
      <c r="A4087" s="45">
        <v>45747</v>
      </c>
      <c r="B4087" s="246" t="s">
        <v>432</v>
      </c>
      <c r="C4087" s="46">
        <v>673200</v>
      </c>
      <c r="D4087" s="46">
        <v>612000</v>
      </c>
      <c r="E4087" s="46">
        <v>61200</v>
      </c>
      <c r="F4087" s="17" t="s">
        <v>1184</v>
      </c>
      <c r="G4087" s="9">
        <v>45758</v>
      </c>
      <c r="K4087" s="223"/>
    </row>
    <row r="4088" spans="1:18">
      <c r="A4088" s="45">
        <v>45747</v>
      </c>
      <c r="B4088" s="247" t="s">
        <v>432</v>
      </c>
      <c r="C4088" s="46">
        <v>4374700</v>
      </c>
      <c r="D4088" s="46">
        <v>3977000</v>
      </c>
      <c r="E4088" s="46">
        <v>397700</v>
      </c>
      <c r="F4088" s="17" t="s">
        <v>1129</v>
      </c>
      <c r="G4088" s="9">
        <v>45765</v>
      </c>
      <c r="K4088" s="237"/>
    </row>
    <row r="4089" spans="1:18">
      <c r="A4089" s="45">
        <v>45747</v>
      </c>
      <c r="B4089" s="247" t="s">
        <v>432</v>
      </c>
      <c r="C4089" s="46">
        <v>2887500</v>
      </c>
      <c r="D4089" s="46">
        <v>2625000</v>
      </c>
      <c r="E4089" s="46">
        <v>262500</v>
      </c>
      <c r="F4089" s="17" t="s">
        <v>1152</v>
      </c>
      <c r="G4089" s="9">
        <v>45765</v>
      </c>
      <c r="K4089" s="223"/>
    </row>
    <row r="4090" spans="1:18">
      <c r="A4090" s="45">
        <v>45747</v>
      </c>
      <c r="B4090" s="247" t="s">
        <v>1146</v>
      </c>
      <c r="C4090" s="46">
        <v>2992000</v>
      </c>
      <c r="D4090" s="46">
        <v>2720000</v>
      </c>
      <c r="E4090" s="46">
        <v>272000</v>
      </c>
      <c r="F4090" s="17" t="s">
        <v>1082</v>
      </c>
      <c r="G4090" s="9">
        <v>45750</v>
      </c>
      <c r="K4090" s="237"/>
    </row>
    <row r="4091" spans="1:18">
      <c r="A4091" s="45">
        <v>45747</v>
      </c>
      <c r="B4091" s="247" t="s">
        <v>970</v>
      </c>
      <c r="C4091" s="46">
        <v>2915000</v>
      </c>
      <c r="D4091" s="46">
        <v>2650000</v>
      </c>
      <c r="E4091" s="46">
        <v>265000</v>
      </c>
      <c r="F4091" s="17" t="s">
        <v>1153</v>
      </c>
      <c r="G4091" s="9">
        <v>45757</v>
      </c>
      <c r="K4091" s="223"/>
    </row>
    <row r="4092" spans="1:18">
      <c r="A4092" s="45">
        <v>45747</v>
      </c>
      <c r="B4092" s="247" t="s">
        <v>970</v>
      </c>
      <c r="C4092" s="46">
        <v>7150000</v>
      </c>
      <c r="D4092" s="46">
        <v>6500000</v>
      </c>
      <c r="E4092" s="46">
        <v>650000</v>
      </c>
      <c r="F4092" s="17" t="s">
        <v>1154</v>
      </c>
      <c r="G4092" s="9">
        <v>45757</v>
      </c>
      <c r="K4092" s="237"/>
    </row>
    <row r="4093" spans="1:18">
      <c r="A4093" s="45">
        <v>45747</v>
      </c>
      <c r="B4093" s="247" t="s">
        <v>1205</v>
      </c>
      <c r="C4093" s="46">
        <v>8872600</v>
      </c>
      <c r="D4093" s="46">
        <v>8066000</v>
      </c>
      <c r="E4093" s="46">
        <v>806600</v>
      </c>
      <c r="F4093" s="17" t="s">
        <v>1110</v>
      </c>
      <c r="G4093" s="9">
        <v>45757</v>
      </c>
      <c r="K4093" s="237"/>
    </row>
    <row r="4094" spans="1:18">
      <c r="A4094" s="45">
        <v>45747</v>
      </c>
      <c r="B4094" s="247" t="s">
        <v>805</v>
      </c>
      <c r="C4094" s="46">
        <v>9941800</v>
      </c>
      <c r="D4094" s="46">
        <v>9038000</v>
      </c>
      <c r="E4094" s="46">
        <v>903800</v>
      </c>
      <c r="F4094" s="17" t="s">
        <v>1086</v>
      </c>
      <c r="G4094" s="9">
        <v>45762</v>
      </c>
      <c r="K4094" s="223"/>
    </row>
    <row r="4095" spans="1:18">
      <c r="A4095" s="45">
        <v>45747</v>
      </c>
      <c r="B4095" s="247" t="s">
        <v>63</v>
      </c>
      <c r="C4095" s="46">
        <v>726000</v>
      </c>
      <c r="D4095" s="46">
        <v>660000</v>
      </c>
      <c r="E4095" s="46">
        <v>66000</v>
      </c>
      <c r="F4095" s="17" t="s">
        <v>13</v>
      </c>
      <c r="G4095" s="9">
        <v>45789</v>
      </c>
      <c r="I4095" s="301" t="s">
        <v>519</v>
      </c>
      <c r="J4095" s="302"/>
      <c r="K4095" s="303"/>
    </row>
    <row r="4096" spans="1:18">
      <c r="A4096" s="45">
        <v>45747</v>
      </c>
      <c r="B4096" s="247" t="s">
        <v>749</v>
      </c>
      <c r="C4096" s="46">
        <v>1425904</v>
      </c>
      <c r="D4096" s="46">
        <v>1296277</v>
      </c>
      <c r="E4096" s="46">
        <v>129627</v>
      </c>
      <c r="F4096" s="17" t="s">
        <v>13</v>
      </c>
      <c r="G4096" s="9">
        <v>45762</v>
      </c>
      <c r="I4096" s="18" t="s">
        <v>46</v>
      </c>
      <c r="J4096" s="222" t="s">
        <v>47</v>
      </c>
      <c r="K4096" s="222" t="s">
        <v>48</v>
      </c>
    </row>
    <row r="4097" spans="1:19" s="226" customFormat="1">
      <c r="A4097" s="119">
        <v>45747</v>
      </c>
      <c r="B4097" s="42" t="s">
        <v>1206</v>
      </c>
      <c r="C4097" s="118">
        <v>382800</v>
      </c>
      <c r="D4097" s="118">
        <v>348000</v>
      </c>
      <c r="E4097" s="118">
        <v>34800</v>
      </c>
      <c r="F4097" s="51" t="s">
        <v>1207</v>
      </c>
      <c r="G4097" s="10">
        <v>45751</v>
      </c>
      <c r="H4097" s="51"/>
      <c r="I4097" s="18">
        <f>SUM(C4056:C4097)</f>
        <v>273653669</v>
      </c>
      <c r="J4097" s="18">
        <f>SUM(D4056:D4097)</f>
        <v>249216123</v>
      </c>
      <c r="K4097" s="18">
        <f>SUM(E4056:E4097)</f>
        <v>24437546</v>
      </c>
      <c r="L4097" s="42"/>
      <c r="M4097" s="42"/>
      <c r="N4097" s="42"/>
      <c r="O4097" s="42"/>
      <c r="P4097" s="42"/>
      <c r="Q4097" s="42"/>
      <c r="R4097" s="42"/>
      <c r="S4097" s="42"/>
    </row>
    <row r="4098" spans="1:19">
      <c r="A4098" s="45">
        <v>45748</v>
      </c>
      <c r="B4098" s="14" t="s">
        <v>958</v>
      </c>
      <c r="C4098" s="46">
        <v>8895770</v>
      </c>
      <c r="D4098" s="46">
        <v>8895770</v>
      </c>
      <c r="E4098" s="46">
        <v>0</v>
      </c>
      <c r="F4098" s="17" t="s">
        <v>1199</v>
      </c>
      <c r="G4098" s="9">
        <v>45757</v>
      </c>
      <c r="K4098" s="223"/>
    </row>
    <row r="4099" spans="1:19">
      <c r="A4099" s="45">
        <v>45754</v>
      </c>
      <c r="B4099" s="248" t="s">
        <v>1163</v>
      </c>
      <c r="C4099" s="46">
        <v>1682000.1</v>
      </c>
      <c r="D4099" s="46">
        <v>1529091</v>
      </c>
      <c r="E4099" s="46">
        <v>152909</v>
      </c>
      <c r="F4099" s="17" t="s">
        <v>1208</v>
      </c>
      <c r="G4099" s="9">
        <v>45756</v>
      </c>
      <c r="K4099" s="223"/>
    </row>
    <row r="4100" spans="1:19">
      <c r="A4100" s="45">
        <v>45755</v>
      </c>
      <c r="B4100" s="248" t="s">
        <v>1163</v>
      </c>
      <c r="C4100" s="46">
        <v>2125999.7000000002</v>
      </c>
      <c r="D4100" s="46">
        <v>1932727</v>
      </c>
      <c r="E4100" s="46">
        <v>193273</v>
      </c>
      <c r="F4100" s="17" t="s">
        <v>1210</v>
      </c>
      <c r="G4100" s="9">
        <v>45757</v>
      </c>
      <c r="K4100" s="223"/>
    </row>
    <row r="4101" spans="1:19">
      <c r="A4101" s="45">
        <v>45757</v>
      </c>
      <c r="B4101" s="249" t="s">
        <v>2</v>
      </c>
      <c r="C4101" s="46">
        <v>4884000</v>
      </c>
      <c r="D4101" s="46">
        <v>4440000</v>
      </c>
      <c r="E4101" s="46">
        <v>444000</v>
      </c>
      <c r="F4101" s="17" t="s">
        <v>1211</v>
      </c>
      <c r="G4101" s="9">
        <v>45768</v>
      </c>
      <c r="K4101" s="223"/>
    </row>
    <row r="4102" spans="1:19">
      <c r="A4102" s="45">
        <v>45762</v>
      </c>
      <c r="B4102" s="250" t="s">
        <v>1156</v>
      </c>
      <c r="C4102" s="46">
        <v>403529</v>
      </c>
      <c r="D4102" s="46">
        <v>366845</v>
      </c>
      <c r="E4102" s="46">
        <v>36684</v>
      </c>
      <c r="F4102" s="17" t="s">
        <v>1161</v>
      </c>
      <c r="G4102" s="9">
        <v>45762</v>
      </c>
      <c r="K4102" s="223"/>
    </row>
    <row r="4103" spans="1:19">
      <c r="A4103" s="45">
        <v>45762</v>
      </c>
      <c r="B4103" s="250" t="s">
        <v>1212</v>
      </c>
      <c r="C4103" s="46">
        <v>8387500</v>
      </c>
      <c r="D4103" s="46">
        <v>7625000</v>
      </c>
      <c r="E4103" s="46">
        <v>762500</v>
      </c>
      <c r="F4103" s="17" t="s">
        <v>1068</v>
      </c>
      <c r="G4103" s="9">
        <v>45768</v>
      </c>
      <c r="K4103" s="223"/>
    </row>
    <row r="4104" spans="1:19">
      <c r="A4104" s="45">
        <v>45768</v>
      </c>
      <c r="B4104" s="250" t="s">
        <v>902</v>
      </c>
      <c r="C4104" s="46">
        <v>4844860</v>
      </c>
      <c r="D4104" s="46">
        <v>4844860</v>
      </c>
      <c r="E4104" s="46">
        <v>0</v>
      </c>
      <c r="F4104" s="17" t="s">
        <v>1019</v>
      </c>
      <c r="G4104" s="9">
        <v>45777</v>
      </c>
      <c r="K4104" s="223"/>
    </row>
    <row r="4105" spans="1:19">
      <c r="A4105" s="45">
        <v>45767</v>
      </c>
      <c r="B4105" s="250" t="s">
        <v>1212</v>
      </c>
      <c r="C4105" s="46">
        <v>7249000</v>
      </c>
      <c r="D4105" s="46">
        <v>6590000</v>
      </c>
      <c r="E4105" s="46">
        <v>659000</v>
      </c>
      <c r="F4105" s="17" t="s">
        <v>1072</v>
      </c>
      <c r="G4105" s="9">
        <v>45777</v>
      </c>
      <c r="K4105" s="223"/>
    </row>
    <row r="4106" spans="1:19">
      <c r="A4106" s="45">
        <v>45771</v>
      </c>
      <c r="B4106" s="250" t="s">
        <v>769</v>
      </c>
      <c r="C4106" s="46">
        <v>65150800</v>
      </c>
      <c r="D4106" s="46">
        <v>59228000</v>
      </c>
      <c r="E4106" s="46">
        <v>5922800</v>
      </c>
      <c r="F4106" s="17" t="s">
        <v>1096</v>
      </c>
      <c r="G4106" s="9">
        <v>45786</v>
      </c>
      <c r="K4106" s="223"/>
    </row>
    <row r="4107" spans="1:19">
      <c r="A4107" s="45">
        <v>45771</v>
      </c>
      <c r="B4107" s="250" t="s">
        <v>769</v>
      </c>
      <c r="C4107" s="46">
        <v>2301200</v>
      </c>
      <c r="D4107" s="46">
        <v>2092000</v>
      </c>
      <c r="E4107" s="46">
        <v>209200</v>
      </c>
      <c r="F4107" s="17" t="s">
        <v>1097</v>
      </c>
      <c r="G4107" s="9">
        <v>45786</v>
      </c>
      <c r="K4107" s="223"/>
    </row>
    <row r="4108" spans="1:19">
      <c r="A4108" s="45">
        <v>45771</v>
      </c>
      <c r="B4108" s="250" t="s">
        <v>769</v>
      </c>
      <c r="C4108" s="46">
        <v>24123000</v>
      </c>
      <c r="D4108" s="46">
        <v>21930000</v>
      </c>
      <c r="E4108" s="46">
        <v>2193000</v>
      </c>
      <c r="F4108" s="17" t="s">
        <v>1098</v>
      </c>
      <c r="G4108" s="9">
        <v>45786</v>
      </c>
      <c r="K4108" s="223"/>
    </row>
    <row r="4109" spans="1:19">
      <c r="A4109" s="45">
        <v>45771</v>
      </c>
      <c r="B4109" s="250" t="s">
        <v>769</v>
      </c>
      <c r="C4109" s="46">
        <v>13021800</v>
      </c>
      <c r="D4109" s="46">
        <v>11838000</v>
      </c>
      <c r="E4109" s="46">
        <v>1183800</v>
      </c>
      <c r="F4109" s="17" t="s">
        <v>1099</v>
      </c>
      <c r="G4109" s="9">
        <v>45786</v>
      </c>
      <c r="K4109" s="223"/>
    </row>
    <row r="4110" spans="1:19">
      <c r="A4110" s="45">
        <v>45771</v>
      </c>
      <c r="B4110" s="252" t="s">
        <v>769</v>
      </c>
      <c r="C4110" s="46">
        <v>9908360</v>
      </c>
      <c r="D4110" s="46">
        <v>9007600</v>
      </c>
      <c r="E4110" s="46">
        <v>900760</v>
      </c>
      <c r="F4110" s="17" t="s">
        <v>794</v>
      </c>
      <c r="G4110" s="9">
        <v>45786</v>
      </c>
      <c r="I4110" s="301" t="s">
        <v>520</v>
      </c>
      <c r="J4110" s="302"/>
      <c r="K4110" s="303"/>
    </row>
    <row r="4111" spans="1:19">
      <c r="A4111" s="45">
        <v>45777</v>
      </c>
      <c r="B4111" s="252" t="s">
        <v>1212</v>
      </c>
      <c r="C4111" s="46">
        <v>4400000</v>
      </c>
      <c r="D4111" s="46">
        <v>4000000</v>
      </c>
      <c r="E4111" s="46">
        <v>400000</v>
      </c>
      <c r="F4111" s="17" t="s">
        <v>1068</v>
      </c>
      <c r="G4111" s="9">
        <v>45786</v>
      </c>
      <c r="I4111" s="18" t="s">
        <v>46</v>
      </c>
      <c r="J4111" s="222" t="s">
        <v>47</v>
      </c>
      <c r="K4111" s="222" t="s">
        <v>48</v>
      </c>
    </row>
    <row r="4112" spans="1:19" s="226" customFormat="1">
      <c r="A4112" s="119">
        <v>45777</v>
      </c>
      <c r="B4112" s="42" t="s">
        <v>1212</v>
      </c>
      <c r="C4112" s="118">
        <v>6996000</v>
      </c>
      <c r="D4112" s="118">
        <v>6360000</v>
      </c>
      <c r="E4112" s="118">
        <v>636000</v>
      </c>
      <c r="F4112" s="51" t="s">
        <v>1072</v>
      </c>
      <c r="G4112" s="10">
        <v>45800</v>
      </c>
      <c r="H4112" s="51"/>
      <c r="I4112" s="18">
        <f>SUM(C4098:C4112)</f>
        <v>164373818.80000001</v>
      </c>
      <c r="J4112" s="18">
        <f>SUM(D4098:D4112)</f>
        <v>150679893</v>
      </c>
      <c r="K4112" s="18">
        <f>SUM(E4098:E4112)</f>
        <v>13693926</v>
      </c>
      <c r="L4112" s="42"/>
      <c r="M4112" s="42"/>
      <c r="N4112" s="42"/>
      <c r="O4112" s="42"/>
      <c r="P4112" s="42"/>
      <c r="Q4112" s="42"/>
      <c r="R4112" s="42"/>
      <c r="S4112" s="42"/>
    </row>
    <row r="4113" spans="1:19">
      <c r="A4113" s="45">
        <v>45778</v>
      </c>
      <c r="B4113" s="252" t="s">
        <v>958</v>
      </c>
      <c r="C4113" s="46">
        <v>8888010</v>
      </c>
      <c r="D4113" s="46">
        <v>8888010</v>
      </c>
      <c r="E4113" s="46">
        <v>0</v>
      </c>
      <c r="F4113" s="17" t="s">
        <v>1214</v>
      </c>
      <c r="G4113" s="9">
        <v>45786</v>
      </c>
      <c r="K4113" s="223"/>
    </row>
    <row r="4114" spans="1:19">
      <c r="A4114" s="45">
        <v>45793</v>
      </c>
      <c r="B4114" s="253" t="s">
        <v>1163</v>
      </c>
      <c r="C4114" s="46">
        <v>3994000</v>
      </c>
      <c r="D4114" s="46">
        <v>3630909</v>
      </c>
      <c r="E4114" s="46">
        <v>363091</v>
      </c>
      <c r="F4114" s="17" t="s">
        <v>1213</v>
      </c>
      <c r="G4114" s="9">
        <v>45796</v>
      </c>
      <c r="K4114" s="223"/>
    </row>
    <row r="4115" spans="1:19">
      <c r="A4115" s="45">
        <v>45793</v>
      </c>
      <c r="B4115" s="252" t="s">
        <v>1156</v>
      </c>
      <c r="C4115" s="46">
        <v>712920</v>
      </c>
      <c r="D4115" s="46">
        <v>648109</v>
      </c>
      <c r="E4115" s="46">
        <v>64811</v>
      </c>
      <c r="F4115" s="17" t="s">
        <v>1161</v>
      </c>
      <c r="G4115" s="9">
        <v>45803</v>
      </c>
      <c r="K4115" s="223"/>
    </row>
    <row r="4116" spans="1:19">
      <c r="A4116" s="45">
        <v>45798</v>
      </c>
      <c r="B4116" s="14" t="s">
        <v>902</v>
      </c>
      <c r="C4116" s="46">
        <v>4840660</v>
      </c>
      <c r="D4116" s="46">
        <v>4840660</v>
      </c>
      <c r="E4116" s="46">
        <v>0</v>
      </c>
      <c r="F4116" s="17" t="s">
        <v>1215</v>
      </c>
      <c r="G4116" s="9">
        <v>45807</v>
      </c>
      <c r="K4116" s="223"/>
    </row>
    <row r="4117" spans="1:19">
      <c r="A4117" s="45">
        <v>45800</v>
      </c>
      <c r="B4117" s="14" t="s">
        <v>769</v>
      </c>
      <c r="C4117" s="46">
        <v>50116000</v>
      </c>
      <c r="D4117" s="46">
        <v>45560000</v>
      </c>
      <c r="E4117" s="46">
        <v>4556000</v>
      </c>
      <c r="F4117" s="17" t="s">
        <v>1096</v>
      </c>
      <c r="G4117" s="9">
        <v>45817</v>
      </c>
      <c r="K4117" s="223"/>
    </row>
    <row r="4118" spans="1:19">
      <c r="A4118" s="45">
        <v>45800</v>
      </c>
      <c r="B4118" s="14" t="s">
        <v>769</v>
      </c>
      <c r="C4118" s="46">
        <v>2813800</v>
      </c>
      <c r="D4118" s="46">
        <v>2558000</v>
      </c>
      <c r="E4118" s="46">
        <v>255800</v>
      </c>
      <c r="F4118" s="17" t="s">
        <v>1097</v>
      </c>
      <c r="G4118" s="9">
        <v>45817</v>
      </c>
      <c r="K4118" s="223"/>
    </row>
    <row r="4119" spans="1:19">
      <c r="A4119" s="45">
        <v>45800</v>
      </c>
      <c r="B4119" s="14" t="s">
        <v>769</v>
      </c>
      <c r="C4119" s="46">
        <v>21285000</v>
      </c>
      <c r="D4119" s="46">
        <v>19350000</v>
      </c>
      <c r="E4119" s="46">
        <v>1935000</v>
      </c>
      <c r="F4119" s="17" t="s">
        <v>1098</v>
      </c>
      <c r="G4119" s="9">
        <v>45817</v>
      </c>
      <c r="K4119" s="223"/>
    </row>
    <row r="4120" spans="1:19">
      <c r="A4120" s="45">
        <v>45800</v>
      </c>
      <c r="B4120" s="254" t="s">
        <v>769</v>
      </c>
      <c r="C4120" s="46">
        <v>9933000</v>
      </c>
      <c r="D4120" s="46">
        <v>9030000</v>
      </c>
      <c r="E4120" s="46">
        <v>903000</v>
      </c>
      <c r="F4120" s="17" t="s">
        <v>1099</v>
      </c>
      <c r="G4120" s="9">
        <v>45817</v>
      </c>
      <c r="I4120" s="301" t="s">
        <v>308</v>
      </c>
      <c r="J4120" s="302"/>
      <c r="K4120" s="303"/>
    </row>
    <row r="4121" spans="1:19">
      <c r="A4121" s="45">
        <v>45800</v>
      </c>
      <c r="B4121" s="254" t="s">
        <v>769</v>
      </c>
      <c r="C4121" s="46">
        <v>12470150</v>
      </c>
      <c r="D4121" s="46">
        <v>11336500</v>
      </c>
      <c r="E4121" s="46">
        <v>1133650</v>
      </c>
      <c r="F4121" s="17" t="s">
        <v>1217</v>
      </c>
      <c r="G4121" s="9">
        <v>45817</v>
      </c>
      <c r="I4121" s="18" t="s">
        <v>46</v>
      </c>
      <c r="J4121" s="222" t="s">
        <v>47</v>
      </c>
      <c r="K4121" s="222" t="s">
        <v>48</v>
      </c>
    </row>
    <row r="4122" spans="1:19" s="226" customFormat="1">
      <c r="A4122" s="119">
        <v>45808</v>
      </c>
      <c r="B4122" s="42" t="s">
        <v>1030</v>
      </c>
      <c r="C4122" s="118">
        <v>1386000</v>
      </c>
      <c r="D4122" s="118">
        <v>1260000</v>
      </c>
      <c r="E4122" s="118">
        <v>126000</v>
      </c>
      <c r="F4122" s="51" t="s">
        <v>1216</v>
      </c>
      <c r="G4122" s="10">
        <v>45825</v>
      </c>
      <c r="H4122" s="51"/>
      <c r="I4122" s="18">
        <f>SUM(C4113:C4122)</f>
        <v>116439540</v>
      </c>
      <c r="J4122" s="18">
        <f>SUM(D4113:D4122)</f>
        <v>107102188</v>
      </c>
      <c r="K4122" s="18">
        <f>SUM(E4113:E4122)</f>
        <v>9337352</v>
      </c>
      <c r="L4122" s="42"/>
      <c r="M4122" s="42"/>
      <c r="N4122" s="42"/>
      <c r="O4122" s="42"/>
      <c r="P4122" s="42"/>
      <c r="Q4122" s="42"/>
      <c r="R4122" s="42"/>
      <c r="S4122" s="42"/>
    </row>
    <row r="4123" spans="1:19">
      <c r="A4123" s="45">
        <v>45810</v>
      </c>
      <c r="B4123" s="14" t="s">
        <v>958</v>
      </c>
      <c r="C4123" s="46">
        <v>8895770</v>
      </c>
      <c r="D4123" s="46">
        <v>8895770</v>
      </c>
      <c r="E4123" s="46">
        <v>0</v>
      </c>
      <c r="F4123" s="17" t="s">
        <v>1028</v>
      </c>
      <c r="G4123" s="9">
        <v>45818</v>
      </c>
      <c r="K4123" s="223"/>
    </row>
    <row r="4124" spans="1:19">
      <c r="A4124" s="45">
        <v>45824</v>
      </c>
      <c r="B4124" s="255" t="s">
        <v>1156</v>
      </c>
      <c r="C4124" s="46">
        <f>D4124+E4124</f>
        <v>394997</v>
      </c>
      <c r="D4124" s="46">
        <v>359088</v>
      </c>
      <c r="E4124" s="46">
        <f>ROUND(D4124*0.1,0)</f>
        <v>35909</v>
      </c>
      <c r="F4124" s="17" t="s">
        <v>1161</v>
      </c>
      <c r="G4124" s="81" t="s">
        <v>1297</v>
      </c>
      <c r="K4124" s="223"/>
    </row>
    <row r="4125" spans="1:19">
      <c r="A4125" s="45">
        <v>45831</v>
      </c>
      <c r="B4125" s="14" t="s">
        <v>902</v>
      </c>
      <c r="C4125" s="46">
        <v>4840660</v>
      </c>
      <c r="D4125" s="46">
        <v>4840660</v>
      </c>
      <c r="E4125" s="46">
        <v>0</v>
      </c>
      <c r="F4125" s="17" t="s">
        <v>1034</v>
      </c>
      <c r="G4125" s="9">
        <v>45838</v>
      </c>
      <c r="K4125" s="223"/>
    </row>
    <row r="4126" spans="1:19">
      <c r="A4126" s="45">
        <v>45832</v>
      </c>
      <c r="B4126" s="256" t="s">
        <v>1220</v>
      </c>
      <c r="C4126" s="46">
        <v>55968000</v>
      </c>
      <c r="D4126" s="46">
        <v>50880000</v>
      </c>
      <c r="E4126" s="46">
        <v>5088000</v>
      </c>
      <c r="F4126" s="17" t="s">
        <v>1096</v>
      </c>
      <c r="G4126" s="9">
        <v>45848</v>
      </c>
      <c r="K4126" s="223"/>
    </row>
    <row r="4127" spans="1:19">
      <c r="A4127" s="45">
        <v>45832</v>
      </c>
      <c r="B4127" s="256" t="s">
        <v>1220</v>
      </c>
      <c r="C4127" s="46">
        <v>3403400</v>
      </c>
      <c r="D4127" s="46">
        <v>3094000</v>
      </c>
      <c r="E4127" s="46">
        <v>309400</v>
      </c>
      <c r="F4127" s="17" t="s">
        <v>1127</v>
      </c>
      <c r="G4127" s="9">
        <v>45848</v>
      </c>
      <c r="K4127" s="223"/>
    </row>
    <row r="4128" spans="1:19">
      <c r="A4128" s="45">
        <v>45832</v>
      </c>
      <c r="B4128" s="256" t="s">
        <v>1220</v>
      </c>
      <c r="C4128" s="46">
        <v>23839200</v>
      </c>
      <c r="D4128" s="46">
        <v>21672000</v>
      </c>
      <c r="E4128" s="46">
        <v>2167200</v>
      </c>
      <c r="F4128" s="17" t="s">
        <v>1218</v>
      </c>
      <c r="G4128" s="9">
        <v>45848</v>
      </c>
      <c r="K4128" s="223"/>
    </row>
    <row r="4129" spans="1:19">
      <c r="A4129" s="45">
        <v>45832</v>
      </c>
      <c r="B4129" s="256" t="s">
        <v>1220</v>
      </c>
      <c r="C4129" s="46">
        <v>10211300</v>
      </c>
      <c r="D4129" s="46">
        <v>9283000</v>
      </c>
      <c r="E4129" s="46">
        <v>928300</v>
      </c>
      <c r="F4129" s="17" t="s">
        <v>1219</v>
      </c>
      <c r="G4129" s="9">
        <v>45848</v>
      </c>
      <c r="I4129" s="301" t="s">
        <v>304</v>
      </c>
      <c r="J4129" s="302"/>
      <c r="K4129" s="303"/>
    </row>
    <row r="4130" spans="1:19">
      <c r="A4130" s="45">
        <v>45832</v>
      </c>
      <c r="B4130" s="256" t="s">
        <v>1220</v>
      </c>
      <c r="C4130" s="46">
        <v>11006270</v>
      </c>
      <c r="D4130" s="46">
        <v>10005700</v>
      </c>
      <c r="E4130" s="46">
        <v>1000570</v>
      </c>
      <c r="F4130" s="17" t="s">
        <v>1227</v>
      </c>
      <c r="G4130" s="9">
        <v>45848</v>
      </c>
      <c r="I4130" s="18" t="s">
        <v>46</v>
      </c>
      <c r="J4130" s="222" t="s">
        <v>47</v>
      </c>
      <c r="K4130" s="222" t="s">
        <v>48</v>
      </c>
    </row>
    <row r="4131" spans="1:19" s="226" customFormat="1">
      <c r="A4131" s="119">
        <v>45838</v>
      </c>
      <c r="B4131" s="42" t="s">
        <v>1030</v>
      </c>
      <c r="C4131" s="118">
        <v>6583500</v>
      </c>
      <c r="D4131" s="118">
        <v>5985000</v>
      </c>
      <c r="E4131" s="118">
        <v>598500</v>
      </c>
      <c r="F4131" s="51" t="s">
        <v>1216</v>
      </c>
      <c r="G4131" s="10">
        <v>45847</v>
      </c>
      <c r="H4131" s="51"/>
      <c r="I4131" s="18">
        <f>SUM(C4123:C4131)</f>
        <v>125143097</v>
      </c>
      <c r="J4131" s="18">
        <f>SUM(D4123:D4131)</f>
        <v>115015218</v>
      </c>
      <c r="K4131" s="18">
        <f>SUM(E4123:E4131)</f>
        <v>10127879</v>
      </c>
      <c r="L4131" s="42"/>
      <c r="M4131" s="42"/>
      <c r="N4131" s="42"/>
      <c r="O4131" s="42"/>
      <c r="P4131" s="42"/>
      <c r="Q4131" s="42"/>
      <c r="R4131" s="42"/>
      <c r="S4131" s="42"/>
    </row>
    <row r="4132" spans="1:19">
      <c r="A4132" s="45">
        <v>45839</v>
      </c>
      <c r="B4132" s="257" t="s">
        <v>958</v>
      </c>
      <c r="C4132" s="46">
        <v>8895770</v>
      </c>
      <c r="D4132" s="46">
        <v>8895770</v>
      </c>
      <c r="E4132" s="46">
        <v>0</v>
      </c>
      <c r="F4132" s="17" t="s">
        <v>1036</v>
      </c>
      <c r="G4132" s="9">
        <v>45848</v>
      </c>
      <c r="K4132" s="223"/>
    </row>
    <row r="4133" spans="1:19">
      <c r="A4133" s="45" t="s">
        <v>1221</v>
      </c>
      <c r="B4133" s="257" t="s">
        <v>1222</v>
      </c>
      <c r="C4133" s="46">
        <v>880000</v>
      </c>
      <c r="D4133" s="46">
        <v>800000</v>
      </c>
      <c r="E4133" s="46">
        <v>80000</v>
      </c>
      <c r="F4133" s="17" t="s">
        <v>1223</v>
      </c>
      <c r="G4133" s="9">
        <v>45840</v>
      </c>
      <c r="K4133" s="223"/>
    </row>
    <row r="4134" spans="1:19">
      <c r="A4134" s="45">
        <v>45860</v>
      </c>
      <c r="B4134" s="257" t="s">
        <v>902</v>
      </c>
      <c r="C4134" s="46">
        <v>4840660</v>
      </c>
      <c r="D4134" s="46">
        <v>4840660</v>
      </c>
      <c r="E4134" s="46">
        <v>0</v>
      </c>
      <c r="F4134" s="17" t="s">
        <v>1225</v>
      </c>
      <c r="G4134" s="9">
        <v>45869</v>
      </c>
      <c r="K4134" s="223"/>
    </row>
    <row r="4135" spans="1:19">
      <c r="A4135" s="45">
        <v>45868</v>
      </c>
      <c r="B4135" s="257" t="s">
        <v>1163</v>
      </c>
      <c r="C4135" s="46">
        <v>6756000</v>
      </c>
      <c r="D4135" s="46">
        <v>6141818</v>
      </c>
      <c r="E4135" s="46">
        <v>614182</v>
      </c>
      <c r="F4135" s="17" t="s">
        <v>1226</v>
      </c>
      <c r="G4135" s="9">
        <v>45869</v>
      </c>
      <c r="K4135" s="223"/>
    </row>
    <row r="4136" spans="1:19">
      <c r="A4136" s="45" t="s">
        <v>1228</v>
      </c>
      <c r="B4136" s="260" t="s">
        <v>769</v>
      </c>
      <c r="C4136" s="46">
        <v>9908360</v>
      </c>
      <c r="D4136" s="46">
        <v>9007600</v>
      </c>
      <c r="E4136" s="46">
        <v>900760</v>
      </c>
      <c r="F4136" s="17" t="s">
        <v>1234</v>
      </c>
      <c r="G4136" s="9">
        <v>45877</v>
      </c>
      <c r="K4136" s="260"/>
      <c r="L4136" s="260"/>
      <c r="M4136" s="260"/>
      <c r="N4136" s="260"/>
      <c r="O4136" s="260"/>
      <c r="P4136" s="260"/>
      <c r="Q4136" s="260"/>
      <c r="R4136" s="260"/>
    </row>
    <row r="4137" spans="1:19">
      <c r="A4137" s="45" t="s">
        <v>1228</v>
      </c>
      <c r="B4137" s="260" t="s">
        <v>769</v>
      </c>
      <c r="C4137" s="46">
        <v>11671275</v>
      </c>
      <c r="D4137" s="46">
        <v>10610250</v>
      </c>
      <c r="E4137" s="46">
        <v>1061025</v>
      </c>
      <c r="F4137" s="17" t="s">
        <v>1219</v>
      </c>
      <c r="G4137" s="9">
        <v>45877</v>
      </c>
      <c r="K4137" s="260"/>
      <c r="L4137" s="260"/>
      <c r="M4137" s="260"/>
      <c r="N4137" s="260"/>
      <c r="O4137" s="260"/>
      <c r="P4137" s="260"/>
      <c r="Q4137" s="260"/>
      <c r="R4137" s="260"/>
    </row>
    <row r="4138" spans="1:19">
      <c r="A4138" s="45" t="s">
        <v>1228</v>
      </c>
      <c r="B4138" s="260" t="s">
        <v>769</v>
      </c>
      <c r="C4138" s="46">
        <v>26535300</v>
      </c>
      <c r="D4138" s="46">
        <v>24123000</v>
      </c>
      <c r="E4138" s="46">
        <v>2412300</v>
      </c>
      <c r="F4138" s="17" t="s">
        <v>1218</v>
      </c>
      <c r="G4138" s="9">
        <v>45877</v>
      </c>
      <c r="K4138" s="223"/>
    </row>
    <row r="4139" spans="1:19">
      <c r="A4139" s="45" t="s">
        <v>1228</v>
      </c>
      <c r="B4139" s="260" t="s">
        <v>769</v>
      </c>
      <c r="C4139" s="46">
        <v>2345200</v>
      </c>
      <c r="D4139" s="46">
        <v>2132000</v>
      </c>
      <c r="E4139" s="46">
        <v>213200</v>
      </c>
      <c r="F4139" s="17" t="s">
        <v>1127</v>
      </c>
      <c r="G4139" s="9">
        <v>45877</v>
      </c>
      <c r="K4139" s="259"/>
      <c r="L4139" s="259"/>
      <c r="M4139" s="259"/>
      <c r="N4139" s="259"/>
      <c r="O4139" s="259"/>
      <c r="P4139" s="259"/>
      <c r="Q4139" s="259"/>
      <c r="R4139" s="259"/>
    </row>
    <row r="4140" spans="1:19">
      <c r="A4140" s="45" t="s">
        <v>1228</v>
      </c>
      <c r="B4140" s="260" t="s">
        <v>769</v>
      </c>
      <c r="C4140" s="46">
        <v>58370400</v>
      </c>
      <c r="D4140" s="46">
        <v>53064000</v>
      </c>
      <c r="E4140" s="46">
        <v>5306400</v>
      </c>
      <c r="F4140" s="17" t="s">
        <v>1096</v>
      </c>
      <c r="G4140" s="9">
        <v>45877</v>
      </c>
      <c r="K4140" s="223"/>
    </row>
    <row r="4141" spans="1:19">
      <c r="A4141" s="45" t="s">
        <v>1229</v>
      </c>
      <c r="B4141" s="260" t="s">
        <v>1030</v>
      </c>
      <c r="C4141" s="46">
        <v>1501500</v>
      </c>
      <c r="D4141" s="46">
        <v>1365000</v>
      </c>
      <c r="E4141" s="46">
        <v>136500</v>
      </c>
      <c r="F4141" s="17" t="s">
        <v>1216</v>
      </c>
      <c r="G4141" s="9">
        <v>45880</v>
      </c>
      <c r="K4141" s="223"/>
    </row>
    <row r="4142" spans="1:19">
      <c r="A4142" s="45">
        <v>45869</v>
      </c>
      <c r="B4142" s="260" t="s">
        <v>432</v>
      </c>
      <c r="C4142" s="46">
        <v>6104725</v>
      </c>
      <c r="D4142" s="46">
        <v>5549750</v>
      </c>
      <c r="E4142" s="46">
        <v>554975</v>
      </c>
      <c r="F4142" s="17" t="s">
        <v>1231</v>
      </c>
      <c r="G4142" s="9">
        <v>45882</v>
      </c>
      <c r="I4142" s="301" t="s">
        <v>528</v>
      </c>
      <c r="J4142" s="302"/>
      <c r="K4142" s="303"/>
    </row>
    <row r="4143" spans="1:19">
      <c r="A4143" s="45">
        <v>45869</v>
      </c>
      <c r="B4143" s="259" t="s">
        <v>432</v>
      </c>
      <c r="C4143" s="46">
        <v>65893080</v>
      </c>
      <c r="D4143" s="46">
        <v>59902800</v>
      </c>
      <c r="E4143" s="46">
        <v>5990280</v>
      </c>
      <c r="F4143" s="17" t="s">
        <v>13</v>
      </c>
      <c r="G4143" s="9">
        <v>45882</v>
      </c>
      <c r="I4143" s="18" t="s">
        <v>46</v>
      </c>
      <c r="J4143" s="222" t="s">
        <v>47</v>
      </c>
      <c r="K4143" s="222" t="s">
        <v>48</v>
      </c>
    </row>
    <row r="4144" spans="1:19" s="226" customFormat="1">
      <c r="A4144" s="119">
        <v>45869</v>
      </c>
      <c r="B4144" s="42" t="s">
        <v>432</v>
      </c>
      <c r="C4144" s="118">
        <v>38405400</v>
      </c>
      <c r="D4144" s="118">
        <v>34914000</v>
      </c>
      <c r="E4144" s="118">
        <v>3491400</v>
      </c>
      <c r="F4144" s="51" t="s">
        <v>13</v>
      </c>
      <c r="G4144" s="10">
        <v>45882</v>
      </c>
      <c r="H4144" s="51"/>
      <c r="I4144" s="18">
        <f>SUM(C4132:C4144)</f>
        <v>242107670</v>
      </c>
      <c r="J4144" s="18">
        <f>SUM(D4132:D4144)</f>
        <v>221346648</v>
      </c>
      <c r="K4144" s="18">
        <f>SUM(E4132:E4144)</f>
        <v>20761022</v>
      </c>
      <c r="L4144" s="42"/>
      <c r="M4144" s="42"/>
      <c r="N4144" s="42"/>
      <c r="O4144" s="42"/>
      <c r="P4144" s="42"/>
      <c r="Q4144" s="42"/>
      <c r="R4144" s="42"/>
      <c r="S4144" s="42"/>
    </row>
    <row r="4145" spans="1:18">
      <c r="A4145" s="45">
        <v>45870</v>
      </c>
      <c r="B4145" s="261" t="s">
        <v>958</v>
      </c>
      <c r="C4145" s="46">
        <v>8897570</v>
      </c>
      <c r="D4145" s="46">
        <v>8897570</v>
      </c>
      <c r="E4145" s="46">
        <v>0</v>
      </c>
      <c r="F4145" s="17" t="s">
        <v>1043</v>
      </c>
      <c r="G4145" s="9">
        <v>45877</v>
      </c>
      <c r="K4145" s="223"/>
    </row>
    <row r="4146" spans="1:18">
      <c r="A4146" s="45">
        <v>45872</v>
      </c>
      <c r="B4146" s="261" t="s">
        <v>432</v>
      </c>
      <c r="C4146" s="46">
        <v>11830192</v>
      </c>
      <c r="D4146" s="46">
        <v>10754720</v>
      </c>
      <c r="E4146" s="46">
        <v>1075472</v>
      </c>
      <c r="F4146" s="17" t="s">
        <v>1230</v>
      </c>
      <c r="G4146" s="9">
        <v>45882</v>
      </c>
      <c r="K4146" s="258"/>
      <c r="L4146" s="258"/>
      <c r="M4146" s="258"/>
      <c r="N4146" s="258"/>
      <c r="O4146" s="258"/>
      <c r="P4146" s="258"/>
      <c r="Q4146" s="258"/>
      <c r="R4146" s="258"/>
    </row>
    <row r="4147" spans="1:18">
      <c r="A4147" s="45">
        <v>45874</v>
      </c>
      <c r="B4147" s="261" t="s">
        <v>1222</v>
      </c>
      <c r="C4147" s="46">
        <v>440000</v>
      </c>
      <c r="D4147" s="46">
        <v>400000</v>
      </c>
      <c r="E4147" s="46">
        <v>40000</v>
      </c>
      <c r="F4147" s="17" t="s">
        <v>1232</v>
      </c>
      <c r="G4147" s="9">
        <v>45870</v>
      </c>
      <c r="K4147" s="223"/>
    </row>
    <row r="4148" spans="1:18">
      <c r="A4148" s="45">
        <v>45880</v>
      </c>
      <c r="B4148" s="261" t="s">
        <v>1163</v>
      </c>
      <c r="C4148" s="46">
        <v>3430000</v>
      </c>
      <c r="D4148" s="46">
        <v>3118182</v>
      </c>
      <c r="E4148" s="46">
        <v>311818</v>
      </c>
      <c r="F4148" s="17" t="s">
        <v>1233</v>
      </c>
      <c r="G4148" s="9">
        <v>45881</v>
      </c>
      <c r="K4148" s="223"/>
    </row>
    <row r="4149" spans="1:18">
      <c r="A4149" s="45">
        <v>45879</v>
      </c>
      <c r="B4149" s="261" t="s">
        <v>432</v>
      </c>
      <c r="C4149" s="46">
        <v>22451160</v>
      </c>
      <c r="D4149" s="46">
        <v>20410146</v>
      </c>
      <c r="E4149" s="46">
        <v>2041014</v>
      </c>
      <c r="F4149" s="17" t="s">
        <v>1230</v>
      </c>
      <c r="G4149" s="9">
        <v>45889</v>
      </c>
      <c r="K4149" s="223"/>
    </row>
    <row r="4150" spans="1:18">
      <c r="A4150" s="45">
        <v>45886</v>
      </c>
      <c r="B4150" s="261" t="s">
        <v>432</v>
      </c>
      <c r="C4150" s="46">
        <v>17595182</v>
      </c>
      <c r="D4150" s="46">
        <v>15995620</v>
      </c>
      <c r="E4150" s="46">
        <v>1599562</v>
      </c>
      <c r="F4150" s="17" t="s">
        <v>1230</v>
      </c>
      <c r="G4150" s="9">
        <v>45889</v>
      </c>
      <c r="K4150" s="223"/>
    </row>
    <row r="4151" spans="1:18">
      <c r="A4151" s="45">
        <v>45890</v>
      </c>
      <c r="B4151" s="262" t="s">
        <v>902</v>
      </c>
      <c r="C4151" s="46">
        <v>4840660</v>
      </c>
      <c r="D4151" s="46">
        <v>4840660</v>
      </c>
      <c r="E4151" s="46">
        <v>0</v>
      </c>
      <c r="F4151" s="17" t="s">
        <v>1048</v>
      </c>
      <c r="G4151" s="9">
        <v>45898</v>
      </c>
      <c r="K4151" s="223"/>
    </row>
    <row r="4152" spans="1:18">
      <c r="A4152" s="45">
        <v>45893</v>
      </c>
      <c r="B4152" s="264" t="s">
        <v>769</v>
      </c>
      <c r="C4152" s="46">
        <v>55177100</v>
      </c>
      <c r="D4152" s="46">
        <v>50161000</v>
      </c>
      <c r="E4152" s="46">
        <v>5016100</v>
      </c>
      <c r="F4152" s="17" t="s">
        <v>1096</v>
      </c>
      <c r="G4152" s="9">
        <v>45910</v>
      </c>
      <c r="K4152" s="264"/>
      <c r="L4152" s="264"/>
      <c r="M4152" s="264"/>
      <c r="N4152" s="264"/>
      <c r="O4152" s="264"/>
      <c r="P4152" s="264"/>
      <c r="Q4152" s="264"/>
      <c r="R4152" s="264"/>
    </row>
    <row r="4153" spans="1:18">
      <c r="A4153" s="45">
        <v>45893</v>
      </c>
      <c r="B4153" s="264" t="s">
        <v>769</v>
      </c>
      <c r="C4153" s="46">
        <v>2725800</v>
      </c>
      <c r="D4153" s="46">
        <v>2478000</v>
      </c>
      <c r="E4153" s="46">
        <v>247800</v>
      </c>
      <c r="F4153" s="17" t="s">
        <v>1127</v>
      </c>
      <c r="G4153" s="9">
        <v>45910</v>
      </c>
      <c r="K4153" s="264"/>
      <c r="L4153" s="264"/>
      <c r="M4153" s="264"/>
      <c r="N4153" s="264"/>
      <c r="O4153" s="264"/>
      <c r="P4153" s="264"/>
      <c r="Q4153" s="264"/>
      <c r="R4153" s="264"/>
    </row>
    <row r="4154" spans="1:18">
      <c r="A4154" s="45">
        <v>45893</v>
      </c>
      <c r="B4154" s="264" t="s">
        <v>769</v>
      </c>
      <c r="C4154" s="46">
        <v>27812400</v>
      </c>
      <c r="D4154" s="46">
        <v>25284000</v>
      </c>
      <c r="E4154" s="46">
        <v>2528400</v>
      </c>
      <c r="F4154" s="17" t="s">
        <v>1218</v>
      </c>
      <c r="G4154" s="9">
        <v>45910</v>
      </c>
      <c r="K4154" s="223"/>
    </row>
    <row r="4155" spans="1:18" ht="15.6" customHeight="1">
      <c r="A4155" s="45">
        <v>45893</v>
      </c>
      <c r="B4155" s="264" t="s">
        <v>769</v>
      </c>
      <c r="C4155" s="46">
        <v>8917700</v>
      </c>
      <c r="D4155" s="46">
        <v>8107000</v>
      </c>
      <c r="E4155" s="46">
        <v>810700</v>
      </c>
      <c r="F4155" s="17" t="s">
        <v>1219</v>
      </c>
      <c r="G4155" s="9">
        <v>45910</v>
      </c>
      <c r="K4155" s="223"/>
    </row>
    <row r="4156" spans="1:18" ht="15.6" customHeight="1">
      <c r="A4156" s="45">
        <v>45893</v>
      </c>
      <c r="B4156" s="264" t="s">
        <v>769</v>
      </c>
      <c r="C4156" s="46">
        <v>11006270</v>
      </c>
      <c r="D4156" s="46">
        <v>10005700</v>
      </c>
      <c r="E4156" s="46">
        <v>1000570</v>
      </c>
      <c r="F4156" s="17" t="s">
        <v>1245</v>
      </c>
      <c r="G4156" s="9">
        <v>45910</v>
      </c>
      <c r="K4156" s="263"/>
      <c r="L4156" s="263"/>
      <c r="M4156" s="263"/>
      <c r="N4156" s="263"/>
      <c r="O4156" s="263"/>
      <c r="P4156" s="263"/>
      <c r="Q4156" s="263"/>
      <c r="R4156" s="263"/>
    </row>
    <row r="4157" spans="1:18">
      <c r="A4157" s="45">
        <v>45893</v>
      </c>
      <c r="B4157" s="265" t="s">
        <v>432</v>
      </c>
      <c r="C4157" s="46">
        <f>D4157+E4157</f>
        <v>15039310</v>
      </c>
      <c r="D4157" s="46">
        <v>13672100</v>
      </c>
      <c r="E4157" s="46">
        <v>1367210</v>
      </c>
      <c r="F4157" s="17" t="s">
        <v>1236</v>
      </c>
      <c r="G4157" s="9">
        <v>45898</v>
      </c>
      <c r="K4157" s="223"/>
    </row>
    <row r="4158" spans="1:18">
      <c r="A4158" s="45">
        <v>45900</v>
      </c>
      <c r="B4158" s="265" t="s">
        <v>432</v>
      </c>
      <c r="C4158" s="46">
        <f>D4158+E4158</f>
        <v>10953160</v>
      </c>
      <c r="D4158" s="46">
        <v>9957420</v>
      </c>
      <c r="E4158" s="46">
        <v>995740</v>
      </c>
      <c r="F4158" s="17" t="s">
        <v>1236</v>
      </c>
      <c r="G4158" s="9">
        <v>45917</v>
      </c>
      <c r="K4158" s="223"/>
    </row>
    <row r="4159" spans="1:18">
      <c r="A4159" s="45">
        <v>45900</v>
      </c>
      <c r="B4159" s="265" t="s">
        <v>432</v>
      </c>
      <c r="C4159" s="46">
        <f>D4159+E4159</f>
        <v>40333120</v>
      </c>
      <c r="D4159" s="46">
        <v>36666480</v>
      </c>
      <c r="E4159" s="46">
        <v>3666640</v>
      </c>
      <c r="F4159" s="17" t="s">
        <v>1237</v>
      </c>
      <c r="G4159" s="9">
        <v>45908</v>
      </c>
      <c r="I4159" s="301" t="s">
        <v>531</v>
      </c>
      <c r="J4159" s="302"/>
      <c r="K4159" s="303"/>
    </row>
    <row r="4160" spans="1:18">
      <c r="A4160" s="45">
        <v>45900</v>
      </c>
      <c r="B4160" s="265" t="s">
        <v>432</v>
      </c>
      <c r="C4160" s="46">
        <v>87489325</v>
      </c>
      <c r="D4160" s="46">
        <v>79535750</v>
      </c>
      <c r="E4160" s="46">
        <v>7953575</v>
      </c>
      <c r="F4160" s="17" t="s">
        <v>13</v>
      </c>
      <c r="G4160" s="9">
        <v>45912</v>
      </c>
      <c r="I4160" s="18" t="s">
        <v>46</v>
      </c>
      <c r="J4160" s="222" t="s">
        <v>47</v>
      </c>
      <c r="K4160" s="222" t="s">
        <v>48</v>
      </c>
    </row>
    <row r="4161" spans="1:19" s="226" customFormat="1">
      <c r="A4161" s="119">
        <v>45900</v>
      </c>
      <c r="B4161" s="42" t="s">
        <v>432</v>
      </c>
      <c r="C4161" s="118">
        <v>51763800</v>
      </c>
      <c r="D4161" s="118">
        <v>47058000</v>
      </c>
      <c r="E4161" s="118">
        <v>4705800</v>
      </c>
      <c r="F4161" s="51" t="s">
        <v>13</v>
      </c>
      <c r="G4161" s="10">
        <v>45912</v>
      </c>
      <c r="H4161" s="51"/>
      <c r="I4161" s="18">
        <f>SUM(C4145:C4161)</f>
        <v>380702749</v>
      </c>
      <c r="J4161" s="18">
        <f>SUM(D4145:D4161)</f>
        <v>347342348</v>
      </c>
      <c r="K4161" s="18">
        <f>SUM(E4145:E4161)</f>
        <v>33360401</v>
      </c>
      <c r="L4161" s="42"/>
      <c r="M4161" s="42"/>
      <c r="N4161" s="42"/>
      <c r="O4161" s="42"/>
      <c r="P4161" s="42"/>
      <c r="Q4161" s="42"/>
      <c r="R4161" s="42"/>
      <c r="S4161" s="42"/>
    </row>
    <row r="4162" spans="1:19">
      <c r="A4162" s="45">
        <v>45901</v>
      </c>
      <c r="B4162" s="265" t="s">
        <v>958</v>
      </c>
      <c r="C4162" s="46">
        <v>8897570</v>
      </c>
      <c r="D4162" s="46">
        <v>8897570</v>
      </c>
      <c r="E4162" s="46">
        <v>0</v>
      </c>
      <c r="F4162" s="17" t="s">
        <v>1235</v>
      </c>
      <c r="G4162" s="9">
        <v>45910</v>
      </c>
      <c r="K4162" s="223"/>
    </row>
    <row r="4163" spans="1:19">
      <c r="A4163" s="45" t="s">
        <v>1243</v>
      </c>
      <c r="B4163" s="267" t="s">
        <v>1222</v>
      </c>
      <c r="C4163" s="46">
        <v>440000</v>
      </c>
      <c r="D4163" s="46">
        <v>400000</v>
      </c>
      <c r="E4163" s="46">
        <v>40000</v>
      </c>
      <c r="F4163" s="17" t="s">
        <v>1244</v>
      </c>
      <c r="G4163" s="9">
        <v>45901</v>
      </c>
      <c r="K4163" s="267"/>
      <c r="L4163" s="267"/>
      <c r="M4163" s="267"/>
      <c r="N4163" s="267"/>
      <c r="O4163" s="267"/>
      <c r="P4163" s="267"/>
      <c r="Q4163" s="267"/>
      <c r="R4163" s="267"/>
    </row>
    <row r="4164" spans="1:19">
      <c r="A4164" s="45">
        <v>45907</v>
      </c>
      <c r="B4164" s="265" t="s">
        <v>432</v>
      </c>
      <c r="C4164" s="46">
        <v>11954580</v>
      </c>
      <c r="D4164" s="46">
        <v>10867800</v>
      </c>
      <c r="E4164" s="46">
        <v>1086780</v>
      </c>
      <c r="F4164" s="17" t="s">
        <v>1230</v>
      </c>
      <c r="G4164" s="9">
        <v>45912</v>
      </c>
      <c r="K4164" s="223"/>
    </row>
    <row r="4165" spans="1:19">
      <c r="A4165" s="45">
        <v>45907</v>
      </c>
      <c r="B4165" s="265" t="s">
        <v>432</v>
      </c>
      <c r="C4165" s="46">
        <v>29027570</v>
      </c>
      <c r="D4165" s="46">
        <v>26388700</v>
      </c>
      <c r="E4165" s="46">
        <v>2638870</v>
      </c>
      <c r="F4165" s="17" t="s">
        <v>1238</v>
      </c>
      <c r="G4165" s="9">
        <v>45912</v>
      </c>
      <c r="K4165" s="263"/>
      <c r="L4165" s="263"/>
      <c r="M4165" s="263"/>
      <c r="N4165" s="263"/>
      <c r="O4165" s="263"/>
      <c r="P4165" s="263"/>
      <c r="Q4165" s="263"/>
      <c r="R4165" s="263"/>
    </row>
    <row r="4166" spans="1:19">
      <c r="A4166" s="45">
        <v>45914</v>
      </c>
      <c r="B4166" s="265" t="s">
        <v>432</v>
      </c>
      <c r="C4166" s="46">
        <v>17659730</v>
      </c>
      <c r="D4166" s="46">
        <v>16054300</v>
      </c>
      <c r="E4166" s="46">
        <v>1605430</v>
      </c>
      <c r="F4166" s="17" t="s">
        <v>1230</v>
      </c>
      <c r="G4166" s="9">
        <v>45922</v>
      </c>
      <c r="K4166" s="263"/>
      <c r="L4166" s="263"/>
      <c r="M4166" s="263"/>
      <c r="N4166" s="263"/>
      <c r="O4166" s="263"/>
      <c r="P4166" s="263"/>
      <c r="Q4166" s="263"/>
      <c r="R4166" s="263"/>
    </row>
    <row r="4167" spans="1:19">
      <c r="A4167" s="45">
        <v>45914</v>
      </c>
      <c r="B4167" s="265" t="s">
        <v>432</v>
      </c>
      <c r="C4167" s="46">
        <v>27101855</v>
      </c>
      <c r="D4167" s="46">
        <v>24638050</v>
      </c>
      <c r="E4167" s="46">
        <v>2463805</v>
      </c>
      <c r="F4167" s="17" t="s">
        <v>1238</v>
      </c>
      <c r="G4167" s="9">
        <v>45919</v>
      </c>
      <c r="K4167" s="263"/>
      <c r="L4167" s="263"/>
      <c r="M4167" s="263"/>
      <c r="N4167" s="263"/>
      <c r="O4167" s="263"/>
      <c r="P4167" s="263"/>
      <c r="Q4167" s="263"/>
      <c r="R4167" s="263"/>
    </row>
    <row r="4168" spans="1:19">
      <c r="A4168" s="45">
        <v>45917</v>
      </c>
      <c r="B4168" s="263" t="s">
        <v>432</v>
      </c>
      <c r="C4168" s="46">
        <v>20113500</v>
      </c>
      <c r="D4168" s="46">
        <v>18285000</v>
      </c>
      <c r="E4168" s="46">
        <v>1828500</v>
      </c>
      <c r="F4168" s="17" t="s">
        <v>13</v>
      </c>
      <c r="G4168" s="9">
        <v>45931</v>
      </c>
      <c r="K4168" s="263"/>
      <c r="L4168" s="263"/>
      <c r="M4168" s="263"/>
      <c r="N4168" s="263"/>
      <c r="O4168" s="263"/>
      <c r="P4168" s="263"/>
      <c r="Q4168" s="263"/>
      <c r="R4168" s="263"/>
    </row>
    <row r="4169" spans="1:19">
      <c r="A4169" s="45">
        <v>45917</v>
      </c>
      <c r="B4169" s="14" t="s">
        <v>432</v>
      </c>
      <c r="C4169" s="46">
        <v>36626040</v>
      </c>
      <c r="D4169" s="46">
        <v>33296400</v>
      </c>
      <c r="E4169" s="46">
        <v>3329640</v>
      </c>
      <c r="F4169" s="17" t="s">
        <v>13</v>
      </c>
      <c r="G4169" s="9">
        <v>45931</v>
      </c>
      <c r="K4169" s="223"/>
    </row>
    <row r="4170" spans="1:19">
      <c r="A4170" s="45">
        <v>45921</v>
      </c>
      <c r="B4170" s="14" t="s">
        <v>432</v>
      </c>
      <c r="C4170" s="46">
        <v>32289598</v>
      </c>
      <c r="D4170" s="46">
        <v>29354180</v>
      </c>
      <c r="E4170" s="46">
        <v>2935418</v>
      </c>
      <c r="F4170" s="17" t="s">
        <v>1238</v>
      </c>
      <c r="G4170" s="9">
        <v>45926</v>
      </c>
      <c r="K4170" s="223"/>
    </row>
    <row r="4171" spans="1:19">
      <c r="A4171" s="45">
        <v>45921</v>
      </c>
      <c r="B4171" s="14" t="s">
        <v>432</v>
      </c>
      <c r="C4171" s="46">
        <v>14730034</v>
      </c>
      <c r="D4171" s="46">
        <v>13390940</v>
      </c>
      <c r="E4171" s="46">
        <v>1339094</v>
      </c>
      <c r="F4171" s="17" t="s">
        <v>1239</v>
      </c>
      <c r="G4171" s="9">
        <v>45931</v>
      </c>
      <c r="K4171" s="223"/>
    </row>
    <row r="4172" spans="1:19">
      <c r="A4172" s="45">
        <v>45922</v>
      </c>
      <c r="B4172" s="266" t="s">
        <v>902</v>
      </c>
      <c r="C4172" s="46">
        <v>4841580</v>
      </c>
      <c r="D4172" s="46">
        <v>4841580</v>
      </c>
      <c r="E4172" s="46">
        <v>0</v>
      </c>
      <c r="F4172" s="17" t="s">
        <v>1240</v>
      </c>
      <c r="G4172" s="9">
        <v>45930</v>
      </c>
      <c r="K4172" s="266"/>
      <c r="L4172" s="266"/>
      <c r="M4172" s="266"/>
      <c r="N4172" s="266"/>
      <c r="O4172" s="266"/>
      <c r="P4172" s="266"/>
      <c r="Q4172" s="266"/>
      <c r="R4172" s="266"/>
    </row>
    <row r="4173" spans="1:19">
      <c r="A4173" s="45">
        <v>45923</v>
      </c>
      <c r="B4173" s="266" t="s">
        <v>1163</v>
      </c>
      <c r="C4173" s="46">
        <v>1767000</v>
      </c>
      <c r="D4173" s="46">
        <v>1606364</v>
      </c>
      <c r="E4173" s="46">
        <v>160636</v>
      </c>
      <c r="F4173" s="17" t="s">
        <v>1241</v>
      </c>
      <c r="G4173" s="9">
        <v>45925</v>
      </c>
      <c r="K4173" s="266"/>
      <c r="L4173" s="266"/>
      <c r="M4173" s="266"/>
      <c r="N4173" s="266"/>
      <c r="O4173" s="266"/>
      <c r="P4173" s="266"/>
      <c r="Q4173" s="266"/>
      <c r="R4173" s="266"/>
    </row>
    <row r="4174" spans="1:19">
      <c r="A4174" s="45" t="s">
        <v>1246</v>
      </c>
      <c r="B4174" s="266" t="s">
        <v>769</v>
      </c>
      <c r="C4174" s="46">
        <v>64229550</v>
      </c>
      <c r="D4174" s="46">
        <v>58390500</v>
      </c>
      <c r="E4174" s="46">
        <v>5839050</v>
      </c>
      <c r="F4174" s="17" t="s">
        <v>1096</v>
      </c>
      <c r="G4174" s="9">
        <v>45945</v>
      </c>
      <c r="K4174" s="266"/>
      <c r="L4174" s="266"/>
      <c r="M4174" s="266"/>
      <c r="N4174" s="266"/>
      <c r="O4174" s="266"/>
      <c r="P4174" s="266"/>
      <c r="Q4174" s="266"/>
      <c r="R4174" s="266"/>
    </row>
    <row r="4175" spans="1:19">
      <c r="A4175" s="45" t="s">
        <v>1246</v>
      </c>
      <c r="B4175" s="266" t="s">
        <v>769</v>
      </c>
      <c r="C4175" s="46">
        <v>2438700</v>
      </c>
      <c r="D4175" s="46">
        <v>2217000</v>
      </c>
      <c r="E4175" s="46">
        <v>221700</v>
      </c>
      <c r="F4175" s="17" t="s">
        <v>1127</v>
      </c>
      <c r="G4175" s="9">
        <v>45945</v>
      </c>
      <c r="K4175" s="266"/>
      <c r="L4175" s="266"/>
      <c r="M4175" s="266"/>
      <c r="N4175" s="266"/>
      <c r="O4175" s="266"/>
      <c r="P4175" s="266"/>
      <c r="Q4175" s="266"/>
      <c r="R4175" s="266"/>
    </row>
    <row r="4176" spans="1:19">
      <c r="A4176" s="45" t="s">
        <v>1246</v>
      </c>
      <c r="B4176" s="266" t="s">
        <v>769</v>
      </c>
      <c r="C4176" s="46">
        <v>26606250</v>
      </c>
      <c r="D4176" s="46">
        <v>24187500</v>
      </c>
      <c r="E4176" s="46">
        <v>2418750</v>
      </c>
      <c r="F4176" s="17" t="s">
        <v>1098</v>
      </c>
      <c r="G4176" s="9">
        <v>45945</v>
      </c>
      <c r="K4176" s="266"/>
      <c r="L4176" s="266"/>
      <c r="M4176" s="266"/>
      <c r="N4176" s="266"/>
      <c r="O4176" s="266"/>
      <c r="P4176" s="266"/>
      <c r="Q4176" s="266"/>
      <c r="R4176" s="266"/>
    </row>
    <row r="4177" spans="1:19">
      <c r="A4177" s="45" t="s">
        <v>1246</v>
      </c>
      <c r="B4177" s="272" t="s">
        <v>769</v>
      </c>
      <c r="C4177" s="46">
        <v>7509700</v>
      </c>
      <c r="D4177" s="46">
        <v>6827000</v>
      </c>
      <c r="E4177" s="46">
        <v>682700</v>
      </c>
      <c r="F4177" s="17" t="s">
        <v>1099</v>
      </c>
      <c r="G4177" s="9">
        <v>45945</v>
      </c>
      <c r="K4177" s="272"/>
      <c r="L4177" s="272"/>
      <c r="M4177" s="272"/>
      <c r="N4177" s="272"/>
      <c r="O4177" s="272"/>
      <c r="P4177" s="272"/>
      <c r="Q4177" s="272"/>
      <c r="R4177" s="272"/>
    </row>
    <row r="4178" spans="1:19">
      <c r="A4178" s="45" t="s">
        <v>1246</v>
      </c>
      <c r="B4178" s="272" t="s">
        <v>769</v>
      </c>
      <c r="C4178" s="46">
        <v>9908360</v>
      </c>
      <c r="D4178" s="46">
        <v>9007600</v>
      </c>
      <c r="E4178" s="46">
        <v>900760</v>
      </c>
      <c r="F4178" s="17" t="s">
        <v>1252</v>
      </c>
      <c r="G4178" s="9">
        <v>45950</v>
      </c>
      <c r="K4178" s="223"/>
    </row>
    <row r="4179" spans="1:19">
      <c r="A4179" s="45">
        <v>45928</v>
      </c>
      <c r="B4179" s="272" t="s">
        <v>432</v>
      </c>
      <c r="C4179" s="46">
        <v>23076900</v>
      </c>
      <c r="D4179" s="46">
        <v>20979000</v>
      </c>
      <c r="E4179" s="46">
        <v>2097900</v>
      </c>
      <c r="F4179" s="17" t="s">
        <v>1238</v>
      </c>
      <c r="G4179" s="9">
        <v>45940</v>
      </c>
      <c r="K4179" s="223"/>
    </row>
    <row r="4180" spans="1:19">
      <c r="A4180" s="45">
        <v>45928</v>
      </c>
      <c r="B4180" s="272" t="s">
        <v>432</v>
      </c>
      <c r="C4180" s="46">
        <v>18196706</v>
      </c>
      <c r="D4180" s="46">
        <v>16542460</v>
      </c>
      <c r="E4180" s="46">
        <v>1654246</v>
      </c>
      <c r="F4180" s="17" t="s">
        <v>1236</v>
      </c>
      <c r="G4180" s="9">
        <v>45947</v>
      </c>
      <c r="I4180" s="301" t="s">
        <v>326</v>
      </c>
      <c r="J4180" s="302"/>
      <c r="K4180" s="303"/>
    </row>
    <row r="4181" spans="1:19">
      <c r="A4181" s="45" t="s">
        <v>1247</v>
      </c>
      <c r="B4181" s="266" t="s">
        <v>1224</v>
      </c>
      <c r="C4181" s="46">
        <v>840000</v>
      </c>
      <c r="D4181" s="46">
        <v>763636</v>
      </c>
      <c r="E4181" s="46">
        <v>76364</v>
      </c>
      <c r="F4181" s="17" t="s">
        <v>1259</v>
      </c>
      <c r="G4181" s="9">
        <v>45967</v>
      </c>
      <c r="I4181" s="18" t="s">
        <v>46</v>
      </c>
      <c r="J4181" s="222" t="s">
        <v>47</v>
      </c>
      <c r="K4181" s="222" t="s">
        <v>48</v>
      </c>
    </row>
    <row r="4182" spans="1:19" s="226" customFormat="1">
      <c r="A4182" s="119">
        <v>45930</v>
      </c>
      <c r="B4182" s="42" t="s">
        <v>958</v>
      </c>
      <c r="C4182" s="118">
        <v>20561238</v>
      </c>
      <c r="D4182" s="118">
        <v>20561238</v>
      </c>
      <c r="E4182" s="118">
        <v>0</v>
      </c>
      <c r="F4182" s="51" t="s">
        <v>1242</v>
      </c>
      <c r="G4182" s="10">
        <v>45940</v>
      </c>
      <c r="H4182" s="51"/>
      <c r="I4182" s="18">
        <f>SUM(C4162:C4182)</f>
        <v>378816461</v>
      </c>
      <c r="J4182" s="18">
        <f>SUM(D4162:D4182)</f>
        <v>347496818</v>
      </c>
      <c r="K4182" s="18">
        <f>SUM(E4162:E4182)</f>
        <v>31319643</v>
      </c>
      <c r="L4182" s="42"/>
      <c r="M4182" s="42"/>
      <c r="N4182" s="42"/>
      <c r="O4182" s="42"/>
      <c r="P4182" s="42"/>
      <c r="Q4182" s="42"/>
      <c r="R4182" s="42"/>
      <c r="S4182" s="42"/>
    </row>
    <row r="4183" spans="1:19">
      <c r="A4183" s="45" t="s">
        <v>1260</v>
      </c>
      <c r="B4183" s="266" t="s">
        <v>1222</v>
      </c>
      <c r="C4183" s="46">
        <v>440000</v>
      </c>
      <c r="D4183" s="46">
        <v>400000</v>
      </c>
      <c r="E4183" s="46">
        <v>40000</v>
      </c>
      <c r="F4183" s="17" t="s">
        <v>1261</v>
      </c>
      <c r="G4183" s="9">
        <v>45931</v>
      </c>
      <c r="K4183" s="223"/>
    </row>
    <row r="4184" spans="1:19">
      <c r="A4184" s="45">
        <v>45935</v>
      </c>
      <c r="B4184" s="272" t="s">
        <v>432</v>
      </c>
      <c r="C4184" s="46">
        <v>8172274</v>
      </c>
      <c r="D4184" s="46">
        <v>7429340</v>
      </c>
      <c r="E4184" s="46">
        <v>742934</v>
      </c>
      <c r="F4184" s="17" t="s">
        <v>1230</v>
      </c>
      <c r="G4184" s="9">
        <v>45947</v>
      </c>
      <c r="K4184" s="272"/>
      <c r="L4184" s="272"/>
      <c r="M4184" s="272"/>
      <c r="N4184" s="272"/>
      <c r="O4184" s="272"/>
      <c r="P4184" s="272"/>
      <c r="Q4184" s="272"/>
      <c r="R4184" s="272"/>
    </row>
    <row r="4185" spans="1:19">
      <c r="A4185" s="45">
        <v>45935</v>
      </c>
      <c r="B4185" s="266" t="s">
        <v>432</v>
      </c>
      <c r="C4185" s="46">
        <v>25167120</v>
      </c>
      <c r="D4185" s="46">
        <v>22879200</v>
      </c>
      <c r="E4185" s="46">
        <v>2287920</v>
      </c>
      <c r="F4185" s="17" t="s">
        <v>1238</v>
      </c>
      <c r="G4185" s="9">
        <v>45947</v>
      </c>
      <c r="K4185" s="223"/>
    </row>
    <row r="4186" spans="1:19">
      <c r="A4186" s="45">
        <v>45942</v>
      </c>
      <c r="B4186" s="266" t="s">
        <v>432</v>
      </c>
      <c r="C4186" s="46">
        <v>41664480</v>
      </c>
      <c r="D4186" s="46">
        <v>37876800</v>
      </c>
      <c r="E4186" s="46">
        <v>3787680</v>
      </c>
      <c r="F4186" s="17" t="s">
        <v>1238</v>
      </c>
      <c r="G4186" s="9">
        <v>45947</v>
      </c>
      <c r="K4186" s="223"/>
    </row>
    <row r="4187" spans="1:19">
      <c r="A4187" s="45">
        <v>45942</v>
      </c>
      <c r="B4187" s="266" t="s">
        <v>432</v>
      </c>
      <c r="C4187" s="46">
        <v>12510922</v>
      </c>
      <c r="D4187" s="46">
        <v>11373566</v>
      </c>
      <c r="E4187" s="46">
        <v>1137356</v>
      </c>
      <c r="F4187" s="17" t="s">
        <v>1248</v>
      </c>
      <c r="G4187" s="9">
        <v>45954</v>
      </c>
      <c r="K4187" s="223"/>
    </row>
    <row r="4188" spans="1:19">
      <c r="A4188" s="45">
        <v>45949</v>
      </c>
      <c r="B4188" s="266" t="s">
        <v>432</v>
      </c>
      <c r="C4188" s="46">
        <v>10908590</v>
      </c>
      <c r="D4188" s="46">
        <v>9916900</v>
      </c>
      <c r="E4188" s="46">
        <v>991690</v>
      </c>
      <c r="F4188" s="17" t="s">
        <v>1249</v>
      </c>
      <c r="G4188" s="9">
        <v>45954</v>
      </c>
      <c r="K4188" s="223"/>
    </row>
    <row r="4189" spans="1:19">
      <c r="A4189" s="45">
        <v>45949</v>
      </c>
      <c r="B4189" s="14" t="s">
        <v>432</v>
      </c>
      <c r="C4189" s="46">
        <v>23757030</v>
      </c>
      <c r="D4189" s="46">
        <v>21597300</v>
      </c>
      <c r="E4189" s="46">
        <v>2159730</v>
      </c>
      <c r="F4189" s="17" t="s">
        <v>1238</v>
      </c>
      <c r="G4189" s="9">
        <v>45954</v>
      </c>
      <c r="K4189" s="223"/>
    </row>
    <row r="4190" spans="1:19">
      <c r="A4190" s="45">
        <v>45951</v>
      </c>
      <c r="B4190" s="268" t="s">
        <v>902</v>
      </c>
      <c r="C4190" s="46">
        <v>5262850</v>
      </c>
      <c r="D4190" s="46">
        <v>5262850</v>
      </c>
      <c r="E4190" s="46">
        <v>0</v>
      </c>
      <c r="F4190" s="17" t="s">
        <v>1250</v>
      </c>
      <c r="G4190" s="9">
        <v>45961</v>
      </c>
      <c r="K4190" s="223"/>
    </row>
    <row r="4191" spans="1:19">
      <c r="A4191" s="45">
        <v>45954</v>
      </c>
      <c r="B4191" s="269" t="s">
        <v>958</v>
      </c>
      <c r="C4191" s="46">
        <v>504210</v>
      </c>
      <c r="D4191" s="46">
        <v>504210</v>
      </c>
      <c r="E4191" s="46">
        <v>0</v>
      </c>
      <c r="F4191" s="17" t="s">
        <v>1251</v>
      </c>
      <c r="G4191" s="9">
        <v>45971</v>
      </c>
      <c r="K4191" s="269"/>
      <c r="L4191" s="269"/>
      <c r="M4191" s="269"/>
      <c r="N4191" s="269"/>
      <c r="O4191" s="269"/>
      <c r="P4191" s="269"/>
      <c r="Q4191" s="269"/>
      <c r="R4191" s="269"/>
    </row>
    <row r="4192" spans="1:19">
      <c r="A4192" s="45">
        <v>45954</v>
      </c>
      <c r="B4192" s="270" t="s">
        <v>769</v>
      </c>
      <c r="C4192" s="46">
        <v>50377261</v>
      </c>
      <c r="D4192" s="46">
        <v>45797510</v>
      </c>
      <c r="E4192" s="46">
        <v>4579751</v>
      </c>
      <c r="F4192" s="17" t="s">
        <v>1096</v>
      </c>
      <c r="G4192" s="9">
        <v>45971</v>
      </c>
      <c r="K4192" s="269"/>
      <c r="L4192" s="269"/>
      <c r="M4192" s="269"/>
      <c r="N4192" s="269"/>
      <c r="O4192" s="269"/>
      <c r="P4192" s="269"/>
      <c r="Q4192" s="269"/>
      <c r="R4192" s="269"/>
    </row>
    <row r="4193" spans="1:19">
      <c r="A4193" s="45">
        <v>45954</v>
      </c>
      <c r="B4193" s="270" t="s">
        <v>769</v>
      </c>
      <c r="C4193" s="46">
        <v>3752100</v>
      </c>
      <c r="D4193" s="46">
        <v>3411000</v>
      </c>
      <c r="E4193" s="46">
        <v>341100</v>
      </c>
      <c r="F4193" s="17" t="s">
        <v>1127</v>
      </c>
      <c r="G4193" s="9">
        <v>45971</v>
      </c>
      <c r="K4193" s="269"/>
      <c r="L4193" s="269"/>
      <c r="M4193" s="269"/>
      <c r="N4193" s="269"/>
      <c r="O4193" s="269"/>
      <c r="P4193" s="269"/>
      <c r="Q4193" s="269"/>
      <c r="R4193" s="269"/>
    </row>
    <row r="4194" spans="1:19">
      <c r="A4194" s="45">
        <v>45954</v>
      </c>
      <c r="B4194" s="271" t="s">
        <v>769</v>
      </c>
      <c r="C4194" s="46">
        <v>23981100</v>
      </c>
      <c r="D4194" s="46">
        <v>21801000</v>
      </c>
      <c r="E4194" s="46">
        <v>2180100</v>
      </c>
      <c r="F4194" s="17" t="s">
        <v>1098</v>
      </c>
      <c r="G4194" s="9">
        <v>45971</v>
      </c>
      <c r="K4194" s="269"/>
      <c r="L4194" s="269"/>
      <c r="M4194" s="269"/>
      <c r="N4194" s="269"/>
      <c r="O4194" s="269"/>
      <c r="P4194" s="269"/>
      <c r="Q4194" s="269"/>
      <c r="R4194" s="269"/>
    </row>
    <row r="4195" spans="1:19">
      <c r="A4195" s="45">
        <v>45954</v>
      </c>
      <c r="B4195" s="272" t="s">
        <v>769</v>
      </c>
      <c r="C4195" s="46">
        <v>2838000</v>
      </c>
      <c r="D4195" s="46">
        <v>2580000</v>
      </c>
      <c r="E4195" s="46">
        <v>258000</v>
      </c>
      <c r="F4195" s="17" t="s">
        <v>1099</v>
      </c>
      <c r="G4195" s="9">
        <v>45971</v>
      </c>
      <c r="K4195" s="272"/>
      <c r="L4195" s="272"/>
      <c r="M4195" s="272"/>
      <c r="N4195" s="272"/>
      <c r="O4195" s="272"/>
      <c r="P4195" s="272"/>
      <c r="Q4195" s="272"/>
      <c r="R4195" s="272"/>
    </row>
    <row r="4196" spans="1:19">
      <c r="A4196" s="45">
        <v>45954</v>
      </c>
      <c r="B4196" s="272" t="s">
        <v>769</v>
      </c>
      <c r="C4196" s="46">
        <v>11738210</v>
      </c>
      <c r="D4196" s="46">
        <v>10671100</v>
      </c>
      <c r="E4196" s="46">
        <v>1067110</v>
      </c>
      <c r="F4196" s="17" t="s">
        <v>1269</v>
      </c>
      <c r="G4196" s="9">
        <v>45971</v>
      </c>
      <c r="K4196" s="223"/>
    </row>
    <row r="4197" spans="1:19">
      <c r="A4197" s="45">
        <v>45956</v>
      </c>
      <c r="B4197" s="272" t="s">
        <v>432</v>
      </c>
      <c r="C4197" s="46">
        <v>29643240</v>
      </c>
      <c r="D4197" s="46">
        <v>26948400</v>
      </c>
      <c r="E4197" s="46">
        <v>2694840</v>
      </c>
      <c r="F4197" s="17" t="s">
        <v>1253</v>
      </c>
      <c r="G4197" s="9">
        <v>45961</v>
      </c>
      <c r="I4197" s="301" t="s">
        <v>536</v>
      </c>
      <c r="J4197" s="302"/>
      <c r="K4197" s="303"/>
    </row>
    <row r="4198" spans="1:19">
      <c r="A4198" s="45">
        <v>45956</v>
      </c>
      <c r="B4198" s="272" t="s">
        <v>432</v>
      </c>
      <c r="C4198" s="46">
        <v>23075822</v>
      </c>
      <c r="D4198" s="46">
        <v>20978020</v>
      </c>
      <c r="E4198" s="46">
        <v>2097802</v>
      </c>
      <c r="F4198" s="17" t="s">
        <v>1254</v>
      </c>
      <c r="G4198" s="9">
        <v>45961</v>
      </c>
      <c r="I4198" s="18" t="s">
        <v>46</v>
      </c>
      <c r="J4198" s="222" t="s">
        <v>47</v>
      </c>
      <c r="K4198" s="222" t="s">
        <v>48</v>
      </c>
    </row>
    <row r="4199" spans="1:19" s="226" customFormat="1">
      <c r="A4199" s="119" t="s">
        <v>1255</v>
      </c>
      <c r="B4199" s="42" t="s">
        <v>1224</v>
      </c>
      <c r="C4199" s="118">
        <v>1760000</v>
      </c>
      <c r="D4199" s="118">
        <v>1600000</v>
      </c>
      <c r="E4199" s="118">
        <v>160000</v>
      </c>
      <c r="F4199" s="51" t="s">
        <v>1262</v>
      </c>
      <c r="G4199" s="10">
        <v>45986</v>
      </c>
      <c r="H4199" s="51"/>
      <c r="I4199" s="18">
        <f>SUM(C4183:C4199)</f>
        <v>275553209</v>
      </c>
      <c r="J4199" s="18">
        <f>SUM(D4183:D4199)</f>
        <v>251027196</v>
      </c>
      <c r="K4199" s="18">
        <f>SUM(E4183:E4199)</f>
        <v>24526013</v>
      </c>
      <c r="L4199" s="42"/>
      <c r="M4199" s="42"/>
      <c r="N4199" s="42"/>
      <c r="O4199" s="42"/>
      <c r="P4199" s="42"/>
      <c r="Q4199" s="42"/>
      <c r="R4199" s="42"/>
      <c r="S4199" s="42"/>
    </row>
    <row r="4200" spans="1:19">
      <c r="A4200" s="45">
        <v>45963</v>
      </c>
      <c r="B4200" s="14" t="s">
        <v>432</v>
      </c>
      <c r="C4200" s="46">
        <v>26608560</v>
      </c>
      <c r="D4200" s="46">
        <v>24189600</v>
      </c>
      <c r="E4200" s="46">
        <v>2418960</v>
      </c>
      <c r="F4200" s="17" t="s">
        <v>1253</v>
      </c>
      <c r="G4200" s="9">
        <v>45971</v>
      </c>
      <c r="K4200" s="223"/>
    </row>
    <row r="4201" spans="1:19">
      <c r="A4201" s="45">
        <v>45963</v>
      </c>
      <c r="B4201" s="269" t="s">
        <v>432</v>
      </c>
      <c r="C4201" s="46">
        <v>25290694</v>
      </c>
      <c r="D4201" s="46">
        <v>22991540</v>
      </c>
      <c r="E4201" s="46">
        <v>2299154</v>
      </c>
      <c r="F4201" s="17" t="s">
        <v>1254</v>
      </c>
      <c r="G4201" s="9">
        <v>45968</v>
      </c>
      <c r="K4201" s="269"/>
      <c r="L4201" s="269"/>
      <c r="M4201" s="269"/>
      <c r="N4201" s="269"/>
      <c r="O4201" s="269"/>
      <c r="P4201" s="269"/>
      <c r="Q4201" s="269"/>
      <c r="R4201" s="269"/>
    </row>
    <row r="4202" spans="1:19">
      <c r="A4202" s="45" t="s">
        <v>1263</v>
      </c>
      <c r="B4202" s="272" t="s">
        <v>1222</v>
      </c>
      <c r="C4202" s="46">
        <v>440000</v>
      </c>
      <c r="D4202" s="46">
        <v>400000</v>
      </c>
      <c r="E4202" s="46">
        <v>40000</v>
      </c>
      <c r="F4202" s="17" t="s">
        <v>1264</v>
      </c>
      <c r="G4202" s="9">
        <v>45964</v>
      </c>
      <c r="K4202" s="272"/>
      <c r="L4202" s="272"/>
      <c r="M4202" s="272"/>
      <c r="N4202" s="272"/>
      <c r="O4202" s="272"/>
      <c r="P4202" s="272"/>
      <c r="Q4202" s="272"/>
      <c r="R4202" s="272"/>
    </row>
    <row r="4203" spans="1:19">
      <c r="A4203" s="45">
        <v>45966</v>
      </c>
      <c r="B4203" s="275" t="s">
        <v>1265</v>
      </c>
      <c r="C4203" s="46">
        <v>49723300</v>
      </c>
      <c r="D4203" s="46">
        <v>45203000</v>
      </c>
      <c r="E4203" s="46">
        <v>4520300</v>
      </c>
      <c r="F4203" s="17" t="s">
        <v>1267</v>
      </c>
      <c r="G4203" s="9"/>
      <c r="K4203" s="275"/>
      <c r="L4203" s="275"/>
      <c r="M4203" s="275"/>
      <c r="N4203" s="275"/>
      <c r="O4203" s="275"/>
      <c r="P4203" s="275"/>
      <c r="Q4203" s="275"/>
      <c r="R4203" s="275"/>
    </row>
    <row r="4204" spans="1:19">
      <c r="A4204" s="45">
        <v>45970</v>
      </c>
      <c r="B4204" s="269" t="s">
        <v>432</v>
      </c>
      <c r="C4204" s="46">
        <v>24589510</v>
      </c>
      <c r="D4204" s="46">
        <v>22354100</v>
      </c>
      <c r="E4204" s="46">
        <v>2235410</v>
      </c>
      <c r="F4204" s="17" t="s">
        <v>1238</v>
      </c>
      <c r="G4204" s="9">
        <v>45975</v>
      </c>
      <c r="K4204" s="269"/>
      <c r="L4204" s="269"/>
      <c r="M4204" s="269"/>
      <c r="N4204" s="269"/>
      <c r="O4204" s="269"/>
      <c r="P4204" s="269"/>
      <c r="Q4204" s="269"/>
      <c r="R4204" s="269"/>
    </row>
    <row r="4205" spans="1:19">
      <c r="A4205" s="45">
        <v>45970</v>
      </c>
      <c r="B4205" s="269" t="s">
        <v>432</v>
      </c>
      <c r="C4205" s="46">
        <v>16647510</v>
      </c>
      <c r="D4205" s="46">
        <v>15134100</v>
      </c>
      <c r="E4205" s="46">
        <v>1513410</v>
      </c>
      <c r="F4205" s="17" t="s">
        <v>1230</v>
      </c>
      <c r="G4205" s="9">
        <v>45975</v>
      </c>
      <c r="K4205" s="269"/>
      <c r="L4205" s="269"/>
      <c r="M4205" s="269"/>
      <c r="N4205" s="269"/>
      <c r="O4205" s="269"/>
      <c r="P4205" s="269"/>
      <c r="Q4205" s="269"/>
      <c r="R4205" s="269"/>
    </row>
    <row r="4206" spans="1:19">
      <c r="A4206" s="45">
        <v>45973</v>
      </c>
      <c r="B4206" s="275" t="s">
        <v>1265</v>
      </c>
      <c r="C4206" s="46">
        <f>D4206+E4206</f>
        <v>53170700</v>
      </c>
      <c r="D4206" s="46">
        <v>48337000</v>
      </c>
      <c r="E4206" s="46">
        <v>4833700</v>
      </c>
      <c r="F4206" s="17" t="s">
        <v>1268</v>
      </c>
      <c r="K4206" s="223"/>
    </row>
    <row r="4207" spans="1:19">
      <c r="A4207" s="45">
        <v>45977</v>
      </c>
      <c r="B4207" s="269" t="s">
        <v>432</v>
      </c>
      <c r="C4207" s="46">
        <v>27545540</v>
      </c>
      <c r="D4207" s="46">
        <v>25041400</v>
      </c>
      <c r="E4207" s="46">
        <v>2504140</v>
      </c>
      <c r="F4207" s="17" t="s">
        <v>1238</v>
      </c>
      <c r="G4207" s="9">
        <v>45982</v>
      </c>
      <c r="K4207" s="269"/>
      <c r="L4207" s="269"/>
      <c r="M4207" s="269"/>
      <c r="N4207" s="269"/>
      <c r="O4207" s="269"/>
      <c r="P4207" s="269"/>
      <c r="Q4207" s="269"/>
      <c r="R4207" s="269"/>
    </row>
    <row r="4208" spans="1:19">
      <c r="A4208" s="45">
        <v>45977</v>
      </c>
      <c r="B4208" s="269" t="s">
        <v>432</v>
      </c>
      <c r="C4208" s="46">
        <v>17044962</v>
      </c>
      <c r="D4208" s="46">
        <v>15495420</v>
      </c>
      <c r="E4208" s="46">
        <v>1549542</v>
      </c>
      <c r="F4208" s="17" t="s">
        <v>1239</v>
      </c>
      <c r="G4208" s="9">
        <v>45989</v>
      </c>
      <c r="K4208" s="269"/>
      <c r="L4208" s="269"/>
      <c r="M4208" s="269"/>
      <c r="N4208" s="269"/>
      <c r="O4208" s="269"/>
      <c r="P4208" s="269"/>
      <c r="Q4208" s="269"/>
      <c r="R4208" s="269"/>
    </row>
    <row r="4209" spans="1:19">
      <c r="A4209" s="45">
        <v>45979</v>
      </c>
      <c r="B4209" s="271" t="s">
        <v>1257</v>
      </c>
      <c r="C4209" s="46">
        <v>3599000</v>
      </c>
      <c r="D4209" s="46">
        <v>3271818</v>
      </c>
      <c r="E4209" s="46">
        <v>327182</v>
      </c>
      <c r="F4209" s="17" t="s">
        <v>1258</v>
      </c>
      <c r="G4209" s="9">
        <v>45982</v>
      </c>
      <c r="K4209" s="269"/>
      <c r="L4209" s="269"/>
      <c r="M4209" s="269"/>
      <c r="N4209" s="269"/>
      <c r="O4209" s="269"/>
      <c r="P4209" s="269"/>
      <c r="Q4209" s="269"/>
      <c r="R4209" s="269"/>
    </row>
    <row r="4210" spans="1:19">
      <c r="A4210" s="45">
        <v>45981</v>
      </c>
      <c r="B4210" s="272" t="s">
        <v>902</v>
      </c>
      <c r="C4210" s="46">
        <v>4841580</v>
      </c>
      <c r="D4210" s="46">
        <v>4841580</v>
      </c>
      <c r="E4210" s="46">
        <v>0</v>
      </c>
      <c r="F4210" s="17" t="s">
        <v>1092</v>
      </c>
      <c r="G4210" s="9">
        <v>45989</v>
      </c>
      <c r="K4210" s="269"/>
      <c r="L4210" s="269"/>
      <c r="M4210" s="269"/>
      <c r="N4210" s="269"/>
      <c r="O4210" s="269"/>
      <c r="P4210" s="269"/>
      <c r="Q4210" s="269"/>
      <c r="R4210" s="269"/>
    </row>
    <row r="4211" spans="1:19">
      <c r="A4211" s="45">
        <v>45984</v>
      </c>
      <c r="B4211" s="273" t="s">
        <v>432</v>
      </c>
      <c r="C4211" s="46">
        <f>D4211+E4211</f>
        <v>26940210</v>
      </c>
      <c r="D4211" s="46">
        <v>24491100</v>
      </c>
      <c r="E4211" s="46">
        <v>2449110</v>
      </c>
      <c r="F4211" s="17" t="s">
        <v>1238</v>
      </c>
      <c r="G4211" s="9">
        <v>45989</v>
      </c>
      <c r="K4211" s="269"/>
      <c r="L4211" s="269"/>
      <c r="M4211" s="269"/>
      <c r="N4211" s="269"/>
      <c r="O4211" s="269"/>
      <c r="P4211" s="269"/>
      <c r="Q4211" s="269"/>
      <c r="R4211" s="269"/>
    </row>
    <row r="4212" spans="1:19">
      <c r="A4212" s="45">
        <v>45984</v>
      </c>
      <c r="B4212" s="274" t="s">
        <v>432</v>
      </c>
      <c r="C4212" s="46">
        <f>D4212+E4212</f>
        <v>19198234</v>
      </c>
      <c r="D4212" s="46">
        <v>17452940</v>
      </c>
      <c r="E4212" s="46">
        <v>1745294</v>
      </c>
      <c r="F4212" s="17" t="s">
        <v>1266</v>
      </c>
      <c r="G4212" s="9">
        <v>45992</v>
      </c>
      <c r="K4212" s="269"/>
      <c r="L4212" s="269"/>
      <c r="M4212" s="269"/>
      <c r="N4212" s="269"/>
      <c r="O4212" s="269"/>
      <c r="P4212" s="269"/>
      <c r="Q4212" s="269"/>
      <c r="R4212" s="269"/>
    </row>
    <row r="4213" spans="1:19">
      <c r="A4213" s="45" t="s">
        <v>1271</v>
      </c>
      <c r="B4213" s="14" t="s">
        <v>1265</v>
      </c>
      <c r="C4213" s="46">
        <v>33495990</v>
      </c>
      <c r="D4213" s="46">
        <v>30450900</v>
      </c>
      <c r="E4213" s="46">
        <v>3045090</v>
      </c>
      <c r="F4213" s="17" t="s">
        <v>13</v>
      </c>
      <c r="K4213" s="223"/>
    </row>
    <row r="4214" spans="1:19">
      <c r="A4214" s="45">
        <v>45991</v>
      </c>
      <c r="B4214" s="269" t="s">
        <v>769</v>
      </c>
      <c r="C4214" s="46">
        <v>109263550</v>
      </c>
      <c r="D4214" s="46">
        <v>99330500</v>
      </c>
      <c r="E4214" s="46">
        <v>9933050</v>
      </c>
      <c r="F4214" s="17" t="s">
        <v>1270</v>
      </c>
      <c r="G4214" s="9">
        <v>46001</v>
      </c>
      <c r="K4214" s="269"/>
      <c r="L4214" s="269"/>
      <c r="M4214" s="269"/>
      <c r="N4214" s="269"/>
      <c r="O4214" s="269"/>
      <c r="P4214" s="269"/>
      <c r="Q4214" s="269"/>
      <c r="R4214" s="269"/>
    </row>
    <row r="4215" spans="1:19">
      <c r="A4215" s="45">
        <v>45991</v>
      </c>
      <c r="B4215" s="276" t="s">
        <v>432</v>
      </c>
      <c r="C4215" s="46">
        <f>D4215+E4215</f>
        <v>28642570</v>
      </c>
      <c r="D4215" s="46">
        <v>26038700</v>
      </c>
      <c r="E4215" s="46">
        <f>D4215*0.1</f>
        <v>2603870</v>
      </c>
      <c r="F4215" s="17" t="s">
        <v>1238</v>
      </c>
      <c r="G4215" s="9">
        <v>45996</v>
      </c>
      <c r="K4215" s="223"/>
    </row>
    <row r="4216" spans="1:19">
      <c r="A4216" s="45">
        <v>45991</v>
      </c>
      <c r="B4216" s="276" t="s">
        <v>432</v>
      </c>
      <c r="C4216" s="46">
        <f>D4216+E4216</f>
        <v>14390090</v>
      </c>
      <c r="D4216" s="46">
        <v>13081900</v>
      </c>
      <c r="E4216" s="46">
        <f>D4216*0.1</f>
        <v>1308190</v>
      </c>
      <c r="F4216" s="17" t="s">
        <v>1266</v>
      </c>
      <c r="G4216" s="9">
        <v>46001</v>
      </c>
      <c r="I4216" s="301" t="s">
        <v>537</v>
      </c>
      <c r="J4216" s="302"/>
      <c r="K4216" s="303"/>
    </row>
    <row r="4217" spans="1:19">
      <c r="A4217" s="45">
        <v>45991</v>
      </c>
      <c r="B4217" s="14" t="s">
        <v>1030</v>
      </c>
      <c r="C4217" s="46">
        <v>808500</v>
      </c>
      <c r="D4217" s="46">
        <v>735000</v>
      </c>
      <c r="E4217" s="46">
        <v>73500</v>
      </c>
      <c r="F4217" s="17" t="s">
        <v>1216</v>
      </c>
      <c r="G4217" s="9">
        <v>46002</v>
      </c>
      <c r="I4217" s="18" t="s">
        <v>46</v>
      </c>
      <c r="J4217" s="222" t="s">
        <v>47</v>
      </c>
      <c r="K4217" s="222" t="s">
        <v>48</v>
      </c>
    </row>
    <row r="4218" spans="1:19" s="226" customFormat="1">
      <c r="A4218" s="119" t="s">
        <v>1271</v>
      </c>
      <c r="B4218" s="42" t="s">
        <v>1224</v>
      </c>
      <c r="C4218" s="118">
        <v>1100000</v>
      </c>
      <c r="D4218" s="118">
        <v>1000000</v>
      </c>
      <c r="E4218" s="118">
        <v>100000</v>
      </c>
      <c r="F4218" s="51" t="s">
        <v>1272</v>
      </c>
      <c r="G4218" s="10">
        <v>46017</v>
      </c>
      <c r="H4218" s="51"/>
      <c r="I4218" s="18">
        <f>SUM(C4200:C4218)</f>
        <v>483340500</v>
      </c>
      <c r="J4218" s="18">
        <f>SUM(D4200:D4218)</f>
        <v>439840598</v>
      </c>
      <c r="K4218" s="18">
        <f>SUM(E4200:E4218)</f>
        <v>43499902</v>
      </c>
      <c r="L4218" s="42"/>
      <c r="M4218" s="42"/>
      <c r="N4218" s="42"/>
      <c r="O4218" s="42"/>
      <c r="P4218" s="42"/>
      <c r="Q4218" s="42"/>
      <c r="R4218" s="42"/>
      <c r="S4218" s="42"/>
    </row>
    <row r="4219" spans="1:19">
      <c r="A4219" s="45" t="s">
        <v>1273</v>
      </c>
      <c r="B4219" s="14" t="s">
        <v>1224</v>
      </c>
      <c r="C4219" s="46">
        <v>50000000</v>
      </c>
      <c r="D4219" s="46">
        <v>45454545</v>
      </c>
      <c r="E4219" s="46">
        <v>4545455</v>
      </c>
      <c r="F4219" s="17" t="s">
        <v>1274</v>
      </c>
      <c r="G4219" s="9">
        <v>45994</v>
      </c>
      <c r="K4219" s="223"/>
    </row>
    <row r="4220" spans="1:19">
      <c r="A4220" s="45" t="s">
        <v>1273</v>
      </c>
      <c r="B4220" s="14" t="s">
        <v>1222</v>
      </c>
      <c r="C4220" s="46">
        <v>440000</v>
      </c>
      <c r="D4220" s="46">
        <v>400000</v>
      </c>
      <c r="E4220" s="46">
        <v>40000</v>
      </c>
      <c r="F4220" s="17" t="s">
        <v>1275</v>
      </c>
      <c r="G4220" s="9">
        <v>45992</v>
      </c>
      <c r="K4220" s="223"/>
    </row>
    <row r="4221" spans="1:19">
      <c r="A4221" s="45" t="s">
        <v>1276</v>
      </c>
      <c r="B4221" s="269" t="s">
        <v>1265</v>
      </c>
      <c r="C4221" s="46">
        <v>58682800</v>
      </c>
      <c r="D4221" s="46">
        <v>53348000</v>
      </c>
      <c r="E4221" s="46">
        <v>5334800</v>
      </c>
      <c r="F4221" s="17" t="s">
        <v>13</v>
      </c>
      <c r="G4221" s="269"/>
      <c r="K4221" s="269"/>
      <c r="L4221" s="269"/>
      <c r="M4221" s="269"/>
      <c r="N4221" s="269"/>
      <c r="O4221" s="269"/>
      <c r="P4221" s="269"/>
      <c r="Q4221" s="269"/>
      <c r="R4221" s="269"/>
    </row>
    <row r="4222" spans="1:19">
      <c r="A4222" s="45">
        <v>45998</v>
      </c>
      <c r="B4222" s="277" t="s">
        <v>432</v>
      </c>
      <c r="C4222" s="46">
        <f>D4222+E4222</f>
        <v>15916406</v>
      </c>
      <c r="D4222" s="46">
        <v>14469460</v>
      </c>
      <c r="E4222" s="46">
        <f>D4222*0.1</f>
        <v>1446946</v>
      </c>
      <c r="F4222" s="17" t="s">
        <v>1281</v>
      </c>
      <c r="G4222" s="9">
        <v>46003</v>
      </c>
      <c r="K4222" s="269"/>
      <c r="L4222" s="269"/>
      <c r="M4222" s="269"/>
      <c r="N4222" s="269"/>
      <c r="O4222" s="269"/>
      <c r="P4222" s="269"/>
      <c r="Q4222" s="269"/>
      <c r="R4222" s="269"/>
    </row>
    <row r="4223" spans="1:19">
      <c r="A4223" s="45">
        <v>45998</v>
      </c>
      <c r="B4223" s="277" t="s">
        <v>432</v>
      </c>
      <c r="C4223" s="46">
        <f>D4223+E4223</f>
        <v>26059220</v>
      </c>
      <c r="D4223" s="46">
        <v>23690200</v>
      </c>
      <c r="E4223" s="46">
        <f>D4223*0.1</f>
        <v>2369020</v>
      </c>
      <c r="F4223" s="17" t="s">
        <v>1280</v>
      </c>
      <c r="G4223" s="9">
        <v>46003</v>
      </c>
      <c r="K4223" s="269"/>
      <c r="L4223" s="269"/>
      <c r="M4223" s="269"/>
      <c r="N4223" s="269"/>
      <c r="O4223" s="269"/>
      <c r="P4223" s="269"/>
      <c r="Q4223" s="269"/>
      <c r="R4223" s="269"/>
    </row>
    <row r="4224" spans="1:19">
      <c r="A4224" s="45">
        <v>46000</v>
      </c>
      <c r="B4224" s="269" t="s">
        <v>1278</v>
      </c>
      <c r="C4224" s="46">
        <v>1650000</v>
      </c>
      <c r="D4224" s="46">
        <v>1500000</v>
      </c>
      <c r="E4224" s="46">
        <v>150000</v>
      </c>
      <c r="F4224" s="17" t="s">
        <v>1279</v>
      </c>
      <c r="G4224" s="9">
        <v>46003</v>
      </c>
      <c r="K4224" s="269"/>
      <c r="L4224" s="269"/>
      <c r="M4224" s="269"/>
      <c r="N4224" s="269"/>
      <c r="O4224" s="269"/>
      <c r="P4224" s="269"/>
      <c r="Q4224" s="269"/>
      <c r="R4224" s="269"/>
    </row>
    <row r="4225" spans="1:19">
      <c r="A4225" s="45">
        <v>46001</v>
      </c>
      <c r="B4225" s="269" t="s">
        <v>1278</v>
      </c>
      <c r="C4225" s="46">
        <v>3450000</v>
      </c>
      <c r="D4225" s="46">
        <v>3136364</v>
      </c>
      <c r="E4225" s="46">
        <v>313636</v>
      </c>
      <c r="F4225" s="17" t="s">
        <v>1277</v>
      </c>
      <c r="G4225" s="9">
        <v>46003</v>
      </c>
      <c r="K4225" s="269"/>
      <c r="L4225" s="269"/>
      <c r="M4225" s="269"/>
      <c r="N4225" s="269"/>
      <c r="O4225" s="269"/>
      <c r="P4225" s="269"/>
      <c r="Q4225" s="269"/>
      <c r="R4225" s="269"/>
    </row>
    <row r="4226" spans="1:19">
      <c r="A4226" s="45">
        <v>46005</v>
      </c>
      <c r="B4226" s="269" t="s">
        <v>432</v>
      </c>
      <c r="C4226" s="46">
        <v>29434020</v>
      </c>
      <c r="D4226" s="46">
        <v>26758200</v>
      </c>
      <c r="E4226" s="46">
        <v>2675820</v>
      </c>
      <c r="F4226" s="17" t="s">
        <v>1238</v>
      </c>
      <c r="G4226" s="9">
        <v>46010</v>
      </c>
      <c r="K4226" s="269"/>
      <c r="L4226" s="269"/>
      <c r="M4226" s="269"/>
      <c r="N4226" s="269"/>
      <c r="O4226" s="269"/>
      <c r="P4226" s="269"/>
      <c r="Q4226" s="269"/>
      <c r="R4226" s="269"/>
    </row>
    <row r="4227" spans="1:19">
      <c r="A4227" s="45">
        <v>46005</v>
      </c>
      <c r="B4227" s="269" t="s">
        <v>432</v>
      </c>
      <c r="C4227" s="46">
        <v>11046530</v>
      </c>
      <c r="D4227" s="46">
        <v>10042300</v>
      </c>
      <c r="E4227" s="46">
        <v>1004230</v>
      </c>
      <c r="F4227" s="17" t="s">
        <v>1239</v>
      </c>
      <c r="G4227" s="9">
        <v>46010</v>
      </c>
      <c r="K4227" s="269"/>
      <c r="L4227" s="269"/>
      <c r="M4227" s="269"/>
      <c r="N4227" s="269"/>
      <c r="O4227" s="269"/>
      <c r="P4227" s="269"/>
      <c r="Q4227" s="269"/>
      <c r="R4227" s="269"/>
    </row>
    <row r="4228" spans="1:19">
      <c r="A4228" s="45">
        <v>46006</v>
      </c>
      <c r="B4228" s="269" t="s">
        <v>2</v>
      </c>
      <c r="C4228" s="46">
        <v>6842000</v>
      </c>
      <c r="D4228" s="46">
        <v>6220000</v>
      </c>
      <c r="E4228" s="46">
        <v>622000</v>
      </c>
      <c r="F4228" s="17" t="s">
        <v>1069</v>
      </c>
      <c r="G4228" s="9">
        <v>46022</v>
      </c>
      <c r="K4228" s="269"/>
      <c r="L4228" s="269"/>
      <c r="M4228" s="269"/>
      <c r="N4228" s="269"/>
      <c r="O4228" s="269"/>
      <c r="P4228" s="269"/>
      <c r="Q4228" s="269"/>
      <c r="R4228" s="269"/>
    </row>
    <row r="4229" spans="1:19">
      <c r="A4229" s="45">
        <v>46012</v>
      </c>
      <c r="B4229" s="278" t="s">
        <v>432</v>
      </c>
      <c r="C4229" s="46">
        <f>D4229+E4229</f>
        <v>32894180</v>
      </c>
      <c r="D4229" s="46">
        <v>29903800</v>
      </c>
      <c r="E4229" s="46">
        <v>2990380</v>
      </c>
      <c r="F4229" s="17" t="s">
        <v>1238</v>
      </c>
      <c r="G4229" s="9">
        <v>46020</v>
      </c>
      <c r="K4229" s="269"/>
      <c r="L4229" s="269"/>
      <c r="M4229" s="269"/>
      <c r="N4229" s="269"/>
      <c r="O4229" s="269"/>
      <c r="P4229" s="269"/>
      <c r="Q4229" s="269"/>
      <c r="R4229" s="269"/>
    </row>
    <row r="4230" spans="1:19">
      <c r="A4230" s="45">
        <v>46012</v>
      </c>
      <c r="B4230" s="278" t="s">
        <v>432</v>
      </c>
      <c r="C4230" s="46">
        <f>D4230+E4230</f>
        <v>15291540</v>
      </c>
      <c r="D4230" s="46">
        <v>13901400</v>
      </c>
      <c r="E4230" s="46">
        <v>1390140</v>
      </c>
      <c r="F4230" s="17" t="s">
        <v>1239</v>
      </c>
      <c r="G4230" s="9">
        <v>46022</v>
      </c>
      <c r="K4230" s="269"/>
      <c r="L4230" s="269"/>
      <c r="M4230" s="269"/>
      <c r="N4230" s="269"/>
      <c r="O4230" s="269"/>
      <c r="P4230" s="269"/>
      <c r="Q4230" s="269"/>
      <c r="R4230" s="269"/>
    </row>
    <row r="4231" spans="1:19">
      <c r="A4231" s="45">
        <v>46013</v>
      </c>
      <c r="B4231" s="278" t="s">
        <v>902</v>
      </c>
      <c r="C4231" s="46">
        <v>4841580</v>
      </c>
      <c r="D4231" s="46">
        <v>4841580</v>
      </c>
      <c r="E4231" s="46">
        <v>0</v>
      </c>
      <c r="F4231" s="17" t="s">
        <v>1117</v>
      </c>
      <c r="G4231" s="9">
        <v>46022</v>
      </c>
      <c r="K4231" s="223"/>
    </row>
    <row r="4232" spans="1:19">
      <c r="A4232" s="45" t="s">
        <v>1298</v>
      </c>
      <c r="B4232" s="283" t="s">
        <v>1156</v>
      </c>
      <c r="C4232" s="120">
        <v>-394997</v>
      </c>
      <c r="D4232" s="120">
        <v>-359088</v>
      </c>
      <c r="E4232" s="120">
        <v>-35909</v>
      </c>
      <c r="F4232" s="17" t="s">
        <v>1161</v>
      </c>
      <c r="G4232" s="81" t="s">
        <v>1299</v>
      </c>
      <c r="K4232" s="283"/>
      <c r="L4232" s="283"/>
      <c r="M4232" s="283"/>
      <c r="N4232" s="283"/>
      <c r="O4232" s="283"/>
      <c r="P4232" s="283"/>
      <c r="Q4232" s="283"/>
      <c r="R4232" s="283"/>
    </row>
    <row r="4233" spans="1:19">
      <c r="A4233" s="45">
        <v>46019</v>
      </c>
      <c r="B4233" s="283" t="s">
        <v>432</v>
      </c>
      <c r="C4233" s="46">
        <f>D4233+E4233</f>
        <v>34674420</v>
      </c>
      <c r="D4233" s="46">
        <v>31522200</v>
      </c>
      <c r="E4233" s="46">
        <f>D4233*0.1</f>
        <v>3152220</v>
      </c>
      <c r="F4233" s="17" t="s">
        <v>1238</v>
      </c>
      <c r="G4233" s="9">
        <v>46027</v>
      </c>
      <c r="K4233" s="283"/>
      <c r="L4233" s="283"/>
      <c r="M4233" s="283"/>
      <c r="N4233" s="283"/>
      <c r="O4233" s="283"/>
      <c r="P4233" s="283"/>
      <c r="Q4233" s="283"/>
      <c r="R4233" s="283"/>
    </row>
    <row r="4234" spans="1:19">
      <c r="A4234" s="45">
        <v>46019</v>
      </c>
      <c r="B4234" s="283" t="s">
        <v>432</v>
      </c>
      <c r="C4234" s="46">
        <f>D4234+E4234</f>
        <v>16176380</v>
      </c>
      <c r="D4234" s="46">
        <v>14705800</v>
      </c>
      <c r="E4234" s="46">
        <f>D4234*0.1</f>
        <v>1470580</v>
      </c>
      <c r="F4234" s="17" t="s">
        <v>1239</v>
      </c>
      <c r="G4234" s="9">
        <v>46022</v>
      </c>
      <c r="K4234" s="223"/>
    </row>
    <row r="4235" spans="1:19">
      <c r="A4235" s="45">
        <v>46020</v>
      </c>
      <c r="B4235" s="283" t="s">
        <v>1282</v>
      </c>
      <c r="C4235" s="46">
        <f>D4235+E4235</f>
        <v>8112500</v>
      </c>
      <c r="D4235" s="46">
        <v>7375000</v>
      </c>
      <c r="E4235" s="46">
        <f>D4235*0.1</f>
        <v>737500</v>
      </c>
      <c r="F4235" s="17" t="s">
        <v>1283</v>
      </c>
      <c r="G4235" s="9">
        <v>46034</v>
      </c>
      <c r="I4235" s="301" t="s">
        <v>543</v>
      </c>
      <c r="J4235" s="302"/>
      <c r="K4235" s="303"/>
      <c r="L4235" s="301" t="s">
        <v>1306</v>
      </c>
      <c r="M4235" s="302"/>
      <c r="N4235" s="303"/>
    </row>
    <row r="4236" spans="1:19">
      <c r="A4236" s="45" t="s">
        <v>1300</v>
      </c>
      <c r="B4236" s="280" t="s">
        <v>1224</v>
      </c>
      <c r="C4236" s="46">
        <v>1480000</v>
      </c>
      <c r="D4236" s="46">
        <v>1345455</v>
      </c>
      <c r="E4236" s="46">
        <v>134545</v>
      </c>
      <c r="F4236" s="17" t="s">
        <v>1301</v>
      </c>
      <c r="G4236" s="9">
        <v>46048</v>
      </c>
      <c r="I4236" s="18" t="s">
        <v>46</v>
      </c>
      <c r="J4236" s="222" t="s">
        <v>47</v>
      </c>
      <c r="K4236" s="222" t="s">
        <v>48</v>
      </c>
      <c r="L4236" s="18" t="s">
        <v>46</v>
      </c>
      <c r="M4236" s="285" t="s">
        <v>47</v>
      </c>
      <c r="N4236" s="285" t="s">
        <v>48</v>
      </c>
    </row>
    <row r="4237" spans="1:19" s="226" customFormat="1">
      <c r="A4237" s="119" t="s">
        <v>1300</v>
      </c>
      <c r="B4237" s="42" t="s">
        <v>769</v>
      </c>
      <c r="C4237" s="118">
        <v>122627311</v>
      </c>
      <c r="D4237" s="118">
        <v>111479374</v>
      </c>
      <c r="E4237" s="118">
        <v>11147937</v>
      </c>
      <c r="F4237" s="51" t="s">
        <v>1284</v>
      </c>
      <c r="G4237" s="10">
        <v>46034</v>
      </c>
      <c r="H4237" s="51"/>
      <c r="I4237" s="18">
        <f>SUM(C4219:C4237)</f>
        <v>439223890</v>
      </c>
      <c r="J4237" s="18">
        <f>SUM(D4219:D4237)</f>
        <v>399734590</v>
      </c>
      <c r="K4237" s="18">
        <f>SUM(E4219:E4237)</f>
        <v>39489300</v>
      </c>
      <c r="L4237" s="18">
        <f>I4237+I4218+I4199+I4182+I4161+I4144+I4131+I4122+I4112+I4097+I4055+I4005</f>
        <v>3902546134.8000002</v>
      </c>
      <c r="M4237" s="18">
        <f>J4237+J4218+J4199+J4182+J4161+J4144+J4131+J4122+J4112+J4097+J4055+J4005</f>
        <v>3563807712</v>
      </c>
      <c r="N4237" s="18">
        <f>K4237+K4218+K4199+K4182+K4161+K4144+K4131+K4122+K4112+K4097+K4055+K4005</f>
        <v>338738423</v>
      </c>
      <c r="O4237" s="42"/>
      <c r="P4237" s="42"/>
      <c r="Q4237" s="42"/>
      <c r="R4237" s="42"/>
      <c r="S4237" s="42"/>
    </row>
    <row r="4238" spans="1:19">
      <c r="A4238" s="282" t="s">
        <v>1302</v>
      </c>
      <c r="B4238" s="281" t="s">
        <v>1222</v>
      </c>
      <c r="C4238" s="46">
        <v>440000</v>
      </c>
      <c r="D4238" s="46">
        <v>400000</v>
      </c>
      <c r="E4238" s="46">
        <v>40000</v>
      </c>
      <c r="F4238" s="17" t="s">
        <v>1303</v>
      </c>
      <c r="G4238" s="9">
        <v>46024</v>
      </c>
    </row>
    <row r="4239" spans="1:19">
      <c r="A4239" s="282" t="s">
        <v>1304</v>
      </c>
      <c r="B4239" s="281" t="s">
        <v>432</v>
      </c>
      <c r="C4239" s="46">
        <v>49743045</v>
      </c>
      <c r="D4239" s="46">
        <v>45220950</v>
      </c>
      <c r="E4239" s="46">
        <v>4522095</v>
      </c>
      <c r="F4239" s="17" t="s">
        <v>1238</v>
      </c>
      <c r="G4239" s="9">
        <v>46031</v>
      </c>
    </row>
    <row r="4240" spans="1:19">
      <c r="A4240" s="45" t="s">
        <v>1304</v>
      </c>
      <c r="B4240" s="14" t="s">
        <v>432</v>
      </c>
      <c r="C4240" s="46">
        <v>7353918</v>
      </c>
      <c r="D4240" s="46">
        <v>6685380</v>
      </c>
      <c r="E4240" s="46">
        <v>668538</v>
      </c>
      <c r="F4240" s="17" t="s">
        <v>1230</v>
      </c>
      <c r="G4240" s="9">
        <v>46031</v>
      </c>
    </row>
    <row r="4241" spans="1:19">
      <c r="A4241" s="45">
        <v>46033</v>
      </c>
      <c r="B4241" s="284" t="s">
        <v>432</v>
      </c>
      <c r="C4241" s="46">
        <f>D4241+E4241</f>
        <v>38552030</v>
      </c>
      <c r="D4241" s="46">
        <v>35047300</v>
      </c>
      <c r="E4241" s="46">
        <f>D4241*0.1</f>
        <v>3504730</v>
      </c>
      <c r="F4241" s="17" t="s">
        <v>1238</v>
      </c>
      <c r="G4241" s="9">
        <v>46038</v>
      </c>
    </row>
    <row r="4242" spans="1:19">
      <c r="A4242" s="45">
        <v>46033</v>
      </c>
      <c r="B4242" s="284" t="s">
        <v>432</v>
      </c>
      <c r="C4242" s="46">
        <f>D4242+E4242</f>
        <v>4258606</v>
      </c>
      <c r="D4242" s="46">
        <v>3871460</v>
      </c>
      <c r="E4242" s="46">
        <f>D4242*0.1</f>
        <v>387146</v>
      </c>
      <c r="F4242" s="17" t="s">
        <v>1230</v>
      </c>
      <c r="G4242" s="9">
        <v>46048</v>
      </c>
    </row>
    <row r="4243" spans="1:19">
      <c r="A4243" s="45">
        <v>46040</v>
      </c>
      <c r="B4243" s="287" t="s">
        <v>432</v>
      </c>
      <c r="C4243" s="46">
        <f>D4243+E4243</f>
        <v>36016200</v>
      </c>
      <c r="D4243" s="46">
        <v>32742000</v>
      </c>
      <c r="E4243" s="46">
        <f>D4243*0.1</f>
        <v>3274200</v>
      </c>
      <c r="F4243" s="17" t="s">
        <v>1238</v>
      </c>
      <c r="G4243" s="9">
        <v>46048</v>
      </c>
    </row>
    <row r="4244" spans="1:19">
      <c r="A4244" s="45">
        <v>46040</v>
      </c>
      <c r="B4244" s="287" t="s">
        <v>432</v>
      </c>
      <c r="C4244" s="46">
        <f>D4244+E4244</f>
        <v>3578102</v>
      </c>
      <c r="D4244" s="46">
        <v>3252820</v>
      </c>
      <c r="E4244" s="46">
        <f>D4244*0.1</f>
        <v>325282</v>
      </c>
      <c r="F4244" s="17" t="s">
        <v>1230</v>
      </c>
      <c r="G4244" s="9">
        <v>46048</v>
      </c>
    </row>
    <row r="4245" spans="1:19">
      <c r="A4245" s="45">
        <v>46043</v>
      </c>
      <c r="B4245" s="287" t="s">
        <v>902</v>
      </c>
      <c r="C4245" s="46">
        <v>4977420</v>
      </c>
      <c r="D4245" s="46">
        <v>4977420</v>
      </c>
      <c r="E4245" s="46">
        <v>0</v>
      </c>
      <c r="F4245" s="17" t="s">
        <v>1307</v>
      </c>
      <c r="G4245" s="9">
        <v>46052</v>
      </c>
    </row>
    <row r="4246" spans="1:19">
      <c r="A4246" s="45" t="s">
        <v>1308</v>
      </c>
      <c r="B4246" s="294" t="s">
        <v>432</v>
      </c>
      <c r="C4246" s="46">
        <v>39053245</v>
      </c>
      <c r="D4246" s="46">
        <v>35502950</v>
      </c>
      <c r="E4246" s="46">
        <v>3550295</v>
      </c>
      <c r="F4246" s="17" t="s">
        <v>1238</v>
      </c>
      <c r="G4246" s="9">
        <v>46052</v>
      </c>
      <c r="K4246" s="294"/>
      <c r="L4246" s="294"/>
      <c r="M4246" s="294"/>
      <c r="N4246" s="294"/>
      <c r="O4246" s="294"/>
      <c r="P4246" s="294"/>
      <c r="Q4246" s="294"/>
      <c r="R4246" s="294"/>
      <c r="S4246" s="294"/>
    </row>
    <row r="4247" spans="1:19">
      <c r="A4247" s="45" t="s">
        <v>1308</v>
      </c>
      <c r="B4247" s="294" t="s">
        <v>432</v>
      </c>
      <c r="C4247" s="46">
        <v>4294290</v>
      </c>
      <c r="D4247" s="46">
        <v>3903900</v>
      </c>
      <c r="E4247" s="46">
        <v>390390</v>
      </c>
      <c r="F4247" s="17" t="s">
        <v>1230</v>
      </c>
      <c r="G4247" s="9">
        <v>46057</v>
      </c>
      <c r="I4247" s="301" t="s">
        <v>1285</v>
      </c>
      <c r="J4247" s="302"/>
      <c r="K4247" s="303"/>
    </row>
    <row r="4248" spans="1:19">
      <c r="A4248" s="45">
        <v>46053</v>
      </c>
      <c r="B4248" s="287" t="s">
        <v>1224</v>
      </c>
      <c r="C4248" s="46">
        <v>1340000</v>
      </c>
      <c r="D4248" s="46">
        <v>1218182</v>
      </c>
      <c r="E4248" s="46">
        <v>121818</v>
      </c>
      <c r="F4248" s="17" t="s">
        <v>1316</v>
      </c>
      <c r="G4248" s="9">
        <v>46078</v>
      </c>
      <c r="I4248" s="18" t="s">
        <v>46</v>
      </c>
      <c r="J4248" s="279" t="s">
        <v>47</v>
      </c>
      <c r="K4248" s="279" t="s">
        <v>48</v>
      </c>
    </row>
    <row r="4249" spans="1:19" s="226" customFormat="1">
      <c r="A4249" s="119">
        <v>46053</v>
      </c>
      <c r="B4249" s="42" t="s">
        <v>769</v>
      </c>
      <c r="C4249" s="118">
        <f>D4249+E4249</f>
        <v>106475875</v>
      </c>
      <c r="D4249" s="118">
        <v>96796250</v>
      </c>
      <c r="E4249" s="118">
        <f>D4249*0.1</f>
        <v>9679625</v>
      </c>
      <c r="F4249" s="51" t="s">
        <v>1309</v>
      </c>
      <c r="G4249" s="10">
        <v>46063</v>
      </c>
      <c r="H4249" s="51"/>
      <c r="I4249" s="18">
        <f>SUM(C4238:C4249)</f>
        <v>296082731</v>
      </c>
      <c r="J4249" s="18">
        <f>SUM(D4238:D4249)</f>
        <v>269618612</v>
      </c>
      <c r="K4249" s="18">
        <f>SUM(E4238:E4249)</f>
        <v>26464119</v>
      </c>
      <c r="L4249" s="42"/>
      <c r="M4249" s="42"/>
      <c r="N4249" s="42"/>
      <c r="O4249" s="42"/>
      <c r="P4249" s="42"/>
      <c r="Q4249" s="42"/>
      <c r="R4249" s="42"/>
      <c r="S4249" s="42"/>
    </row>
    <row r="4250" spans="1:19">
      <c r="A4250" s="45" t="s">
        <v>1310</v>
      </c>
      <c r="B4250" s="14" t="s">
        <v>432</v>
      </c>
      <c r="C4250" s="46">
        <v>35537260</v>
      </c>
      <c r="D4250" s="46">
        <v>32306600</v>
      </c>
      <c r="E4250" s="46">
        <v>3230660</v>
      </c>
      <c r="F4250" s="17" t="s">
        <v>1238</v>
      </c>
      <c r="G4250" s="9">
        <v>46059</v>
      </c>
    </row>
    <row r="4251" spans="1:19">
      <c r="A4251" s="45" t="s">
        <v>1310</v>
      </c>
      <c r="B4251" s="14" t="s">
        <v>432</v>
      </c>
      <c r="C4251" s="46">
        <v>9747612</v>
      </c>
      <c r="D4251" s="46">
        <v>8861466</v>
      </c>
      <c r="E4251" s="46">
        <v>886146</v>
      </c>
      <c r="F4251" s="17" t="s">
        <v>1230</v>
      </c>
      <c r="G4251" s="9">
        <v>46066</v>
      </c>
    </row>
    <row r="4252" spans="1:19">
      <c r="A4252" s="45" t="s">
        <v>1311</v>
      </c>
      <c r="B4252" s="292" t="s">
        <v>1222</v>
      </c>
      <c r="C4252" s="46">
        <v>440000</v>
      </c>
      <c r="D4252" s="46">
        <v>400000</v>
      </c>
      <c r="E4252" s="46">
        <v>40000</v>
      </c>
      <c r="F4252" s="17" t="s">
        <v>1312</v>
      </c>
      <c r="G4252" s="9">
        <v>46055</v>
      </c>
      <c r="K4252" s="292"/>
      <c r="L4252" s="292"/>
      <c r="M4252" s="292"/>
      <c r="N4252" s="292"/>
      <c r="O4252" s="292"/>
      <c r="P4252" s="292"/>
      <c r="Q4252" s="292"/>
      <c r="R4252" s="292"/>
      <c r="S4252" s="292"/>
    </row>
    <row r="4253" spans="1:19">
      <c r="A4253" s="45">
        <v>46061</v>
      </c>
      <c r="B4253" s="288" t="s">
        <v>432</v>
      </c>
      <c r="C4253" s="46">
        <f>D4253+E4253</f>
        <v>35266000</v>
      </c>
      <c r="D4253" s="46">
        <v>32060000</v>
      </c>
      <c r="E4253" s="46">
        <f>D4253*0.1</f>
        <v>3206000</v>
      </c>
      <c r="F4253" s="17" t="s">
        <v>1238</v>
      </c>
      <c r="G4253" s="9">
        <v>46066</v>
      </c>
    </row>
    <row r="4254" spans="1:19">
      <c r="A4254" s="45">
        <v>46061</v>
      </c>
      <c r="B4254" s="288" t="s">
        <v>432</v>
      </c>
      <c r="C4254" s="46">
        <f>D4254+E4254</f>
        <v>14053424</v>
      </c>
      <c r="D4254" s="46">
        <v>12775840</v>
      </c>
      <c r="E4254" s="46">
        <f>D4254*0.1</f>
        <v>1277584</v>
      </c>
      <c r="F4254" s="17" t="s">
        <v>1230</v>
      </c>
      <c r="G4254" s="9">
        <v>46066</v>
      </c>
      <c r="H4254" s="289" t="s">
        <v>1315</v>
      </c>
    </row>
    <row r="4255" spans="1:19">
      <c r="A4255" s="282">
        <v>46068</v>
      </c>
      <c r="B4255" s="290" t="s">
        <v>432</v>
      </c>
      <c r="C4255" s="291">
        <f>D4255+E4255</f>
        <v>30227450</v>
      </c>
      <c r="D4255" s="291">
        <v>27479500</v>
      </c>
      <c r="E4255" s="291">
        <f>D4255*0.1</f>
        <v>2747950</v>
      </c>
      <c r="F4255" s="17" t="s">
        <v>1238</v>
      </c>
      <c r="G4255" s="9">
        <v>46076</v>
      </c>
    </row>
    <row r="4256" spans="1:19">
      <c r="A4256" s="45" t="s">
        <v>1313</v>
      </c>
      <c r="B4256" s="14" t="s">
        <v>432</v>
      </c>
      <c r="C4256" s="46">
        <v>7653140</v>
      </c>
      <c r="D4256" s="46">
        <v>6957400</v>
      </c>
      <c r="E4256" s="46">
        <v>695740</v>
      </c>
      <c r="F4256" s="17" t="s">
        <v>1239</v>
      </c>
      <c r="G4256" s="9">
        <v>46076</v>
      </c>
    </row>
    <row r="4257" spans="1:19">
      <c r="A4257" s="282">
        <v>46075</v>
      </c>
      <c r="B4257" s="290" t="s">
        <v>432</v>
      </c>
      <c r="C4257" s="291">
        <f>D4257+E4257</f>
        <v>50773250</v>
      </c>
      <c r="D4257" s="291">
        <v>46157500</v>
      </c>
      <c r="E4257" s="291">
        <f>D4257*0.1</f>
        <v>4615750</v>
      </c>
      <c r="F4257" s="17" t="s">
        <v>1238</v>
      </c>
      <c r="G4257" s="9">
        <v>46085</v>
      </c>
    </row>
    <row r="4258" spans="1:19">
      <c r="A4258" s="282">
        <v>46075</v>
      </c>
      <c r="B4258" s="293" t="s">
        <v>432</v>
      </c>
      <c r="C4258" s="291">
        <f>D4258+E4258</f>
        <v>14790050</v>
      </c>
      <c r="D4258" s="46">
        <v>13445500</v>
      </c>
      <c r="E4258" s="291">
        <f>D4258*0.1</f>
        <v>1344550</v>
      </c>
      <c r="F4258" s="17" t="s">
        <v>1239</v>
      </c>
      <c r="G4258" s="9">
        <v>46085</v>
      </c>
    </row>
    <row r="4259" spans="1:19">
      <c r="A4259" s="282">
        <v>46076</v>
      </c>
      <c r="B4259" s="298" t="s">
        <v>902</v>
      </c>
      <c r="C4259" s="46">
        <v>4986800</v>
      </c>
      <c r="D4259" s="46">
        <v>4986800</v>
      </c>
      <c r="E4259" s="46">
        <v>0</v>
      </c>
      <c r="F4259" s="17" t="s">
        <v>1314</v>
      </c>
      <c r="G4259" s="9">
        <v>46080</v>
      </c>
      <c r="I4259" s="301" t="s">
        <v>1286</v>
      </c>
      <c r="J4259" s="302"/>
      <c r="K4259" s="303"/>
    </row>
    <row r="4260" spans="1:19">
      <c r="A4260" s="45" t="s">
        <v>1318</v>
      </c>
      <c r="B4260" s="298" t="s">
        <v>1224</v>
      </c>
      <c r="C4260" s="46">
        <v>880000</v>
      </c>
      <c r="D4260" s="46">
        <v>800000</v>
      </c>
      <c r="E4260" s="46">
        <v>80000</v>
      </c>
      <c r="F4260" s="17" t="s">
        <v>1319</v>
      </c>
      <c r="G4260" s="298"/>
      <c r="I4260" s="18" t="s">
        <v>46</v>
      </c>
      <c r="J4260" s="279" t="s">
        <v>47</v>
      </c>
      <c r="K4260" s="279" t="s">
        <v>48</v>
      </c>
    </row>
    <row r="4261" spans="1:19" s="226" customFormat="1">
      <c r="A4261" s="119">
        <v>46081</v>
      </c>
      <c r="B4261" s="42" t="s">
        <v>769</v>
      </c>
      <c r="C4261" s="295">
        <f>D4261+E4261</f>
        <v>101783000</v>
      </c>
      <c r="D4261" s="118">
        <v>92530000</v>
      </c>
      <c r="E4261" s="295">
        <f>D4261*0.1</f>
        <v>9253000</v>
      </c>
      <c r="F4261" s="51" t="s">
        <v>1309</v>
      </c>
      <c r="G4261" s="10">
        <v>46094</v>
      </c>
      <c r="H4261" s="51"/>
      <c r="I4261" s="18">
        <f>SUM(C4250:C4261)</f>
        <v>306137986</v>
      </c>
      <c r="J4261" s="18">
        <f>SUM(D4250:D4261)</f>
        <v>278760606</v>
      </c>
      <c r="K4261" s="18">
        <f>SUM(E4250:E4261)</f>
        <v>27377380</v>
      </c>
      <c r="L4261" s="42"/>
      <c r="M4261" s="42"/>
      <c r="N4261" s="42"/>
      <c r="O4261" s="42"/>
      <c r="P4261" s="42"/>
      <c r="Q4261" s="42"/>
      <c r="R4261" s="42"/>
      <c r="S4261" s="42"/>
    </row>
    <row r="4262" spans="1:19">
      <c r="A4262" s="45" t="s">
        <v>1317</v>
      </c>
      <c r="B4262" s="296" t="s">
        <v>432</v>
      </c>
      <c r="C4262" s="46">
        <v>7041936</v>
      </c>
      <c r="D4262" s="46">
        <v>6401760</v>
      </c>
      <c r="E4262" s="46">
        <v>640176</v>
      </c>
      <c r="F4262" s="17" t="s">
        <v>1230</v>
      </c>
      <c r="G4262" s="9">
        <v>46099</v>
      </c>
    </row>
    <row r="4263" spans="1:19">
      <c r="A4263" s="45" t="s">
        <v>1317</v>
      </c>
      <c r="B4263" s="298" t="s">
        <v>432</v>
      </c>
      <c r="C4263" s="46">
        <v>42791045</v>
      </c>
      <c r="D4263" s="46">
        <v>38900950</v>
      </c>
      <c r="E4263" s="46">
        <v>3890095</v>
      </c>
      <c r="F4263" s="17" t="s">
        <v>1238</v>
      </c>
      <c r="G4263" s="9">
        <v>46097</v>
      </c>
      <c r="K4263" s="298"/>
      <c r="L4263" s="298"/>
      <c r="M4263" s="298"/>
      <c r="N4263" s="298"/>
      <c r="O4263" s="298"/>
      <c r="P4263" s="298"/>
      <c r="Q4263" s="298"/>
      <c r="R4263" s="298"/>
      <c r="S4263" s="298"/>
    </row>
    <row r="4264" spans="1:19">
      <c r="A4264" s="45" t="s">
        <v>1320</v>
      </c>
      <c r="B4264" s="296" t="s">
        <v>1222</v>
      </c>
      <c r="C4264" s="46">
        <v>440000</v>
      </c>
      <c r="D4264" s="46">
        <v>400000</v>
      </c>
      <c r="E4264" s="46">
        <v>40000</v>
      </c>
      <c r="F4264" s="17" t="s">
        <v>1321</v>
      </c>
      <c r="G4264" s="9">
        <v>46084</v>
      </c>
    </row>
    <row r="4265" spans="1:19">
      <c r="A4265" s="45" t="s">
        <v>1322</v>
      </c>
      <c r="B4265" s="296" t="s">
        <v>1323</v>
      </c>
      <c r="C4265" s="46">
        <v>2867260</v>
      </c>
      <c r="D4265" s="46">
        <v>2606600</v>
      </c>
      <c r="E4265" s="46">
        <v>260660</v>
      </c>
      <c r="F4265" s="17" t="s">
        <v>1324</v>
      </c>
      <c r="G4265" s="9">
        <v>46092</v>
      </c>
    </row>
    <row r="4266" spans="1:19">
      <c r="A4266" s="45" t="s">
        <v>1325</v>
      </c>
      <c r="B4266" s="290" t="s">
        <v>432</v>
      </c>
      <c r="C4266" s="46">
        <v>8085660</v>
      </c>
      <c r="D4266" s="46">
        <v>7350600</v>
      </c>
      <c r="E4266" s="46">
        <v>735060</v>
      </c>
      <c r="F4266" s="17" t="s">
        <v>1239</v>
      </c>
      <c r="G4266" s="9">
        <v>46094</v>
      </c>
    </row>
    <row r="4267" spans="1:19">
      <c r="A4267" s="45" t="s">
        <v>1325</v>
      </c>
      <c r="B4267" s="297" t="s">
        <v>432</v>
      </c>
      <c r="C4267" s="46">
        <v>18412460</v>
      </c>
      <c r="D4267" s="46">
        <v>16738600</v>
      </c>
      <c r="E4267" s="46">
        <v>1673860</v>
      </c>
      <c r="F4267" s="17" t="s">
        <v>1238</v>
      </c>
      <c r="G4267" s="9">
        <v>46094</v>
      </c>
    </row>
    <row r="4268" spans="1:19">
      <c r="A4268" s="45">
        <v>46096</v>
      </c>
      <c r="B4268" s="299" t="s">
        <v>432</v>
      </c>
      <c r="C4268" s="46">
        <f>D4268+E4268</f>
        <v>16467275</v>
      </c>
      <c r="D4268" s="46">
        <v>14970250</v>
      </c>
      <c r="E4268" s="46">
        <f>D4268*0.1</f>
        <v>1497025</v>
      </c>
      <c r="F4268" s="17" t="s">
        <v>1238</v>
      </c>
    </row>
    <row r="4269" spans="1:19">
      <c r="A4269" s="45">
        <v>46096</v>
      </c>
      <c r="B4269" s="299" t="s">
        <v>432</v>
      </c>
      <c r="C4269" s="46">
        <f>D4269+E4269</f>
        <v>5550380</v>
      </c>
      <c r="D4269" s="46">
        <v>5045800</v>
      </c>
      <c r="E4269" s="46">
        <f t="shared" ref="E4269" si="1">D4269*0.1</f>
        <v>504580</v>
      </c>
      <c r="F4269" s="17" t="s">
        <v>1239</v>
      </c>
    </row>
    <row r="4270" spans="1:19">
      <c r="A4270" s="45">
        <v>46101</v>
      </c>
      <c r="B4270" s="300" t="s">
        <v>902</v>
      </c>
      <c r="C4270" s="46">
        <v>4984720</v>
      </c>
      <c r="D4270" s="46">
        <v>4984720</v>
      </c>
      <c r="E4270" s="46">
        <v>0</v>
      </c>
      <c r="F4270" s="17" t="s">
        <v>1326</v>
      </c>
    </row>
    <row r="4271" spans="1:19">
      <c r="B4271" s="299"/>
    </row>
    <row r="4272" spans="1:19">
      <c r="B4272" s="299"/>
      <c r="I4272" s="301" t="s">
        <v>1287</v>
      </c>
      <c r="J4272" s="302"/>
      <c r="K4272" s="303"/>
    </row>
    <row r="4273" spans="2:11">
      <c r="B4273" s="299"/>
      <c r="I4273" s="18" t="s">
        <v>46</v>
      </c>
      <c r="J4273" s="279" t="s">
        <v>47</v>
      </c>
      <c r="K4273" s="279" t="s">
        <v>48</v>
      </c>
    </row>
    <row r="4274" spans="2:11">
      <c r="B4274" s="299"/>
      <c r="I4274" s="18">
        <f>SUM(C4262:C4274)</f>
        <v>106640736</v>
      </c>
      <c r="J4274" s="18">
        <f>SUM(D4262:D4274)</f>
        <v>97399280</v>
      </c>
      <c r="K4274" s="18">
        <f>SUM(E4262:E4274)</f>
        <v>9241456</v>
      </c>
    </row>
    <row r="4275" spans="2:11">
      <c r="B4275" s="299"/>
    </row>
    <row r="4276" spans="2:11">
      <c r="B4276" s="299"/>
    </row>
    <row r="4284" spans="2:11">
      <c r="I4284" s="301" t="s">
        <v>1288</v>
      </c>
      <c r="J4284" s="302"/>
      <c r="K4284" s="303"/>
    </row>
    <row r="4285" spans="2:11">
      <c r="I4285" s="18" t="s">
        <v>46</v>
      </c>
      <c r="J4285" s="279" t="s">
        <v>47</v>
      </c>
      <c r="K4285" s="279" t="s">
        <v>48</v>
      </c>
    </row>
    <row r="4286" spans="2:11">
      <c r="I4286" s="18">
        <f>SUM(C4275:C4286)</f>
        <v>0</v>
      </c>
      <c r="J4286" s="18">
        <f>SUM(D4275:D4286)</f>
        <v>0</v>
      </c>
      <c r="K4286" s="18">
        <f>SUM(E4275:E4286)</f>
        <v>0</v>
      </c>
    </row>
    <row r="4296" spans="9:11">
      <c r="I4296" s="301" t="s">
        <v>1289</v>
      </c>
      <c r="J4296" s="302"/>
      <c r="K4296" s="303"/>
    </row>
    <row r="4297" spans="9:11">
      <c r="I4297" s="18" t="s">
        <v>46</v>
      </c>
      <c r="J4297" s="279" t="s">
        <v>47</v>
      </c>
      <c r="K4297" s="279" t="s">
        <v>48</v>
      </c>
    </row>
    <row r="4298" spans="9:11">
      <c r="I4298" s="18">
        <f>SUM(C4287:C4298)</f>
        <v>0</v>
      </c>
      <c r="J4298" s="18">
        <f>SUM(D4287:D4298)</f>
        <v>0</v>
      </c>
      <c r="K4298" s="18">
        <f>SUM(E4287:E4298)</f>
        <v>0</v>
      </c>
    </row>
    <row r="4308" spans="9:11">
      <c r="I4308" s="301" t="s">
        <v>1290</v>
      </c>
      <c r="J4308" s="302"/>
      <c r="K4308" s="303"/>
    </row>
    <row r="4309" spans="9:11">
      <c r="I4309" s="18" t="s">
        <v>46</v>
      </c>
      <c r="J4309" s="279" t="s">
        <v>47</v>
      </c>
      <c r="K4309" s="279" t="s">
        <v>48</v>
      </c>
    </row>
    <row r="4310" spans="9:11">
      <c r="I4310" s="18">
        <f>SUM(C4299:C4310)</f>
        <v>0</v>
      </c>
      <c r="J4310" s="18">
        <f>SUM(D4299:D4310)</f>
        <v>0</v>
      </c>
      <c r="K4310" s="18">
        <f>SUM(E4299:E4310)</f>
        <v>0</v>
      </c>
    </row>
    <row r="4320" spans="9:11">
      <c r="I4320" s="301" t="s">
        <v>1291</v>
      </c>
      <c r="J4320" s="302"/>
      <c r="K4320" s="303"/>
    </row>
    <row r="4321" spans="9:11">
      <c r="I4321" s="18" t="s">
        <v>46</v>
      </c>
      <c r="J4321" s="279" t="s">
        <v>47</v>
      </c>
      <c r="K4321" s="279" t="s">
        <v>48</v>
      </c>
    </row>
    <row r="4322" spans="9:11">
      <c r="I4322" s="18">
        <f>SUM(C4311:C4322)</f>
        <v>0</v>
      </c>
      <c r="J4322" s="18">
        <f>SUM(D4311:D4322)</f>
        <v>0</v>
      </c>
      <c r="K4322" s="18">
        <f>SUM(E4311:E4322)</f>
        <v>0</v>
      </c>
    </row>
    <row r="4332" spans="9:11">
      <c r="I4332" s="301" t="s">
        <v>1292</v>
      </c>
      <c r="J4332" s="302"/>
      <c r="K4332" s="303"/>
    </row>
    <row r="4333" spans="9:11">
      <c r="I4333" s="18" t="s">
        <v>46</v>
      </c>
      <c r="J4333" s="279" t="s">
        <v>47</v>
      </c>
      <c r="K4333" s="279" t="s">
        <v>48</v>
      </c>
    </row>
    <row r="4334" spans="9:11">
      <c r="I4334" s="18">
        <f>SUM(C4323:C4334)</f>
        <v>0</v>
      </c>
      <c r="J4334" s="18">
        <f>SUM(D4323:D4334)</f>
        <v>0</v>
      </c>
      <c r="K4334" s="18">
        <f>SUM(E4323:E4334)</f>
        <v>0</v>
      </c>
    </row>
    <row r="4344" spans="9:11">
      <c r="I4344" s="301" t="s">
        <v>1293</v>
      </c>
      <c r="J4344" s="302"/>
      <c r="K4344" s="303"/>
    </row>
    <row r="4345" spans="9:11">
      <c r="I4345" s="18" t="s">
        <v>46</v>
      </c>
      <c r="J4345" s="279" t="s">
        <v>47</v>
      </c>
      <c r="K4345" s="279" t="s">
        <v>48</v>
      </c>
    </row>
    <row r="4346" spans="9:11">
      <c r="I4346" s="18">
        <f>SUM(C4335:C4346)</f>
        <v>0</v>
      </c>
      <c r="J4346" s="18">
        <f>SUM(D4335:D4346)</f>
        <v>0</v>
      </c>
      <c r="K4346" s="18">
        <f>SUM(E4335:E4346)</f>
        <v>0</v>
      </c>
    </row>
    <row r="4356" spans="9:11">
      <c r="I4356" s="301" t="s">
        <v>1294</v>
      </c>
      <c r="J4356" s="302"/>
      <c r="K4356" s="303"/>
    </row>
    <row r="4357" spans="9:11">
      <c r="I4357" s="18" t="s">
        <v>46</v>
      </c>
      <c r="J4357" s="279" t="s">
        <v>47</v>
      </c>
      <c r="K4357" s="279" t="s">
        <v>48</v>
      </c>
    </row>
    <row r="4358" spans="9:11">
      <c r="I4358" s="18">
        <f>SUM(C4347:C4358)</f>
        <v>0</v>
      </c>
      <c r="J4358" s="18">
        <f>SUM(D4347:D4358)</f>
        <v>0</v>
      </c>
      <c r="K4358" s="18">
        <f>SUM(E4347:E4358)</f>
        <v>0</v>
      </c>
    </row>
    <row r="4368" spans="9:11">
      <c r="I4368" s="301" t="s">
        <v>1295</v>
      </c>
      <c r="J4368" s="302"/>
      <c r="K4368" s="303"/>
    </row>
    <row r="4369" spans="9:11">
      <c r="I4369" s="18" t="s">
        <v>46</v>
      </c>
      <c r="J4369" s="279" t="s">
        <v>47</v>
      </c>
      <c r="K4369" s="279" t="s">
        <v>48</v>
      </c>
    </row>
    <row r="4370" spans="9:11">
      <c r="I4370" s="18">
        <f>SUM(C4359:C4370)</f>
        <v>0</v>
      </c>
      <c r="J4370" s="18">
        <f>SUM(D4359:D4370)</f>
        <v>0</v>
      </c>
      <c r="K4370" s="18">
        <f>SUM(E4359:E4370)</f>
        <v>0</v>
      </c>
    </row>
    <row r="4380" spans="9:11">
      <c r="I4380" s="301" t="s">
        <v>1296</v>
      </c>
      <c r="J4380" s="302"/>
      <c r="K4380" s="303"/>
    </row>
    <row r="4381" spans="9:11">
      <c r="I4381" s="18" t="s">
        <v>46</v>
      </c>
      <c r="J4381" s="279" t="s">
        <v>47</v>
      </c>
      <c r="K4381" s="279" t="s">
        <v>48</v>
      </c>
    </row>
    <row r="4382" spans="9:11">
      <c r="I4382" s="18">
        <f>SUM(C4371:C4382)</f>
        <v>0</v>
      </c>
      <c r="J4382" s="18">
        <f>SUM(D4371:D4382)</f>
        <v>0</v>
      </c>
      <c r="K4382" s="18">
        <f>SUM(E4371:E4382)</f>
        <v>0</v>
      </c>
    </row>
  </sheetData>
  <autoFilter ref="A3:G4265" xr:uid="{00000000-0009-0000-0000-000001000000}"/>
  <mergeCells count="125">
    <mergeCell ref="I4356:K4356"/>
    <mergeCell ref="I4368:K4368"/>
    <mergeCell ref="I4380:K4380"/>
    <mergeCell ref="I4247:K4247"/>
    <mergeCell ref="I4259:K4259"/>
    <mergeCell ref="I4272:K4272"/>
    <mergeCell ref="I4284:K4284"/>
    <mergeCell ref="I4296:K4296"/>
    <mergeCell ref="I4308:K4308"/>
    <mergeCell ref="I4320:K4320"/>
    <mergeCell ref="I4332:K4332"/>
    <mergeCell ref="I4344:K4344"/>
    <mergeCell ref="I2528:K2528"/>
    <mergeCell ref="I2468:K2468"/>
    <mergeCell ref="I2649:K2649"/>
    <mergeCell ref="I2709:K2709"/>
    <mergeCell ref="I2589:K2589"/>
    <mergeCell ref="I2782:K2782"/>
    <mergeCell ref="I2834:K2834"/>
    <mergeCell ref="I4216:K4216"/>
    <mergeCell ref="I4235:K4235"/>
    <mergeCell ref="I4129:K4129"/>
    <mergeCell ref="I4142:K4142"/>
    <mergeCell ref="I4159:K4159"/>
    <mergeCell ref="I4180:K4180"/>
    <mergeCell ref="I4197:K4197"/>
    <mergeCell ref="I4003:K4003"/>
    <mergeCell ref="I4053:K4053"/>
    <mergeCell ref="I4095:K4095"/>
    <mergeCell ref="I4110:K4110"/>
    <mergeCell ref="I4120:K4120"/>
    <mergeCell ref="I1649:K1649"/>
    <mergeCell ref="I1456:K1456"/>
    <mergeCell ref="I1682:K1682"/>
    <mergeCell ref="I1703:K1703"/>
    <mergeCell ref="I1922:K1922"/>
    <mergeCell ref="I1728:K1728"/>
    <mergeCell ref="I1886:K1886"/>
    <mergeCell ref="I1913:K1913"/>
    <mergeCell ref="I1757:K1757"/>
    <mergeCell ref="I1876:K1876"/>
    <mergeCell ref="I1854:K1854"/>
    <mergeCell ref="I1841:K1841"/>
    <mergeCell ref="I1600:K1600"/>
    <mergeCell ref="I1623:K1623"/>
    <mergeCell ref="I1546:K1546"/>
    <mergeCell ref="I1577:K1577"/>
    <mergeCell ref="I1036:K1036"/>
    <mergeCell ref="I1356:K1356"/>
    <mergeCell ref="I1281:K1281"/>
    <mergeCell ref="I1460:K1460"/>
    <mergeCell ref="I1524:K1524"/>
    <mergeCell ref="I1398:K1398"/>
    <mergeCell ref="I1480:K1480"/>
    <mergeCell ref="I1500:K1500"/>
    <mergeCell ref="I1433:K1433"/>
    <mergeCell ref="I1315:K1315"/>
    <mergeCell ref="I1244:K1244"/>
    <mergeCell ref="I1152:K1152"/>
    <mergeCell ref="I1109:K1109"/>
    <mergeCell ref="I1073:K1073"/>
    <mergeCell ref="I1202:K1202"/>
    <mergeCell ref="I246:K246"/>
    <mergeCell ref="I344:K344"/>
    <mergeCell ref="I389:K389"/>
    <mergeCell ref="I491:K491"/>
    <mergeCell ref="I429:K429"/>
    <mergeCell ref="I312:K312"/>
    <mergeCell ref="I188:K188"/>
    <mergeCell ref="I651:K651"/>
    <mergeCell ref="I990:K990"/>
    <mergeCell ref="I951:K951"/>
    <mergeCell ref="I781:K781"/>
    <mergeCell ref="I828:K828"/>
    <mergeCell ref="I929:K929"/>
    <mergeCell ref="I883:K883"/>
    <mergeCell ref="I745:K745"/>
    <mergeCell ref="I710:K710"/>
    <mergeCell ref="I19:K19"/>
    <mergeCell ref="I30:K30"/>
    <mergeCell ref="I36:K36"/>
    <mergeCell ref="I48:K48"/>
    <mergeCell ref="A1:G2"/>
    <mergeCell ref="I2404:K2404"/>
    <mergeCell ref="I1785:K1785"/>
    <mergeCell ref="I1812:K1812"/>
    <mergeCell ref="I1821:K1821"/>
    <mergeCell ref="I2354:K2354"/>
    <mergeCell ref="I2261:K2261"/>
    <mergeCell ref="I2221:K2221"/>
    <mergeCell ref="I2148:K2148"/>
    <mergeCell ref="I1956:K1956"/>
    <mergeCell ref="I1969:K1969"/>
    <mergeCell ref="I2182:K2182"/>
    <mergeCell ref="I2156:K2156"/>
    <mergeCell ref="I2066:K2066"/>
    <mergeCell ref="I2304:K2304"/>
    <mergeCell ref="I2019:K2019"/>
    <mergeCell ref="I129:K129"/>
    <mergeCell ref="I81:K81"/>
    <mergeCell ref="I547:K547"/>
    <mergeCell ref="I602:K602"/>
    <mergeCell ref="L4235:N4235"/>
    <mergeCell ref="I2886:K2886"/>
    <mergeCell ref="I3052:K3052"/>
    <mergeCell ref="I2986:K2986"/>
    <mergeCell ref="I2936:K2936"/>
    <mergeCell ref="I3900:K3900"/>
    <mergeCell ref="I3844:K3844"/>
    <mergeCell ref="I3803:K3803"/>
    <mergeCell ref="I3752:K3752"/>
    <mergeCell ref="I3565:K3565"/>
    <mergeCell ref="I3424:K3424"/>
    <mergeCell ref="I3109:K3109"/>
    <mergeCell ref="I3519:K3519"/>
    <mergeCell ref="I3470:K3470"/>
    <mergeCell ref="I3707:K3707"/>
    <mergeCell ref="I3662:K3662"/>
    <mergeCell ref="I3613:K3613"/>
    <mergeCell ref="I3211:K3211"/>
    <mergeCell ref="I3263:K3263"/>
    <mergeCell ref="I3313:K3313"/>
    <mergeCell ref="I3371:K3371"/>
    <mergeCell ref="I3161:K3161"/>
    <mergeCell ref="I3959:K3959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매출(휴먼)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황 규창</cp:lastModifiedBy>
  <dcterms:created xsi:type="dcterms:W3CDTF">2017-05-27T04:25:53Z</dcterms:created>
  <dcterms:modified xsi:type="dcterms:W3CDTF">2026-04-01T02:44:43Z</dcterms:modified>
</cp:coreProperties>
</file>